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DFC5AA-C79A-457A-8AC7-7F56160962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ea update" sheetId="7" r:id="rId1"/>
    <sheet name="Fuco update" sheetId="5" r:id="rId2"/>
    <sheet name="But-fuco update" sheetId="6" r:id="rId3"/>
    <sheet name="Peridin update" sheetId="4" r:id="rId4"/>
    <sheet name="Sheet1" sheetId="1" r:id="rId5"/>
    <sheet name="Sheet2" sheetId="2" r:id="rId6"/>
    <sheet name="Sheet3" sheetId="3" r:id="rId7"/>
  </sheets>
  <definedNames>
    <definedName name="_xlnm._FilterDatabase" localSheetId="5" hidden="1">Sheet2!$L$1:$L$548</definedName>
  </definedNames>
  <calcPr calcId="191029"/>
</workbook>
</file>

<file path=xl/calcChain.xml><?xml version="1.0" encoding="utf-8"?>
<calcChain xmlns="http://schemas.openxmlformats.org/spreadsheetml/2006/main">
  <c r="N895" i="4" l="1"/>
  <c r="N859" i="4"/>
  <c r="N862" i="4" s="1"/>
  <c r="N865" i="4" s="1"/>
  <c r="N868" i="4" s="1"/>
  <c r="N871" i="4" s="1"/>
  <c r="N874" i="4" s="1"/>
  <c r="N877" i="4" s="1"/>
  <c r="N880" i="4" s="1"/>
  <c r="N883" i="4" s="1"/>
  <c r="N886" i="4" s="1"/>
  <c r="N889" i="4" s="1"/>
  <c r="N898" i="4" s="1"/>
  <c r="N856" i="4"/>
  <c r="M856" i="4"/>
  <c r="M859" i="4"/>
  <c r="M862" i="4"/>
  <c r="M865" i="4"/>
  <c r="M868" i="4"/>
  <c r="M871" i="4"/>
  <c r="M874" i="4"/>
  <c r="M877" i="4"/>
  <c r="M880" i="4"/>
  <c r="M883" i="4"/>
  <c r="M886" i="4"/>
  <c r="M889" i="4"/>
  <c r="M895" i="4"/>
  <c r="M898" i="4"/>
  <c r="L856" i="4"/>
  <c r="L859" i="4"/>
  <c r="L862" i="4"/>
  <c r="L865" i="4"/>
  <c r="L868" i="4"/>
  <c r="L871" i="4"/>
  <c r="L874" i="4"/>
  <c r="L877" i="4"/>
  <c r="L880" i="4"/>
  <c r="L883" i="4"/>
  <c r="L886" i="4"/>
  <c r="L889" i="4"/>
  <c r="L895" i="4"/>
  <c r="L898" i="4"/>
  <c r="J856" i="4"/>
  <c r="J859" i="4"/>
  <c r="J862" i="4"/>
  <c r="J865" i="4"/>
  <c r="J868" i="4"/>
  <c r="J871" i="4"/>
  <c r="J874" i="4"/>
  <c r="J877" i="4"/>
  <c r="J880" i="4"/>
  <c r="J883" i="4"/>
  <c r="J886" i="4"/>
  <c r="J889" i="4"/>
  <c r="J895" i="4"/>
  <c r="J898" i="4"/>
  <c r="I856" i="4"/>
  <c r="I859" i="4"/>
  <c r="I862" i="4"/>
  <c r="I865" i="4"/>
  <c r="I868" i="4"/>
  <c r="I871" i="4"/>
  <c r="I874" i="4"/>
  <c r="I877" i="4"/>
  <c r="I880" i="4"/>
  <c r="I883" i="4"/>
  <c r="I886" i="4"/>
  <c r="I889" i="4"/>
  <c r="I895" i="4"/>
  <c r="I898" i="4"/>
  <c r="L853" i="4"/>
  <c r="J853" i="4"/>
  <c r="I853" i="4"/>
  <c r="L763" i="4"/>
  <c r="L766" i="4"/>
  <c r="L769" i="4"/>
  <c r="L772" i="4"/>
  <c r="L775" i="4"/>
  <c r="L784" i="4"/>
  <c r="L787" i="4"/>
  <c r="L790" i="4"/>
  <c r="L793" i="4"/>
  <c r="L796" i="4"/>
  <c r="L802" i="4"/>
  <c r="L805" i="4"/>
  <c r="L808" i="4"/>
  <c r="L811" i="4"/>
  <c r="L814" i="4"/>
  <c r="J763" i="4"/>
  <c r="J766" i="4"/>
  <c r="J769" i="4"/>
  <c r="J772" i="4"/>
  <c r="J775" i="4"/>
  <c r="J784" i="4"/>
  <c r="J787" i="4"/>
  <c r="J790" i="4"/>
  <c r="J793" i="4"/>
  <c r="J796" i="4"/>
  <c r="J802" i="4"/>
  <c r="J805" i="4"/>
  <c r="J808" i="4"/>
  <c r="J811" i="4"/>
  <c r="J814" i="4"/>
  <c r="I763" i="4"/>
  <c r="I766" i="4"/>
  <c r="I769" i="4"/>
  <c r="I772" i="4"/>
  <c r="I775" i="4"/>
  <c r="I784" i="4"/>
  <c r="I787" i="4"/>
  <c r="I790" i="4"/>
  <c r="I793" i="4"/>
  <c r="I796" i="4"/>
  <c r="I802" i="4"/>
  <c r="I805" i="4"/>
  <c r="I808" i="4"/>
  <c r="I811" i="4"/>
  <c r="I814" i="4"/>
  <c r="L760" i="4"/>
  <c r="J760" i="4"/>
  <c r="I760" i="4"/>
  <c r="L748" i="4"/>
  <c r="J748" i="4"/>
  <c r="I748" i="4"/>
  <c r="N784" i="6"/>
  <c r="N766" i="6"/>
  <c r="N769" i="6"/>
  <c r="N772" i="6"/>
  <c r="N775" i="6" s="1"/>
  <c r="N763" i="6"/>
  <c r="M763" i="6"/>
  <c r="M766" i="6"/>
  <c r="M769" i="6"/>
  <c r="M772" i="6"/>
  <c r="M775" i="6"/>
  <c r="M784" i="6"/>
  <c r="M787" i="6"/>
  <c r="M790" i="6"/>
  <c r="M793" i="6"/>
  <c r="M796" i="6"/>
  <c r="M802" i="6"/>
  <c r="M805" i="6"/>
  <c r="M808" i="6"/>
  <c r="M811" i="6"/>
  <c r="M814" i="6"/>
  <c r="L763" i="6"/>
  <c r="L766" i="6"/>
  <c r="L769" i="6"/>
  <c r="L772" i="6"/>
  <c r="L775" i="6"/>
  <c r="L784" i="6"/>
  <c r="L787" i="6"/>
  <c r="L790" i="6"/>
  <c r="L793" i="6"/>
  <c r="L796" i="6"/>
  <c r="L802" i="6"/>
  <c r="L805" i="6"/>
  <c r="L808" i="6"/>
  <c r="L811" i="6"/>
  <c r="L814" i="6"/>
  <c r="J763" i="6"/>
  <c r="J766" i="6"/>
  <c r="J769" i="6"/>
  <c r="J772" i="6"/>
  <c r="J775" i="6"/>
  <c r="J784" i="6"/>
  <c r="J787" i="6"/>
  <c r="J790" i="6"/>
  <c r="J793" i="6"/>
  <c r="J796" i="6"/>
  <c r="J802" i="6"/>
  <c r="J805" i="6"/>
  <c r="J808" i="6"/>
  <c r="J811" i="6"/>
  <c r="J814" i="6"/>
  <c r="I763" i="6"/>
  <c r="I766" i="6"/>
  <c r="I769" i="6"/>
  <c r="I772" i="6"/>
  <c r="I775" i="6"/>
  <c r="I784" i="6"/>
  <c r="I787" i="6"/>
  <c r="I790" i="6"/>
  <c r="I793" i="6"/>
  <c r="I796" i="6"/>
  <c r="I802" i="6"/>
  <c r="I805" i="6"/>
  <c r="I808" i="6"/>
  <c r="I811" i="6"/>
  <c r="I814" i="6"/>
  <c r="L760" i="6"/>
  <c r="J760" i="6"/>
  <c r="I760" i="6"/>
  <c r="L748" i="6"/>
  <c r="J748" i="6"/>
  <c r="I748" i="6"/>
  <c r="N895" i="5"/>
  <c r="N859" i="5"/>
  <c r="N862" i="5"/>
  <c r="N865" i="5" s="1"/>
  <c r="N868" i="5" s="1"/>
  <c r="N871" i="5" s="1"/>
  <c r="N874" i="5" s="1"/>
  <c r="N877" i="5" s="1"/>
  <c r="N880" i="5" s="1"/>
  <c r="N883" i="5" s="1"/>
  <c r="N886" i="5" s="1"/>
  <c r="N889" i="5" s="1"/>
  <c r="N898" i="5" s="1"/>
  <c r="N856" i="5"/>
  <c r="M856" i="5"/>
  <c r="M859" i="5"/>
  <c r="M862" i="5"/>
  <c r="M865" i="5"/>
  <c r="M868" i="5"/>
  <c r="M871" i="5"/>
  <c r="M874" i="5"/>
  <c r="M877" i="5"/>
  <c r="M880" i="5"/>
  <c r="M883" i="5"/>
  <c r="M886" i="5"/>
  <c r="M889" i="5"/>
  <c r="M895" i="5"/>
  <c r="M898" i="5"/>
  <c r="L856" i="5"/>
  <c r="L859" i="5"/>
  <c r="L862" i="5"/>
  <c r="L865" i="5"/>
  <c r="L868" i="5"/>
  <c r="L871" i="5"/>
  <c r="L874" i="5"/>
  <c r="L877" i="5"/>
  <c r="L880" i="5"/>
  <c r="L883" i="5"/>
  <c r="L886" i="5"/>
  <c r="L889" i="5"/>
  <c r="L895" i="5"/>
  <c r="L898" i="5"/>
  <c r="J856" i="5"/>
  <c r="J859" i="5"/>
  <c r="J862" i="5"/>
  <c r="J865" i="5"/>
  <c r="J868" i="5"/>
  <c r="J871" i="5"/>
  <c r="J874" i="5"/>
  <c r="J877" i="5"/>
  <c r="J880" i="5"/>
  <c r="J883" i="5"/>
  <c r="J886" i="5"/>
  <c r="J889" i="5"/>
  <c r="J895" i="5"/>
  <c r="J898" i="5"/>
  <c r="I856" i="5"/>
  <c r="I859" i="5"/>
  <c r="I862" i="5"/>
  <c r="I865" i="5"/>
  <c r="I868" i="5"/>
  <c r="I871" i="5"/>
  <c r="I874" i="5"/>
  <c r="I877" i="5"/>
  <c r="I880" i="5"/>
  <c r="I883" i="5"/>
  <c r="I886" i="5"/>
  <c r="I889" i="5"/>
  <c r="I895" i="5"/>
  <c r="I898" i="5"/>
  <c r="L853" i="5"/>
  <c r="J853" i="5"/>
  <c r="I853" i="5"/>
  <c r="L763" i="5"/>
  <c r="L766" i="5"/>
  <c r="L769" i="5"/>
  <c r="L772" i="5"/>
  <c r="L775" i="5"/>
  <c r="L784" i="5"/>
  <c r="L787" i="5"/>
  <c r="L790" i="5"/>
  <c r="L793" i="5"/>
  <c r="L796" i="5"/>
  <c r="L802" i="5"/>
  <c r="L805" i="5"/>
  <c r="L808" i="5"/>
  <c r="L811" i="5"/>
  <c r="L814" i="5"/>
  <c r="J763" i="5"/>
  <c r="J766" i="5"/>
  <c r="J769" i="5"/>
  <c r="J772" i="5"/>
  <c r="J775" i="5"/>
  <c r="J784" i="5"/>
  <c r="J787" i="5"/>
  <c r="J790" i="5"/>
  <c r="J793" i="5"/>
  <c r="J796" i="5"/>
  <c r="J802" i="5"/>
  <c r="J805" i="5"/>
  <c r="J808" i="5"/>
  <c r="J811" i="5"/>
  <c r="J814" i="5"/>
  <c r="I763" i="5"/>
  <c r="I766" i="5"/>
  <c r="I769" i="5"/>
  <c r="I772" i="5"/>
  <c r="I775" i="5"/>
  <c r="I784" i="5"/>
  <c r="I787" i="5"/>
  <c r="I790" i="5"/>
  <c r="I793" i="5"/>
  <c r="I796" i="5"/>
  <c r="I802" i="5"/>
  <c r="I805" i="5"/>
  <c r="I808" i="5"/>
  <c r="I811" i="5"/>
  <c r="I814" i="5"/>
  <c r="L760" i="5"/>
  <c r="J760" i="5"/>
  <c r="I760" i="5"/>
  <c r="L748" i="5"/>
  <c r="J748" i="5"/>
  <c r="I748" i="5"/>
  <c r="N895" i="7"/>
  <c r="N859" i="7"/>
  <c r="N862" i="7"/>
  <c r="N865" i="7" s="1"/>
  <c r="N868" i="7" s="1"/>
  <c r="N871" i="7" s="1"/>
  <c r="N874" i="7" s="1"/>
  <c r="N877" i="7" s="1"/>
  <c r="N880" i="7" s="1"/>
  <c r="N883" i="7" s="1"/>
  <c r="N886" i="7" s="1"/>
  <c r="N889" i="7" s="1"/>
  <c r="N856" i="7"/>
  <c r="M856" i="7"/>
  <c r="M859" i="7"/>
  <c r="M862" i="7"/>
  <c r="M865" i="7"/>
  <c r="M868" i="7"/>
  <c r="M871" i="7"/>
  <c r="M874" i="7"/>
  <c r="M877" i="7"/>
  <c r="M880" i="7"/>
  <c r="M883" i="7"/>
  <c r="M886" i="7"/>
  <c r="M889" i="7"/>
  <c r="M895" i="7"/>
  <c r="M898" i="7"/>
  <c r="L856" i="7"/>
  <c r="L859" i="7"/>
  <c r="L862" i="7"/>
  <c r="L865" i="7"/>
  <c r="L868" i="7"/>
  <c r="L871" i="7"/>
  <c r="L874" i="7"/>
  <c r="L877" i="7"/>
  <c r="L880" i="7"/>
  <c r="L883" i="7"/>
  <c r="L886" i="7"/>
  <c r="L889" i="7"/>
  <c r="L895" i="7"/>
  <c r="L898" i="7"/>
  <c r="J856" i="7"/>
  <c r="J859" i="7"/>
  <c r="J862" i="7"/>
  <c r="J865" i="7"/>
  <c r="J868" i="7"/>
  <c r="J871" i="7"/>
  <c r="J874" i="7"/>
  <c r="J877" i="7"/>
  <c r="J880" i="7"/>
  <c r="J883" i="7"/>
  <c r="J886" i="7"/>
  <c r="J889" i="7"/>
  <c r="J895" i="7"/>
  <c r="J898" i="7"/>
  <c r="I856" i="7"/>
  <c r="I859" i="7"/>
  <c r="I862" i="7"/>
  <c r="I865" i="7"/>
  <c r="I868" i="7"/>
  <c r="I871" i="7"/>
  <c r="I874" i="7"/>
  <c r="I877" i="7"/>
  <c r="I880" i="7"/>
  <c r="I883" i="7"/>
  <c r="I886" i="7"/>
  <c r="I889" i="7"/>
  <c r="I895" i="7"/>
  <c r="I898" i="7"/>
  <c r="L853" i="7"/>
  <c r="J853" i="7"/>
  <c r="I853" i="7"/>
  <c r="L763" i="7"/>
  <c r="L766" i="7"/>
  <c r="L769" i="7"/>
  <c r="L772" i="7"/>
  <c r="L775" i="7"/>
  <c r="L784" i="7"/>
  <c r="L787" i="7"/>
  <c r="L790" i="7"/>
  <c r="L793" i="7"/>
  <c r="L796" i="7"/>
  <c r="L802" i="7"/>
  <c r="L805" i="7"/>
  <c r="L808" i="7"/>
  <c r="L811" i="7"/>
  <c r="L814" i="7"/>
  <c r="J763" i="7"/>
  <c r="J766" i="7"/>
  <c r="J769" i="7"/>
  <c r="J772" i="7"/>
  <c r="J775" i="7"/>
  <c r="J784" i="7"/>
  <c r="J787" i="7"/>
  <c r="J790" i="7"/>
  <c r="J793" i="7"/>
  <c r="J796" i="7"/>
  <c r="J802" i="7"/>
  <c r="J805" i="7"/>
  <c r="J808" i="7"/>
  <c r="J811" i="7"/>
  <c r="J814" i="7"/>
  <c r="I763" i="7"/>
  <c r="I766" i="7"/>
  <c r="I769" i="7"/>
  <c r="I772" i="7"/>
  <c r="I775" i="7"/>
  <c r="I784" i="7"/>
  <c r="I787" i="7"/>
  <c r="I790" i="7"/>
  <c r="I793" i="7"/>
  <c r="I796" i="7"/>
  <c r="I802" i="7"/>
  <c r="I805" i="7"/>
  <c r="I808" i="7"/>
  <c r="I811" i="7"/>
  <c r="I814" i="7"/>
  <c r="L760" i="7"/>
  <c r="J760" i="7"/>
  <c r="I760" i="7"/>
  <c r="L748" i="7"/>
  <c r="J748" i="7"/>
  <c r="I748" i="7"/>
  <c r="L928" i="4"/>
  <c r="L927" i="4"/>
  <c r="M766" i="4" s="1"/>
  <c r="L928" i="6"/>
  <c r="M694" i="6" s="1"/>
  <c r="L927" i="6"/>
  <c r="L928" i="5"/>
  <c r="L927" i="5"/>
  <c r="M787" i="5" s="1"/>
  <c r="L928" i="7"/>
  <c r="L927" i="7"/>
  <c r="M787" i="7" s="1"/>
  <c r="F928" i="7"/>
  <c r="F927" i="7"/>
  <c r="J742" i="4"/>
  <c r="L742" i="4" s="1"/>
  <c r="I742" i="4"/>
  <c r="J736" i="4"/>
  <c r="L736" i="4" s="1"/>
  <c r="I736" i="4"/>
  <c r="J727" i="4"/>
  <c r="L727" i="4" s="1"/>
  <c r="I727" i="4"/>
  <c r="J724" i="4"/>
  <c r="L724" i="4" s="1"/>
  <c r="I724" i="4"/>
  <c r="J721" i="4"/>
  <c r="L721" i="4" s="1"/>
  <c r="I721" i="4"/>
  <c r="L718" i="4"/>
  <c r="J718" i="4"/>
  <c r="I718" i="4"/>
  <c r="L715" i="4"/>
  <c r="J715" i="4"/>
  <c r="I715" i="4"/>
  <c r="J742" i="6"/>
  <c r="L742" i="6" s="1"/>
  <c r="I742" i="6"/>
  <c r="J736" i="6"/>
  <c r="L736" i="6" s="1"/>
  <c r="I736" i="6"/>
  <c r="J727" i="6"/>
  <c r="L727" i="6" s="1"/>
  <c r="I727" i="6"/>
  <c r="J724" i="6"/>
  <c r="L724" i="6" s="1"/>
  <c r="I724" i="6"/>
  <c r="J721" i="6"/>
  <c r="L721" i="6" s="1"/>
  <c r="I721" i="6"/>
  <c r="L718" i="6"/>
  <c r="J718" i="6"/>
  <c r="I718" i="6"/>
  <c r="J715" i="6"/>
  <c r="L715" i="6" s="1"/>
  <c r="I715" i="6"/>
  <c r="J742" i="7"/>
  <c r="L742" i="7" s="1"/>
  <c r="I742" i="7"/>
  <c r="J736" i="7"/>
  <c r="L736" i="7" s="1"/>
  <c r="I736" i="7"/>
  <c r="J727" i="7"/>
  <c r="L727" i="7" s="1"/>
  <c r="I727" i="7"/>
  <c r="J724" i="7"/>
  <c r="L724" i="7" s="1"/>
  <c r="I724" i="7"/>
  <c r="J721" i="7"/>
  <c r="I721" i="7"/>
  <c r="L721" i="7" s="1"/>
  <c r="L718" i="7"/>
  <c r="J718" i="7"/>
  <c r="I718" i="7"/>
  <c r="J715" i="7"/>
  <c r="L715" i="7" s="1"/>
  <c r="I715" i="7"/>
  <c r="J742" i="5"/>
  <c r="L742" i="5" s="1"/>
  <c r="I742" i="5"/>
  <c r="J736" i="5"/>
  <c r="L736" i="5" s="1"/>
  <c r="I736" i="5"/>
  <c r="J727" i="5"/>
  <c r="L727" i="5" s="1"/>
  <c r="I727" i="5"/>
  <c r="J724" i="5"/>
  <c r="L724" i="5" s="1"/>
  <c r="I724" i="5"/>
  <c r="J721" i="5"/>
  <c r="L721" i="5" s="1"/>
  <c r="I721" i="5"/>
  <c r="J718" i="5"/>
  <c r="L718" i="5" s="1"/>
  <c r="I718" i="5"/>
  <c r="J715" i="5"/>
  <c r="L715" i="5" s="1"/>
  <c r="I715" i="5"/>
  <c r="J634" i="7"/>
  <c r="L634" i="7" s="1"/>
  <c r="I634" i="7"/>
  <c r="J631" i="7"/>
  <c r="L631" i="7" s="1"/>
  <c r="I631" i="7"/>
  <c r="J628" i="7"/>
  <c r="L628" i="7" s="1"/>
  <c r="I628" i="7"/>
  <c r="J625" i="7"/>
  <c r="L625" i="7" s="1"/>
  <c r="I625" i="7"/>
  <c r="J622" i="7"/>
  <c r="L622" i="7" s="1"/>
  <c r="I622" i="7"/>
  <c r="L619" i="7"/>
  <c r="J619" i="7"/>
  <c r="I619" i="7"/>
  <c r="J634" i="5"/>
  <c r="I634" i="5"/>
  <c r="L634" i="5" s="1"/>
  <c r="J631" i="5"/>
  <c r="L631" i="5" s="1"/>
  <c r="I631" i="5"/>
  <c r="J628" i="5"/>
  <c r="L628" i="5" s="1"/>
  <c r="I628" i="5"/>
  <c r="J625" i="5"/>
  <c r="L625" i="5" s="1"/>
  <c r="I625" i="5"/>
  <c r="J622" i="5"/>
  <c r="L622" i="5" s="1"/>
  <c r="I622" i="5"/>
  <c r="L619" i="5"/>
  <c r="J619" i="5"/>
  <c r="I619" i="5"/>
  <c r="J634" i="6"/>
  <c r="L634" i="6" s="1"/>
  <c r="I634" i="6"/>
  <c r="J631" i="6"/>
  <c r="L631" i="6" s="1"/>
  <c r="I631" i="6"/>
  <c r="J628" i="6"/>
  <c r="L628" i="6" s="1"/>
  <c r="I628" i="6"/>
  <c r="J625" i="6"/>
  <c r="L625" i="6" s="1"/>
  <c r="I625" i="6"/>
  <c r="J622" i="6"/>
  <c r="L622" i="6" s="1"/>
  <c r="I622" i="6"/>
  <c r="L619" i="6"/>
  <c r="J619" i="6"/>
  <c r="I619" i="6"/>
  <c r="J634" i="4"/>
  <c r="L634" i="4" s="1"/>
  <c r="I634" i="4"/>
  <c r="J631" i="4"/>
  <c r="L631" i="4" s="1"/>
  <c r="I631" i="4"/>
  <c r="J628" i="4"/>
  <c r="L628" i="4" s="1"/>
  <c r="I628" i="4"/>
  <c r="J625" i="4"/>
  <c r="L625" i="4" s="1"/>
  <c r="I625" i="4"/>
  <c r="J622" i="4"/>
  <c r="L622" i="4" s="1"/>
  <c r="I622" i="4"/>
  <c r="J619" i="4"/>
  <c r="L619" i="4" s="1"/>
  <c r="I619" i="4"/>
  <c r="J670" i="4"/>
  <c r="L670" i="4" s="1"/>
  <c r="I670" i="4"/>
  <c r="J667" i="4"/>
  <c r="L667" i="4" s="1"/>
  <c r="I667" i="4"/>
  <c r="J661" i="4"/>
  <c r="L661" i="4" s="1"/>
  <c r="I661" i="4"/>
  <c r="J655" i="4"/>
  <c r="L655" i="4" s="1"/>
  <c r="I655" i="4"/>
  <c r="J652" i="4"/>
  <c r="L652" i="4" s="1"/>
  <c r="I652" i="4"/>
  <c r="L649" i="4"/>
  <c r="J649" i="4"/>
  <c r="I649" i="4"/>
  <c r="J646" i="4"/>
  <c r="L646" i="4" s="1"/>
  <c r="I646" i="4"/>
  <c r="J643" i="4"/>
  <c r="L643" i="4" s="1"/>
  <c r="I643" i="4"/>
  <c r="J670" i="6"/>
  <c r="L670" i="6" s="1"/>
  <c r="I670" i="6"/>
  <c r="J667" i="6"/>
  <c r="L667" i="6" s="1"/>
  <c r="I667" i="6"/>
  <c r="J661" i="6"/>
  <c r="L661" i="6" s="1"/>
  <c r="I661" i="6"/>
  <c r="J655" i="6"/>
  <c r="L655" i="6" s="1"/>
  <c r="I655" i="6"/>
  <c r="J652" i="6"/>
  <c r="L652" i="6" s="1"/>
  <c r="I652" i="6"/>
  <c r="L649" i="6"/>
  <c r="J649" i="6"/>
  <c r="I649" i="6"/>
  <c r="J646" i="6"/>
  <c r="L646" i="6" s="1"/>
  <c r="I646" i="6"/>
  <c r="J643" i="6"/>
  <c r="L643" i="6" s="1"/>
  <c r="I643" i="6"/>
  <c r="J670" i="5"/>
  <c r="L670" i="5" s="1"/>
  <c r="I670" i="5"/>
  <c r="J667" i="5"/>
  <c r="L667" i="5" s="1"/>
  <c r="I667" i="5"/>
  <c r="J661" i="5"/>
  <c r="L661" i="5" s="1"/>
  <c r="I661" i="5"/>
  <c r="J655" i="5"/>
  <c r="L655" i="5" s="1"/>
  <c r="I655" i="5"/>
  <c r="L652" i="5"/>
  <c r="J652" i="5"/>
  <c r="I652" i="5"/>
  <c r="L649" i="5"/>
  <c r="J649" i="5"/>
  <c r="I649" i="5"/>
  <c r="J646" i="5"/>
  <c r="L646" i="5" s="1"/>
  <c r="I646" i="5"/>
  <c r="J643" i="5"/>
  <c r="L643" i="5" s="1"/>
  <c r="I643" i="5"/>
  <c r="J670" i="7"/>
  <c r="L670" i="7" s="1"/>
  <c r="I670" i="7"/>
  <c r="J667" i="7"/>
  <c r="L667" i="7" s="1"/>
  <c r="I667" i="7"/>
  <c r="J661" i="7"/>
  <c r="L661" i="7" s="1"/>
  <c r="I661" i="7"/>
  <c r="J655" i="7"/>
  <c r="L655" i="7" s="1"/>
  <c r="I655" i="7"/>
  <c r="J652" i="7"/>
  <c r="L652" i="7" s="1"/>
  <c r="I652" i="7"/>
  <c r="J649" i="7"/>
  <c r="L649" i="7" s="1"/>
  <c r="I649" i="7"/>
  <c r="J646" i="7"/>
  <c r="L646" i="7" s="1"/>
  <c r="I646" i="7"/>
  <c r="J643" i="7"/>
  <c r="L643" i="7" s="1"/>
  <c r="I643" i="7"/>
  <c r="J616" i="7"/>
  <c r="I616" i="7"/>
  <c r="J613" i="7"/>
  <c r="L613" i="7" s="1"/>
  <c r="I613" i="7"/>
  <c r="J610" i="7"/>
  <c r="I610" i="7"/>
  <c r="J607" i="7"/>
  <c r="I607" i="7"/>
  <c r="J604" i="7"/>
  <c r="I604" i="7"/>
  <c r="J601" i="7"/>
  <c r="I601" i="7"/>
  <c r="L601" i="7" s="1"/>
  <c r="J598" i="7"/>
  <c r="L598" i="7" s="1"/>
  <c r="I598" i="7"/>
  <c r="J595" i="7"/>
  <c r="L595" i="7" s="1"/>
  <c r="I595" i="7"/>
  <c r="J592" i="7"/>
  <c r="L592" i="7" s="1"/>
  <c r="I592" i="7"/>
  <c r="J589" i="7"/>
  <c r="L589" i="7" s="1"/>
  <c r="I589" i="7"/>
  <c r="J586" i="7"/>
  <c r="L586" i="7" s="1"/>
  <c r="I586" i="7"/>
  <c r="J583" i="7"/>
  <c r="L583" i="7" s="1"/>
  <c r="I583" i="7"/>
  <c r="J580" i="7"/>
  <c r="L580" i="7" s="1"/>
  <c r="I580" i="7"/>
  <c r="L577" i="7"/>
  <c r="J577" i="7"/>
  <c r="I577" i="7"/>
  <c r="J574" i="7"/>
  <c r="L574" i="7" s="1"/>
  <c r="I574" i="7"/>
  <c r="J571" i="7"/>
  <c r="L571" i="7" s="1"/>
  <c r="I571" i="7"/>
  <c r="J565" i="7"/>
  <c r="L565" i="7" s="1"/>
  <c r="I565" i="7"/>
  <c r="J616" i="5"/>
  <c r="I616" i="5"/>
  <c r="J613" i="5"/>
  <c r="I613" i="5"/>
  <c r="J610" i="5"/>
  <c r="I610" i="5"/>
  <c r="J607" i="5"/>
  <c r="I607" i="5"/>
  <c r="J604" i="5"/>
  <c r="I604" i="5"/>
  <c r="J601" i="5"/>
  <c r="I601" i="5"/>
  <c r="L601" i="5" s="1"/>
  <c r="J598" i="5"/>
  <c r="L598" i="5" s="1"/>
  <c r="I598" i="5"/>
  <c r="J595" i="5"/>
  <c r="L595" i="5" s="1"/>
  <c r="I595" i="5"/>
  <c r="J592" i="5"/>
  <c r="L592" i="5" s="1"/>
  <c r="I592" i="5"/>
  <c r="J589" i="5"/>
  <c r="L589" i="5" s="1"/>
  <c r="I589" i="5"/>
  <c r="J586" i="5"/>
  <c r="L586" i="5" s="1"/>
  <c r="I586" i="5"/>
  <c r="J583" i="5"/>
  <c r="L583" i="5" s="1"/>
  <c r="I583" i="5"/>
  <c r="J580" i="5"/>
  <c r="L580" i="5" s="1"/>
  <c r="I580" i="5"/>
  <c r="L577" i="5"/>
  <c r="J577" i="5"/>
  <c r="I577" i="5"/>
  <c r="J574" i="5"/>
  <c r="L574" i="5" s="1"/>
  <c r="I574" i="5"/>
  <c r="J571" i="5"/>
  <c r="L571" i="5" s="1"/>
  <c r="I571" i="5"/>
  <c r="J565" i="5"/>
  <c r="L565" i="5" s="1"/>
  <c r="I565" i="5"/>
  <c r="J616" i="6"/>
  <c r="I616" i="6"/>
  <c r="J613" i="6"/>
  <c r="I613" i="6"/>
  <c r="J610" i="6"/>
  <c r="I610" i="6"/>
  <c r="J607" i="6"/>
  <c r="I607" i="6"/>
  <c r="J604" i="6"/>
  <c r="I604" i="6"/>
  <c r="J601" i="6"/>
  <c r="I601" i="6"/>
  <c r="L601" i="6" s="1"/>
  <c r="J598" i="6"/>
  <c r="L598" i="6" s="1"/>
  <c r="I598" i="6"/>
  <c r="J595" i="6"/>
  <c r="L595" i="6" s="1"/>
  <c r="I595" i="6"/>
  <c r="J592" i="6"/>
  <c r="L592" i="6" s="1"/>
  <c r="I592" i="6"/>
  <c r="J589" i="6"/>
  <c r="L589" i="6" s="1"/>
  <c r="I589" i="6"/>
  <c r="J586" i="6"/>
  <c r="L586" i="6" s="1"/>
  <c r="I586" i="6"/>
  <c r="J583" i="6"/>
  <c r="L583" i="6" s="1"/>
  <c r="I583" i="6"/>
  <c r="J580" i="6"/>
  <c r="L580" i="6" s="1"/>
  <c r="I580" i="6"/>
  <c r="L577" i="6"/>
  <c r="J577" i="6"/>
  <c r="I577" i="6"/>
  <c r="J574" i="6"/>
  <c r="L574" i="6" s="1"/>
  <c r="I574" i="6"/>
  <c r="J571" i="6"/>
  <c r="L571" i="6" s="1"/>
  <c r="I571" i="6"/>
  <c r="J565" i="6"/>
  <c r="L565" i="6" s="1"/>
  <c r="I565" i="6"/>
  <c r="J616" i="4"/>
  <c r="I616" i="4"/>
  <c r="J613" i="4"/>
  <c r="I613" i="4"/>
  <c r="J610" i="4"/>
  <c r="I610" i="4"/>
  <c r="J607" i="4"/>
  <c r="I607" i="4"/>
  <c r="L607" i="4" s="1"/>
  <c r="J604" i="4"/>
  <c r="I604" i="4"/>
  <c r="J601" i="4"/>
  <c r="I601" i="4"/>
  <c r="L601" i="4" s="1"/>
  <c r="J598" i="4"/>
  <c r="L598" i="4" s="1"/>
  <c r="I598" i="4"/>
  <c r="J595" i="4"/>
  <c r="L595" i="4" s="1"/>
  <c r="I595" i="4"/>
  <c r="J592" i="4"/>
  <c r="L592" i="4" s="1"/>
  <c r="I592" i="4"/>
  <c r="J589" i="4"/>
  <c r="L589" i="4" s="1"/>
  <c r="I589" i="4"/>
  <c r="J586" i="4"/>
  <c r="L586" i="4" s="1"/>
  <c r="I586" i="4"/>
  <c r="L583" i="4"/>
  <c r="J583" i="4"/>
  <c r="I583" i="4"/>
  <c r="J580" i="4"/>
  <c r="L580" i="4" s="1"/>
  <c r="I580" i="4"/>
  <c r="J577" i="4"/>
  <c r="L577" i="4" s="1"/>
  <c r="I577" i="4"/>
  <c r="J574" i="4"/>
  <c r="L574" i="4" s="1"/>
  <c r="I574" i="4"/>
  <c r="J571" i="4"/>
  <c r="I571" i="4"/>
  <c r="L571" i="4" s="1"/>
  <c r="L565" i="4"/>
  <c r="J565" i="4"/>
  <c r="I565" i="4"/>
  <c r="M853" i="4" l="1"/>
  <c r="M793" i="4"/>
  <c r="M763" i="4"/>
  <c r="M790" i="4"/>
  <c r="M814" i="4"/>
  <c r="M787" i="4"/>
  <c r="M811" i="4"/>
  <c r="M784" i="4"/>
  <c r="M808" i="4"/>
  <c r="M775" i="4"/>
  <c r="M805" i="4"/>
  <c r="M772" i="4"/>
  <c r="M802" i="4"/>
  <c r="M769" i="4"/>
  <c r="M796" i="4"/>
  <c r="M748" i="4"/>
  <c r="M760" i="4"/>
  <c r="N787" i="6"/>
  <c r="N790" i="6" s="1"/>
  <c r="N793" i="6" s="1"/>
  <c r="N796" i="6" s="1"/>
  <c r="N802" i="6" s="1"/>
  <c r="N805" i="6"/>
  <c r="N808" i="6" s="1"/>
  <c r="N811" i="6" s="1"/>
  <c r="N814" i="6" s="1"/>
  <c r="M748" i="6"/>
  <c r="M760" i="6"/>
  <c r="M853" i="5"/>
  <c r="M763" i="5"/>
  <c r="M790" i="5"/>
  <c r="M793" i="5"/>
  <c r="M814" i="5"/>
  <c r="M748" i="5"/>
  <c r="M796" i="5"/>
  <c r="M808" i="5"/>
  <c r="M775" i="5"/>
  <c r="M784" i="5"/>
  <c r="M805" i="5"/>
  <c r="M772" i="5"/>
  <c r="M766" i="5"/>
  <c r="M811" i="5"/>
  <c r="M802" i="5"/>
  <c r="M769" i="5"/>
  <c r="M760" i="5"/>
  <c r="N898" i="7"/>
  <c r="M853" i="7"/>
  <c r="M763" i="7"/>
  <c r="M790" i="7"/>
  <c r="M793" i="7"/>
  <c r="M814" i="7"/>
  <c r="M748" i="7"/>
  <c r="M796" i="7"/>
  <c r="M811" i="7"/>
  <c r="M808" i="7"/>
  <c r="M805" i="7"/>
  <c r="M772" i="7"/>
  <c r="M766" i="7"/>
  <c r="M784" i="7"/>
  <c r="M775" i="7"/>
  <c r="M802" i="7"/>
  <c r="M769" i="7"/>
  <c r="M760" i="7"/>
  <c r="M742" i="4"/>
  <c r="M155" i="4"/>
  <c r="M29" i="4"/>
  <c r="M77" i="4"/>
  <c r="M140" i="4"/>
  <c r="M191" i="4"/>
  <c r="M239" i="4"/>
  <c r="M263" i="4"/>
  <c r="M311" i="4"/>
  <c r="M359" i="4"/>
  <c r="M410" i="4"/>
  <c r="M460" i="4"/>
  <c r="M511" i="4"/>
  <c r="M565" i="4"/>
  <c r="M616" i="4"/>
  <c r="M676" i="4"/>
  <c r="M8" i="4"/>
  <c r="M80" i="4"/>
  <c r="M167" i="4"/>
  <c r="M242" i="4"/>
  <c r="M314" i="4"/>
  <c r="M387" i="4"/>
  <c r="M463" i="4"/>
  <c r="M540" i="4"/>
  <c r="M649" i="4"/>
  <c r="M11" i="4"/>
  <c r="M35" i="4"/>
  <c r="M59" i="4"/>
  <c r="M83" i="4"/>
  <c r="M122" i="4"/>
  <c r="M146" i="4"/>
  <c r="M170" i="4"/>
  <c r="M197" i="4"/>
  <c r="M221" i="4"/>
  <c r="M245" i="4"/>
  <c r="M269" i="4"/>
  <c r="M293" i="4"/>
  <c r="M317" i="4"/>
  <c r="M341" i="4"/>
  <c r="M365" i="4"/>
  <c r="M390" i="4"/>
  <c r="M416" i="4"/>
  <c r="M441" i="4"/>
  <c r="M466" i="4"/>
  <c r="M492" i="4"/>
  <c r="M518" i="4"/>
  <c r="M543" i="4"/>
  <c r="M574" i="4"/>
  <c r="M598" i="4"/>
  <c r="M622" i="4"/>
  <c r="M652" i="4"/>
  <c r="M682" i="4"/>
  <c r="M718" i="4"/>
  <c r="M56" i="4"/>
  <c r="M143" i="4"/>
  <c r="M218" i="4"/>
  <c r="M290" i="4"/>
  <c r="M362" i="4"/>
  <c r="M438" i="4"/>
  <c r="M515" i="4"/>
  <c r="M595" i="4"/>
  <c r="M715" i="4"/>
  <c r="M14" i="4"/>
  <c r="M38" i="4"/>
  <c r="M62" i="4"/>
  <c r="M86" i="4"/>
  <c r="M125" i="4"/>
  <c r="M149" i="4"/>
  <c r="M173" i="4"/>
  <c r="M200" i="4"/>
  <c r="M224" i="4"/>
  <c r="M248" i="4"/>
  <c r="M272" i="4"/>
  <c r="M296" i="4"/>
  <c r="M320" i="4"/>
  <c r="M344" i="4"/>
  <c r="M368" i="4"/>
  <c r="M393" i="4"/>
  <c r="M419" i="4"/>
  <c r="M445" i="4"/>
  <c r="M469" i="4"/>
  <c r="M495" i="4"/>
  <c r="M521" i="4"/>
  <c r="M546" i="4"/>
  <c r="M577" i="4"/>
  <c r="M601" i="4"/>
  <c r="M625" i="4"/>
  <c r="M655" i="4"/>
  <c r="M685" i="4"/>
  <c r="M721" i="4"/>
  <c r="M131" i="4"/>
  <c r="M5" i="4"/>
  <c r="N5" i="4" s="1"/>
  <c r="M53" i="4"/>
  <c r="M116" i="4"/>
  <c r="M164" i="4"/>
  <c r="M215" i="4"/>
  <c r="M287" i="4"/>
  <c r="M335" i="4"/>
  <c r="M384" i="4"/>
  <c r="M435" i="4"/>
  <c r="M486" i="4"/>
  <c r="M536" i="4"/>
  <c r="M592" i="4"/>
  <c r="M646" i="4"/>
  <c r="M700" i="4"/>
  <c r="M32" i="4"/>
  <c r="M119" i="4"/>
  <c r="M194" i="4"/>
  <c r="M266" i="4"/>
  <c r="M338" i="4"/>
  <c r="M413" i="4"/>
  <c r="M489" i="4"/>
  <c r="M571" i="4"/>
  <c r="M619" i="4"/>
  <c r="M679" i="4"/>
  <c r="M17" i="4"/>
  <c r="M41" i="4"/>
  <c r="M65" i="4"/>
  <c r="M89" i="4"/>
  <c r="M128" i="4"/>
  <c r="M152" i="4"/>
  <c r="M176" i="4"/>
  <c r="M203" i="4"/>
  <c r="M227" i="4"/>
  <c r="M251" i="4"/>
  <c r="M275" i="4"/>
  <c r="M299" i="4"/>
  <c r="M323" i="4"/>
  <c r="M347" i="4"/>
  <c r="M371" i="4"/>
  <c r="M396" i="4"/>
  <c r="M423" i="4"/>
  <c r="M448" i="4"/>
  <c r="M472" i="4"/>
  <c r="M498" i="4"/>
  <c r="M524" i="4"/>
  <c r="M549" i="4"/>
  <c r="M580" i="4"/>
  <c r="M604" i="4"/>
  <c r="M628" i="4"/>
  <c r="M661" i="4"/>
  <c r="M688" i="4"/>
  <c r="M724" i="4"/>
  <c r="M20" i="4"/>
  <c r="M68" i="4"/>
  <c r="M182" i="4"/>
  <c r="M254" i="4"/>
  <c r="M302" i="4"/>
  <c r="M350" i="4"/>
  <c r="M400" i="4"/>
  <c r="M451" i="4"/>
  <c r="M527" i="4"/>
  <c r="M727" i="4"/>
  <c r="M47" i="4"/>
  <c r="M134" i="4"/>
  <c r="M185" i="4"/>
  <c r="M233" i="4"/>
  <c r="M281" i="4"/>
  <c r="M353" i="4"/>
  <c r="M403" i="4"/>
  <c r="M479" i="4"/>
  <c r="M530" i="4"/>
  <c r="M610" i="4"/>
  <c r="M736" i="4"/>
  <c r="M44" i="4"/>
  <c r="M92" i="4"/>
  <c r="M206" i="4"/>
  <c r="M230" i="4"/>
  <c r="M278" i="4"/>
  <c r="M326" i="4"/>
  <c r="M375" i="4"/>
  <c r="M426" i="4"/>
  <c r="M475" i="4"/>
  <c r="M501" i="4"/>
  <c r="M552" i="4"/>
  <c r="M583" i="4"/>
  <c r="M607" i="4"/>
  <c r="M631" i="4"/>
  <c r="M667" i="4"/>
  <c r="M691" i="4"/>
  <c r="M23" i="4"/>
  <c r="M71" i="4"/>
  <c r="M95" i="4"/>
  <c r="M158" i="4"/>
  <c r="M209" i="4"/>
  <c r="M257" i="4"/>
  <c r="M305" i="4"/>
  <c r="M329" i="4"/>
  <c r="M378" i="4"/>
  <c r="M429" i="4"/>
  <c r="M454" i="4"/>
  <c r="M504" i="4"/>
  <c r="M556" i="4"/>
  <c r="M586" i="4"/>
  <c r="M634" i="4"/>
  <c r="M670" i="4"/>
  <c r="M694" i="4"/>
  <c r="M26" i="4"/>
  <c r="M50" i="4"/>
  <c r="M74" i="4"/>
  <c r="M113" i="4"/>
  <c r="M137" i="4"/>
  <c r="M161" i="4"/>
  <c r="M188" i="4"/>
  <c r="M212" i="4"/>
  <c r="M236" i="4"/>
  <c r="M260" i="4"/>
  <c r="M284" i="4"/>
  <c r="M308" i="4"/>
  <c r="M332" i="4"/>
  <c r="M356" i="4"/>
  <c r="M381" i="4"/>
  <c r="M407" i="4"/>
  <c r="M432" i="4"/>
  <c r="M457" i="4"/>
  <c r="M482" i="4"/>
  <c r="M507" i="4"/>
  <c r="M533" i="4"/>
  <c r="M559" i="4"/>
  <c r="M589" i="4"/>
  <c r="M613" i="4"/>
  <c r="M643" i="4"/>
  <c r="M673" i="4"/>
  <c r="M697" i="4"/>
  <c r="M95" i="6"/>
  <c r="M158" i="6"/>
  <c r="M353" i="6"/>
  <c r="M556" i="6"/>
  <c r="M504" i="6"/>
  <c r="M329" i="6"/>
  <c r="M185" i="6"/>
  <c r="M378" i="6"/>
  <c r="M586" i="6"/>
  <c r="M305" i="6"/>
  <c r="M134" i="6"/>
  <c r="M209" i="6"/>
  <c r="M403" i="6"/>
  <c r="M610" i="6"/>
  <c r="M736" i="6"/>
  <c r="M530" i="6"/>
  <c r="M23" i="6"/>
  <c r="M233" i="6"/>
  <c r="M429" i="6"/>
  <c r="M634" i="6"/>
  <c r="M454" i="6"/>
  <c r="M47" i="6"/>
  <c r="M257" i="6"/>
  <c r="M670" i="6"/>
  <c r="M71" i="6"/>
  <c r="M281" i="6"/>
  <c r="M479" i="6"/>
  <c r="M727" i="6"/>
  <c r="M113" i="6"/>
  <c r="M236" i="6"/>
  <c r="M356" i="6"/>
  <c r="M507" i="6"/>
  <c r="M697" i="6"/>
  <c r="M29" i="6"/>
  <c r="M53" i="6"/>
  <c r="M77" i="6"/>
  <c r="M116" i="6"/>
  <c r="M140" i="6"/>
  <c r="M164" i="6"/>
  <c r="M191" i="6"/>
  <c r="M215" i="6"/>
  <c r="M239" i="6"/>
  <c r="M263" i="6"/>
  <c r="M287" i="6"/>
  <c r="M311" i="6"/>
  <c r="M335" i="6"/>
  <c r="M359" i="6"/>
  <c r="M384" i="6"/>
  <c r="M410" i="6"/>
  <c r="M435" i="6"/>
  <c r="M460" i="6"/>
  <c r="M486" i="6"/>
  <c r="M511" i="6"/>
  <c r="M536" i="6"/>
  <c r="M565" i="6"/>
  <c r="M592" i="6"/>
  <c r="M616" i="6"/>
  <c r="M646" i="6"/>
  <c r="M676" i="6"/>
  <c r="M700" i="6"/>
  <c r="M74" i="6"/>
  <c r="M260" i="6"/>
  <c r="M407" i="6"/>
  <c r="M559" i="6"/>
  <c r="M742" i="6"/>
  <c r="M8" i="6"/>
  <c r="M32" i="6"/>
  <c r="M56" i="6"/>
  <c r="M80" i="6"/>
  <c r="M119" i="6"/>
  <c r="M143" i="6"/>
  <c r="M167" i="6"/>
  <c r="M194" i="6"/>
  <c r="M218" i="6"/>
  <c r="M242" i="6"/>
  <c r="M266" i="6"/>
  <c r="M290" i="6"/>
  <c r="M314" i="6"/>
  <c r="M338" i="6"/>
  <c r="M362" i="6"/>
  <c r="M387" i="6"/>
  <c r="M413" i="6"/>
  <c r="M438" i="6"/>
  <c r="M463" i="6"/>
  <c r="M489" i="6"/>
  <c r="M515" i="6"/>
  <c r="M540" i="6"/>
  <c r="M571" i="6"/>
  <c r="M595" i="6"/>
  <c r="M619" i="6"/>
  <c r="M649" i="6"/>
  <c r="M679" i="6"/>
  <c r="M715" i="6"/>
  <c r="M137" i="6"/>
  <c r="M284" i="6"/>
  <c r="M432" i="6"/>
  <c r="M589" i="6"/>
  <c r="M11" i="6"/>
  <c r="M35" i="6"/>
  <c r="M59" i="6"/>
  <c r="M83" i="6"/>
  <c r="M122" i="6"/>
  <c r="M146" i="6"/>
  <c r="M170" i="6"/>
  <c r="M197" i="6"/>
  <c r="M221" i="6"/>
  <c r="M245" i="6"/>
  <c r="M269" i="6"/>
  <c r="M293" i="6"/>
  <c r="M317" i="6"/>
  <c r="M341" i="6"/>
  <c r="M365" i="6"/>
  <c r="M390" i="6"/>
  <c r="M416" i="6"/>
  <c r="M441" i="6"/>
  <c r="M466" i="6"/>
  <c r="M492" i="6"/>
  <c r="M518" i="6"/>
  <c r="M543" i="6"/>
  <c r="M574" i="6"/>
  <c r="M598" i="6"/>
  <c r="M622" i="6"/>
  <c r="M652" i="6"/>
  <c r="M682" i="6"/>
  <c r="M718" i="6"/>
  <c r="M26" i="6"/>
  <c r="M188" i="6"/>
  <c r="M332" i="6"/>
  <c r="M482" i="6"/>
  <c r="M613" i="6"/>
  <c r="M14" i="6"/>
  <c r="M38" i="6"/>
  <c r="M62" i="6"/>
  <c r="M86" i="6"/>
  <c r="M125" i="6"/>
  <c r="M149" i="6"/>
  <c r="M173" i="6"/>
  <c r="M200" i="6"/>
  <c r="M224" i="6"/>
  <c r="M248" i="6"/>
  <c r="M272" i="6"/>
  <c r="M296" i="6"/>
  <c r="M320" i="6"/>
  <c r="M344" i="6"/>
  <c r="M368" i="6"/>
  <c r="M393" i="6"/>
  <c r="M419" i="6"/>
  <c r="M445" i="6"/>
  <c r="M469" i="6"/>
  <c r="M495" i="6"/>
  <c r="M521" i="6"/>
  <c r="M546" i="6"/>
  <c r="M577" i="6"/>
  <c r="M601" i="6"/>
  <c r="M625" i="6"/>
  <c r="M655" i="6"/>
  <c r="M685" i="6"/>
  <c r="M721" i="6"/>
  <c r="M50" i="6"/>
  <c r="M212" i="6"/>
  <c r="M381" i="6"/>
  <c r="M533" i="6"/>
  <c r="M673" i="6"/>
  <c r="M17" i="6"/>
  <c r="M41" i="6"/>
  <c r="M65" i="6"/>
  <c r="M89" i="6"/>
  <c r="M128" i="6"/>
  <c r="M152" i="6"/>
  <c r="M176" i="6"/>
  <c r="M203" i="6"/>
  <c r="M227" i="6"/>
  <c r="M251" i="6"/>
  <c r="M275" i="6"/>
  <c r="M299" i="6"/>
  <c r="M323" i="6"/>
  <c r="M347" i="6"/>
  <c r="M371" i="6"/>
  <c r="M396" i="6"/>
  <c r="M423" i="6"/>
  <c r="M448" i="6"/>
  <c r="M472" i="6"/>
  <c r="M498" i="6"/>
  <c r="M524" i="6"/>
  <c r="M549" i="6"/>
  <c r="M580" i="6"/>
  <c r="M604" i="6"/>
  <c r="M628" i="6"/>
  <c r="M661" i="6"/>
  <c r="M688" i="6"/>
  <c r="M724" i="6"/>
  <c r="M5" i="6"/>
  <c r="N5" i="6" s="1"/>
  <c r="M161" i="6"/>
  <c r="M308" i="6"/>
  <c r="M457" i="6"/>
  <c r="M643" i="6"/>
  <c r="M20" i="6"/>
  <c r="M44" i="6"/>
  <c r="M68" i="6"/>
  <c r="M92" i="6"/>
  <c r="M131" i="6"/>
  <c r="M155" i="6"/>
  <c r="M182" i="6"/>
  <c r="M206" i="6"/>
  <c r="M230" i="6"/>
  <c r="M254" i="6"/>
  <c r="M278" i="6"/>
  <c r="M302" i="6"/>
  <c r="M326" i="6"/>
  <c r="M350" i="6"/>
  <c r="M375" i="6"/>
  <c r="M400" i="6"/>
  <c r="M426" i="6"/>
  <c r="M451" i="6"/>
  <c r="M475" i="6"/>
  <c r="M501" i="6"/>
  <c r="M527" i="6"/>
  <c r="M552" i="6"/>
  <c r="M583" i="6"/>
  <c r="M607" i="6"/>
  <c r="M631" i="6"/>
  <c r="M667" i="6"/>
  <c r="M691" i="6"/>
  <c r="M724" i="5"/>
  <c r="M44" i="5"/>
  <c r="M155" i="5"/>
  <c r="M254" i="5"/>
  <c r="M350" i="5"/>
  <c r="M451" i="5"/>
  <c r="M552" i="5"/>
  <c r="M631" i="5"/>
  <c r="M727" i="5"/>
  <c r="M23" i="5"/>
  <c r="M95" i="5"/>
  <c r="M185" i="5"/>
  <c r="M281" i="5"/>
  <c r="M378" i="5"/>
  <c r="M479" i="5"/>
  <c r="M586" i="5"/>
  <c r="M736" i="5"/>
  <c r="M26" i="5"/>
  <c r="M50" i="5"/>
  <c r="M74" i="5"/>
  <c r="M113" i="5"/>
  <c r="M137" i="5"/>
  <c r="M161" i="5"/>
  <c r="M188" i="5"/>
  <c r="M212" i="5"/>
  <c r="M236" i="5"/>
  <c r="M260" i="5"/>
  <c r="M284" i="5"/>
  <c r="M308" i="5"/>
  <c r="M332" i="5"/>
  <c r="M356" i="5"/>
  <c r="M381" i="5"/>
  <c r="M407" i="5"/>
  <c r="M432" i="5"/>
  <c r="M457" i="5"/>
  <c r="M482" i="5"/>
  <c r="M507" i="5"/>
  <c r="M533" i="5"/>
  <c r="M559" i="5"/>
  <c r="M589" i="5"/>
  <c r="M613" i="5"/>
  <c r="M643" i="5"/>
  <c r="M673" i="5"/>
  <c r="M697" i="5"/>
  <c r="M742" i="5"/>
  <c r="M68" i="5"/>
  <c r="M182" i="5"/>
  <c r="M278" i="5"/>
  <c r="M400" i="5"/>
  <c r="M527" i="5"/>
  <c r="M667" i="5"/>
  <c r="M47" i="5"/>
  <c r="M158" i="5"/>
  <c r="M257" i="5"/>
  <c r="M329" i="5"/>
  <c r="M429" i="5"/>
  <c r="M530" i="5"/>
  <c r="M634" i="5"/>
  <c r="M5" i="5"/>
  <c r="N5" i="5" s="1"/>
  <c r="M29" i="5"/>
  <c r="M53" i="5"/>
  <c r="M77" i="5"/>
  <c r="M116" i="5"/>
  <c r="M140" i="5"/>
  <c r="M164" i="5"/>
  <c r="M191" i="5"/>
  <c r="M215" i="5"/>
  <c r="M239" i="5"/>
  <c r="M263" i="5"/>
  <c r="M287" i="5"/>
  <c r="M311" i="5"/>
  <c r="M335" i="5"/>
  <c r="M359" i="5"/>
  <c r="M384" i="5"/>
  <c r="M410" i="5"/>
  <c r="M435" i="5"/>
  <c r="M460" i="5"/>
  <c r="M486" i="5"/>
  <c r="M511" i="5"/>
  <c r="M536" i="5"/>
  <c r="M565" i="5"/>
  <c r="M592" i="5"/>
  <c r="M616" i="5"/>
  <c r="M646" i="5"/>
  <c r="M676" i="5"/>
  <c r="M700" i="5"/>
  <c r="M92" i="5"/>
  <c r="M206" i="5"/>
  <c r="M326" i="5"/>
  <c r="M475" i="5"/>
  <c r="M583" i="5"/>
  <c r="M71" i="5"/>
  <c r="M233" i="5"/>
  <c r="M353" i="5"/>
  <c r="M454" i="5"/>
  <c r="M556" i="5"/>
  <c r="M670" i="5"/>
  <c r="M8" i="5"/>
  <c r="M32" i="5"/>
  <c r="M56" i="5"/>
  <c r="M80" i="5"/>
  <c r="M119" i="5"/>
  <c r="M143" i="5"/>
  <c r="M167" i="5"/>
  <c r="M194" i="5"/>
  <c r="M218" i="5"/>
  <c r="M242" i="5"/>
  <c r="M266" i="5"/>
  <c r="M290" i="5"/>
  <c r="M314" i="5"/>
  <c r="M338" i="5"/>
  <c r="M362" i="5"/>
  <c r="M387" i="5"/>
  <c r="M413" i="5"/>
  <c r="M438" i="5"/>
  <c r="M463" i="5"/>
  <c r="M489" i="5"/>
  <c r="M515" i="5"/>
  <c r="M540" i="5"/>
  <c r="M571" i="5"/>
  <c r="M595" i="5"/>
  <c r="M619" i="5"/>
  <c r="M649" i="5"/>
  <c r="M679" i="5"/>
  <c r="M715" i="5"/>
  <c r="M20" i="5"/>
  <c r="M131" i="5"/>
  <c r="M230" i="5"/>
  <c r="M302" i="5"/>
  <c r="M426" i="5"/>
  <c r="M501" i="5"/>
  <c r="M607" i="5"/>
  <c r="M691" i="5"/>
  <c r="M134" i="5"/>
  <c r="M209" i="5"/>
  <c r="M305" i="5"/>
  <c r="M403" i="5"/>
  <c r="M504" i="5"/>
  <c r="M610" i="5"/>
  <c r="M694" i="5"/>
  <c r="M11" i="5"/>
  <c r="M35" i="5"/>
  <c r="M59" i="5"/>
  <c r="M83" i="5"/>
  <c r="M122" i="5"/>
  <c r="M146" i="5"/>
  <c r="M170" i="5"/>
  <c r="M197" i="5"/>
  <c r="M221" i="5"/>
  <c r="M245" i="5"/>
  <c r="M269" i="5"/>
  <c r="M293" i="5"/>
  <c r="M317" i="5"/>
  <c r="M341" i="5"/>
  <c r="M365" i="5"/>
  <c r="M390" i="5"/>
  <c r="M416" i="5"/>
  <c r="M441" i="5"/>
  <c r="M466" i="5"/>
  <c r="M492" i="5"/>
  <c r="M518" i="5"/>
  <c r="M543" i="5"/>
  <c r="M574" i="5"/>
  <c r="M598" i="5"/>
  <c r="M622" i="5"/>
  <c r="M652" i="5"/>
  <c r="M682" i="5"/>
  <c r="M718" i="5"/>
  <c r="M62" i="5"/>
  <c r="M577" i="5"/>
  <c r="M375" i="5"/>
  <c r="M14" i="5"/>
  <c r="M38" i="5"/>
  <c r="M86" i="5"/>
  <c r="M125" i="5"/>
  <c r="M149" i="5"/>
  <c r="M173" i="5"/>
  <c r="M200" i="5"/>
  <c r="M224" i="5"/>
  <c r="M248" i="5"/>
  <c r="M272" i="5"/>
  <c r="M296" i="5"/>
  <c r="M320" i="5"/>
  <c r="M344" i="5"/>
  <c r="M368" i="5"/>
  <c r="M393" i="5"/>
  <c r="M419" i="5"/>
  <c r="M445" i="5"/>
  <c r="M469" i="5"/>
  <c r="M495" i="5"/>
  <c r="M521" i="5"/>
  <c r="M546" i="5"/>
  <c r="M601" i="5"/>
  <c r="M625" i="5"/>
  <c r="M655" i="5"/>
  <c r="M685" i="5"/>
  <c r="M721" i="5"/>
  <c r="M17" i="5"/>
  <c r="M41" i="5"/>
  <c r="M65" i="5"/>
  <c r="M89" i="5"/>
  <c r="M128" i="5"/>
  <c r="M152" i="5"/>
  <c r="M176" i="5"/>
  <c r="M203" i="5"/>
  <c r="M227" i="5"/>
  <c r="M251" i="5"/>
  <c r="M275" i="5"/>
  <c r="M299" i="5"/>
  <c r="M323" i="5"/>
  <c r="M347" i="5"/>
  <c r="M371" i="5"/>
  <c r="M396" i="5"/>
  <c r="M423" i="5"/>
  <c r="M448" i="5"/>
  <c r="M472" i="5"/>
  <c r="M498" i="5"/>
  <c r="M524" i="5"/>
  <c r="M549" i="5"/>
  <c r="M580" i="5"/>
  <c r="M604" i="5"/>
  <c r="M628" i="5"/>
  <c r="M661" i="5"/>
  <c r="M688" i="5"/>
  <c r="M718" i="7"/>
  <c r="M86" i="7"/>
  <c r="M173" i="7"/>
  <c r="M224" i="7"/>
  <c r="M368" i="7"/>
  <c r="M469" i="7"/>
  <c r="M601" i="7"/>
  <c r="M721" i="7"/>
  <c r="M89" i="7"/>
  <c r="M152" i="7"/>
  <c r="M203" i="7"/>
  <c r="M227" i="7"/>
  <c r="M323" i="7"/>
  <c r="M347" i="7"/>
  <c r="M371" i="7"/>
  <c r="M396" i="7"/>
  <c r="M423" i="7"/>
  <c r="M448" i="7"/>
  <c r="M472" i="7"/>
  <c r="M498" i="7"/>
  <c r="M524" i="7"/>
  <c r="M549" i="7"/>
  <c r="M580" i="7"/>
  <c r="M604" i="7"/>
  <c r="M628" i="7"/>
  <c r="M661" i="7"/>
  <c r="M688" i="7"/>
  <c r="M724" i="7"/>
  <c r="M20" i="7"/>
  <c r="M44" i="7"/>
  <c r="M68" i="7"/>
  <c r="M92" i="7"/>
  <c r="M131" i="7"/>
  <c r="M155" i="7"/>
  <c r="M182" i="7"/>
  <c r="M206" i="7"/>
  <c r="M230" i="7"/>
  <c r="M254" i="7"/>
  <c r="M278" i="7"/>
  <c r="M302" i="7"/>
  <c r="M326" i="7"/>
  <c r="M350" i="7"/>
  <c r="M375" i="7"/>
  <c r="M400" i="7"/>
  <c r="M426" i="7"/>
  <c r="M451" i="7"/>
  <c r="M475" i="7"/>
  <c r="M501" i="7"/>
  <c r="M527" i="7"/>
  <c r="M552" i="7"/>
  <c r="M583" i="7"/>
  <c r="M607" i="7"/>
  <c r="M631" i="7"/>
  <c r="M667" i="7"/>
  <c r="M691" i="7"/>
  <c r="M727" i="7"/>
  <c r="M344" i="7"/>
  <c r="M320" i="7"/>
  <c r="M586" i="7"/>
  <c r="M26" i="7"/>
  <c r="M50" i="7"/>
  <c r="M74" i="7"/>
  <c r="M113" i="7"/>
  <c r="M137" i="7"/>
  <c r="M161" i="7"/>
  <c r="M188" i="7"/>
  <c r="M212" i="7"/>
  <c r="M236" i="7"/>
  <c r="M260" i="7"/>
  <c r="M284" i="7"/>
  <c r="M308" i="7"/>
  <c r="M332" i="7"/>
  <c r="M356" i="7"/>
  <c r="M381" i="7"/>
  <c r="M407" i="7"/>
  <c r="M432" i="7"/>
  <c r="M457" i="7"/>
  <c r="M482" i="7"/>
  <c r="M507" i="7"/>
  <c r="M533" i="7"/>
  <c r="M559" i="7"/>
  <c r="M589" i="7"/>
  <c r="M613" i="7"/>
  <c r="M643" i="7"/>
  <c r="M673" i="7"/>
  <c r="M697" i="7"/>
  <c r="M742" i="7"/>
  <c r="M14" i="7"/>
  <c r="M125" i="7"/>
  <c r="M248" i="7"/>
  <c r="M419" i="7"/>
  <c r="M521" i="7"/>
  <c r="M655" i="7"/>
  <c r="M17" i="7"/>
  <c r="M176" i="7"/>
  <c r="M275" i="7"/>
  <c r="M23" i="7"/>
  <c r="M71" i="7"/>
  <c r="M158" i="7"/>
  <c r="M233" i="7"/>
  <c r="M305" i="7"/>
  <c r="M378" i="7"/>
  <c r="M454" i="7"/>
  <c r="M530" i="7"/>
  <c r="M670" i="7"/>
  <c r="M5" i="7"/>
  <c r="N5" i="7" s="1"/>
  <c r="M29" i="7"/>
  <c r="M53" i="7"/>
  <c r="M77" i="7"/>
  <c r="M116" i="7"/>
  <c r="M140" i="7"/>
  <c r="M164" i="7"/>
  <c r="M191" i="7"/>
  <c r="M215" i="7"/>
  <c r="M239" i="7"/>
  <c r="M263" i="7"/>
  <c r="M287" i="7"/>
  <c r="M311" i="7"/>
  <c r="M335" i="7"/>
  <c r="M359" i="7"/>
  <c r="M384" i="7"/>
  <c r="M410" i="7"/>
  <c r="M435" i="7"/>
  <c r="M460" i="7"/>
  <c r="M486" i="7"/>
  <c r="M511" i="7"/>
  <c r="M536" i="7"/>
  <c r="M565" i="7"/>
  <c r="M592" i="7"/>
  <c r="M616" i="7"/>
  <c r="M646" i="7"/>
  <c r="M676" i="7"/>
  <c r="M700" i="7"/>
  <c r="M38" i="7"/>
  <c r="M149" i="7"/>
  <c r="M200" i="7"/>
  <c r="M296" i="7"/>
  <c r="M393" i="7"/>
  <c r="M495" i="7"/>
  <c r="M577" i="7"/>
  <c r="M625" i="7"/>
  <c r="M65" i="7"/>
  <c r="M251" i="7"/>
  <c r="M47" i="7"/>
  <c r="M134" i="7"/>
  <c r="M209" i="7"/>
  <c r="M281" i="7"/>
  <c r="M353" i="7"/>
  <c r="M429" i="7"/>
  <c r="M479" i="7"/>
  <c r="M556" i="7"/>
  <c r="M634" i="7"/>
  <c r="M736" i="7"/>
  <c r="M8" i="7"/>
  <c r="M32" i="7"/>
  <c r="M56" i="7"/>
  <c r="M80" i="7"/>
  <c r="M119" i="7"/>
  <c r="M143" i="7"/>
  <c r="M167" i="7"/>
  <c r="M194" i="7"/>
  <c r="M218" i="7"/>
  <c r="M242" i="7"/>
  <c r="M266" i="7"/>
  <c r="M290" i="7"/>
  <c r="M314" i="7"/>
  <c r="M338" i="7"/>
  <c r="M362" i="7"/>
  <c r="M387" i="7"/>
  <c r="M413" i="7"/>
  <c r="M438" i="7"/>
  <c r="M463" i="7"/>
  <c r="M489" i="7"/>
  <c r="M515" i="7"/>
  <c r="M540" i="7"/>
  <c r="M571" i="7"/>
  <c r="M595" i="7"/>
  <c r="M619" i="7"/>
  <c r="M649" i="7"/>
  <c r="M679" i="7"/>
  <c r="M715" i="7"/>
  <c r="M62" i="7"/>
  <c r="M272" i="7"/>
  <c r="M445" i="7"/>
  <c r="M546" i="7"/>
  <c r="M685" i="7"/>
  <c r="M41" i="7"/>
  <c r="M128" i="7"/>
  <c r="M299" i="7"/>
  <c r="M95" i="7"/>
  <c r="M185" i="7"/>
  <c r="M257" i="7"/>
  <c r="M329" i="7"/>
  <c r="M403" i="7"/>
  <c r="M504" i="7"/>
  <c r="M610" i="7"/>
  <c r="M694" i="7"/>
  <c r="M11" i="7"/>
  <c r="M35" i="7"/>
  <c r="M59" i="7"/>
  <c r="M83" i="7"/>
  <c r="M122" i="7"/>
  <c r="M146" i="7"/>
  <c r="M170" i="7"/>
  <c r="M197" i="7"/>
  <c r="M221" i="7"/>
  <c r="M245" i="7"/>
  <c r="M269" i="7"/>
  <c r="M293" i="7"/>
  <c r="M317" i="7"/>
  <c r="M341" i="7"/>
  <c r="M365" i="7"/>
  <c r="M390" i="7"/>
  <c r="M416" i="7"/>
  <c r="M441" i="7"/>
  <c r="M466" i="7"/>
  <c r="M492" i="7"/>
  <c r="M518" i="7"/>
  <c r="M543" i="7"/>
  <c r="M574" i="7"/>
  <c r="M598" i="7"/>
  <c r="M622" i="7"/>
  <c r="M652" i="7"/>
  <c r="M682" i="7"/>
  <c r="Z736" i="7"/>
  <c r="Z20" i="7"/>
  <c r="Z68" i="7"/>
  <c r="Z116" i="7"/>
  <c r="Z140" i="7"/>
  <c r="Z188" i="7"/>
  <c r="Z212" i="7"/>
  <c r="Z260" i="7"/>
  <c r="Z308" i="7"/>
  <c r="Z332" i="7"/>
  <c r="Z381" i="7"/>
  <c r="Z407" i="7"/>
  <c r="Z432" i="7"/>
  <c r="Z466" i="7"/>
  <c r="Z482" i="7"/>
  <c r="Z507" i="7"/>
  <c r="Z533" i="7"/>
  <c r="Z559" i="7"/>
  <c r="Z589" i="7"/>
  <c r="Z613" i="7"/>
  <c r="Z643" i="7"/>
  <c r="Z673" i="7"/>
  <c r="Z742" i="7"/>
  <c r="Z47" i="7"/>
  <c r="Z95" i="7"/>
  <c r="Z143" i="7"/>
  <c r="Z191" i="7"/>
  <c r="Z239" i="7"/>
  <c r="Z287" i="7"/>
  <c r="Z335" i="7"/>
  <c r="Z359" i="7"/>
  <c r="Z384" i="7"/>
  <c r="Z435" i="7"/>
  <c r="Z445" i="7"/>
  <c r="Z486" i="7"/>
  <c r="Z511" i="7"/>
  <c r="Z536" i="7"/>
  <c r="Z565" i="7"/>
  <c r="Z592" i="7"/>
  <c r="Z616" i="7"/>
  <c r="Z646" i="7"/>
  <c r="Z700" i="7"/>
  <c r="Z5" i="7"/>
  <c r="AA5" i="7" s="1"/>
  <c r="Z26" i="7"/>
  <c r="Z50" i="7"/>
  <c r="Z74" i="7"/>
  <c r="Z98" i="7"/>
  <c r="Z122" i="7"/>
  <c r="Z146" i="7"/>
  <c r="Z170" i="7"/>
  <c r="Z194" i="7"/>
  <c r="Z218" i="7"/>
  <c r="Z242" i="7"/>
  <c r="Z266" i="7"/>
  <c r="Z290" i="7"/>
  <c r="Z314" i="7"/>
  <c r="Z338" i="7"/>
  <c r="Z362" i="7"/>
  <c r="Z387" i="7"/>
  <c r="Z413" i="7"/>
  <c r="Z438" i="7"/>
  <c r="Z448" i="7"/>
  <c r="Z489" i="7"/>
  <c r="Z515" i="7"/>
  <c r="Z540" i="7"/>
  <c r="Z571" i="7"/>
  <c r="Z595" i="7"/>
  <c r="Z619" i="7"/>
  <c r="Z649" i="7"/>
  <c r="Z679" i="7"/>
  <c r="Z715" i="7"/>
  <c r="Z44" i="7"/>
  <c r="Z92" i="7"/>
  <c r="Z164" i="7"/>
  <c r="Z236" i="7"/>
  <c r="Z356" i="7"/>
  <c r="Z697" i="7"/>
  <c r="Z23" i="7"/>
  <c r="Z71" i="7"/>
  <c r="Z119" i="7"/>
  <c r="Z167" i="7"/>
  <c r="Z215" i="7"/>
  <c r="Z263" i="7"/>
  <c r="Z311" i="7"/>
  <c r="Z410" i="7"/>
  <c r="Z676" i="7"/>
  <c r="Z8" i="7"/>
  <c r="Z29" i="7"/>
  <c r="Z53" i="7"/>
  <c r="Z77" i="7"/>
  <c r="Z101" i="7"/>
  <c r="Z125" i="7"/>
  <c r="Z149" i="7"/>
  <c r="Z173" i="7"/>
  <c r="Z197" i="7"/>
  <c r="Z221" i="7"/>
  <c r="Z245" i="7"/>
  <c r="Z269" i="7"/>
  <c r="Z293" i="7"/>
  <c r="Z317" i="7"/>
  <c r="Z341" i="7"/>
  <c r="Z365" i="7"/>
  <c r="Z390" i="7"/>
  <c r="Z416" i="7"/>
  <c r="Z441" i="7"/>
  <c r="Z451" i="7"/>
  <c r="Z492" i="7"/>
  <c r="Z518" i="7"/>
  <c r="Z543" i="7"/>
  <c r="Z574" i="7"/>
  <c r="Z598" i="7"/>
  <c r="Z622" i="7"/>
  <c r="Z652" i="7"/>
  <c r="Z682" i="7"/>
  <c r="Z718" i="7"/>
  <c r="Z11" i="7"/>
  <c r="Z32" i="7"/>
  <c r="Z56" i="7"/>
  <c r="Z80" i="7"/>
  <c r="Z104" i="7"/>
  <c r="Z128" i="7"/>
  <c r="Z152" i="7"/>
  <c r="Z176" i="7"/>
  <c r="Z200" i="7"/>
  <c r="Z224" i="7"/>
  <c r="Z248" i="7"/>
  <c r="Z272" i="7"/>
  <c r="Z296" i="7"/>
  <c r="Z320" i="7"/>
  <c r="Z344" i="7"/>
  <c r="Z368" i="7"/>
  <c r="Z393" i="7"/>
  <c r="Z419" i="7"/>
  <c r="Z454" i="7"/>
  <c r="Z469" i="7"/>
  <c r="Z495" i="7"/>
  <c r="Z521" i="7"/>
  <c r="Z546" i="7"/>
  <c r="Z577" i="7"/>
  <c r="Z601" i="7"/>
  <c r="Z625" i="7"/>
  <c r="Z655" i="7"/>
  <c r="Z685" i="7"/>
  <c r="Z721" i="7"/>
  <c r="Z14" i="7"/>
  <c r="Z35" i="7"/>
  <c r="Z59" i="7"/>
  <c r="Z83" i="7"/>
  <c r="Z107" i="7"/>
  <c r="Z131" i="7"/>
  <c r="Z155" i="7"/>
  <c r="Z179" i="7"/>
  <c r="Z203" i="7"/>
  <c r="Z227" i="7"/>
  <c r="Z251" i="7"/>
  <c r="Z275" i="7"/>
  <c r="Z299" i="7"/>
  <c r="Z323" i="7"/>
  <c r="Z347" i="7"/>
  <c r="Z371" i="7"/>
  <c r="Z396" i="7"/>
  <c r="Z423" i="7"/>
  <c r="Z457" i="7"/>
  <c r="Z472" i="7"/>
  <c r="Z498" i="7"/>
  <c r="Z524" i="7"/>
  <c r="Z549" i="7"/>
  <c r="Z580" i="7"/>
  <c r="Z604" i="7"/>
  <c r="Z628" i="7"/>
  <c r="Z661" i="7"/>
  <c r="Z688" i="7"/>
  <c r="Z724" i="7"/>
  <c r="Z284" i="7"/>
  <c r="Z17" i="7"/>
  <c r="Z38" i="7"/>
  <c r="Z62" i="7"/>
  <c r="Z86" i="7"/>
  <c r="Z110" i="7"/>
  <c r="Z134" i="7"/>
  <c r="Z158" i="7"/>
  <c r="Z182" i="7"/>
  <c r="Z206" i="7"/>
  <c r="Z230" i="7"/>
  <c r="Z254" i="7"/>
  <c r="Z278" i="7"/>
  <c r="Z302" i="7"/>
  <c r="Z326" i="7"/>
  <c r="Z350" i="7"/>
  <c r="Z375" i="7"/>
  <c r="Z400" i="7"/>
  <c r="Z426" i="7"/>
  <c r="Z460" i="7"/>
  <c r="Z475" i="7"/>
  <c r="Z501" i="7"/>
  <c r="Z527" i="7"/>
  <c r="Z552" i="7"/>
  <c r="Z583" i="7"/>
  <c r="Z607" i="7"/>
  <c r="Z631" i="7"/>
  <c r="Z667" i="7"/>
  <c r="Z691" i="7"/>
  <c r="Z727" i="7"/>
  <c r="Z41" i="7"/>
  <c r="Z65" i="7"/>
  <c r="Z89" i="7"/>
  <c r="Z113" i="7"/>
  <c r="Z137" i="7"/>
  <c r="Z161" i="7"/>
  <c r="Z185" i="7"/>
  <c r="Z209" i="7"/>
  <c r="Z233" i="7"/>
  <c r="Z257" i="7"/>
  <c r="Z281" i="7"/>
  <c r="Z305" i="7"/>
  <c r="Z329" i="7"/>
  <c r="Z353" i="7"/>
  <c r="Z378" i="7"/>
  <c r="Z403" i="7"/>
  <c r="Z429" i="7"/>
  <c r="Z463" i="7"/>
  <c r="Z479" i="7"/>
  <c r="Z504" i="7"/>
  <c r="Z530" i="7"/>
  <c r="Z556" i="7"/>
  <c r="Z586" i="7"/>
  <c r="Z610" i="7"/>
  <c r="Z634" i="7"/>
  <c r="Z670" i="7"/>
  <c r="Z694" i="7"/>
  <c r="L604" i="7"/>
  <c r="L616" i="7"/>
  <c r="L607" i="7"/>
  <c r="L610" i="7"/>
  <c r="L613" i="5"/>
  <c r="L610" i="5"/>
  <c r="L604" i="5"/>
  <c r="L616" i="5"/>
  <c r="L607" i="5"/>
  <c r="L607" i="6"/>
  <c r="L604" i="6"/>
  <c r="L616" i="6"/>
  <c r="L610" i="6"/>
  <c r="L613" i="6"/>
  <c r="L610" i="4"/>
  <c r="L613" i="4"/>
  <c r="L604" i="4"/>
  <c r="L616" i="4"/>
  <c r="N8" i="4" l="1"/>
  <c r="N11" i="4" s="1"/>
  <c r="N14" i="4" s="1"/>
  <c r="N17" i="4" s="1"/>
  <c r="N20" i="4" s="1"/>
  <c r="N23" i="4" s="1"/>
  <c r="N26" i="4" s="1"/>
  <c r="N29" i="4" s="1"/>
  <c r="N32" i="4" s="1"/>
  <c r="N35" i="4" s="1"/>
  <c r="N38" i="4" s="1"/>
  <c r="N41" i="4" s="1"/>
  <c r="N44" i="4" s="1"/>
  <c r="N47" i="4" s="1"/>
  <c r="N50" i="4" s="1"/>
  <c r="N53" i="4" s="1"/>
  <c r="N56" i="4" s="1"/>
  <c r="N59" i="4" s="1"/>
  <c r="N62" i="4" s="1"/>
  <c r="N65" i="4" s="1"/>
  <c r="N68" i="4" s="1"/>
  <c r="N71" i="4" s="1"/>
  <c r="N74" i="4" s="1"/>
  <c r="N77" i="4" s="1"/>
  <c r="N80" i="4" s="1"/>
  <c r="N83" i="4" s="1"/>
  <c r="N86" i="4" s="1"/>
  <c r="N89" i="4" s="1"/>
  <c r="N92" i="4" s="1"/>
  <c r="N95" i="4" s="1"/>
  <c r="N113" i="4" s="1"/>
  <c r="N116" i="4" s="1"/>
  <c r="N119" i="4" s="1"/>
  <c r="N122" i="4" s="1"/>
  <c r="N125" i="4" s="1"/>
  <c r="N128" i="4" s="1"/>
  <c r="N131" i="4" s="1"/>
  <c r="N134" i="4" s="1"/>
  <c r="N137" i="4" s="1"/>
  <c r="N140" i="4" s="1"/>
  <c r="N143" i="4" s="1"/>
  <c r="N146" i="4" s="1"/>
  <c r="N149" i="4" s="1"/>
  <c r="N152" i="4" s="1"/>
  <c r="N155" i="4" s="1"/>
  <c r="N158" i="4" s="1"/>
  <c r="N161" i="4" s="1"/>
  <c r="N164" i="4" s="1"/>
  <c r="N167" i="4" s="1"/>
  <c r="N170" i="4" s="1"/>
  <c r="N173" i="4" s="1"/>
  <c r="N176" i="4" s="1"/>
  <c r="N182" i="4" s="1"/>
  <c r="N185" i="4" s="1"/>
  <c r="N188" i="4" s="1"/>
  <c r="N191" i="4" s="1"/>
  <c r="N194" i="4" s="1"/>
  <c r="N197" i="4" s="1"/>
  <c r="N200" i="4" s="1"/>
  <c r="N203" i="4" s="1"/>
  <c r="N206" i="4" s="1"/>
  <c r="N209" i="4" s="1"/>
  <c r="N212" i="4" s="1"/>
  <c r="N215" i="4" s="1"/>
  <c r="N218" i="4" s="1"/>
  <c r="N221" i="4" s="1"/>
  <c r="N224" i="4" s="1"/>
  <c r="N227" i="4" s="1"/>
  <c r="N230" i="4" s="1"/>
  <c r="N233" i="4" s="1"/>
  <c r="N236" i="4" s="1"/>
  <c r="N239" i="4" s="1"/>
  <c r="N242" i="4" s="1"/>
  <c r="N245" i="4" s="1"/>
  <c r="N248" i="4" s="1"/>
  <c r="N251" i="4" s="1"/>
  <c r="N254" i="4" s="1"/>
  <c r="N257" i="4" s="1"/>
  <c r="N260" i="4" s="1"/>
  <c r="N263" i="4" s="1"/>
  <c r="N266" i="4" s="1"/>
  <c r="N269" i="4" s="1"/>
  <c r="N272" i="4" s="1"/>
  <c r="N275" i="4" s="1"/>
  <c r="N278" i="4" s="1"/>
  <c r="N281" i="4" s="1"/>
  <c r="N284" i="4" s="1"/>
  <c r="N287" i="4" s="1"/>
  <c r="N290" i="4" s="1"/>
  <c r="N293" i="4" s="1"/>
  <c r="N296" i="4" s="1"/>
  <c r="N299" i="4" s="1"/>
  <c r="N302" i="4" s="1"/>
  <c r="N305" i="4" s="1"/>
  <c r="N308" i="4" s="1"/>
  <c r="N311" i="4" s="1"/>
  <c r="N314" i="4" s="1"/>
  <c r="N317" i="4" s="1"/>
  <c r="N320" i="4" s="1"/>
  <c r="N323" i="4" s="1"/>
  <c r="N326" i="4" s="1"/>
  <c r="N329" i="4" s="1"/>
  <c r="N332" i="4" s="1"/>
  <c r="N335" i="4" s="1"/>
  <c r="N338" i="4" s="1"/>
  <c r="N341" i="4" s="1"/>
  <c r="N344" i="4" s="1"/>
  <c r="N347" i="4" s="1"/>
  <c r="N350" i="4" s="1"/>
  <c r="N353" i="4" s="1"/>
  <c r="N356" i="4" s="1"/>
  <c r="N359" i="4" s="1"/>
  <c r="N362" i="4" s="1"/>
  <c r="N365" i="4" s="1"/>
  <c r="N368" i="4" s="1"/>
  <c r="N371" i="4" s="1"/>
  <c r="N375" i="4" s="1"/>
  <c r="N378" i="4" s="1"/>
  <c r="N381" i="4" s="1"/>
  <c r="N384" i="4" s="1"/>
  <c r="N387" i="4" s="1"/>
  <c r="N390" i="4" s="1"/>
  <c r="N393" i="4" s="1"/>
  <c r="N396" i="4" s="1"/>
  <c r="N400" i="4" s="1"/>
  <c r="N403" i="4" s="1"/>
  <c r="N407" i="4" s="1"/>
  <c r="N410" i="4" s="1"/>
  <c r="N413" i="4" s="1"/>
  <c r="N416" i="4" s="1"/>
  <c r="N419" i="4" s="1"/>
  <c r="N423" i="4" s="1"/>
  <c r="N426" i="4" s="1"/>
  <c r="N429" i="4" s="1"/>
  <c r="N432" i="4" s="1"/>
  <c r="N435" i="4" s="1"/>
  <c r="N438" i="4" s="1"/>
  <c r="N441" i="4" s="1"/>
  <c r="N445" i="4" s="1"/>
  <c r="N448" i="4" s="1"/>
  <c r="N451" i="4" s="1"/>
  <c r="N454" i="4" s="1"/>
  <c r="N457" i="4" s="1"/>
  <c r="N460" i="4" s="1"/>
  <c r="N463" i="4" s="1"/>
  <c r="N466" i="4" s="1"/>
  <c r="N469" i="4" s="1"/>
  <c r="N472" i="4" s="1"/>
  <c r="N475" i="4" s="1"/>
  <c r="N479" i="4" s="1"/>
  <c r="N482" i="4" s="1"/>
  <c r="N486" i="4" s="1"/>
  <c r="N489" i="4" s="1"/>
  <c r="N492" i="4" s="1"/>
  <c r="N495" i="4" s="1"/>
  <c r="N498" i="4" s="1"/>
  <c r="N501" i="4" s="1"/>
  <c r="N504" i="4" s="1"/>
  <c r="N507" i="4" s="1"/>
  <c r="N511" i="4" s="1"/>
  <c r="N515" i="4" s="1"/>
  <c r="N518" i="4" s="1"/>
  <c r="N521" i="4" s="1"/>
  <c r="N524" i="4" s="1"/>
  <c r="N527" i="4" s="1"/>
  <c r="N530" i="4" s="1"/>
  <c r="N533" i="4" s="1"/>
  <c r="N536" i="4" s="1"/>
  <c r="N540" i="4" s="1"/>
  <c r="N543" i="4" s="1"/>
  <c r="N546" i="4" s="1"/>
  <c r="N549" i="4" s="1"/>
  <c r="N552" i="4" s="1"/>
  <c r="N556" i="4" s="1"/>
  <c r="N559" i="4" s="1"/>
  <c r="N565" i="4" s="1"/>
  <c r="N571" i="4" s="1"/>
  <c r="N574" i="4" s="1"/>
  <c r="N577" i="4" s="1"/>
  <c r="N580" i="4" s="1"/>
  <c r="N583" i="4" s="1"/>
  <c r="N586" i="4" s="1"/>
  <c r="N589" i="4" s="1"/>
  <c r="N592" i="4" s="1"/>
  <c r="N595" i="4" s="1"/>
  <c r="N598" i="4" s="1"/>
  <c r="N601" i="4" s="1"/>
  <c r="N604" i="4" s="1"/>
  <c r="N607" i="4" s="1"/>
  <c r="N610" i="4" s="1"/>
  <c r="N613" i="4" s="1"/>
  <c r="N616" i="4" s="1"/>
  <c r="N619" i="4" s="1"/>
  <c r="N622" i="4" s="1"/>
  <c r="N625" i="4" s="1"/>
  <c r="N628" i="4" s="1"/>
  <c r="N631" i="4" s="1"/>
  <c r="N634" i="4" s="1"/>
  <c r="N643" i="4" s="1"/>
  <c r="N646" i="4" s="1"/>
  <c r="N649" i="4" s="1"/>
  <c r="N652" i="4" s="1"/>
  <c r="N655" i="4" s="1"/>
  <c r="N661" i="4" s="1"/>
  <c r="N667" i="4" s="1"/>
  <c r="N670" i="4" s="1"/>
  <c r="N673" i="4" s="1"/>
  <c r="N676" i="4" s="1"/>
  <c r="N679" i="4" s="1"/>
  <c r="N682" i="4" s="1"/>
  <c r="N685" i="4" s="1"/>
  <c r="N688" i="4" s="1"/>
  <c r="N691" i="4" s="1"/>
  <c r="N694" i="4" s="1"/>
  <c r="N697" i="4" s="1"/>
  <c r="N700" i="4" s="1"/>
  <c r="N715" i="4" s="1"/>
  <c r="N718" i="4" s="1"/>
  <c r="N721" i="4" s="1"/>
  <c r="N724" i="4" s="1"/>
  <c r="N727" i="4" s="1"/>
  <c r="N736" i="4" s="1"/>
  <c r="N742" i="4" s="1"/>
  <c r="N748" i="4" s="1"/>
  <c r="N760" i="4" s="1"/>
  <c r="N763" i="4" s="1"/>
  <c r="N766" i="4" s="1"/>
  <c r="N769" i="4" s="1"/>
  <c r="N772" i="4" s="1"/>
  <c r="N775" i="4" s="1"/>
  <c r="N784" i="4" s="1"/>
  <c r="N787" i="4" s="1"/>
  <c r="N790" i="4" s="1"/>
  <c r="N793" i="4" s="1"/>
  <c r="N796" i="4" s="1"/>
  <c r="N802" i="4" s="1"/>
  <c r="N805" i="4" s="1"/>
  <c r="N808" i="4" s="1"/>
  <c r="N811" i="4" s="1"/>
  <c r="N814" i="4" s="1"/>
  <c r="N853" i="4" s="1"/>
  <c r="N8" i="6"/>
  <c r="N11" i="6" s="1"/>
  <c r="N14" i="6" s="1"/>
  <c r="N17" i="6" s="1"/>
  <c r="N20" i="6" s="1"/>
  <c r="N23" i="6" s="1"/>
  <c r="N26" i="6" s="1"/>
  <c r="N29" i="6" s="1"/>
  <c r="N32" i="6" s="1"/>
  <c r="N35" i="6" s="1"/>
  <c r="N38" i="6" s="1"/>
  <c r="N41" i="6" s="1"/>
  <c r="N44" i="6" s="1"/>
  <c r="N47" i="6" s="1"/>
  <c r="N50" i="6" s="1"/>
  <c r="N53" i="6" s="1"/>
  <c r="N56" i="6" s="1"/>
  <c r="N59" i="6" s="1"/>
  <c r="N62" i="6" s="1"/>
  <c r="N65" i="6" s="1"/>
  <c r="N68" i="6" s="1"/>
  <c r="N71" i="6" s="1"/>
  <c r="N74" i="6" s="1"/>
  <c r="N77" i="6" s="1"/>
  <c r="N80" i="6" s="1"/>
  <c r="N83" i="6" s="1"/>
  <c r="N86" i="6" s="1"/>
  <c r="N89" i="6" s="1"/>
  <c r="N92" i="6" s="1"/>
  <c r="N95" i="6" s="1"/>
  <c r="N113" i="6" s="1"/>
  <c r="N116" i="6" s="1"/>
  <c r="N119" i="6" s="1"/>
  <c r="N122" i="6" s="1"/>
  <c r="N125" i="6" s="1"/>
  <c r="N128" i="6" s="1"/>
  <c r="N131" i="6" s="1"/>
  <c r="N134" i="6" s="1"/>
  <c r="N137" i="6" s="1"/>
  <c r="N140" i="6" s="1"/>
  <c r="N143" i="6" s="1"/>
  <c r="N146" i="6" s="1"/>
  <c r="N149" i="6" s="1"/>
  <c r="N152" i="6" s="1"/>
  <c r="N155" i="6" s="1"/>
  <c r="N158" i="6" s="1"/>
  <c r="N161" i="6" s="1"/>
  <c r="N164" i="6" s="1"/>
  <c r="N167" i="6" s="1"/>
  <c r="N170" i="6" s="1"/>
  <c r="N173" i="6" s="1"/>
  <c r="N176" i="6" s="1"/>
  <c r="N8" i="5"/>
  <c r="N11" i="5" s="1"/>
  <c r="N14" i="5" s="1"/>
  <c r="N17" i="5" s="1"/>
  <c r="N20" i="5" s="1"/>
  <c r="N23" i="5" s="1"/>
  <c r="N26" i="5" s="1"/>
  <c r="N29" i="5" s="1"/>
  <c r="N32" i="5" s="1"/>
  <c r="N35" i="5" s="1"/>
  <c r="N38" i="5" s="1"/>
  <c r="N41" i="5" s="1"/>
  <c r="N44" i="5" s="1"/>
  <c r="N47" i="5" s="1"/>
  <c r="N50" i="5" s="1"/>
  <c r="N53" i="5" s="1"/>
  <c r="N56" i="5" s="1"/>
  <c r="N59" i="5" s="1"/>
  <c r="N62" i="5" s="1"/>
  <c r="N65" i="5" s="1"/>
  <c r="N68" i="5" s="1"/>
  <c r="N71" i="5" s="1"/>
  <c r="N74" i="5" s="1"/>
  <c r="N77" i="5" s="1"/>
  <c r="N80" i="5" s="1"/>
  <c r="N83" i="5" s="1"/>
  <c r="N86" i="5" s="1"/>
  <c r="N89" i="5" s="1"/>
  <c r="N92" i="5" s="1"/>
  <c r="N95" i="5" s="1"/>
  <c r="N113" i="5" s="1"/>
  <c r="N116" i="5" s="1"/>
  <c r="N119" i="5" s="1"/>
  <c r="N122" i="5" s="1"/>
  <c r="N125" i="5" s="1"/>
  <c r="N128" i="5" s="1"/>
  <c r="N131" i="5" s="1"/>
  <c r="N134" i="5" s="1"/>
  <c r="N137" i="5" s="1"/>
  <c r="N140" i="5" s="1"/>
  <c r="N143" i="5" s="1"/>
  <c r="N146" i="5" s="1"/>
  <c r="N149" i="5" s="1"/>
  <c r="N152" i="5" s="1"/>
  <c r="N155" i="5" s="1"/>
  <c r="N158" i="5" s="1"/>
  <c r="N161" i="5" s="1"/>
  <c r="N164" i="5" s="1"/>
  <c r="N167" i="5" s="1"/>
  <c r="N170" i="5" s="1"/>
  <c r="N173" i="5" s="1"/>
  <c r="N176" i="5" s="1"/>
  <c r="N182" i="5" s="1"/>
  <c r="N185" i="5" s="1"/>
  <c r="N188" i="5" s="1"/>
  <c r="N191" i="5" s="1"/>
  <c r="N194" i="5" s="1"/>
  <c r="N197" i="5" s="1"/>
  <c r="N200" i="5" s="1"/>
  <c r="N203" i="5" s="1"/>
  <c r="N206" i="5" s="1"/>
  <c r="N209" i="5" s="1"/>
  <c r="N212" i="5" s="1"/>
  <c r="N215" i="5" s="1"/>
  <c r="N218" i="5" s="1"/>
  <c r="N221" i="5" s="1"/>
  <c r="N224" i="5" s="1"/>
  <c r="N227" i="5" s="1"/>
  <c r="N230" i="5" s="1"/>
  <c r="N233" i="5" s="1"/>
  <c r="N236" i="5" s="1"/>
  <c r="N239" i="5" s="1"/>
  <c r="N242" i="5" s="1"/>
  <c r="N245" i="5" s="1"/>
  <c r="N248" i="5" s="1"/>
  <c r="N251" i="5" s="1"/>
  <c r="N254" i="5" s="1"/>
  <c r="N257" i="5" s="1"/>
  <c r="N260" i="5" s="1"/>
  <c r="N263" i="5" s="1"/>
  <c r="N266" i="5" s="1"/>
  <c r="N269" i="5" s="1"/>
  <c r="N272" i="5" s="1"/>
  <c r="N275" i="5" s="1"/>
  <c r="N278" i="5" s="1"/>
  <c r="N281" i="5" s="1"/>
  <c r="N284" i="5" s="1"/>
  <c r="N287" i="5" s="1"/>
  <c r="N290" i="5" s="1"/>
  <c r="N293" i="5" s="1"/>
  <c r="N296" i="5" s="1"/>
  <c r="N299" i="5" s="1"/>
  <c r="N302" i="5" s="1"/>
  <c r="N305" i="5" s="1"/>
  <c r="N308" i="5" s="1"/>
  <c r="N311" i="5" s="1"/>
  <c r="N314" i="5" s="1"/>
  <c r="N317" i="5" s="1"/>
  <c r="N320" i="5" s="1"/>
  <c r="N323" i="5" s="1"/>
  <c r="N326" i="5" s="1"/>
  <c r="N329" i="5" s="1"/>
  <c r="N332" i="5" s="1"/>
  <c r="N335" i="5" s="1"/>
  <c r="N338" i="5" s="1"/>
  <c r="N341" i="5" s="1"/>
  <c r="N344" i="5" s="1"/>
  <c r="N347" i="5" s="1"/>
  <c r="N350" i="5" s="1"/>
  <c r="N353" i="5" s="1"/>
  <c r="N356" i="5" s="1"/>
  <c r="N359" i="5" s="1"/>
  <c r="N362" i="5" s="1"/>
  <c r="N365" i="5" s="1"/>
  <c r="N368" i="5" s="1"/>
  <c r="N371" i="5" s="1"/>
  <c r="N375" i="5" s="1"/>
  <c r="N378" i="5" s="1"/>
  <c r="N381" i="5" s="1"/>
  <c r="N384" i="5" s="1"/>
  <c r="N387" i="5" s="1"/>
  <c r="N390" i="5" s="1"/>
  <c r="N393" i="5" s="1"/>
  <c r="N396" i="5" s="1"/>
  <c r="N400" i="5" s="1"/>
  <c r="N403" i="5" s="1"/>
  <c r="N407" i="5" s="1"/>
  <c r="N410" i="5" s="1"/>
  <c r="N413" i="5" s="1"/>
  <c r="N416" i="5" s="1"/>
  <c r="N419" i="5" s="1"/>
  <c r="N423" i="5" s="1"/>
  <c r="N426" i="5" s="1"/>
  <c r="N429" i="5" s="1"/>
  <c r="N432" i="5" s="1"/>
  <c r="N435" i="5" s="1"/>
  <c r="N438" i="5" s="1"/>
  <c r="N441" i="5" s="1"/>
  <c r="N445" i="5" s="1"/>
  <c r="N448" i="5" s="1"/>
  <c r="N451" i="5" s="1"/>
  <c r="N454" i="5" s="1"/>
  <c r="N457" i="5" s="1"/>
  <c r="N460" i="5" s="1"/>
  <c r="N463" i="5" s="1"/>
  <c r="N466" i="5" s="1"/>
  <c r="N469" i="5" s="1"/>
  <c r="N472" i="5" s="1"/>
  <c r="N475" i="5" s="1"/>
  <c r="N479" i="5" s="1"/>
  <c r="N482" i="5" s="1"/>
  <c r="N486" i="5" s="1"/>
  <c r="N489" i="5" s="1"/>
  <c r="N492" i="5" s="1"/>
  <c r="N495" i="5" s="1"/>
  <c r="N498" i="5" s="1"/>
  <c r="N501" i="5" s="1"/>
  <c r="N504" i="5" s="1"/>
  <c r="N507" i="5" s="1"/>
  <c r="N511" i="5" s="1"/>
  <c r="N515" i="5" s="1"/>
  <c r="N518" i="5" s="1"/>
  <c r="N521" i="5" s="1"/>
  <c r="N524" i="5" s="1"/>
  <c r="N527" i="5" s="1"/>
  <c r="N530" i="5" s="1"/>
  <c r="N533" i="5" s="1"/>
  <c r="N536" i="5" s="1"/>
  <c r="N540" i="5" s="1"/>
  <c r="N543" i="5" s="1"/>
  <c r="N546" i="5" s="1"/>
  <c r="N549" i="5" s="1"/>
  <c r="N552" i="5" s="1"/>
  <c r="N556" i="5" s="1"/>
  <c r="N559" i="5" s="1"/>
  <c r="N565" i="5" s="1"/>
  <c r="N571" i="5" s="1"/>
  <c r="N574" i="5" s="1"/>
  <c r="N577" i="5" s="1"/>
  <c r="N580" i="5" s="1"/>
  <c r="N583" i="5" s="1"/>
  <c r="N586" i="5" s="1"/>
  <c r="N589" i="5" s="1"/>
  <c r="N592" i="5" s="1"/>
  <c r="N595" i="5" s="1"/>
  <c r="N598" i="5" s="1"/>
  <c r="N601" i="5" s="1"/>
  <c r="N604" i="5" s="1"/>
  <c r="N607" i="5" s="1"/>
  <c r="N610" i="5" s="1"/>
  <c r="N613" i="5" s="1"/>
  <c r="N616" i="5" s="1"/>
  <c r="N619" i="5" s="1"/>
  <c r="N622" i="5" s="1"/>
  <c r="N625" i="5" s="1"/>
  <c r="N628" i="5" s="1"/>
  <c r="N631" i="5" s="1"/>
  <c r="N634" i="5" s="1"/>
  <c r="N643" i="5" s="1"/>
  <c r="N646" i="5" s="1"/>
  <c r="N649" i="5" s="1"/>
  <c r="N652" i="5" s="1"/>
  <c r="N655" i="5" s="1"/>
  <c r="N661" i="5" s="1"/>
  <c r="N667" i="5" s="1"/>
  <c r="N670" i="5" s="1"/>
  <c r="N673" i="5" s="1"/>
  <c r="N676" i="5" s="1"/>
  <c r="N679" i="5" s="1"/>
  <c r="N682" i="5" s="1"/>
  <c r="N685" i="5" s="1"/>
  <c r="N688" i="5" s="1"/>
  <c r="N691" i="5" s="1"/>
  <c r="N694" i="5" s="1"/>
  <c r="N697" i="5" s="1"/>
  <c r="N700" i="5" s="1"/>
  <c r="N715" i="5" s="1"/>
  <c r="N718" i="5" s="1"/>
  <c r="N721" i="5" s="1"/>
  <c r="N724" i="5" s="1"/>
  <c r="N727" i="5" s="1"/>
  <c r="N736" i="5" s="1"/>
  <c r="N742" i="5" s="1"/>
  <c r="N748" i="5" s="1"/>
  <c r="N760" i="5" s="1"/>
  <c r="N763" i="5" s="1"/>
  <c r="N766" i="5" s="1"/>
  <c r="N769" i="5" s="1"/>
  <c r="N772" i="5" s="1"/>
  <c r="N775" i="5" s="1"/>
  <c r="N8" i="7"/>
  <c r="N11" i="7" s="1"/>
  <c r="N14" i="7" s="1"/>
  <c r="N17" i="7" s="1"/>
  <c r="N20" i="7" s="1"/>
  <c r="N23" i="7" s="1"/>
  <c r="N26" i="7" s="1"/>
  <c r="N29" i="7" s="1"/>
  <c r="N32" i="7" s="1"/>
  <c r="N35" i="7" s="1"/>
  <c r="N38" i="7" s="1"/>
  <c r="N41" i="7" s="1"/>
  <c r="N44" i="7" s="1"/>
  <c r="N47" i="7" s="1"/>
  <c r="N50" i="7" s="1"/>
  <c r="N53" i="7" s="1"/>
  <c r="N56" i="7" s="1"/>
  <c r="N59" i="7" s="1"/>
  <c r="N62" i="7" s="1"/>
  <c r="N65" i="7" s="1"/>
  <c r="N68" i="7" s="1"/>
  <c r="N71" i="7" s="1"/>
  <c r="N74" i="7" s="1"/>
  <c r="N77" i="7" s="1"/>
  <c r="N80" i="7" s="1"/>
  <c r="N83" i="7" s="1"/>
  <c r="N86" i="7" s="1"/>
  <c r="N89" i="7" s="1"/>
  <c r="N92" i="7" s="1"/>
  <c r="N95" i="7" s="1"/>
  <c r="N113" i="7" s="1"/>
  <c r="N116" i="7" s="1"/>
  <c r="N119" i="7" s="1"/>
  <c r="N122" i="7" s="1"/>
  <c r="N125" i="7" s="1"/>
  <c r="N128" i="7" s="1"/>
  <c r="N131" i="7" s="1"/>
  <c r="N134" i="7" s="1"/>
  <c r="N137" i="7" s="1"/>
  <c r="N140" i="7" s="1"/>
  <c r="N143" i="7" s="1"/>
  <c r="N146" i="7" s="1"/>
  <c r="N149" i="7" s="1"/>
  <c r="N152" i="7" s="1"/>
  <c r="N155" i="7" s="1"/>
  <c r="N158" i="7" s="1"/>
  <c r="N161" i="7" s="1"/>
  <c r="N164" i="7" s="1"/>
  <c r="N167" i="7" s="1"/>
  <c r="N170" i="7" s="1"/>
  <c r="N173" i="7" s="1"/>
  <c r="N176" i="7" s="1"/>
  <c r="N182" i="7" s="1"/>
  <c r="N185" i="7" s="1"/>
  <c r="N188" i="7" s="1"/>
  <c r="N191" i="7" s="1"/>
  <c r="N194" i="7" s="1"/>
  <c r="N197" i="7" s="1"/>
  <c r="N200" i="7" s="1"/>
  <c r="N203" i="7" s="1"/>
  <c r="N206" i="7" s="1"/>
  <c r="N209" i="7" s="1"/>
  <c r="N212" i="7" s="1"/>
  <c r="N215" i="7" s="1"/>
  <c r="N218" i="7" s="1"/>
  <c r="N221" i="7" s="1"/>
  <c r="N224" i="7" s="1"/>
  <c r="N227" i="7" s="1"/>
  <c r="N230" i="7" s="1"/>
  <c r="N233" i="7" s="1"/>
  <c r="N236" i="7" s="1"/>
  <c r="N239" i="7" s="1"/>
  <c r="N242" i="7" s="1"/>
  <c r="N245" i="7" s="1"/>
  <c r="N248" i="7" s="1"/>
  <c r="N251" i="7" s="1"/>
  <c r="N254" i="7" s="1"/>
  <c r="N257" i="7" s="1"/>
  <c r="N260" i="7" s="1"/>
  <c r="N263" i="7" s="1"/>
  <c r="N266" i="7" s="1"/>
  <c r="N269" i="7" s="1"/>
  <c r="N272" i="7" s="1"/>
  <c r="N275" i="7" s="1"/>
  <c r="N278" i="7" s="1"/>
  <c r="N281" i="7" s="1"/>
  <c r="N284" i="7" s="1"/>
  <c r="N287" i="7" s="1"/>
  <c r="N290" i="7" s="1"/>
  <c r="N293" i="7" s="1"/>
  <c r="N296" i="7" s="1"/>
  <c r="N299" i="7" s="1"/>
  <c r="N302" i="7" s="1"/>
  <c r="N305" i="7" s="1"/>
  <c r="N308" i="7" s="1"/>
  <c r="N311" i="7" s="1"/>
  <c r="N314" i="7" s="1"/>
  <c r="N317" i="7" s="1"/>
  <c r="N320" i="7" s="1"/>
  <c r="N323" i="7" s="1"/>
  <c r="N326" i="7" s="1"/>
  <c r="N329" i="7" s="1"/>
  <c r="N332" i="7" s="1"/>
  <c r="N335" i="7" s="1"/>
  <c r="N338" i="7" s="1"/>
  <c r="N341" i="7" s="1"/>
  <c r="N344" i="7" s="1"/>
  <c r="N347" i="7" s="1"/>
  <c r="N350" i="7" s="1"/>
  <c r="N353" i="7" s="1"/>
  <c r="N356" i="7" s="1"/>
  <c r="N359" i="7" s="1"/>
  <c r="N362" i="7" s="1"/>
  <c r="N365" i="7" s="1"/>
  <c r="N368" i="7" s="1"/>
  <c r="N371" i="7" s="1"/>
  <c r="N375" i="7" s="1"/>
  <c r="N378" i="7" s="1"/>
  <c r="N381" i="7" s="1"/>
  <c r="N384" i="7" s="1"/>
  <c r="N387" i="7" s="1"/>
  <c r="N390" i="7" s="1"/>
  <c r="N393" i="7" s="1"/>
  <c r="N396" i="7" s="1"/>
  <c r="N400" i="7" s="1"/>
  <c r="N403" i="7" s="1"/>
  <c r="N407" i="7" s="1"/>
  <c r="N410" i="7" s="1"/>
  <c r="N413" i="7" s="1"/>
  <c r="N416" i="7" s="1"/>
  <c r="N419" i="7" s="1"/>
  <c r="N423" i="7" s="1"/>
  <c r="N426" i="7" s="1"/>
  <c r="N429" i="7" s="1"/>
  <c r="N432" i="7" s="1"/>
  <c r="N435" i="7" s="1"/>
  <c r="N438" i="7" s="1"/>
  <c r="N441" i="7" s="1"/>
  <c r="N445" i="7" s="1"/>
  <c r="N448" i="7" s="1"/>
  <c r="N451" i="7" s="1"/>
  <c r="N454" i="7" s="1"/>
  <c r="N457" i="7" s="1"/>
  <c r="N460" i="7" s="1"/>
  <c r="N463" i="7" s="1"/>
  <c r="N466" i="7" s="1"/>
  <c r="N469" i="7" s="1"/>
  <c r="N472" i="7" s="1"/>
  <c r="N475" i="7" s="1"/>
  <c r="N479" i="7" s="1"/>
  <c r="N482" i="7" s="1"/>
  <c r="N486" i="7" s="1"/>
  <c r="N489" i="7" s="1"/>
  <c r="N492" i="7" s="1"/>
  <c r="N495" i="7" s="1"/>
  <c r="N498" i="7" s="1"/>
  <c r="N501" i="7" s="1"/>
  <c r="N504" i="7" s="1"/>
  <c r="N507" i="7" s="1"/>
  <c r="N511" i="7" s="1"/>
  <c r="N515" i="7" s="1"/>
  <c r="N518" i="7" s="1"/>
  <c r="N521" i="7" s="1"/>
  <c r="N524" i="7" s="1"/>
  <c r="N527" i="7" s="1"/>
  <c r="N530" i="7" s="1"/>
  <c r="N533" i="7" s="1"/>
  <c r="N536" i="7" s="1"/>
  <c r="N540" i="7" s="1"/>
  <c r="N543" i="7" s="1"/>
  <c r="N546" i="7" s="1"/>
  <c r="N549" i="7" s="1"/>
  <c r="N552" i="7" s="1"/>
  <c r="N556" i="7" s="1"/>
  <c r="N559" i="7" s="1"/>
  <c r="N565" i="7" s="1"/>
  <c r="N571" i="7" s="1"/>
  <c r="N574" i="7" s="1"/>
  <c r="N577" i="7" s="1"/>
  <c r="N580" i="7" s="1"/>
  <c r="N583" i="7" s="1"/>
  <c r="N586" i="7" s="1"/>
  <c r="N589" i="7" s="1"/>
  <c r="N592" i="7" s="1"/>
  <c r="N595" i="7" s="1"/>
  <c r="N598" i="7" s="1"/>
  <c r="N601" i="7" s="1"/>
  <c r="N604" i="7" s="1"/>
  <c r="N607" i="7" s="1"/>
  <c r="N610" i="7" s="1"/>
  <c r="N613" i="7" s="1"/>
  <c r="N616" i="7" s="1"/>
  <c r="N619" i="7" s="1"/>
  <c r="N622" i="7" s="1"/>
  <c r="N625" i="7" s="1"/>
  <c r="N628" i="7" s="1"/>
  <c r="N631" i="7" s="1"/>
  <c r="N634" i="7" s="1"/>
  <c r="N643" i="7" s="1"/>
  <c r="N646" i="7" s="1"/>
  <c r="N649" i="7" s="1"/>
  <c r="N652" i="7" s="1"/>
  <c r="N655" i="7" s="1"/>
  <c r="N661" i="7" s="1"/>
  <c r="N667" i="7" s="1"/>
  <c r="N670" i="7" s="1"/>
  <c r="N673" i="7" s="1"/>
  <c r="N676" i="7" s="1"/>
  <c r="N679" i="7" s="1"/>
  <c r="N682" i="7" s="1"/>
  <c r="N685" i="7" s="1"/>
  <c r="N688" i="7" s="1"/>
  <c r="N691" i="7" s="1"/>
  <c r="N694" i="7" s="1"/>
  <c r="N697" i="7" s="1"/>
  <c r="N700" i="7" s="1"/>
  <c r="N715" i="7" s="1"/>
  <c r="N718" i="7" s="1"/>
  <c r="N721" i="7" s="1"/>
  <c r="N724" i="7" s="1"/>
  <c r="N727" i="7" s="1"/>
  <c r="N736" i="7" s="1"/>
  <c r="N742" i="7" s="1"/>
  <c r="N748" i="7" s="1"/>
  <c r="N760" i="7" s="1"/>
  <c r="N763" i="7" s="1"/>
  <c r="N766" i="7" s="1"/>
  <c r="N769" i="7" s="1"/>
  <c r="N772" i="7" s="1"/>
  <c r="N775" i="7" s="1"/>
  <c r="N784" i="7" s="1"/>
  <c r="N787" i="7" s="1"/>
  <c r="N790" i="7" s="1"/>
  <c r="N793" i="7" s="1"/>
  <c r="N796" i="7" s="1"/>
  <c r="N802" i="7" s="1"/>
  <c r="N805" i="7" s="1"/>
  <c r="N808" i="7" s="1"/>
  <c r="N811" i="7" s="1"/>
  <c r="N814" i="7" s="1"/>
  <c r="N853" i="7" s="1"/>
  <c r="AA8" i="7"/>
  <c r="AA11" i="7" s="1"/>
  <c r="AA14" i="7" s="1"/>
  <c r="AA17" i="7" s="1"/>
  <c r="AA20" i="7" s="1"/>
  <c r="AA23" i="7" s="1"/>
  <c r="AA26" i="7" s="1"/>
  <c r="AA29" i="7" s="1"/>
  <c r="AA32" i="7" s="1"/>
  <c r="AA35" i="7" s="1"/>
  <c r="AA38" i="7" s="1"/>
  <c r="AA41" i="7" s="1"/>
  <c r="AA44" i="7" s="1"/>
  <c r="AA47" i="7" s="1"/>
  <c r="AA50" i="7" s="1"/>
  <c r="AA53" i="7" s="1"/>
  <c r="AA56" i="7" s="1"/>
  <c r="AA59" i="7" s="1"/>
  <c r="AA62" i="7" s="1"/>
  <c r="AA65" i="7" s="1"/>
  <c r="AA68" i="7" s="1"/>
  <c r="AA71" i="7" s="1"/>
  <c r="AA74" i="7" s="1"/>
  <c r="AA77" i="7" s="1"/>
  <c r="AA80" i="7" s="1"/>
  <c r="AA83" i="7" s="1"/>
  <c r="AA86" i="7" s="1"/>
  <c r="AA89" i="7" s="1"/>
  <c r="AA92" i="7" s="1"/>
  <c r="AA95" i="7" s="1"/>
  <c r="AA98" i="7" s="1"/>
  <c r="AA101" i="7" s="1"/>
  <c r="AA104" i="7" s="1"/>
  <c r="AA107" i="7" s="1"/>
  <c r="AA110" i="7" s="1"/>
  <c r="AA113" i="7" s="1"/>
  <c r="AA116" i="7" s="1"/>
  <c r="AA119" i="7" s="1"/>
  <c r="AA122" i="7" s="1"/>
  <c r="AA125" i="7" s="1"/>
  <c r="AA128" i="7" s="1"/>
  <c r="AA131" i="7" s="1"/>
  <c r="AA134" i="7" s="1"/>
  <c r="AA137" i="7" s="1"/>
  <c r="AA140" i="7" s="1"/>
  <c r="AA143" i="7" s="1"/>
  <c r="AA146" i="7" s="1"/>
  <c r="AA149" i="7" s="1"/>
  <c r="AA152" i="7" s="1"/>
  <c r="AA155" i="7" s="1"/>
  <c r="AA158" i="7" s="1"/>
  <c r="AA161" i="7" s="1"/>
  <c r="AA164" i="7" s="1"/>
  <c r="AA167" i="7" s="1"/>
  <c r="AA170" i="7" s="1"/>
  <c r="AA173" i="7" s="1"/>
  <c r="AA176" i="7" s="1"/>
  <c r="J559" i="7"/>
  <c r="L559" i="7" s="1"/>
  <c r="I559" i="7"/>
  <c r="J556" i="7"/>
  <c r="L556" i="7" s="1"/>
  <c r="I556" i="7"/>
  <c r="J552" i="7"/>
  <c r="L552" i="7" s="1"/>
  <c r="I552" i="7"/>
  <c r="J549" i="7"/>
  <c r="L549" i="7" s="1"/>
  <c r="I549" i="7"/>
  <c r="J546" i="7"/>
  <c r="L546" i="7" s="1"/>
  <c r="I546" i="7"/>
  <c r="L543" i="7"/>
  <c r="J543" i="7"/>
  <c r="I543" i="7"/>
  <c r="J540" i="7"/>
  <c r="L540" i="7" s="1"/>
  <c r="I540" i="7"/>
  <c r="J536" i="7"/>
  <c r="L536" i="7" s="1"/>
  <c r="I536" i="7"/>
  <c r="J533" i="7"/>
  <c r="L533" i="7" s="1"/>
  <c r="I533" i="7"/>
  <c r="J530" i="7"/>
  <c r="L530" i="7" s="1"/>
  <c r="I530" i="7"/>
  <c r="J527" i="7"/>
  <c r="L527" i="7" s="1"/>
  <c r="I527" i="7"/>
  <c r="J524" i="7"/>
  <c r="L524" i="7" s="1"/>
  <c r="I524" i="7"/>
  <c r="J521" i="7"/>
  <c r="L521" i="7" s="1"/>
  <c r="I521" i="7"/>
  <c r="L518" i="7"/>
  <c r="J518" i="7"/>
  <c r="I518" i="7"/>
  <c r="J515" i="7"/>
  <c r="L515" i="7" s="1"/>
  <c r="I515" i="7"/>
  <c r="J511" i="7"/>
  <c r="L511" i="7" s="1"/>
  <c r="I511" i="7"/>
  <c r="J507" i="7"/>
  <c r="L507" i="7" s="1"/>
  <c r="I507" i="7"/>
  <c r="J504" i="7"/>
  <c r="L504" i="7" s="1"/>
  <c r="I504" i="7"/>
  <c r="J501" i="7"/>
  <c r="L501" i="7" s="1"/>
  <c r="I501" i="7"/>
  <c r="J498" i="7"/>
  <c r="L498" i="7" s="1"/>
  <c r="I498" i="7"/>
  <c r="J495" i="7"/>
  <c r="L495" i="7" s="1"/>
  <c r="I495" i="7"/>
  <c r="L492" i="7"/>
  <c r="J492" i="7"/>
  <c r="I492" i="7"/>
  <c r="J489" i="7"/>
  <c r="L489" i="7" s="1"/>
  <c r="I489" i="7"/>
  <c r="J486" i="7"/>
  <c r="L486" i="7" s="1"/>
  <c r="I486" i="7"/>
  <c r="J482" i="7"/>
  <c r="L482" i="7" s="1"/>
  <c r="I482" i="7"/>
  <c r="J479" i="7"/>
  <c r="L479" i="7" s="1"/>
  <c r="I479" i="7"/>
  <c r="J475" i="7"/>
  <c r="L475" i="7" s="1"/>
  <c r="I475" i="7"/>
  <c r="J472" i="7"/>
  <c r="L472" i="7" s="1"/>
  <c r="I472" i="7"/>
  <c r="J469" i="7"/>
  <c r="L469" i="7" s="1"/>
  <c r="I469" i="7"/>
  <c r="L466" i="7"/>
  <c r="J466" i="7"/>
  <c r="I466" i="7"/>
  <c r="J463" i="7"/>
  <c r="L463" i="7" s="1"/>
  <c r="I463" i="7"/>
  <c r="J460" i="7"/>
  <c r="L460" i="7" s="1"/>
  <c r="I460" i="7"/>
  <c r="J457" i="7"/>
  <c r="L457" i="7" s="1"/>
  <c r="I457" i="7"/>
  <c r="J454" i="7"/>
  <c r="L454" i="7" s="1"/>
  <c r="I454" i="7"/>
  <c r="J451" i="7"/>
  <c r="L451" i="7" s="1"/>
  <c r="I451" i="7"/>
  <c r="J448" i="7"/>
  <c r="L448" i="7" s="1"/>
  <c r="I448" i="7"/>
  <c r="J445" i="7"/>
  <c r="L445" i="7" s="1"/>
  <c r="I445" i="7"/>
  <c r="L441" i="7"/>
  <c r="J441" i="7"/>
  <c r="I441" i="7"/>
  <c r="J438" i="7"/>
  <c r="L438" i="7" s="1"/>
  <c r="I438" i="7"/>
  <c r="J435" i="7"/>
  <c r="L435" i="7" s="1"/>
  <c r="I435" i="7"/>
  <c r="J432" i="7"/>
  <c r="L432" i="7" s="1"/>
  <c r="I432" i="7"/>
  <c r="J429" i="7"/>
  <c r="L429" i="7" s="1"/>
  <c r="I429" i="7"/>
  <c r="J426" i="7"/>
  <c r="L426" i="7" s="1"/>
  <c r="I426" i="7"/>
  <c r="J423" i="7"/>
  <c r="L423" i="7" s="1"/>
  <c r="I423" i="7"/>
  <c r="J419" i="7"/>
  <c r="L419" i="7" s="1"/>
  <c r="I419" i="7"/>
  <c r="L416" i="7"/>
  <c r="J416" i="7"/>
  <c r="I416" i="7"/>
  <c r="J413" i="7"/>
  <c r="L413" i="7" s="1"/>
  <c r="I413" i="7"/>
  <c r="J410" i="7"/>
  <c r="L410" i="7" s="1"/>
  <c r="I410" i="7"/>
  <c r="J407" i="7"/>
  <c r="L407" i="7" s="1"/>
  <c r="I407" i="7"/>
  <c r="J403" i="7"/>
  <c r="L403" i="7" s="1"/>
  <c r="I403" i="7"/>
  <c r="J400" i="7"/>
  <c r="L400" i="7" s="1"/>
  <c r="I400" i="7"/>
  <c r="J396" i="7"/>
  <c r="L396" i="7" s="1"/>
  <c r="I396" i="7"/>
  <c r="J393" i="7"/>
  <c r="L393" i="7" s="1"/>
  <c r="I393" i="7"/>
  <c r="L390" i="7"/>
  <c r="J390" i="7"/>
  <c r="I390" i="7"/>
  <c r="J387" i="7"/>
  <c r="L387" i="7" s="1"/>
  <c r="I387" i="7"/>
  <c r="J384" i="7"/>
  <c r="L384" i="7" s="1"/>
  <c r="I384" i="7"/>
  <c r="J381" i="7"/>
  <c r="L381" i="7" s="1"/>
  <c r="I381" i="7"/>
  <c r="J378" i="7"/>
  <c r="L378" i="7" s="1"/>
  <c r="I378" i="7"/>
  <c r="J375" i="7"/>
  <c r="L375" i="7" s="1"/>
  <c r="I375" i="7"/>
  <c r="J371" i="7"/>
  <c r="L371" i="7" s="1"/>
  <c r="I371" i="7"/>
  <c r="J368" i="7"/>
  <c r="L368" i="7" s="1"/>
  <c r="I368" i="7"/>
  <c r="L365" i="7"/>
  <c r="J365" i="7"/>
  <c r="I365" i="7"/>
  <c r="J362" i="7"/>
  <c r="L362" i="7" s="1"/>
  <c r="I362" i="7"/>
  <c r="J359" i="7"/>
  <c r="L359" i="7" s="1"/>
  <c r="I359" i="7"/>
  <c r="J356" i="7"/>
  <c r="L356" i="7" s="1"/>
  <c r="I356" i="7"/>
  <c r="J353" i="7"/>
  <c r="L353" i="7" s="1"/>
  <c r="I353" i="7"/>
  <c r="J350" i="7"/>
  <c r="L350" i="7" s="1"/>
  <c r="I350" i="7"/>
  <c r="J347" i="7"/>
  <c r="L347" i="7" s="1"/>
  <c r="I347" i="7"/>
  <c r="J344" i="7"/>
  <c r="L344" i="7" s="1"/>
  <c r="I344" i="7"/>
  <c r="L341" i="7"/>
  <c r="J341" i="7"/>
  <c r="I341" i="7"/>
  <c r="J338" i="7"/>
  <c r="L338" i="7" s="1"/>
  <c r="I338" i="7"/>
  <c r="J335" i="7"/>
  <c r="L335" i="7" s="1"/>
  <c r="I335" i="7"/>
  <c r="J332" i="7"/>
  <c r="L332" i="7" s="1"/>
  <c r="I332" i="7"/>
  <c r="J329" i="7"/>
  <c r="L329" i="7" s="1"/>
  <c r="I329" i="7"/>
  <c r="J326" i="7"/>
  <c r="L326" i="7" s="1"/>
  <c r="I326" i="7"/>
  <c r="J323" i="7"/>
  <c r="L323" i="7" s="1"/>
  <c r="I323" i="7"/>
  <c r="J320" i="7"/>
  <c r="L320" i="7" s="1"/>
  <c r="I320" i="7"/>
  <c r="L317" i="7"/>
  <c r="J317" i="7"/>
  <c r="I317" i="7"/>
  <c r="J314" i="7"/>
  <c r="L314" i="7" s="1"/>
  <c r="I314" i="7"/>
  <c r="J311" i="7"/>
  <c r="L311" i="7" s="1"/>
  <c r="I311" i="7"/>
  <c r="J308" i="7"/>
  <c r="L308" i="7" s="1"/>
  <c r="I308" i="7"/>
  <c r="J305" i="7"/>
  <c r="L305" i="7" s="1"/>
  <c r="I305" i="7"/>
  <c r="J302" i="7"/>
  <c r="L302" i="7" s="1"/>
  <c r="I302" i="7"/>
  <c r="J299" i="7"/>
  <c r="L299" i="7" s="1"/>
  <c r="I299" i="7"/>
  <c r="J296" i="7"/>
  <c r="L296" i="7" s="1"/>
  <c r="I296" i="7"/>
  <c r="L293" i="7"/>
  <c r="J293" i="7"/>
  <c r="I293" i="7"/>
  <c r="J290" i="7"/>
  <c r="L290" i="7" s="1"/>
  <c r="I290" i="7"/>
  <c r="J287" i="7"/>
  <c r="L287" i="7" s="1"/>
  <c r="I287" i="7"/>
  <c r="J284" i="7"/>
  <c r="L284" i="7" s="1"/>
  <c r="I284" i="7"/>
  <c r="J281" i="7"/>
  <c r="L281" i="7" s="1"/>
  <c r="I281" i="7"/>
  <c r="J278" i="7"/>
  <c r="L278" i="7" s="1"/>
  <c r="I278" i="7"/>
  <c r="J275" i="7"/>
  <c r="L275" i="7" s="1"/>
  <c r="I275" i="7"/>
  <c r="J272" i="7"/>
  <c r="L272" i="7" s="1"/>
  <c r="I272" i="7"/>
  <c r="L269" i="7"/>
  <c r="J269" i="7"/>
  <c r="I269" i="7"/>
  <c r="J266" i="7"/>
  <c r="L266" i="7" s="1"/>
  <c r="I266" i="7"/>
  <c r="J263" i="7"/>
  <c r="L263" i="7" s="1"/>
  <c r="I263" i="7"/>
  <c r="J260" i="7"/>
  <c r="L260" i="7" s="1"/>
  <c r="I260" i="7"/>
  <c r="J257" i="7"/>
  <c r="L257" i="7" s="1"/>
  <c r="I257" i="7"/>
  <c r="J254" i="7"/>
  <c r="L254" i="7" s="1"/>
  <c r="I254" i="7"/>
  <c r="J251" i="7"/>
  <c r="L251" i="7" s="1"/>
  <c r="I251" i="7"/>
  <c r="J248" i="7"/>
  <c r="L248" i="7" s="1"/>
  <c r="I248" i="7"/>
  <c r="L245" i="7"/>
  <c r="J245" i="7"/>
  <c r="I245" i="7"/>
  <c r="J242" i="7"/>
  <c r="L242" i="7" s="1"/>
  <c r="I242" i="7"/>
  <c r="J239" i="7"/>
  <c r="L239" i="7" s="1"/>
  <c r="I239" i="7"/>
  <c r="J236" i="7"/>
  <c r="L236" i="7" s="1"/>
  <c r="I236" i="7"/>
  <c r="J233" i="7"/>
  <c r="L233" i="7" s="1"/>
  <c r="I233" i="7"/>
  <c r="J230" i="7"/>
  <c r="L230" i="7" s="1"/>
  <c r="I230" i="7"/>
  <c r="J227" i="7"/>
  <c r="L227" i="7" s="1"/>
  <c r="I227" i="7"/>
  <c r="J224" i="7"/>
  <c r="L224" i="7" s="1"/>
  <c r="I224" i="7"/>
  <c r="L221" i="7"/>
  <c r="J221" i="7"/>
  <c r="I221" i="7"/>
  <c r="J218" i="7"/>
  <c r="L218" i="7" s="1"/>
  <c r="I218" i="7"/>
  <c r="J215" i="7"/>
  <c r="L215" i="7" s="1"/>
  <c r="I215" i="7"/>
  <c r="J212" i="7"/>
  <c r="L212" i="7" s="1"/>
  <c r="I212" i="7"/>
  <c r="J209" i="7"/>
  <c r="L209" i="7" s="1"/>
  <c r="I209" i="7"/>
  <c r="J206" i="7"/>
  <c r="L206" i="7" s="1"/>
  <c r="I206" i="7"/>
  <c r="J203" i="7"/>
  <c r="L203" i="7" s="1"/>
  <c r="I203" i="7"/>
  <c r="J200" i="7"/>
  <c r="L200" i="7" s="1"/>
  <c r="I200" i="7"/>
  <c r="L197" i="7"/>
  <c r="J197" i="7"/>
  <c r="I197" i="7"/>
  <c r="J194" i="7"/>
  <c r="L194" i="7" s="1"/>
  <c r="I194" i="7"/>
  <c r="J191" i="7"/>
  <c r="L191" i="7" s="1"/>
  <c r="I191" i="7"/>
  <c r="J188" i="7"/>
  <c r="L188" i="7" s="1"/>
  <c r="I188" i="7"/>
  <c r="J185" i="7"/>
  <c r="L185" i="7" s="1"/>
  <c r="I185" i="7"/>
  <c r="J182" i="7"/>
  <c r="L182" i="7" s="1"/>
  <c r="I182" i="7"/>
  <c r="J179" i="7"/>
  <c r="I179" i="7"/>
  <c r="J176" i="7"/>
  <c r="L176" i="7" s="1"/>
  <c r="I176" i="7"/>
  <c r="L173" i="7"/>
  <c r="J173" i="7"/>
  <c r="I173" i="7"/>
  <c r="J170" i="7"/>
  <c r="L170" i="7" s="1"/>
  <c r="I170" i="7"/>
  <c r="J167" i="7"/>
  <c r="L167" i="7" s="1"/>
  <c r="I167" i="7"/>
  <c r="J164" i="7"/>
  <c r="L164" i="7" s="1"/>
  <c r="I164" i="7"/>
  <c r="J161" i="7"/>
  <c r="L161" i="7" s="1"/>
  <c r="I161" i="7"/>
  <c r="J158" i="7"/>
  <c r="L158" i="7" s="1"/>
  <c r="I158" i="7"/>
  <c r="J155" i="7"/>
  <c r="L155" i="7" s="1"/>
  <c r="I155" i="7"/>
  <c r="J152" i="7"/>
  <c r="L152" i="7" s="1"/>
  <c r="I152" i="7"/>
  <c r="L149" i="7"/>
  <c r="J149" i="7"/>
  <c r="I149" i="7"/>
  <c r="J146" i="7"/>
  <c r="L146" i="7" s="1"/>
  <c r="I146" i="7"/>
  <c r="J143" i="7"/>
  <c r="L143" i="7" s="1"/>
  <c r="I143" i="7"/>
  <c r="J140" i="7"/>
  <c r="L140" i="7" s="1"/>
  <c r="I140" i="7"/>
  <c r="J137" i="7"/>
  <c r="L137" i="7" s="1"/>
  <c r="I137" i="7"/>
  <c r="J134" i="7"/>
  <c r="L134" i="7" s="1"/>
  <c r="I134" i="7"/>
  <c r="J131" i="7"/>
  <c r="L131" i="7" s="1"/>
  <c r="I131" i="7"/>
  <c r="J128" i="7"/>
  <c r="L128" i="7" s="1"/>
  <c r="I128" i="7"/>
  <c r="L125" i="7"/>
  <c r="J125" i="7"/>
  <c r="I125" i="7"/>
  <c r="J122" i="7"/>
  <c r="L122" i="7" s="1"/>
  <c r="I122" i="7"/>
  <c r="J119" i="7"/>
  <c r="L119" i="7" s="1"/>
  <c r="I119" i="7"/>
  <c r="J116" i="7"/>
  <c r="L116" i="7" s="1"/>
  <c r="I116" i="7"/>
  <c r="J113" i="7"/>
  <c r="L113" i="7" s="1"/>
  <c r="I113" i="7"/>
  <c r="J110" i="7"/>
  <c r="I110" i="7"/>
  <c r="J107" i="7"/>
  <c r="I107" i="7"/>
  <c r="J104" i="7"/>
  <c r="I104" i="7"/>
  <c r="J101" i="7"/>
  <c r="I101" i="7"/>
  <c r="J98" i="7"/>
  <c r="I98" i="7"/>
  <c r="J95" i="7"/>
  <c r="L95" i="7" s="1"/>
  <c r="I95" i="7"/>
  <c r="J92" i="7"/>
  <c r="L92" i="7" s="1"/>
  <c r="I92" i="7"/>
  <c r="J89" i="7"/>
  <c r="L89" i="7" s="1"/>
  <c r="I89" i="7"/>
  <c r="J86" i="7"/>
  <c r="L86" i="7" s="1"/>
  <c r="I86" i="7"/>
  <c r="J83" i="7"/>
  <c r="L83" i="7" s="1"/>
  <c r="I83" i="7"/>
  <c r="J80" i="7"/>
  <c r="L80" i="7" s="1"/>
  <c r="I80" i="7"/>
  <c r="L77" i="7"/>
  <c r="J77" i="7"/>
  <c r="I77" i="7"/>
  <c r="J74" i="7"/>
  <c r="L74" i="7" s="1"/>
  <c r="I74" i="7"/>
  <c r="J71" i="7"/>
  <c r="L71" i="7" s="1"/>
  <c r="I71" i="7"/>
  <c r="J68" i="7"/>
  <c r="L68" i="7" s="1"/>
  <c r="I68" i="7"/>
  <c r="J65" i="7"/>
  <c r="L65" i="7" s="1"/>
  <c r="I65" i="7"/>
  <c r="J62" i="7"/>
  <c r="L62" i="7" s="1"/>
  <c r="I62" i="7"/>
  <c r="J59" i="7"/>
  <c r="L59" i="7" s="1"/>
  <c r="I59" i="7"/>
  <c r="J56" i="7"/>
  <c r="L56" i="7" s="1"/>
  <c r="I56" i="7"/>
  <c r="L53" i="7"/>
  <c r="J53" i="7"/>
  <c r="I53" i="7"/>
  <c r="J50" i="7"/>
  <c r="L50" i="7" s="1"/>
  <c r="I50" i="7"/>
  <c r="J47" i="7"/>
  <c r="L47" i="7" s="1"/>
  <c r="I47" i="7"/>
  <c r="J44" i="7"/>
  <c r="L44" i="7" s="1"/>
  <c r="I44" i="7"/>
  <c r="J41" i="7"/>
  <c r="L41" i="7" s="1"/>
  <c r="I41" i="7"/>
  <c r="J38" i="7"/>
  <c r="L38" i="7" s="1"/>
  <c r="I38" i="7"/>
  <c r="J35" i="7"/>
  <c r="L35" i="7" s="1"/>
  <c r="I35" i="7"/>
  <c r="J32" i="7"/>
  <c r="L32" i="7" s="1"/>
  <c r="I32" i="7"/>
  <c r="L29" i="7"/>
  <c r="J29" i="7"/>
  <c r="I29" i="7"/>
  <c r="J26" i="7"/>
  <c r="L26" i="7" s="1"/>
  <c r="I26" i="7"/>
  <c r="J23" i="7"/>
  <c r="L23" i="7" s="1"/>
  <c r="I23" i="7"/>
  <c r="J20" i="7"/>
  <c r="L20" i="7" s="1"/>
  <c r="I20" i="7"/>
  <c r="J17" i="7"/>
  <c r="L17" i="7" s="1"/>
  <c r="I17" i="7"/>
  <c r="J14" i="7"/>
  <c r="L14" i="7" s="1"/>
  <c r="I14" i="7"/>
  <c r="J11" i="7"/>
  <c r="L11" i="7" s="1"/>
  <c r="I11" i="7"/>
  <c r="J8" i="7"/>
  <c r="L8" i="7" s="1"/>
  <c r="I8" i="7"/>
  <c r="L5" i="7"/>
  <c r="J5" i="7"/>
  <c r="I5" i="7"/>
  <c r="J559" i="5"/>
  <c r="L559" i="5" s="1"/>
  <c r="I559" i="5"/>
  <c r="J556" i="5"/>
  <c r="L556" i="5" s="1"/>
  <c r="I556" i="5"/>
  <c r="J552" i="5"/>
  <c r="L552" i="5" s="1"/>
  <c r="I552" i="5"/>
  <c r="J549" i="5"/>
  <c r="L549" i="5" s="1"/>
  <c r="I549" i="5"/>
  <c r="J546" i="5"/>
  <c r="L546" i="5" s="1"/>
  <c r="I546" i="5"/>
  <c r="L543" i="5"/>
  <c r="J543" i="5"/>
  <c r="I543" i="5"/>
  <c r="J540" i="5"/>
  <c r="L540" i="5" s="1"/>
  <c r="I540" i="5"/>
  <c r="J536" i="5"/>
  <c r="L536" i="5" s="1"/>
  <c r="I536" i="5"/>
  <c r="J533" i="5"/>
  <c r="L533" i="5" s="1"/>
  <c r="I533" i="5"/>
  <c r="J530" i="5"/>
  <c r="L530" i="5" s="1"/>
  <c r="I530" i="5"/>
  <c r="J527" i="5"/>
  <c r="L527" i="5" s="1"/>
  <c r="I527" i="5"/>
  <c r="J524" i="5"/>
  <c r="L524" i="5" s="1"/>
  <c r="I524" i="5"/>
  <c r="J521" i="5"/>
  <c r="L521" i="5" s="1"/>
  <c r="I521" i="5"/>
  <c r="L518" i="5"/>
  <c r="J518" i="5"/>
  <c r="I518" i="5"/>
  <c r="J515" i="5"/>
  <c r="L515" i="5" s="1"/>
  <c r="I515" i="5"/>
  <c r="J511" i="5"/>
  <c r="I511" i="5"/>
  <c r="J507" i="5"/>
  <c r="L507" i="5" s="1"/>
  <c r="I507" i="5"/>
  <c r="J504" i="5"/>
  <c r="L504" i="5" s="1"/>
  <c r="I504" i="5"/>
  <c r="J501" i="5"/>
  <c r="L501" i="5" s="1"/>
  <c r="I501" i="5"/>
  <c r="J498" i="5"/>
  <c r="L498" i="5" s="1"/>
  <c r="I498" i="5"/>
  <c r="J495" i="5"/>
  <c r="L495" i="5" s="1"/>
  <c r="I495" i="5"/>
  <c r="L492" i="5"/>
  <c r="J492" i="5"/>
  <c r="I492" i="5"/>
  <c r="J489" i="5"/>
  <c r="L489" i="5" s="1"/>
  <c r="I489" i="5"/>
  <c r="J486" i="5"/>
  <c r="I486" i="5"/>
  <c r="J482" i="5"/>
  <c r="L482" i="5" s="1"/>
  <c r="I482" i="5"/>
  <c r="J479" i="5"/>
  <c r="L479" i="5" s="1"/>
  <c r="I479" i="5"/>
  <c r="J475" i="5"/>
  <c r="L475" i="5" s="1"/>
  <c r="I475" i="5"/>
  <c r="J472" i="5"/>
  <c r="L472" i="5" s="1"/>
  <c r="I472" i="5"/>
  <c r="J469" i="5"/>
  <c r="L469" i="5" s="1"/>
  <c r="I469" i="5"/>
  <c r="L466" i="5"/>
  <c r="J466" i="5"/>
  <c r="I466" i="5"/>
  <c r="J463" i="5"/>
  <c r="L463" i="5" s="1"/>
  <c r="I463" i="5"/>
  <c r="J460" i="5"/>
  <c r="L460" i="5" s="1"/>
  <c r="I460" i="5"/>
  <c r="J457" i="5"/>
  <c r="L457" i="5" s="1"/>
  <c r="I457" i="5"/>
  <c r="J454" i="5"/>
  <c r="L454" i="5" s="1"/>
  <c r="I454" i="5"/>
  <c r="J451" i="5"/>
  <c r="L451" i="5" s="1"/>
  <c r="I451" i="5"/>
  <c r="J448" i="5"/>
  <c r="L448" i="5" s="1"/>
  <c r="I448" i="5"/>
  <c r="J445" i="5"/>
  <c r="L445" i="5" s="1"/>
  <c r="I445" i="5"/>
  <c r="L441" i="5"/>
  <c r="J441" i="5"/>
  <c r="I441" i="5"/>
  <c r="J438" i="5"/>
  <c r="L438" i="5" s="1"/>
  <c r="I438" i="5"/>
  <c r="J435" i="5"/>
  <c r="I435" i="5"/>
  <c r="J432" i="5"/>
  <c r="L432" i="5" s="1"/>
  <c r="I432" i="5"/>
  <c r="J429" i="5"/>
  <c r="L429" i="5" s="1"/>
  <c r="I429" i="5"/>
  <c r="J426" i="5"/>
  <c r="L426" i="5" s="1"/>
  <c r="I426" i="5"/>
  <c r="J423" i="5"/>
  <c r="L423" i="5" s="1"/>
  <c r="I423" i="5"/>
  <c r="J419" i="5"/>
  <c r="L419" i="5" s="1"/>
  <c r="I419" i="5"/>
  <c r="L416" i="5"/>
  <c r="J416" i="5"/>
  <c r="I416" i="5"/>
  <c r="J413" i="5"/>
  <c r="L413" i="5" s="1"/>
  <c r="I413" i="5"/>
  <c r="J410" i="5"/>
  <c r="I410" i="5"/>
  <c r="J407" i="5"/>
  <c r="L407" i="5" s="1"/>
  <c r="I407" i="5"/>
  <c r="J403" i="5"/>
  <c r="L403" i="5" s="1"/>
  <c r="I403" i="5"/>
  <c r="J400" i="5"/>
  <c r="L400" i="5" s="1"/>
  <c r="I400" i="5"/>
  <c r="J396" i="5"/>
  <c r="L396" i="5" s="1"/>
  <c r="I396" i="5"/>
  <c r="J393" i="5"/>
  <c r="L393" i="5" s="1"/>
  <c r="I393" i="5"/>
  <c r="L390" i="5"/>
  <c r="J390" i="5"/>
  <c r="I390" i="5"/>
  <c r="J387" i="5"/>
  <c r="L387" i="5" s="1"/>
  <c r="I387" i="5"/>
  <c r="J384" i="5"/>
  <c r="I384" i="5"/>
  <c r="J381" i="5"/>
  <c r="L381" i="5" s="1"/>
  <c r="I381" i="5"/>
  <c r="J378" i="5"/>
  <c r="L378" i="5" s="1"/>
  <c r="I378" i="5"/>
  <c r="J375" i="5"/>
  <c r="L375" i="5" s="1"/>
  <c r="I375" i="5"/>
  <c r="J371" i="5"/>
  <c r="L371" i="5" s="1"/>
  <c r="I371" i="5"/>
  <c r="J368" i="5"/>
  <c r="L368" i="5" s="1"/>
  <c r="I368" i="5"/>
  <c r="L365" i="5"/>
  <c r="J365" i="5"/>
  <c r="I365" i="5"/>
  <c r="J362" i="5"/>
  <c r="L362" i="5" s="1"/>
  <c r="I362" i="5"/>
  <c r="J359" i="5"/>
  <c r="I359" i="5"/>
  <c r="J356" i="5"/>
  <c r="L356" i="5" s="1"/>
  <c r="I356" i="5"/>
  <c r="J353" i="5"/>
  <c r="L353" i="5" s="1"/>
  <c r="I353" i="5"/>
  <c r="J350" i="5"/>
  <c r="L350" i="5" s="1"/>
  <c r="I350" i="5"/>
  <c r="J347" i="5"/>
  <c r="L347" i="5" s="1"/>
  <c r="I347" i="5"/>
  <c r="J344" i="5"/>
  <c r="L344" i="5" s="1"/>
  <c r="I344" i="5"/>
  <c r="L341" i="5"/>
  <c r="J341" i="5"/>
  <c r="I341" i="5"/>
  <c r="J338" i="5"/>
  <c r="L338" i="5" s="1"/>
  <c r="I338" i="5"/>
  <c r="J335" i="5"/>
  <c r="L335" i="5" s="1"/>
  <c r="I335" i="5"/>
  <c r="J332" i="5"/>
  <c r="L332" i="5" s="1"/>
  <c r="I332" i="5"/>
  <c r="J329" i="5"/>
  <c r="L329" i="5" s="1"/>
  <c r="I329" i="5"/>
  <c r="J326" i="5"/>
  <c r="L326" i="5" s="1"/>
  <c r="I326" i="5"/>
  <c r="J323" i="5"/>
  <c r="L323" i="5" s="1"/>
  <c r="I323" i="5"/>
  <c r="J320" i="5"/>
  <c r="L320" i="5" s="1"/>
  <c r="I320" i="5"/>
  <c r="L317" i="5"/>
  <c r="J317" i="5"/>
  <c r="I317" i="5"/>
  <c r="J314" i="5"/>
  <c r="L314" i="5" s="1"/>
  <c r="I314" i="5"/>
  <c r="J311" i="5"/>
  <c r="I311" i="5"/>
  <c r="J308" i="5"/>
  <c r="L308" i="5" s="1"/>
  <c r="I308" i="5"/>
  <c r="J305" i="5"/>
  <c r="L305" i="5" s="1"/>
  <c r="I305" i="5"/>
  <c r="J302" i="5"/>
  <c r="L302" i="5" s="1"/>
  <c r="I302" i="5"/>
  <c r="J299" i="5"/>
  <c r="L299" i="5" s="1"/>
  <c r="I299" i="5"/>
  <c r="J296" i="5"/>
  <c r="L296" i="5" s="1"/>
  <c r="I296" i="5"/>
  <c r="L293" i="5"/>
  <c r="J293" i="5"/>
  <c r="I293" i="5"/>
  <c r="J290" i="5"/>
  <c r="L290" i="5" s="1"/>
  <c r="I290" i="5"/>
  <c r="J287" i="5"/>
  <c r="I287" i="5"/>
  <c r="J284" i="5"/>
  <c r="L284" i="5" s="1"/>
  <c r="I284" i="5"/>
  <c r="J281" i="5"/>
  <c r="L281" i="5" s="1"/>
  <c r="I281" i="5"/>
  <c r="J278" i="5"/>
  <c r="L278" i="5" s="1"/>
  <c r="I278" i="5"/>
  <c r="J275" i="5"/>
  <c r="L275" i="5" s="1"/>
  <c r="I275" i="5"/>
  <c r="J272" i="5"/>
  <c r="L272" i="5" s="1"/>
  <c r="I272" i="5"/>
  <c r="L269" i="5"/>
  <c r="J269" i="5"/>
  <c r="I269" i="5"/>
  <c r="J266" i="5"/>
  <c r="L266" i="5" s="1"/>
  <c r="I266" i="5"/>
  <c r="J263" i="5"/>
  <c r="I263" i="5"/>
  <c r="J260" i="5"/>
  <c r="L260" i="5" s="1"/>
  <c r="I260" i="5"/>
  <c r="J257" i="5"/>
  <c r="L257" i="5" s="1"/>
  <c r="I257" i="5"/>
  <c r="J254" i="5"/>
  <c r="L254" i="5" s="1"/>
  <c r="I254" i="5"/>
  <c r="J251" i="5"/>
  <c r="L251" i="5" s="1"/>
  <c r="I251" i="5"/>
  <c r="J248" i="5"/>
  <c r="L248" i="5" s="1"/>
  <c r="I248" i="5"/>
  <c r="L245" i="5"/>
  <c r="J245" i="5"/>
  <c r="I245" i="5"/>
  <c r="J242" i="5"/>
  <c r="L242" i="5" s="1"/>
  <c r="I242" i="5"/>
  <c r="J239" i="5"/>
  <c r="I239" i="5"/>
  <c r="J236" i="5"/>
  <c r="L236" i="5" s="1"/>
  <c r="I236" i="5"/>
  <c r="J233" i="5"/>
  <c r="L233" i="5" s="1"/>
  <c r="I233" i="5"/>
  <c r="J230" i="5"/>
  <c r="L230" i="5" s="1"/>
  <c r="I230" i="5"/>
  <c r="J227" i="5"/>
  <c r="L227" i="5" s="1"/>
  <c r="I227" i="5"/>
  <c r="J224" i="5"/>
  <c r="L224" i="5" s="1"/>
  <c r="I224" i="5"/>
  <c r="L221" i="5"/>
  <c r="J221" i="5"/>
  <c r="I221" i="5"/>
  <c r="J218" i="5"/>
  <c r="L218" i="5" s="1"/>
  <c r="I218" i="5"/>
  <c r="J215" i="5"/>
  <c r="I215" i="5"/>
  <c r="J212" i="5"/>
  <c r="L212" i="5" s="1"/>
  <c r="I212" i="5"/>
  <c r="J209" i="5"/>
  <c r="L209" i="5" s="1"/>
  <c r="I209" i="5"/>
  <c r="J206" i="5"/>
  <c r="L206" i="5" s="1"/>
  <c r="I206" i="5"/>
  <c r="J203" i="5"/>
  <c r="L203" i="5" s="1"/>
  <c r="I203" i="5"/>
  <c r="J200" i="5"/>
  <c r="L200" i="5" s="1"/>
  <c r="I200" i="5"/>
  <c r="L197" i="5"/>
  <c r="J197" i="5"/>
  <c r="I197" i="5"/>
  <c r="J194" i="5"/>
  <c r="L194" i="5" s="1"/>
  <c r="I194" i="5"/>
  <c r="J191" i="5"/>
  <c r="I191" i="5"/>
  <c r="J188" i="5"/>
  <c r="L188" i="5" s="1"/>
  <c r="I188" i="5"/>
  <c r="J185" i="5"/>
  <c r="L185" i="5" s="1"/>
  <c r="I185" i="5"/>
  <c r="J182" i="5"/>
  <c r="L182" i="5" s="1"/>
  <c r="I182" i="5"/>
  <c r="J179" i="5"/>
  <c r="I179" i="5"/>
  <c r="J176" i="5"/>
  <c r="L176" i="5" s="1"/>
  <c r="I176" i="5"/>
  <c r="L173" i="5"/>
  <c r="J173" i="5"/>
  <c r="I173" i="5"/>
  <c r="J170" i="5"/>
  <c r="L170" i="5" s="1"/>
  <c r="I170" i="5"/>
  <c r="J167" i="5"/>
  <c r="I167" i="5"/>
  <c r="J164" i="5"/>
  <c r="L164" i="5" s="1"/>
  <c r="I164" i="5"/>
  <c r="J161" i="5"/>
  <c r="L161" i="5" s="1"/>
  <c r="I161" i="5"/>
  <c r="J158" i="5"/>
  <c r="L158" i="5" s="1"/>
  <c r="I158" i="5"/>
  <c r="J155" i="5"/>
  <c r="L155" i="5" s="1"/>
  <c r="I155" i="5"/>
  <c r="J152" i="5"/>
  <c r="L152" i="5" s="1"/>
  <c r="I152" i="5"/>
  <c r="L149" i="5"/>
  <c r="J149" i="5"/>
  <c r="I149" i="5"/>
  <c r="J146" i="5"/>
  <c r="L146" i="5" s="1"/>
  <c r="I146" i="5"/>
  <c r="J143" i="5"/>
  <c r="L143" i="5" s="1"/>
  <c r="I143" i="5"/>
  <c r="J140" i="5"/>
  <c r="L140" i="5" s="1"/>
  <c r="I140" i="5"/>
  <c r="J137" i="5"/>
  <c r="L137" i="5" s="1"/>
  <c r="I137" i="5"/>
  <c r="J134" i="5"/>
  <c r="L134" i="5" s="1"/>
  <c r="I134" i="5"/>
  <c r="J131" i="5"/>
  <c r="L131" i="5" s="1"/>
  <c r="I131" i="5"/>
  <c r="J128" i="5"/>
  <c r="L128" i="5" s="1"/>
  <c r="I128" i="5"/>
  <c r="L125" i="5"/>
  <c r="J125" i="5"/>
  <c r="I125" i="5"/>
  <c r="J122" i="5"/>
  <c r="L122" i="5" s="1"/>
  <c r="I122" i="5"/>
  <c r="J119" i="5"/>
  <c r="I119" i="5"/>
  <c r="J116" i="5"/>
  <c r="L116" i="5" s="1"/>
  <c r="I116" i="5"/>
  <c r="J113" i="5"/>
  <c r="L113" i="5" s="1"/>
  <c r="I113" i="5"/>
  <c r="J110" i="5"/>
  <c r="I110" i="5"/>
  <c r="J107" i="5"/>
  <c r="I107" i="5"/>
  <c r="J104" i="5"/>
  <c r="I104" i="5"/>
  <c r="J101" i="5"/>
  <c r="I101" i="5"/>
  <c r="J98" i="5"/>
  <c r="I98" i="5"/>
  <c r="J95" i="5"/>
  <c r="I95" i="5"/>
  <c r="J92" i="5"/>
  <c r="L92" i="5" s="1"/>
  <c r="I92" i="5"/>
  <c r="J89" i="5"/>
  <c r="L89" i="5" s="1"/>
  <c r="I89" i="5"/>
  <c r="J86" i="5"/>
  <c r="L86" i="5" s="1"/>
  <c r="I86" i="5"/>
  <c r="J83" i="5"/>
  <c r="L83" i="5" s="1"/>
  <c r="I83" i="5"/>
  <c r="J80" i="5"/>
  <c r="I80" i="5"/>
  <c r="L77" i="5"/>
  <c r="J77" i="5"/>
  <c r="I77" i="5"/>
  <c r="J74" i="5"/>
  <c r="L74" i="5" s="1"/>
  <c r="I74" i="5"/>
  <c r="J71" i="5"/>
  <c r="I71" i="5"/>
  <c r="J68" i="5"/>
  <c r="L68" i="5" s="1"/>
  <c r="I68" i="5"/>
  <c r="J65" i="5"/>
  <c r="L65" i="5" s="1"/>
  <c r="I65" i="5"/>
  <c r="J62" i="5"/>
  <c r="L62" i="5" s="1"/>
  <c r="I62" i="5"/>
  <c r="J59" i="5"/>
  <c r="L59" i="5" s="1"/>
  <c r="I59" i="5"/>
  <c r="J56" i="5"/>
  <c r="L56" i="5" s="1"/>
  <c r="I56" i="5"/>
  <c r="L53" i="5"/>
  <c r="J53" i="5"/>
  <c r="I53" i="5"/>
  <c r="J50" i="5"/>
  <c r="L50" i="5" s="1"/>
  <c r="I50" i="5"/>
  <c r="J47" i="5"/>
  <c r="I47" i="5"/>
  <c r="J44" i="5"/>
  <c r="L44" i="5" s="1"/>
  <c r="I44" i="5"/>
  <c r="J41" i="5"/>
  <c r="L41" i="5" s="1"/>
  <c r="I41" i="5"/>
  <c r="J38" i="5"/>
  <c r="L38" i="5" s="1"/>
  <c r="I38" i="5"/>
  <c r="J35" i="5"/>
  <c r="L35" i="5" s="1"/>
  <c r="I35" i="5"/>
  <c r="J32" i="5"/>
  <c r="I32" i="5"/>
  <c r="L29" i="5"/>
  <c r="J29" i="5"/>
  <c r="I29" i="5"/>
  <c r="J26" i="5"/>
  <c r="L26" i="5" s="1"/>
  <c r="I26" i="5"/>
  <c r="J23" i="5"/>
  <c r="I23" i="5"/>
  <c r="J20" i="5"/>
  <c r="L20" i="5" s="1"/>
  <c r="I20" i="5"/>
  <c r="J17" i="5"/>
  <c r="L17" i="5" s="1"/>
  <c r="I17" i="5"/>
  <c r="J14" i="5"/>
  <c r="L14" i="5" s="1"/>
  <c r="I14" i="5"/>
  <c r="J11" i="5"/>
  <c r="L11" i="5" s="1"/>
  <c r="I11" i="5"/>
  <c r="J8" i="5"/>
  <c r="I8" i="5"/>
  <c r="L5" i="5"/>
  <c r="J5" i="5"/>
  <c r="I5" i="5"/>
  <c r="J559" i="6"/>
  <c r="L559" i="6" s="1"/>
  <c r="I559" i="6"/>
  <c r="J556" i="6"/>
  <c r="L556" i="6" s="1"/>
  <c r="I556" i="6"/>
  <c r="J552" i="6"/>
  <c r="L552" i="6" s="1"/>
  <c r="I552" i="6"/>
  <c r="J549" i="6"/>
  <c r="L549" i="6" s="1"/>
  <c r="I549" i="6"/>
  <c r="J546" i="6"/>
  <c r="I546" i="6"/>
  <c r="L543" i="6"/>
  <c r="J543" i="6"/>
  <c r="I543" i="6"/>
  <c r="J540" i="6"/>
  <c r="L540" i="6" s="1"/>
  <c r="I540" i="6"/>
  <c r="J536" i="6"/>
  <c r="L536" i="6" s="1"/>
  <c r="I536" i="6"/>
  <c r="J533" i="6"/>
  <c r="L533" i="6" s="1"/>
  <c r="I533" i="6"/>
  <c r="J530" i="6"/>
  <c r="L530" i="6" s="1"/>
  <c r="I530" i="6"/>
  <c r="L527" i="6"/>
  <c r="J527" i="6"/>
  <c r="I527" i="6"/>
  <c r="J524" i="6"/>
  <c r="L524" i="6" s="1"/>
  <c r="I524" i="6"/>
  <c r="J521" i="6"/>
  <c r="I521" i="6"/>
  <c r="L518" i="6"/>
  <c r="J518" i="6"/>
  <c r="I518" i="6"/>
  <c r="J515" i="6"/>
  <c r="L515" i="6" s="1"/>
  <c r="I515" i="6"/>
  <c r="J511" i="6"/>
  <c r="I511" i="6"/>
  <c r="J507" i="6"/>
  <c r="L507" i="6" s="1"/>
  <c r="I507" i="6"/>
  <c r="J504" i="6"/>
  <c r="L504" i="6" s="1"/>
  <c r="I504" i="6"/>
  <c r="J501" i="6"/>
  <c r="L501" i="6" s="1"/>
  <c r="I501" i="6"/>
  <c r="J498" i="6"/>
  <c r="L498" i="6" s="1"/>
  <c r="I498" i="6"/>
  <c r="J495" i="6"/>
  <c r="I495" i="6"/>
  <c r="L492" i="6"/>
  <c r="J492" i="6"/>
  <c r="I492" i="6"/>
  <c r="J489" i="6"/>
  <c r="L489" i="6" s="1"/>
  <c r="I489" i="6"/>
  <c r="J486" i="6"/>
  <c r="I486" i="6"/>
  <c r="J482" i="6"/>
  <c r="L482" i="6" s="1"/>
  <c r="I482" i="6"/>
  <c r="J479" i="6"/>
  <c r="L479" i="6" s="1"/>
  <c r="I479" i="6"/>
  <c r="J475" i="6"/>
  <c r="L475" i="6" s="1"/>
  <c r="I475" i="6"/>
  <c r="J472" i="6"/>
  <c r="L472" i="6" s="1"/>
  <c r="I472" i="6"/>
  <c r="J469" i="6"/>
  <c r="L469" i="6" s="1"/>
  <c r="I469" i="6"/>
  <c r="L466" i="6"/>
  <c r="J466" i="6"/>
  <c r="I466" i="6"/>
  <c r="J463" i="6"/>
  <c r="L463" i="6" s="1"/>
  <c r="I463" i="6"/>
  <c r="L460" i="6"/>
  <c r="J460" i="6"/>
  <c r="I460" i="6"/>
  <c r="J457" i="6"/>
  <c r="L457" i="6" s="1"/>
  <c r="I457" i="6"/>
  <c r="J454" i="6"/>
  <c r="I454" i="6"/>
  <c r="J451" i="6"/>
  <c r="L451" i="6" s="1"/>
  <c r="I451" i="6"/>
  <c r="J448" i="6"/>
  <c r="L448" i="6" s="1"/>
  <c r="I448" i="6"/>
  <c r="J445" i="6"/>
  <c r="I445" i="6"/>
  <c r="L441" i="6"/>
  <c r="J441" i="6"/>
  <c r="I441" i="6"/>
  <c r="J438" i="6"/>
  <c r="L438" i="6" s="1"/>
  <c r="I438" i="6"/>
  <c r="J435" i="6"/>
  <c r="L435" i="6" s="1"/>
  <c r="I435" i="6"/>
  <c r="J432" i="6"/>
  <c r="L432" i="6" s="1"/>
  <c r="I432" i="6"/>
  <c r="J429" i="6"/>
  <c r="L429" i="6" s="1"/>
  <c r="I429" i="6"/>
  <c r="L426" i="6"/>
  <c r="J426" i="6"/>
  <c r="I426" i="6"/>
  <c r="J423" i="6"/>
  <c r="L423" i="6" s="1"/>
  <c r="I423" i="6"/>
  <c r="J419" i="6"/>
  <c r="I419" i="6"/>
  <c r="L416" i="6"/>
  <c r="J416" i="6"/>
  <c r="I416" i="6"/>
  <c r="J413" i="6"/>
  <c r="L413" i="6" s="1"/>
  <c r="I413" i="6"/>
  <c r="J410" i="6"/>
  <c r="L410" i="6" s="1"/>
  <c r="I410" i="6"/>
  <c r="J407" i="6"/>
  <c r="L407" i="6" s="1"/>
  <c r="I407" i="6"/>
  <c r="J403" i="6"/>
  <c r="I403" i="6"/>
  <c r="J400" i="6"/>
  <c r="L400" i="6" s="1"/>
  <c r="I400" i="6"/>
  <c r="J396" i="6"/>
  <c r="L396" i="6" s="1"/>
  <c r="I396" i="6"/>
  <c r="J393" i="6"/>
  <c r="L393" i="6" s="1"/>
  <c r="I393" i="6"/>
  <c r="L390" i="6"/>
  <c r="J390" i="6"/>
  <c r="I390" i="6"/>
  <c r="J387" i="6"/>
  <c r="L387" i="6" s="1"/>
  <c r="I387" i="6"/>
  <c r="L384" i="6"/>
  <c r="J384" i="6"/>
  <c r="I384" i="6"/>
  <c r="J381" i="6"/>
  <c r="L381" i="6" s="1"/>
  <c r="I381" i="6"/>
  <c r="J378" i="6"/>
  <c r="I378" i="6"/>
  <c r="L375" i="6"/>
  <c r="J375" i="6"/>
  <c r="I375" i="6"/>
  <c r="J371" i="6"/>
  <c r="L371" i="6" s="1"/>
  <c r="I371" i="6"/>
  <c r="J368" i="6"/>
  <c r="I368" i="6"/>
  <c r="L365" i="6"/>
  <c r="J365" i="6"/>
  <c r="I365" i="6"/>
  <c r="J362" i="6"/>
  <c r="L362" i="6" s="1"/>
  <c r="I362" i="6"/>
  <c r="J359" i="6"/>
  <c r="L359" i="6" s="1"/>
  <c r="I359" i="6"/>
  <c r="J356" i="6"/>
  <c r="L356" i="6" s="1"/>
  <c r="I356" i="6"/>
  <c r="J353" i="6"/>
  <c r="L353" i="6" s="1"/>
  <c r="I353" i="6"/>
  <c r="J350" i="6"/>
  <c r="L350" i="6" s="1"/>
  <c r="I350" i="6"/>
  <c r="J347" i="6"/>
  <c r="L347" i="6" s="1"/>
  <c r="I347" i="6"/>
  <c r="J344" i="6"/>
  <c r="L344" i="6" s="1"/>
  <c r="I344" i="6"/>
  <c r="L341" i="6"/>
  <c r="J341" i="6"/>
  <c r="I341" i="6"/>
  <c r="J338" i="6"/>
  <c r="L338" i="6" s="1"/>
  <c r="I338" i="6"/>
  <c r="J335" i="6"/>
  <c r="L335" i="6" s="1"/>
  <c r="I335" i="6"/>
  <c r="J332" i="6"/>
  <c r="L332" i="6" s="1"/>
  <c r="I332" i="6"/>
  <c r="J329" i="6"/>
  <c r="I329" i="6"/>
  <c r="J326" i="6"/>
  <c r="L326" i="6" s="1"/>
  <c r="I326" i="6"/>
  <c r="J323" i="6"/>
  <c r="L323" i="6" s="1"/>
  <c r="I323" i="6"/>
  <c r="J320" i="6"/>
  <c r="I320" i="6"/>
  <c r="L317" i="6"/>
  <c r="J317" i="6"/>
  <c r="I317" i="6"/>
  <c r="J314" i="6"/>
  <c r="L314" i="6" s="1"/>
  <c r="I314" i="6"/>
  <c r="J311" i="6"/>
  <c r="I311" i="6"/>
  <c r="L311" i="6" s="1"/>
  <c r="J308" i="6"/>
  <c r="L308" i="6" s="1"/>
  <c r="I308" i="6"/>
  <c r="J305" i="6"/>
  <c r="I305" i="6"/>
  <c r="L302" i="6"/>
  <c r="J302" i="6"/>
  <c r="I302" i="6"/>
  <c r="J299" i="6"/>
  <c r="L299" i="6" s="1"/>
  <c r="I299" i="6"/>
  <c r="J296" i="6"/>
  <c r="I296" i="6"/>
  <c r="L293" i="6"/>
  <c r="J293" i="6"/>
  <c r="I293" i="6"/>
  <c r="J290" i="6"/>
  <c r="L290" i="6" s="1"/>
  <c r="I290" i="6"/>
  <c r="J287" i="6"/>
  <c r="L287" i="6" s="1"/>
  <c r="I287" i="6"/>
  <c r="J284" i="6"/>
  <c r="L284" i="6" s="1"/>
  <c r="I284" i="6"/>
  <c r="J281" i="6"/>
  <c r="L281" i="6" s="1"/>
  <c r="I281" i="6"/>
  <c r="J278" i="6"/>
  <c r="L278" i="6" s="1"/>
  <c r="I278" i="6"/>
  <c r="J275" i="6"/>
  <c r="L275" i="6" s="1"/>
  <c r="I275" i="6"/>
  <c r="J272" i="6"/>
  <c r="L272" i="6" s="1"/>
  <c r="I272" i="6"/>
  <c r="L269" i="6"/>
  <c r="J269" i="6"/>
  <c r="I269" i="6"/>
  <c r="J266" i="6"/>
  <c r="L266" i="6" s="1"/>
  <c r="I266" i="6"/>
  <c r="L263" i="6"/>
  <c r="J263" i="6"/>
  <c r="I263" i="6"/>
  <c r="J260" i="6"/>
  <c r="L260" i="6" s="1"/>
  <c r="I260" i="6"/>
  <c r="J257" i="6"/>
  <c r="I257" i="6"/>
  <c r="J254" i="6"/>
  <c r="L254" i="6" s="1"/>
  <c r="I254" i="6"/>
  <c r="J251" i="6"/>
  <c r="L251" i="6" s="1"/>
  <c r="I251" i="6"/>
  <c r="J248" i="6"/>
  <c r="I248" i="6"/>
  <c r="L245" i="6"/>
  <c r="J245" i="6"/>
  <c r="I245" i="6"/>
  <c r="J242" i="6"/>
  <c r="L242" i="6" s="1"/>
  <c r="I242" i="6"/>
  <c r="J239" i="6"/>
  <c r="L239" i="6" s="1"/>
  <c r="I239" i="6"/>
  <c r="J236" i="6"/>
  <c r="L236" i="6" s="1"/>
  <c r="I236" i="6"/>
  <c r="J233" i="6"/>
  <c r="L233" i="6" s="1"/>
  <c r="I233" i="6"/>
  <c r="L230" i="6"/>
  <c r="J230" i="6"/>
  <c r="I230" i="6"/>
  <c r="J227" i="6"/>
  <c r="L227" i="6" s="1"/>
  <c r="I227" i="6"/>
  <c r="J224" i="6"/>
  <c r="I224" i="6"/>
  <c r="L221" i="6"/>
  <c r="J221" i="6"/>
  <c r="I221" i="6"/>
  <c r="J218" i="6"/>
  <c r="L218" i="6" s="1"/>
  <c r="I218" i="6"/>
  <c r="J215" i="6"/>
  <c r="L215" i="6" s="1"/>
  <c r="I215" i="6"/>
  <c r="J212" i="6"/>
  <c r="L212" i="6" s="1"/>
  <c r="I212" i="6"/>
  <c r="J209" i="6"/>
  <c r="I209" i="6"/>
  <c r="J206" i="6"/>
  <c r="L206" i="6" s="1"/>
  <c r="I206" i="6"/>
  <c r="J203" i="6"/>
  <c r="L203" i="6" s="1"/>
  <c r="I203" i="6"/>
  <c r="J200" i="6"/>
  <c r="L200" i="6" s="1"/>
  <c r="I200" i="6"/>
  <c r="L197" i="6"/>
  <c r="J197" i="6"/>
  <c r="I197" i="6"/>
  <c r="J194" i="6"/>
  <c r="L194" i="6" s="1"/>
  <c r="I194" i="6"/>
  <c r="L191" i="6"/>
  <c r="J191" i="6"/>
  <c r="I191" i="6"/>
  <c r="J188" i="6"/>
  <c r="L188" i="6" s="1"/>
  <c r="I188" i="6"/>
  <c r="J185" i="6"/>
  <c r="I185" i="6"/>
  <c r="L182" i="6"/>
  <c r="J182" i="6"/>
  <c r="I182" i="6"/>
  <c r="J179" i="6"/>
  <c r="I179" i="6"/>
  <c r="J176" i="6"/>
  <c r="I176" i="6"/>
  <c r="L173" i="6"/>
  <c r="J173" i="6"/>
  <c r="I173" i="6"/>
  <c r="J170" i="6"/>
  <c r="L170" i="6" s="1"/>
  <c r="I170" i="6"/>
  <c r="J167" i="6"/>
  <c r="L167" i="6" s="1"/>
  <c r="I167" i="6"/>
  <c r="J164" i="6"/>
  <c r="L164" i="6" s="1"/>
  <c r="I164" i="6"/>
  <c r="J161" i="6"/>
  <c r="L161" i="6" s="1"/>
  <c r="I161" i="6"/>
  <c r="J158" i="6"/>
  <c r="L158" i="6" s="1"/>
  <c r="I158" i="6"/>
  <c r="J155" i="6"/>
  <c r="L155" i="6" s="1"/>
  <c r="I155" i="6"/>
  <c r="J152" i="6"/>
  <c r="L152" i="6" s="1"/>
  <c r="I152" i="6"/>
  <c r="L149" i="6"/>
  <c r="J149" i="6"/>
  <c r="I149" i="6"/>
  <c r="J146" i="6"/>
  <c r="L146" i="6" s="1"/>
  <c r="I146" i="6"/>
  <c r="J143" i="6"/>
  <c r="L143" i="6" s="1"/>
  <c r="I143" i="6"/>
  <c r="J140" i="6"/>
  <c r="L140" i="6" s="1"/>
  <c r="I140" i="6"/>
  <c r="J137" i="6"/>
  <c r="I137" i="6"/>
  <c r="J134" i="6"/>
  <c r="L134" i="6" s="1"/>
  <c r="I134" i="6"/>
  <c r="J131" i="6"/>
  <c r="L131" i="6" s="1"/>
  <c r="I131" i="6"/>
  <c r="J128" i="6"/>
  <c r="I128" i="6"/>
  <c r="L125" i="6"/>
  <c r="J125" i="6"/>
  <c r="I125" i="6"/>
  <c r="J122" i="6"/>
  <c r="L122" i="6" s="1"/>
  <c r="I122" i="6"/>
  <c r="J119" i="6"/>
  <c r="L119" i="6" s="1"/>
  <c r="I119" i="6"/>
  <c r="J116" i="6"/>
  <c r="L116" i="6" s="1"/>
  <c r="I116" i="6"/>
  <c r="J113" i="6"/>
  <c r="I113" i="6"/>
  <c r="L110" i="6"/>
  <c r="J110" i="6"/>
  <c r="I110" i="6"/>
  <c r="J107" i="6"/>
  <c r="L107" i="6" s="1"/>
  <c r="I107" i="6"/>
  <c r="J104" i="6"/>
  <c r="I104" i="6"/>
  <c r="L101" i="6"/>
  <c r="J101" i="6"/>
  <c r="I101" i="6"/>
  <c r="J98" i="6"/>
  <c r="L98" i="6" s="1"/>
  <c r="I98" i="6"/>
  <c r="J95" i="6"/>
  <c r="L95" i="6" s="1"/>
  <c r="I95" i="6"/>
  <c r="J92" i="6"/>
  <c r="L92" i="6" s="1"/>
  <c r="I92" i="6"/>
  <c r="J89" i="6"/>
  <c r="I89" i="6"/>
  <c r="J86" i="6"/>
  <c r="L86" i="6" s="1"/>
  <c r="I86" i="6"/>
  <c r="J83" i="6"/>
  <c r="L83" i="6" s="1"/>
  <c r="I83" i="6"/>
  <c r="J80" i="6"/>
  <c r="L80" i="6" s="1"/>
  <c r="I80" i="6"/>
  <c r="L77" i="6"/>
  <c r="J77" i="6"/>
  <c r="I77" i="6"/>
  <c r="J74" i="6"/>
  <c r="L74" i="6" s="1"/>
  <c r="I74" i="6"/>
  <c r="L71" i="6"/>
  <c r="J71" i="6"/>
  <c r="I71" i="6"/>
  <c r="J68" i="6"/>
  <c r="L68" i="6" s="1"/>
  <c r="I68" i="6"/>
  <c r="J65" i="6"/>
  <c r="I65" i="6"/>
  <c r="J62" i="6"/>
  <c r="L62" i="6" s="1"/>
  <c r="I62" i="6"/>
  <c r="J59" i="6"/>
  <c r="L59" i="6" s="1"/>
  <c r="I59" i="6"/>
  <c r="J56" i="6"/>
  <c r="I56" i="6"/>
  <c r="L53" i="6"/>
  <c r="J53" i="6"/>
  <c r="I53" i="6"/>
  <c r="J50" i="6"/>
  <c r="L50" i="6" s="1"/>
  <c r="I50" i="6"/>
  <c r="J47" i="6"/>
  <c r="L47" i="6" s="1"/>
  <c r="I47" i="6"/>
  <c r="J44" i="6"/>
  <c r="L44" i="6" s="1"/>
  <c r="I44" i="6"/>
  <c r="J41" i="6"/>
  <c r="L41" i="6" s="1"/>
  <c r="I41" i="6"/>
  <c r="J38" i="6"/>
  <c r="L38" i="6" s="1"/>
  <c r="I38" i="6"/>
  <c r="J35" i="6"/>
  <c r="L35" i="6" s="1"/>
  <c r="I35" i="6"/>
  <c r="J32" i="6"/>
  <c r="I32" i="6"/>
  <c r="L29" i="6"/>
  <c r="J29" i="6"/>
  <c r="I29" i="6"/>
  <c r="J26" i="6"/>
  <c r="L26" i="6" s="1"/>
  <c r="I26" i="6"/>
  <c r="J23" i="6"/>
  <c r="L23" i="6" s="1"/>
  <c r="I23" i="6"/>
  <c r="J20" i="6"/>
  <c r="L20" i="6" s="1"/>
  <c r="I20" i="6"/>
  <c r="J17" i="6"/>
  <c r="I17" i="6"/>
  <c r="J14" i="6"/>
  <c r="L14" i="6" s="1"/>
  <c r="I14" i="6"/>
  <c r="J11" i="6"/>
  <c r="L11" i="6" s="1"/>
  <c r="I11" i="6"/>
  <c r="J8" i="6"/>
  <c r="I8" i="6"/>
  <c r="L5" i="6"/>
  <c r="J5" i="6"/>
  <c r="I5" i="6"/>
  <c r="J559" i="4"/>
  <c r="L559" i="4" s="1"/>
  <c r="I559" i="4"/>
  <c r="J556" i="4"/>
  <c r="L556" i="4" s="1"/>
  <c r="I556" i="4"/>
  <c r="L552" i="4"/>
  <c r="J552" i="4"/>
  <c r="I552" i="4"/>
  <c r="J549" i="4"/>
  <c r="L549" i="4" s="1"/>
  <c r="I549" i="4"/>
  <c r="J546" i="4"/>
  <c r="L546" i="4" s="1"/>
  <c r="I546" i="4"/>
  <c r="J543" i="4"/>
  <c r="L543" i="4" s="1"/>
  <c r="I543" i="4"/>
  <c r="J540" i="4"/>
  <c r="L540" i="4" s="1"/>
  <c r="I540" i="4"/>
  <c r="J536" i="4"/>
  <c r="L536" i="4" s="1"/>
  <c r="I536" i="4"/>
  <c r="J533" i="4"/>
  <c r="L533" i="4" s="1"/>
  <c r="I533" i="4"/>
  <c r="J530" i="4"/>
  <c r="L530" i="4" s="1"/>
  <c r="I530" i="4"/>
  <c r="J527" i="4"/>
  <c r="L527" i="4" s="1"/>
  <c r="I527" i="4"/>
  <c r="J524" i="4"/>
  <c r="L524" i="4" s="1"/>
  <c r="I524" i="4"/>
  <c r="L521" i="4"/>
  <c r="J521" i="4"/>
  <c r="I521" i="4"/>
  <c r="J518" i="4"/>
  <c r="L518" i="4" s="1"/>
  <c r="I518" i="4"/>
  <c r="J515" i="4"/>
  <c r="L515" i="4" s="1"/>
  <c r="I515" i="4"/>
  <c r="J511" i="4"/>
  <c r="L511" i="4" s="1"/>
  <c r="I511" i="4"/>
  <c r="J507" i="4"/>
  <c r="L507" i="4" s="1"/>
  <c r="I507" i="4"/>
  <c r="J504" i="4"/>
  <c r="L504" i="4" s="1"/>
  <c r="I504" i="4"/>
  <c r="J501" i="4"/>
  <c r="L501" i="4" s="1"/>
  <c r="I501" i="4"/>
  <c r="J498" i="4"/>
  <c r="L498" i="4" s="1"/>
  <c r="I498" i="4"/>
  <c r="J495" i="4"/>
  <c r="L495" i="4" s="1"/>
  <c r="I495" i="4"/>
  <c r="J492" i="4"/>
  <c r="L492" i="4" s="1"/>
  <c r="I492" i="4"/>
  <c r="J489" i="4"/>
  <c r="L489" i="4" s="1"/>
  <c r="I489" i="4"/>
  <c r="J486" i="4"/>
  <c r="L486" i="4" s="1"/>
  <c r="I486" i="4"/>
  <c r="J482" i="4"/>
  <c r="L482" i="4" s="1"/>
  <c r="I482" i="4"/>
  <c r="J479" i="4"/>
  <c r="L479" i="4" s="1"/>
  <c r="I479" i="4"/>
  <c r="J475" i="4"/>
  <c r="L475" i="4" s="1"/>
  <c r="I475" i="4"/>
  <c r="J472" i="4"/>
  <c r="L472" i="4" s="1"/>
  <c r="I472" i="4"/>
  <c r="J469" i="4"/>
  <c r="L469" i="4" s="1"/>
  <c r="I469" i="4"/>
  <c r="J466" i="4"/>
  <c r="L466" i="4" s="1"/>
  <c r="I466" i="4"/>
  <c r="J463" i="4"/>
  <c r="L463" i="4" s="1"/>
  <c r="I463" i="4"/>
  <c r="J460" i="4"/>
  <c r="L460" i="4" s="1"/>
  <c r="I460" i="4"/>
  <c r="J457" i="4"/>
  <c r="L457" i="4" s="1"/>
  <c r="I457" i="4"/>
  <c r="J454" i="4"/>
  <c r="L454" i="4" s="1"/>
  <c r="I454" i="4"/>
  <c r="J451" i="4"/>
  <c r="L451" i="4" s="1"/>
  <c r="I451" i="4"/>
  <c r="J448" i="4"/>
  <c r="L448" i="4" s="1"/>
  <c r="I448" i="4"/>
  <c r="J445" i="4"/>
  <c r="L445" i="4" s="1"/>
  <c r="I445" i="4"/>
  <c r="I441" i="4"/>
  <c r="J441" i="4"/>
  <c r="L441" i="4"/>
  <c r="J438" i="4"/>
  <c r="L438" i="4" s="1"/>
  <c r="I438" i="4"/>
  <c r="J435" i="4"/>
  <c r="L435" i="4" s="1"/>
  <c r="I435" i="4"/>
  <c r="J432" i="4"/>
  <c r="L432" i="4" s="1"/>
  <c r="I432" i="4"/>
  <c r="J429" i="4"/>
  <c r="L429" i="4" s="1"/>
  <c r="I429" i="4"/>
  <c r="J426" i="4"/>
  <c r="L426" i="4" s="1"/>
  <c r="I426" i="4"/>
  <c r="J423" i="4"/>
  <c r="L423" i="4" s="1"/>
  <c r="I423" i="4"/>
  <c r="J410" i="4"/>
  <c r="L410" i="4" s="1"/>
  <c r="I410" i="4"/>
  <c r="J407" i="4"/>
  <c r="L407" i="4" s="1"/>
  <c r="I407" i="4"/>
  <c r="J419" i="4"/>
  <c r="L419" i="4" s="1"/>
  <c r="I419" i="4"/>
  <c r="J416" i="4"/>
  <c r="L416" i="4" s="1"/>
  <c r="I416" i="4"/>
  <c r="J413" i="4"/>
  <c r="L413" i="4" s="1"/>
  <c r="I413" i="4"/>
  <c r="J403" i="4"/>
  <c r="L403" i="4" s="1"/>
  <c r="I403" i="4"/>
  <c r="J400" i="4"/>
  <c r="L400" i="4" s="1"/>
  <c r="I400" i="4"/>
  <c r="L396" i="4"/>
  <c r="J396" i="4"/>
  <c r="I396" i="4"/>
  <c r="J393" i="4"/>
  <c r="L393" i="4" s="1"/>
  <c r="I393" i="4"/>
  <c r="J390" i="4"/>
  <c r="L390" i="4" s="1"/>
  <c r="I390" i="4"/>
  <c r="J387" i="4"/>
  <c r="L387" i="4" s="1"/>
  <c r="I387" i="4"/>
  <c r="J384" i="4"/>
  <c r="L384" i="4" s="1"/>
  <c r="I384" i="4"/>
  <c r="J381" i="4"/>
  <c r="L381" i="4" s="1"/>
  <c r="I381" i="4"/>
  <c r="J378" i="4"/>
  <c r="L378" i="4" s="1"/>
  <c r="I378" i="4"/>
  <c r="L375" i="4"/>
  <c r="J375" i="4"/>
  <c r="I375" i="4"/>
  <c r="J371" i="4"/>
  <c r="L371" i="4" s="1"/>
  <c r="I371" i="4"/>
  <c r="J368" i="4"/>
  <c r="L368" i="4" s="1"/>
  <c r="I368" i="4"/>
  <c r="L365" i="4"/>
  <c r="J365" i="4"/>
  <c r="I365" i="4"/>
  <c r="J362" i="4"/>
  <c r="L362" i="4" s="1"/>
  <c r="I362" i="4"/>
  <c r="J359" i="4"/>
  <c r="L359" i="4" s="1"/>
  <c r="I359" i="4"/>
  <c r="J356" i="4"/>
  <c r="L356" i="4" s="1"/>
  <c r="I356" i="4"/>
  <c r="J353" i="4"/>
  <c r="L353" i="4" s="1"/>
  <c r="I353" i="4"/>
  <c r="J350" i="4"/>
  <c r="L350" i="4" s="1"/>
  <c r="I350" i="4"/>
  <c r="J347" i="4"/>
  <c r="L347" i="4" s="1"/>
  <c r="I347" i="4"/>
  <c r="J344" i="4"/>
  <c r="L344" i="4" s="1"/>
  <c r="I344" i="4"/>
  <c r="L341" i="4"/>
  <c r="J341" i="4"/>
  <c r="I341" i="4"/>
  <c r="J338" i="4"/>
  <c r="L338" i="4" s="1"/>
  <c r="I338" i="4"/>
  <c r="J335" i="4"/>
  <c r="L335" i="4" s="1"/>
  <c r="I335" i="4"/>
  <c r="J332" i="4"/>
  <c r="L332" i="4" s="1"/>
  <c r="I332" i="4"/>
  <c r="J329" i="4"/>
  <c r="L329" i="4" s="1"/>
  <c r="I329" i="4"/>
  <c r="J326" i="4"/>
  <c r="L326" i="4" s="1"/>
  <c r="I326" i="4"/>
  <c r="J323" i="4"/>
  <c r="L323" i="4" s="1"/>
  <c r="I323" i="4"/>
  <c r="J320" i="4"/>
  <c r="L320" i="4" s="1"/>
  <c r="I320" i="4"/>
  <c r="L317" i="4"/>
  <c r="J317" i="4"/>
  <c r="I317" i="4"/>
  <c r="J314" i="4"/>
  <c r="L314" i="4" s="1"/>
  <c r="I314" i="4"/>
  <c r="J311" i="4"/>
  <c r="L311" i="4" s="1"/>
  <c r="I311" i="4"/>
  <c r="J308" i="4"/>
  <c r="L308" i="4" s="1"/>
  <c r="I308" i="4"/>
  <c r="J305" i="4"/>
  <c r="L305" i="4" s="1"/>
  <c r="I305" i="4"/>
  <c r="J302" i="4"/>
  <c r="L302" i="4" s="1"/>
  <c r="I302" i="4"/>
  <c r="J299" i="4"/>
  <c r="L299" i="4" s="1"/>
  <c r="I299" i="4"/>
  <c r="J296" i="4"/>
  <c r="L296" i="4" s="1"/>
  <c r="I296" i="4"/>
  <c r="J293" i="4"/>
  <c r="L293" i="4" s="1"/>
  <c r="I293" i="4"/>
  <c r="J290" i="4"/>
  <c r="L290" i="4" s="1"/>
  <c r="I290" i="4"/>
  <c r="J287" i="4"/>
  <c r="L287" i="4" s="1"/>
  <c r="I287" i="4"/>
  <c r="L284" i="4"/>
  <c r="J284" i="4"/>
  <c r="I284" i="4"/>
  <c r="J281" i="4"/>
  <c r="L281" i="4" s="1"/>
  <c r="I281" i="4"/>
  <c r="J278" i="4"/>
  <c r="L278" i="4" s="1"/>
  <c r="I278" i="4"/>
  <c r="J275" i="4"/>
  <c r="L275" i="4" s="1"/>
  <c r="I275" i="4"/>
  <c r="J272" i="4"/>
  <c r="L272" i="4" s="1"/>
  <c r="I272" i="4"/>
  <c r="J269" i="4"/>
  <c r="L269" i="4" s="1"/>
  <c r="I269" i="4"/>
  <c r="J266" i="4"/>
  <c r="L266" i="4" s="1"/>
  <c r="I266" i="4"/>
  <c r="J263" i="4"/>
  <c r="L263" i="4" s="1"/>
  <c r="I263" i="4"/>
  <c r="J260" i="4"/>
  <c r="L260" i="4" s="1"/>
  <c r="I260" i="4"/>
  <c r="J257" i="4"/>
  <c r="L257" i="4" s="1"/>
  <c r="I257" i="4"/>
  <c r="J254" i="4"/>
  <c r="L254" i="4" s="1"/>
  <c r="I254" i="4"/>
  <c r="L251" i="4"/>
  <c r="J251" i="4"/>
  <c r="I251" i="4"/>
  <c r="J248" i="4"/>
  <c r="L248" i="4" s="1"/>
  <c r="I248" i="4"/>
  <c r="J245" i="4"/>
  <c r="L245" i="4" s="1"/>
  <c r="I245" i="4"/>
  <c r="J242" i="4"/>
  <c r="L242" i="4" s="1"/>
  <c r="I242" i="4"/>
  <c r="L239" i="4"/>
  <c r="J239" i="4"/>
  <c r="I239" i="4"/>
  <c r="J236" i="4"/>
  <c r="L236" i="4" s="1"/>
  <c r="I236" i="4"/>
  <c r="J233" i="4"/>
  <c r="L233" i="4" s="1"/>
  <c r="I233" i="4"/>
  <c r="J230" i="4"/>
  <c r="L230" i="4" s="1"/>
  <c r="I230" i="4"/>
  <c r="J227" i="4"/>
  <c r="L227" i="4" s="1"/>
  <c r="I227" i="4"/>
  <c r="J224" i="4"/>
  <c r="L224" i="4" s="1"/>
  <c r="I224" i="4"/>
  <c r="J221" i="4"/>
  <c r="L221" i="4" s="1"/>
  <c r="I221" i="4"/>
  <c r="L218" i="4"/>
  <c r="J218" i="4"/>
  <c r="I218" i="4"/>
  <c r="J215" i="4"/>
  <c r="L215" i="4" s="1"/>
  <c r="I215" i="4"/>
  <c r="J212" i="4"/>
  <c r="L212" i="4" s="1"/>
  <c r="I212" i="4"/>
  <c r="J209" i="4"/>
  <c r="L209" i="4" s="1"/>
  <c r="I209" i="4"/>
  <c r="J206" i="4"/>
  <c r="L206" i="4" s="1"/>
  <c r="I206" i="4"/>
  <c r="J203" i="4"/>
  <c r="L203" i="4" s="1"/>
  <c r="I203" i="4"/>
  <c r="J200" i="4"/>
  <c r="L200" i="4" s="1"/>
  <c r="I200" i="4"/>
  <c r="J197" i="4"/>
  <c r="L197" i="4" s="1"/>
  <c r="I197" i="4"/>
  <c r="J194" i="4"/>
  <c r="L194" i="4" s="1"/>
  <c r="I194" i="4"/>
  <c r="J191" i="4"/>
  <c r="L191" i="4" s="1"/>
  <c r="I191" i="4"/>
  <c r="J188" i="4"/>
  <c r="L188" i="4" s="1"/>
  <c r="I188" i="4"/>
  <c r="L185" i="4"/>
  <c r="J185" i="4"/>
  <c r="I185" i="4"/>
  <c r="J182" i="4"/>
  <c r="L182" i="4" s="1"/>
  <c r="I182" i="4"/>
  <c r="J179" i="4"/>
  <c r="I179" i="4"/>
  <c r="J176" i="4"/>
  <c r="L176" i="4" s="1"/>
  <c r="I176" i="4"/>
  <c r="J173" i="4"/>
  <c r="L173" i="4" s="1"/>
  <c r="I173" i="4"/>
  <c r="J170" i="4"/>
  <c r="L170" i="4" s="1"/>
  <c r="I170" i="4"/>
  <c r="J167" i="4"/>
  <c r="L167" i="4" s="1"/>
  <c r="I167" i="4"/>
  <c r="J164" i="4"/>
  <c r="L164" i="4" s="1"/>
  <c r="I164" i="4"/>
  <c r="J161" i="4"/>
  <c r="L161" i="4" s="1"/>
  <c r="I161" i="4"/>
  <c r="J158" i="4"/>
  <c r="L158" i="4" s="1"/>
  <c r="I158" i="4"/>
  <c r="J155" i="4"/>
  <c r="L155" i="4" s="1"/>
  <c r="I155" i="4"/>
  <c r="L152" i="4"/>
  <c r="J152" i="4"/>
  <c r="I152" i="4"/>
  <c r="J149" i="4"/>
  <c r="L149" i="4" s="1"/>
  <c r="I149" i="4"/>
  <c r="J146" i="4"/>
  <c r="L146" i="4" s="1"/>
  <c r="I146" i="4"/>
  <c r="J143" i="4"/>
  <c r="L143" i="4" s="1"/>
  <c r="I143" i="4"/>
  <c r="J140" i="4"/>
  <c r="L140" i="4" s="1"/>
  <c r="I140" i="4"/>
  <c r="J137" i="4"/>
  <c r="L137" i="4" s="1"/>
  <c r="I137" i="4"/>
  <c r="L134" i="4"/>
  <c r="J134" i="4"/>
  <c r="I134" i="4"/>
  <c r="J131" i="4"/>
  <c r="L131" i="4" s="1"/>
  <c r="I131" i="4"/>
  <c r="J128" i="4"/>
  <c r="L128" i="4" s="1"/>
  <c r="I128" i="4"/>
  <c r="J125" i="4"/>
  <c r="L125" i="4" s="1"/>
  <c r="I125" i="4"/>
  <c r="J122" i="4"/>
  <c r="L122" i="4" s="1"/>
  <c r="I122" i="4"/>
  <c r="J119" i="4"/>
  <c r="L119" i="4" s="1"/>
  <c r="I119" i="4"/>
  <c r="J116" i="4"/>
  <c r="L116" i="4" s="1"/>
  <c r="I116" i="4"/>
  <c r="J113" i="4"/>
  <c r="L113" i="4" s="1"/>
  <c r="I113" i="4"/>
  <c r="J110" i="4"/>
  <c r="I110" i="4"/>
  <c r="J107" i="4"/>
  <c r="I107" i="4"/>
  <c r="J104" i="4"/>
  <c r="I104" i="4"/>
  <c r="J101" i="4"/>
  <c r="I101" i="4"/>
  <c r="J98" i="4"/>
  <c r="I98" i="4"/>
  <c r="J95" i="4"/>
  <c r="L95" i="4" s="1"/>
  <c r="I95" i="4"/>
  <c r="J92" i="4"/>
  <c r="L92" i="4" s="1"/>
  <c r="I92" i="4"/>
  <c r="J89" i="4"/>
  <c r="L89" i="4" s="1"/>
  <c r="I89" i="4"/>
  <c r="L86" i="4"/>
  <c r="J86" i="4"/>
  <c r="I86" i="4"/>
  <c r="J83" i="4"/>
  <c r="L83" i="4" s="1"/>
  <c r="I83" i="4"/>
  <c r="J80" i="4"/>
  <c r="L80" i="4" s="1"/>
  <c r="I80" i="4"/>
  <c r="J77" i="4"/>
  <c r="L77" i="4" s="1"/>
  <c r="I77" i="4"/>
  <c r="J74" i="4"/>
  <c r="L74" i="4" s="1"/>
  <c r="I74" i="4"/>
  <c r="J71" i="4"/>
  <c r="L71" i="4" s="1"/>
  <c r="I71" i="4"/>
  <c r="J68" i="4"/>
  <c r="L68" i="4" s="1"/>
  <c r="I68" i="4"/>
  <c r="J65" i="4"/>
  <c r="L65" i="4" s="1"/>
  <c r="I65" i="4"/>
  <c r="J62" i="4"/>
  <c r="L62" i="4" s="1"/>
  <c r="I62" i="4"/>
  <c r="J59" i="4"/>
  <c r="L59" i="4" s="1"/>
  <c r="I59" i="4"/>
  <c r="J56" i="4"/>
  <c r="L56" i="4" s="1"/>
  <c r="I56" i="4"/>
  <c r="L53" i="4"/>
  <c r="J53" i="4"/>
  <c r="I53" i="4"/>
  <c r="J50" i="4"/>
  <c r="L50" i="4" s="1"/>
  <c r="I50" i="4"/>
  <c r="J47" i="4"/>
  <c r="L47" i="4" s="1"/>
  <c r="I47" i="4"/>
  <c r="J44" i="4"/>
  <c r="L44" i="4" s="1"/>
  <c r="I44" i="4"/>
  <c r="J41" i="4"/>
  <c r="L41" i="4" s="1"/>
  <c r="I41" i="4"/>
  <c r="J38" i="4"/>
  <c r="L38" i="4" s="1"/>
  <c r="I38" i="4"/>
  <c r="J35" i="4"/>
  <c r="L35" i="4" s="1"/>
  <c r="I35" i="4"/>
  <c r="J32" i="4"/>
  <c r="L32" i="4" s="1"/>
  <c r="I32" i="4"/>
  <c r="J29" i="4"/>
  <c r="L29" i="4" s="1"/>
  <c r="I29" i="4"/>
  <c r="J26" i="4"/>
  <c r="L26" i="4" s="1"/>
  <c r="I26" i="4"/>
  <c r="J23" i="4"/>
  <c r="L23" i="4" s="1"/>
  <c r="I23" i="4"/>
  <c r="L20" i="4"/>
  <c r="J20" i="4"/>
  <c r="I20" i="4"/>
  <c r="J17" i="4"/>
  <c r="L17" i="4" s="1"/>
  <c r="I17" i="4"/>
  <c r="J14" i="4"/>
  <c r="L14" i="4" s="1"/>
  <c r="I14" i="4"/>
  <c r="J11" i="4"/>
  <c r="L11" i="4" s="1"/>
  <c r="I11" i="4"/>
  <c r="J8" i="4"/>
  <c r="L8" i="4" s="1"/>
  <c r="I8" i="4"/>
  <c r="J5" i="4"/>
  <c r="L5" i="4" s="1"/>
  <c r="I5" i="4"/>
  <c r="N784" i="5" l="1"/>
  <c r="N787" i="5" s="1"/>
  <c r="N790" i="5" s="1"/>
  <c r="N793" i="5" s="1"/>
  <c r="N796" i="5" s="1"/>
  <c r="N802" i="5" s="1"/>
  <c r="N805" i="5" s="1"/>
  <c r="N808" i="5" s="1"/>
  <c r="N811" i="5" s="1"/>
  <c r="N814" i="5" s="1"/>
  <c r="N853" i="5" s="1"/>
  <c r="N182" i="6"/>
  <c r="N185" i="6" s="1"/>
  <c r="N188" i="6" s="1"/>
  <c r="N191" i="6" s="1"/>
  <c r="N194" i="6" s="1"/>
  <c r="N197" i="6" s="1"/>
  <c r="N200" i="6" s="1"/>
  <c r="N203" i="6" s="1"/>
  <c r="N206" i="6" s="1"/>
  <c r="N209" i="6" s="1"/>
  <c r="N212" i="6" s="1"/>
  <c r="N215" i="6" s="1"/>
  <c r="N218" i="6" s="1"/>
  <c r="N221" i="6" s="1"/>
  <c r="N224" i="6" s="1"/>
  <c r="N227" i="6" s="1"/>
  <c r="N230" i="6" s="1"/>
  <c r="N233" i="6" s="1"/>
  <c r="N236" i="6" s="1"/>
  <c r="N239" i="6" s="1"/>
  <c r="N242" i="6" s="1"/>
  <c r="N245" i="6" s="1"/>
  <c r="N248" i="6" s="1"/>
  <c r="N251" i="6" s="1"/>
  <c r="N254" i="6" s="1"/>
  <c r="N257" i="6" s="1"/>
  <c r="N260" i="6" s="1"/>
  <c r="N263" i="6" s="1"/>
  <c r="N266" i="6" s="1"/>
  <c r="N269" i="6" s="1"/>
  <c r="N272" i="6" s="1"/>
  <c r="N275" i="6" s="1"/>
  <c r="N278" i="6" s="1"/>
  <c r="N281" i="6" s="1"/>
  <c r="N284" i="6" s="1"/>
  <c r="N287" i="6" s="1"/>
  <c r="N290" i="6" s="1"/>
  <c r="N293" i="6" s="1"/>
  <c r="N296" i="6" s="1"/>
  <c r="N299" i="6" s="1"/>
  <c r="N302" i="6" s="1"/>
  <c r="N305" i="6" s="1"/>
  <c r="N308" i="6" s="1"/>
  <c r="N311" i="6" s="1"/>
  <c r="N314" i="6" s="1"/>
  <c r="N317" i="6" s="1"/>
  <c r="N320" i="6" s="1"/>
  <c r="N323" i="6" s="1"/>
  <c r="N326" i="6" s="1"/>
  <c r="N329" i="6" s="1"/>
  <c r="N332" i="6" s="1"/>
  <c r="N335" i="6" s="1"/>
  <c r="N338" i="6" s="1"/>
  <c r="N341" i="6" s="1"/>
  <c r="N344" i="6" s="1"/>
  <c r="N347" i="6" s="1"/>
  <c r="N350" i="6" s="1"/>
  <c r="N353" i="6" s="1"/>
  <c r="N356" i="6" s="1"/>
  <c r="N359" i="6" s="1"/>
  <c r="N362" i="6" s="1"/>
  <c r="N365" i="6" s="1"/>
  <c r="N368" i="6" s="1"/>
  <c r="N371" i="6" s="1"/>
  <c r="AA179" i="7"/>
  <c r="AA182" i="7" s="1"/>
  <c r="AA185" i="7" s="1"/>
  <c r="AA188" i="7" s="1"/>
  <c r="AA191" i="7" s="1"/>
  <c r="AA194" i="7" s="1"/>
  <c r="AA197" i="7" s="1"/>
  <c r="AA200" i="7" s="1"/>
  <c r="AA203" i="7" s="1"/>
  <c r="AA206" i="7" s="1"/>
  <c r="AA209" i="7" s="1"/>
  <c r="AA212" i="7" s="1"/>
  <c r="AA215" i="7" s="1"/>
  <c r="AA218" i="7" s="1"/>
  <c r="AA221" i="7" s="1"/>
  <c r="AA224" i="7" s="1"/>
  <c r="AA227" i="7" s="1"/>
  <c r="AA230" i="7" s="1"/>
  <c r="AA233" i="7" s="1"/>
  <c r="AA236" i="7" s="1"/>
  <c r="AA239" i="7" s="1"/>
  <c r="AA242" i="7" s="1"/>
  <c r="AA245" i="7" s="1"/>
  <c r="AA248" i="7" s="1"/>
  <c r="AA251" i="7" s="1"/>
  <c r="AA254" i="7" s="1"/>
  <c r="AA257" i="7" s="1"/>
  <c r="AA260" i="7" s="1"/>
  <c r="AA263" i="7" s="1"/>
  <c r="AA266" i="7" s="1"/>
  <c r="AA269" i="7" s="1"/>
  <c r="AA272" i="7" s="1"/>
  <c r="AA275" i="7" s="1"/>
  <c r="AA278" i="7" s="1"/>
  <c r="AA281" i="7" s="1"/>
  <c r="AA284" i="7" s="1"/>
  <c r="AA287" i="7" s="1"/>
  <c r="AA290" i="7" s="1"/>
  <c r="AA293" i="7" s="1"/>
  <c r="AA296" i="7" s="1"/>
  <c r="AA299" i="7" s="1"/>
  <c r="AA302" i="7" s="1"/>
  <c r="AA305" i="7" s="1"/>
  <c r="AA308" i="7" s="1"/>
  <c r="AA311" i="7" s="1"/>
  <c r="AA314" i="7" s="1"/>
  <c r="AA317" i="7" s="1"/>
  <c r="AA320" i="7" s="1"/>
  <c r="AA323" i="7" s="1"/>
  <c r="AA326" i="7" s="1"/>
  <c r="AA329" i="7" s="1"/>
  <c r="AA332" i="7" s="1"/>
  <c r="AA335" i="7" s="1"/>
  <c r="AA338" i="7" s="1"/>
  <c r="AA341" i="7" s="1"/>
  <c r="AA344" i="7" s="1"/>
  <c r="AA347" i="7" s="1"/>
  <c r="AA350" i="7" s="1"/>
  <c r="AA353" i="7" s="1"/>
  <c r="AA356" i="7" s="1"/>
  <c r="AA359" i="7" s="1"/>
  <c r="AA362" i="7" s="1"/>
  <c r="AA365" i="7" s="1"/>
  <c r="AA368" i="7" s="1"/>
  <c r="AA371" i="7" s="1"/>
  <c r="AA375" i="7" s="1"/>
  <c r="AA378" i="7" s="1"/>
  <c r="AA381" i="7" s="1"/>
  <c r="AA384" i="7" s="1"/>
  <c r="AA387" i="7" s="1"/>
  <c r="AA390" i="7" s="1"/>
  <c r="AA393" i="7" s="1"/>
  <c r="AA396" i="7" s="1"/>
  <c r="AA400" i="7" s="1"/>
  <c r="AA403" i="7" s="1"/>
  <c r="AA407" i="7" s="1"/>
  <c r="AA410" i="7" s="1"/>
  <c r="AA413" i="7" s="1"/>
  <c r="AA416" i="7" s="1"/>
  <c r="AA419" i="7" s="1"/>
  <c r="AA423" i="7" s="1"/>
  <c r="AA426" i="7" s="1"/>
  <c r="AA429" i="7" s="1"/>
  <c r="AA432" i="7" s="1"/>
  <c r="AA435" i="7" s="1"/>
  <c r="AA438" i="7" s="1"/>
  <c r="AA441" i="7" s="1"/>
  <c r="AA445" i="7" s="1"/>
  <c r="AA448" i="7" s="1"/>
  <c r="AA451" i="7" s="1"/>
  <c r="AA454" i="7" s="1"/>
  <c r="AA457" i="7" s="1"/>
  <c r="AA460" i="7" s="1"/>
  <c r="AA463" i="7" s="1"/>
  <c r="AA466" i="7" s="1"/>
  <c r="AA469" i="7" s="1"/>
  <c r="AA472" i="7" s="1"/>
  <c r="AA475" i="7" s="1"/>
  <c r="AA479" i="7" s="1"/>
  <c r="AA482" i="7" s="1"/>
  <c r="AA486" i="7" s="1"/>
  <c r="AA489" i="7" s="1"/>
  <c r="AA492" i="7" s="1"/>
  <c r="AA495" i="7" s="1"/>
  <c r="AA498" i="7" s="1"/>
  <c r="AA501" i="7" s="1"/>
  <c r="AA504" i="7" s="1"/>
  <c r="AA507" i="7" s="1"/>
  <c r="AA511" i="7" s="1"/>
  <c r="AA515" i="7" s="1"/>
  <c r="AA518" i="7" s="1"/>
  <c r="AA521" i="7" s="1"/>
  <c r="AA524" i="7" s="1"/>
  <c r="AA527" i="7" s="1"/>
  <c r="AA530" i="7" s="1"/>
  <c r="AA533" i="7" s="1"/>
  <c r="AA536" i="7" s="1"/>
  <c r="AA540" i="7" s="1"/>
  <c r="AA543" i="7" s="1"/>
  <c r="AA546" i="7" s="1"/>
  <c r="AA549" i="7" s="1"/>
  <c r="AA552" i="7" s="1"/>
  <c r="AA556" i="7" s="1"/>
  <c r="AA559" i="7" s="1"/>
  <c r="AA565" i="7" s="1"/>
  <c r="AA571" i="7" s="1"/>
  <c r="AA574" i="7" s="1"/>
  <c r="AA577" i="7" s="1"/>
  <c r="AA580" i="7" s="1"/>
  <c r="AA583" i="7" s="1"/>
  <c r="AA586" i="7" s="1"/>
  <c r="AA589" i="7" s="1"/>
  <c r="AA592" i="7" s="1"/>
  <c r="AA595" i="7" s="1"/>
  <c r="AA598" i="7" s="1"/>
  <c r="AA601" i="7" s="1"/>
  <c r="AA604" i="7" s="1"/>
  <c r="AA607" i="7" s="1"/>
  <c r="AA610" i="7" s="1"/>
  <c r="AA613" i="7" s="1"/>
  <c r="AA616" i="7" s="1"/>
  <c r="AA619" i="7" s="1"/>
  <c r="AA622" i="7" s="1"/>
  <c r="AA625" i="7" s="1"/>
  <c r="AA628" i="7" s="1"/>
  <c r="AA631" i="7" s="1"/>
  <c r="AA634" i="7" s="1"/>
  <c r="AA643" i="7" s="1"/>
  <c r="AA646" i="7" s="1"/>
  <c r="AA649" i="7" s="1"/>
  <c r="AA652" i="7" s="1"/>
  <c r="AA655" i="7" s="1"/>
  <c r="AA661" i="7" s="1"/>
  <c r="AA667" i="7" s="1"/>
  <c r="AA670" i="7" s="1"/>
  <c r="AA673" i="7" s="1"/>
  <c r="AA676" i="7" s="1"/>
  <c r="AA679" i="7" s="1"/>
  <c r="AA682" i="7" s="1"/>
  <c r="AA685" i="7" s="1"/>
  <c r="AA688" i="7" s="1"/>
  <c r="AA691" i="7" s="1"/>
  <c r="AA694" i="7" s="1"/>
  <c r="AA697" i="7" s="1"/>
  <c r="AA700" i="7" s="1"/>
  <c r="AA715" i="7" s="1"/>
  <c r="AA718" i="7" s="1"/>
  <c r="AA721" i="7" s="1"/>
  <c r="AA724" i="7" s="1"/>
  <c r="AA727" i="7" s="1"/>
  <c r="AA736" i="7" s="1"/>
  <c r="AA742" i="7" s="1"/>
  <c r="L47" i="5"/>
  <c r="L167" i="5"/>
  <c r="L410" i="5"/>
  <c r="L435" i="5"/>
  <c r="L359" i="5"/>
  <c r="L80" i="5"/>
  <c r="L191" i="5"/>
  <c r="L384" i="5"/>
  <c r="L71" i="5"/>
  <c r="L215" i="5"/>
  <c r="L8" i="5"/>
  <c r="L239" i="5"/>
  <c r="L95" i="5"/>
  <c r="L263" i="5"/>
  <c r="L32" i="5"/>
  <c r="L287" i="5"/>
  <c r="L486" i="5"/>
  <c r="L23" i="5"/>
  <c r="L119" i="5"/>
  <c r="L311" i="5"/>
  <c r="L511" i="5"/>
  <c r="L32" i="6"/>
  <c r="L224" i="6"/>
  <c r="L305" i="6"/>
  <c r="L65" i="6"/>
  <c r="L176" i="6"/>
  <c r="L368" i="6"/>
  <c r="L454" i="6"/>
  <c r="L56" i="6"/>
  <c r="L137" i="6"/>
  <c r="L248" i="6"/>
  <c r="L329" i="6"/>
  <c r="L445" i="6"/>
  <c r="L511" i="6"/>
  <c r="L419" i="6"/>
  <c r="L104" i="6"/>
  <c r="L185" i="6"/>
  <c r="L378" i="6"/>
  <c r="L486" i="6"/>
  <c r="L257" i="6"/>
  <c r="L17" i="6"/>
  <c r="L128" i="6"/>
  <c r="L209" i="6"/>
  <c r="L320" i="6"/>
  <c r="L403" i="6"/>
  <c r="L546" i="6"/>
  <c r="L113" i="6"/>
  <c r="L495" i="6"/>
  <c r="L296" i="6"/>
  <c r="L521" i="6"/>
  <c r="L8" i="6"/>
  <c r="L89" i="6"/>
  <c r="Q515" i="3"/>
  <c r="R515" i="3"/>
  <c r="Q479" i="3"/>
  <c r="R479" i="3"/>
  <c r="Q443" i="3"/>
  <c r="Q565" i="3" s="1"/>
  <c r="V565" i="3" s="1"/>
  <c r="R443" i="3"/>
  <c r="R565" i="3" s="1"/>
  <c r="Q407" i="3"/>
  <c r="Q564" i="3" s="1"/>
  <c r="R407" i="3"/>
  <c r="Q371" i="3"/>
  <c r="R371" i="3"/>
  <c r="Q335" i="3"/>
  <c r="R335" i="3"/>
  <c r="R562" i="3" s="1"/>
  <c r="Q299" i="3"/>
  <c r="Q561" i="3" s="1"/>
  <c r="V561" i="3" s="1"/>
  <c r="R299" i="3"/>
  <c r="R561" i="3" s="1"/>
  <c r="Q263" i="3"/>
  <c r="Q560" i="3" s="1"/>
  <c r="R263" i="3"/>
  <c r="R560" i="3" s="1"/>
  <c r="Q227" i="3"/>
  <c r="R227" i="3"/>
  <c r="R559" i="3" s="1"/>
  <c r="Q191" i="3"/>
  <c r="Q558" i="3" s="1"/>
  <c r="V558" i="3" s="1"/>
  <c r="R191" i="3"/>
  <c r="R558" i="3" s="1"/>
  <c r="Q155" i="3"/>
  <c r="Q557" i="3" s="1"/>
  <c r="V557" i="3" s="1"/>
  <c r="R155" i="3"/>
  <c r="R557" i="3" s="1"/>
  <c r="Q119" i="3"/>
  <c r="Q556" i="3" s="1"/>
  <c r="R119" i="3"/>
  <c r="R556" i="3" s="1"/>
  <c r="Q83" i="3"/>
  <c r="Q555" i="3" s="1"/>
  <c r="Q47" i="3"/>
  <c r="Q554" i="3" s="1"/>
  <c r="Q11" i="3"/>
  <c r="Q553" i="3" s="1"/>
  <c r="V553" i="3" s="1"/>
  <c r="Q2" i="3"/>
  <c r="Q552" i="3" s="1"/>
  <c r="R552" i="3"/>
  <c r="R553" i="3"/>
  <c r="R554" i="3"/>
  <c r="R555" i="3"/>
  <c r="Q559" i="3"/>
  <c r="V559" i="3" s="1"/>
  <c r="Q562" i="3"/>
  <c r="Q563" i="3"/>
  <c r="V563" i="3" s="1"/>
  <c r="R563" i="3"/>
  <c r="R564" i="3"/>
  <c r="Q566" i="3"/>
  <c r="R566" i="3"/>
  <c r="Q567" i="3"/>
  <c r="V567" i="3" s="1"/>
  <c r="R567" i="3"/>
  <c r="P515" i="3"/>
  <c r="P567" i="3" s="1"/>
  <c r="U567" i="3" s="1"/>
  <c r="O515" i="3"/>
  <c r="O567" i="3" s="1"/>
  <c r="T567" i="3" s="1"/>
  <c r="N515" i="3"/>
  <c r="N567" i="3" s="1"/>
  <c r="S567" i="3" s="1"/>
  <c r="M515" i="3"/>
  <c r="M567" i="3" s="1"/>
  <c r="P479" i="3"/>
  <c r="P566" i="3" s="1"/>
  <c r="O479" i="3"/>
  <c r="O566" i="3" s="1"/>
  <c r="N479" i="3"/>
  <c r="N566" i="3" s="1"/>
  <c r="M479" i="3"/>
  <c r="M566" i="3" s="1"/>
  <c r="P443" i="3"/>
  <c r="P565" i="3" s="1"/>
  <c r="U565" i="3" s="1"/>
  <c r="O443" i="3"/>
  <c r="O565" i="3" s="1"/>
  <c r="T565" i="3" s="1"/>
  <c r="N443" i="3"/>
  <c r="N565" i="3" s="1"/>
  <c r="S565" i="3" s="1"/>
  <c r="M443" i="3"/>
  <c r="M565" i="3" s="1"/>
  <c r="P407" i="3"/>
  <c r="P564" i="3" s="1"/>
  <c r="O407" i="3"/>
  <c r="O564" i="3" s="1"/>
  <c r="N407" i="3"/>
  <c r="N564" i="3" s="1"/>
  <c r="M407" i="3"/>
  <c r="M564" i="3" s="1"/>
  <c r="P371" i="3"/>
  <c r="P563" i="3" s="1"/>
  <c r="U563" i="3" s="1"/>
  <c r="O371" i="3"/>
  <c r="O563" i="3" s="1"/>
  <c r="T563" i="3" s="1"/>
  <c r="N371" i="3"/>
  <c r="N563" i="3" s="1"/>
  <c r="S563" i="3" s="1"/>
  <c r="M371" i="3"/>
  <c r="M563" i="3" s="1"/>
  <c r="P335" i="3"/>
  <c r="P562" i="3" s="1"/>
  <c r="O335" i="3"/>
  <c r="O562" i="3" s="1"/>
  <c r="N335" i="3"/>
  <c r="N562" i="3" s="1"/>
  <c r="M335" i="3"/>
  <c r="M562" i="3" s="1"/>
  <c r="P299" i="3"/>
  <c r="P561" i="3" s="1"/>
  <c r="U561" i="3" s="1"/>
  <c r="O299" i="3"/>
  <c r="O561" i="3" s="1"/>
  <c r="T561" i="3" s="1"/>
  <c r="N299" i="3"/>
  <c r="N561" i="3" s="1"/>
  <c r="S561" i="3" s="1"/>
  <c r="M299" i="3"/>
  <c r="M561" i="3" s="1"/>
  <c r="P263" i="3"/>
  <c r="P560" i="3" s="1"/>
  <c r="O263" i="3"/>
  <c r="O560" i="3" s="1"/>
  <c r="N263" i="3"/>
  <c r="N560" i="3" s="1"/>
  <c r="M263" i="3"/>
  <c r="M560" i="3" s="1"/>
  <c r="P227" i="3"/>
  <c r="P559" i="3" s="1"/>
  <c r="U559" i="3" s="1"/>
  <c r="O227" i="3"/>
  <c r="O559" i="3" s="1"/>
  <c r="T559" i="3" s="1"/>
  <c r="N227" i="3"/>
  <c r="N559" i="3" s="1"/>
  <c r="S559" i="3" s="1"/>
  <c r="M227" i="3"/>
  <c r="M559" i="3" s="1"/>
  <c r="P191" i="3"/>
  <c r="P558" i="3" s="1"/>
  <c r="O191" i="3"/>
  <c r="O558" i="3" s="1"/>
  <c r="N191" i="3"/>
  <c r="N558" i="3" s="1"/>
  <c r="M191" i="3"/>
  <c r="M558" i="3" s="1"/>
  <c r="P155" i="3"/>
  <c r="P557" i="3" s="1"/>
  <c r="U557" i="3" s="1"/>
  <c r="O155" i="3"/>
  <c r="O557" i="3" s="1"/>
  <c r="T557" i="3" s="1"/>
  <c r="N155" i="3"/>
  <c r="N557" i="3" s="1"/>
  <c r="M155" i="3"/>
  <c r="M557" i="3" s="1"/>
  <c r="P119" i="3"/>
  <c r="P556" i="3" s="1"/>
  <c r="O119" i="3"/>
  <c r="O556" i="3" s="1"/>
  <c r="N119" i="3"/>
  <c r="N556" i="3" s="1"/>
  <c r="M119" i="3"/>
  <c r="M556" i="3" s="1"/>
  <c r="P83" i="3"/>
  <c r="P555" i="3" s="1"/>
  <c r="U555" i="3" s="1"/>
  <c r="O83" i="3"/>
  <c r="O555" i="3" s="1"/>
  <c r="T555" i="3" s="1"/>
  <c r="N83" i="3"/>
  <c r="N555" i="3" s="1"/>
  <c r="M83" i="3"/>
  <c r="M555" i="3" s="1"/>
  <c r="P47" i="3"/>
  <c r="P554" i="3" s="1"/>
  <c r="O47" i="3"/>
  <c r="O554" i="3" s="1"/>
  <c r="N47" i="3"/>
  <c r="N554" i="3" s="1"/>
  <c r="M47" i="3"/>
  <c r="M554" i="3" s="1"/>
  <c r="P11" i="3"/>
  <c r="P553" i="3" s="1"/>
  <c r="U553" i="3" s="1"/>
  <c r="O11" i="3"/>
  <c r="O553" i="3" s="1"/>
  <c r="T553" i="3" s="1"/>
  <c r="N11" i="3"/>
  <c r="N553" i="3" s="1"/>
  <c r="M11" i="3"/>
  <c r="M553" i="3" s="1"/>
  <c r="P2" i="3"/>
  <c r="P552" i="3" s="1"/>
  <c r="O2" i="3"/>
  <c r="O552" i="3" s="1"/>
  <c r="N2" i="3"/>
  <c r="N552" i="3" s="1"/>
  <c r="M2" i="3"/>
  <c r="M552" i="3" s="1"/>
  <c r="N375" i="6" l="1"/>
  <c r="N378" i="6" s="1"/>
  <c r="N381" i="6" s="1"/>
  <c r="N384" i="6" s="1"/>
  <c r="N387" i="6" s="1"/>
  <c r="N390" i="6" s="1"/>
  <c r="N393" i="6" s="1"/>
  <c r="N396" i="6" s="1"/>
  <c r="S558" i="3"/>
  <c r="S564" i="3"/>
  <c r="S566" i="3"/>
  <c r="V562" i="3"/>
  <c r="T552" i="3"/>
  <c r="T558" i="3"/>
  <c r="T564" i="3"/>
  <c r="V556" i="3"/>
  <c r="V560" i="3"/>
  <c r="V564" i="3"/>
  <c r="S554" i="3"/>
  <c r="S560" i="3"/>
  <c r="T554" i="3"/>
  <c r="T560" i="3"/>
  <c r="T566" i="3"/>
  <c r="V552" i="3"/>
  <c r="U554" i="3"/>
  <c r="U558" i="3"/>
  <c r="U562" i="3"/>
  <c r="U564" i="3"/>
  <c r="V566" i="3"/>
  <c r="V554" i="3"/>
  <c r="S552" i="3"/>
  <c r="S556" i="3"/>
  <c r="S562" i="3"/>
  <c r="T556" i="3"/>
  <c r="T562" i="3"/>
  <c r="U552" i="3"/>
  <c r="U556" i="3"/>
  <c r="U560" i="3"/>
  <c r="U566" i="3"/>
  <c r="S553" i="3"/>
  <c r="S555" i="3"/>
  <c r="S557" i="3"/>
  <c r="V555" i="3"/>
  <c r="N400" i="6" l="1"/>
  <c r="N403" i="6" s="1"/>
  <c r="N407" i="6" s="1"/>
  <c r="N410" i="6" s="1"/>
  <c r="N413" i="6" s="1"/>
  <c r="N416" i="6" s="1"/>
  <c r="N419" i="6" s="1"/>
  <c r="N423" i="6" s="1"/>
  <c r="N426" i="6" s="1"/>
  <c r="N429" i="6" s="1"/>
  <c r="N432" i="6" s="1"/>
  <c r="N435" i="6" s="1"/>
  <c r="N438" i="6" s="1"/>
  <c r="N441" i="6" s="1"/>
  <c r="N445" i="6" s="1"/>
  <c r="N448" i="6" s="1"/>
  <c r="N451" i="6" s="1"/>
  <c r="N454" i="6" s="1"/>
  <c r="N457" i="6" s="1"/>
  <c r="N460" i="6" s="1"/>
  <c r="N463" i="6" s="1"/>
  <c r="N466" i="6" s="1"/>
  <c r="N469" i="6" s="1"/>
  <c r="N472" i="6" s="1"/>
  <c r="N475" i="6" s="1"/>
  <c r="N479" i="6" s="1"/>
  <c r="N482" i="6" s="1"/>
  <c r="N486" i="6" s="1"/>
  <c r="N489" i="6" s="1"/>
  <c r="N492" i="6" s="1"/>
  <c r="N495" i="6" s="1"/>
  <c r="N498" i="6" s="1"/>
  <c r="N501" i="6" s="1"/>
  <c r="N504" i="6" s="1"/>
  <c r="N507" i="6" s="1"/>
  <c r="N511" i="6" s="1"/>
  <c r="N515" i="6" s="1"/>
  <c r="N518" i="6" s="1"/>
  <c r="N521" i="6" s="1"/>
  <c r="N524" i="6" s="1"/>
  <c r="N527" i="6" s="1"/>
  <c r="N530" i="6" s="1"/>
  <c r="N533" i="6" s="1"/>
  <c r="N536" i="6" s="1"/>
  <c r="N540" i="6" s="1"/>
  <c r="N543" i="6" s="1"/>
  <c r="N546" i="6" s="1"/>
  <c r="N549" i="6" s="1"/>
  <c r="N552" i="6" s="1"/>
  <c r="N556" i="6" s="1"/>
  <c r="N559" i="6" s="1"/>
  <c r="N565" i="6" s="1"/>
  <c r="N571" i="6" s="1"/>
  <c r="N574" i="6" s="1"/>
  <c r="N577" i="6" s="1"/>
  <c r="N580" i="6" s="1"/>
  <c r="N583" i="6" s="1"/>
  <c r="N586" i="6" s="1"/>
  <c r="N589" i="6" s="1"/>
  <c r="N592" i="6" s="1"/>
  <c r="N595" i="6" s="1"/>
  <c r="N598" i="6" s="1"/>
  <c r="N601" i="6" s="1"/>
  <c r="N604" i="6" s="1"/>
  <c r="N607" i="6" s="1"/>
  <c r="N610" i="6" s="1"/>
  <c r="N613" i="6" s="1"/>
  <c r="N616" i="6" s="1"/>
  <c r="N619" i="6" s="1"/>
  <c r="N622" i="6" s="1"/>
  <c r="N625" i="6" s="1"/>
  <c r="N628" i="6" s="1"/>
  <c r="N631" i="6" s="1"/>
  <c r="N634" i="6" s="1"/>
  <c r="N643" i="6" s="1"/>
  <c r="N646" i="6" s="1"/>
  <c r="N649" i="6" s="1"/>
  <c r="N652" i="6" s="1"/>
  <c r="N655" i="6" s="1"/>
  <c r="N661" i="6" s="1"/>
  <c r="N667" i="6" s="1"/>
  <c r="N670" i="6" s="1"/>
  <c r="N673" i="6" s="1"/>
  <c r="N676" i="6" s="1"/>
  <c r="N679" i="6" s="1"/>
  <c r="N682" i="6" s="1"/>
  <c r="N685" i="6" s="1"/>
  <c r="N688" i="6" s="1"/>
  <c r="N691" i="6" s="1"/>
  <c r="N694" i="6" s="1"/>
  <c r="N697" i="6" s="1"/>
  <c r="N700" i="6" s="1"/>
  <c r="N715" i="6" s="1"/>
  <c r="N718" i="6" s="1"/>
  <c r="N721" i="6" s="1"/>
  <c r="N724" i="6" s="1"/>
  <c r="N727" i="6" s="1"/>
  <c r="N736" i="6" s="1"/>
  <c r="N742" i="6" s="1"/>
  <c r="N748" i="6" s="1"/>
  <c r="N760" i="6" s="1"/>
</calcChain>
</file>

<file path=xl/sharedStrings.xml><?xml version="1.0" encoding="utf-8"?>
<sst xmlns="http://schemas.openxmlformats.org/spreadsheetml/2006/main" count="5287" uniqueCount="101">
  <si>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</si>
  <si>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</si>
  <si>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</si>
  <si>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</si>
  <si>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</si>
  <si>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</si>
  <si>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</si>
  <si>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</si>
  <si>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</si>
  <si>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</si>
  <si>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</si>
  <si>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</si>
  <si>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</si>
  <si>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</si>
  <si>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</si>
  <si>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</si>
  <si>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</si>
  <si>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</si>
  <si>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</si>
  <si>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</si>
  <si>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</si>
  <si>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</si>
  <si>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</si>
  <si>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</si>
  <si>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</si>
  <si>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</si>
  <si>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</si>
  <si>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</si>
  <si>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</si>
  <si>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</si>
  <si>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</si>
  <si>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</si>
  <si>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</si>
  <si>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</si>
  <si>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</si>
  <si>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</si>
  <si>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</si>
  <si>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</si>
  <si>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</si>
  <si>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</si>
  <si>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</si>
  <si>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</si>
  <si>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Average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</si>
  <si>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</si>
  <si>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</si>
  <si>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</si>
  <si>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</si>
  <si>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</si>
  <si>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</si>
  <si>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</si>
  <si>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</si>
  <si>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</si>
  <si>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</si>
  <si>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</si>
  <si>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</si>
  <si>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</si>
  <si>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</si>
  <si>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</si>
  <si>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</si>
  <si>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</si>
  <si>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</si>
  <si>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</si>
  <si>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</si>
  <si>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</si>
  <si>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</si>
  <si>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</si>
  <si>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</si>
  <si>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</si>
  <si>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</si>
  <si>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</si>
  <si>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</si>
  <si>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</si>
  <si>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</si>
  <si>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</si>
  <si>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</si>
  <si>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</si>
  <si>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</si>
  <si>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dup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</si>
  <si>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</si>
  <si>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</si>
  <si>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</si>
  <si>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</si>
  <si>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</si>
  <si>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zea/chl</t>
  </si>
  <si>
    <t>fuco/CHL</t>
  </si>
  <si>
    <t>butfuco/chl</t>
  </si>
  <si>
    <t>z score</t>
  </si>
  <si>
    <t>CUSUM</t>
  </si>
  <si>
    <t>peridin</t>
  </si>
  <si>
    <t>perid/chl</t>
  </si>
  <si>
    <t>mean</t>
  </si>
  <si>
    <t>stdev</t>
  </si>
  <si>
    <t>CHLOROPHYLL</t>
  </si>
  <si>
    <t>remaining</t>
  </si>
  <si>
    <t>dates unavail.</t>
  </si>
  <si>
    <t>values in</t>
  </si>
  <si>
    <t>2022 not yet</t>
  </si>
  <si>
    <t>available</t>
  </si>
  <si>
    <t>unassigned</t>
  </si>
  <si>
    <t>values in July</t>
  </si>
  <si>
    <t>graphs not updated for 2020-2024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</si>
</sst>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name val="Helv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sz val="10"/>
      <name val="Geneva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96">
    <xf numFmtId="0" fontId="0" fillId="0" borderId="0" xfId="0"/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64" fontId="4" fillId="2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0" fillId="0" borderId="0" xfId="0" applyNumberFormat="1"/>
    <xf numFmtId="164" fontId="0" fillId="3" borderId="0" xfId="0" applyNumberFormat="1" applyFill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4" fontId="2" fillId="0" borderId="0" xfId="1" applyNumberFormat="1"/>
    <xf numFmtId="164" fontId="2" fillId="0" borderId="2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1" fillId="5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49" fontId="0" fillId="0" borderId="0" xfId="0" applyNumberFormat="1"/>
    <xf numFmtId="2" fontId="0" fillId="0" borderId="0" xfId="0" applyNumberFormat="1"/>
    <xf numFmtId="0" fontId="0" fillId="6" borderId="0" xfId="0" applyFill="1" applyAlignment="1">
      <alignment horizontal="right"/>
    </xf>
    <xf numFmtId="164" fontId="2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left"/>
    </xf>
    <xf numFmtId="164" fontId="2" fillId="0" borderId="0" xfId="0" applyNumberFormat="1" applyFont="1" applyAlignment="1" applyProtection="1">
      <alignment horizontal="center"/>
      <protection locked="0"/>
    </xf>
    <xf numFmtId="164" fontId="2" fillId="6" borderId="0" xfId="0" applyNumberFormat="1" applyFont="1" applyFill="1" applyAlignment="1" applyProtection="1">
      <alignment horizontal="center"/>
      <protection locked="0"/>
    </xf>
    <xf numFmtId="164" fontId="2" fillId="0" borderId="0" xfId="0" applyNumberFormat="1" applyFont="1"/>
    <xf numFmtId="0" fontId="2" fillId="6" borderId="0" xfId="0" applyFont="1" applyFill="1"/>
    <xf numFmtId="164" fontId="2" fillId="6" borderId="0" xfId="0" applyNumberFormat="1" applyFont="1" applyFill="1"/>
    <xf numFmtId="164" fontId="0" fillId="6" borderId="0" xfId="0" applyNumberFormat="1" applyFill="1"/>
    <xf numFmtId="164" fontId="3" fillId="0" borderId="0" xfId="0" applyNumberFormat="1" applyFont="1" applyAlignment="1">
      <alignment horizontal="right" vertical="center"/>
    </xf>
    <xf numFmtId="14" fontId="0" fillId="6" borderId="0" xfId="0" applyNumberFormat="1" applyFill="1"/>
    <xf numFmtId="164" fontId="3" fillId="6" borderId="0" xfId="0" applyNumberFormat="1" applyFont="1" applyFill="1" applyAlignment="1">
      <alignment horizontal="right" vertical="center"/>
    </xf>
    <xf numFmtId="164" fontId="0" fillId="6" borderId="0" xfId="0" applyNumberFormat="1" applyFill="1" applyAlignment="1">
      <alignment horizontal="center"/>
    </xf>
    <xf numFmtId="14" fontId="2" fillId="6" borderId="0" xfId="0" applyNumberFormat="1" applyFont="1" applyFill="1"/>
    <xf numFmtId="164" fontId="2" fillId="6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3" fillId="6" borderId="0" xfId="0" applyNumberFormat="1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164" fontId="8" fillId="0" borderId="4" xfId="2" applyNumberFormat="1" applyFont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164" fontId="8" fillId="0" borderId="0" xfId="2" applyNumberFormat="1" applyFont="1" applyAlignment="1">
      <alignment horizontal="center" vertical="center" wrapText="1"/>
    </xf>
    <xf numFmtId="164" fontId="11" fillId="5" borderId="5" xfId="0" applyNumberFormat="1" applyFont="1" applyFill="1" applyBorder="1" applyAlignment="1">
      <alignment horizontal="center" vertical="center" wrapText="1"/>
    </xf>
    <xf numFmtId="164" fontId="13" fillId="7" borderId="0" xfId="0" applyNumberFormat="1" applyFont="1" applyFill="1" applyAlignment="1">
      <alignment horizontal="center"/>
    </xf>
    <xf numFmtId="164" fontId="11" fillId="5" borderId="6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7" fillId="0" borderId="0" xfId="0" applyNumberFormat="1" applyFont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0" xfId="1" applyNumberFormat="1"/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14" fillId="0" borderId="7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166" fontId="0" fillId="8" borderId="0" xfId="0" applyNumberFormat="1" applyFill="1" applyAlignment="1">
      <alignment horizontal="center"/>
    </xf>
    <xf numFmtId="0" fontId="0" fillId="8" borderId="0" xfId="0" applyFill="1"/>
    <xf numFmtId="0" fontId="2" fillId="8" borderId="0" xfId="0" applyFont="1" applyFill="1" applyAlignment="1">
      <alignment horizontal="left"/>
    </xf>
    <xf numFmtId="0" fontId="2" fillId="8" borderId="0" xfId="0" applyFont="1" applyFill="1"/>
    <xf numFmtId="0" fontId="0" fillId="9" borderId="0" xfId="0" applyFill="1"/>
    <xf numFmtId="0" fontId="0" fillId="8" borderId="0" xfId="0" applyFill="1" applyAlignment="1">
      <alignment horizontal="right"/>
    </xf>
    <xf numFmtId="164" fontId="15" fillId="0" borderId="2" xfId="0" applyNumberFormat="1" applyFont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0" fillId="2" borderId="0" xfId="0" applyNumberFormat="1" applyFill="1"/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'Zea update'!$N$5:$N$742</c:f>
              <c:numCache>
                <c:formatCode>General</c:formatCode>
                <c:ptCount val="738"/>
                <c:pt idx="0">
                  <c:v>-0.40073992900705457</c:v>
                </c:pt>
                <c:pt idx="3">
                  <c:v>-1.2617781277721214</c:v>
                </c:pt>
                <c:pt idx="6">
                  <c:v>-2.2246385579693655</c:v>
                </c:pt>
                <c:pt idx="9">
                  <c:v>-3.0812294927319623</c:v>
                </c:pt>
                <c:pt idx="12">
                  <c:v>-3.8582612349148868</c:v>
                </c:pt>
                <c:pt idx="15">
                  <c:v>-4.4000363206776747</c:v>
                </c:pt>
                <c:pt idx="18">
                  <c:v>-5.3564702354272864</c:v>
                </c:pt>
                <c:pt idx="21">
                  <c:v>-5.6864961582580804</c:v>
                </c:pt>
                <c:pt idx="24">
                  <c:v>-5.1790444258776613</c:v>
                </c:pt>
                <c:pt idx="27">
                  <c:v>-5.786535923580626</c:v>
                </c:pt>
                <c:pt idx="30">
                  <c:v>-5.4613629674509907</c:v>
                </c:pt>
                <c:pt idx="33">
                  <c:v>-4.8185509000297877</c:v>
                </c:pt>
                <c:pt idx="36">
                  <c:v>-5.7260617760365804</c:v>
                </c:pt>
                <c:pt idx="39">
                  <c:v>-6.7481073123771598</c:v>
                </c:pt>
                <c:pt idx="42">
                  <c:v>-7.4729834914643849</c:v>
                </c:pt>
                <c:pt idx="45">
                  <c:v>-8.4950290278049643</c:v>
                </c:pt>
                <c:pt idx="48">
                  <c:v>-9.1177532870676732</c:v>
                </c:pt>
                <c:pt idx="51">
                  <c:v>-9.4692261120271937</c:v>
                </c:pt>
                <c:pt idx="54">
                  <c:v>-10.491271648367773</c:v>
                </c:pt>
                <c:pt idx="57">
                  <c:v>-11.513317184708352</c:v>
                </c:pt>
                <c:pt idx="60">
                  <c:v>-11.417092970902306</c:v>
                </c:pt>
                <c:pt idx="63">
                  <c:v>-11.12510421933359</c:v>
                </c:pt>
                <c:pt idx="66">
                  <c:v>-9.9746980188383141</c:v>
                </c:pt>
                <c:pt idx="69">
                  <c:v>-9.2523885488452393</c:v>
                </c:pt>
                <c:pt idx="72">
                  <c:v>-9.7263565006508657</c:v>
                </c:pt>
                <c:pt idx="75">
                  <c:v>-10.174916022787924</c:v>
                </c:pt>
                <c:pt idx="78">
                  <c:v>-10.805128208226362</c:v>
                </c:pt>
                <c:pt idx="81">
                  <c:v>-11.593369441703709</c:v>
                </c:pt>
                <c:pt idx="84">
                  <c:v>-12.175814970324673</c:v>
                </c:pt>
                <c:pt idx="87">
                  <c:v>-12.589059781663448</c:v>
                </c:pt>
                <c:pt idx="90">
                  <c:v>-12.871146157426898</c:v>
                </c:pt>
                <c:pt idx="108">
                  <c:v>-13.142578304280674</c:v>
                </c:pt>
                <c:pt idx="111">
                  <c:v>-13.674620016351001</c:v>
                </c:pt>
                <c:pt idx="114">
                  <c:v>-14.102602707131577</c:v>
                </c:pt>
                <c:pt idx="117">
                  <c:v>-14.661165141914289</c:v>
                </c:pt>
                <c:pt idx="120">
                  <c:v>-14.93331318080714</c:v>
                </c:pt>
                <c:pt idx="123">
                  <c:v>-15.1913305227183</c:v>
                </c:pt>
                <c:pt idx="126">
                  <c:v>-15.812433605811222</c:v>
                </c:pt>
                <c:pt idx="129">
                  <c:v>-16.516437597960522</c:v>
                </c:pt>
                <c:pt idx="132">
                  <c:v>-16.694536762189315</c:v>
                </c:pt>
                <c:pt idx="135">
                  <c:v>-15.246972512514805</c:v>
                </c:pt>
                <c:pt idx="138">
                  <c:v>-14.973248557979529</c:v>
                </c:pt>
                <c:pt idx="141">
                  <c:v>-14.664581488068858</c:v>
                </c:pt>
                <c:pt idx="144">
                  <c:v>-14.734154358638746</c:v>
                </c:pt>
                <c:pt idx="147">
                  <c:v>-14.89585799699916</c:v>
                </c:pt>
                <c:pt idx="150">
                  <c:v>-15.473244680139608</c:v>
                </c:pt>
                <c:pt idx="153">
                  <c:v>-16.333199677724586</c:v>
                </c:pt>
                <c:pt idx="156">
                  <c:v>-17.070298022325272</c:v>
                </c:pt>
                <c:pt idx="159">
                  <c:v>-17.379635110420189</c:v>
                </c:pt>
                <c:pt idx="162">
                  <c:v>-17.393041956721632</c:v>
                </c:pt>
                <c:pt idx="165">
                  <c:v>-18.048216446856085</c:v>
                </c:pt>
                <c:pt idx="168">
                  <c:v>-17.959525041312165</c:v>
                </c:pt>
                <c:pt idx="171">
                  <c:v>-18.124059345275544</c:v>
                </c:pt>
                <c:pt idx="177">
                  <c:v>-15.293036960256899</c:v>
                </c:pt>
                <c:pt idx="180">
                  <c:v>-14.274776981648472</c:v>
                </c:pt>
                <c:pt idx="183">
                  <c:v>-14.668945778219751</c:v>
                </c:pt>
                <c:pt idx="186">
                  <c:v>-15.449808792703564</c:v>
                </c:pt>
                <c:pt idx="189">
                  <c:v>-16.287820999059541</c:v>
                </c:pt>
                <c:pt idx="192">
                  <c:v>-16.962659626242267</c:v>
                </c:pt>
                <c:pt idx="195">
                  <c:v>-17.665780144544698</c:v>
                </c:pt>
                <c:pt idx="198">
                  <c:v>-18.30180696138218</c:v>
                </c:pt>
                <c:pt idx="201">
                  <c:v>-18.78165268191551</c:v>
                </c:pt>
                <c:pt idx="204">
                  <c:v>-18.985648934470472</c:v>
                </c:pt>
                <c:pt idx="207">
                  <c:v>-16.011688289489232</c:v>
                </c:pt>
                <c:pt idx="210">
                  <c:v>-16.094504762944517</c:v>
                </c:pt>
                <c:pt idx="213">
                  <c:v>-13.397203053270706</c:v>
                </c:pt>
                <c:pt idx="216">
                  <c:v>-13.240873971553746</c:v>
                </c:pt>
                <c:pt idx="219">
                  <c:v>-13.620589338111456</c:v>
                </c:pt>
                <c:pt idx="222">
                  <c:v>-14.507660786221361</c:v>
                </c:pt>
                <c:pt idx="225">
                  <c:v>-15.121261515829318</c:v>
                </c:pt>
                <c:pt idx="228">
                  <c:v>-15.581948571861245</c:v>
                </c:pt>
                <c:pt idx="231">
                  <c:v>-16.146727682562325</c:v>
                </c:pt>
                <c:pt idx="234">
                  <c:v>-16.073424826406047</c:v>
                </c:pt>
                <c:pt idx="237">
                  <c:v>-16.379123688817341</c:v>
                </c:pt>
                <c:pt idx="240">
                  <c:v>-16.148400818262164</c:v>
                </c:pt>
                <c:pt idx="243">
                  <c:v>-14.838636720797304</c:v>
                </c:pt>
                <c:pt idx="246">
                  <c:v>-13.481780275490713</c:v>
                </c:pt>
                <c:pt idx="249">
                  <c:v>-13.201498650724856</c:v>
                </c:pt>
                <c:pt idx="252">
                  <c:v>-11.853579510601801</c:v>
                </c:pt>
                <c:pt idx="255">
                  <c:v>-12.016386934473688</c:v>
                </c:pt>
                <c:pt idx="258">
                  <c:v>-12.748053949970634</c:v>
                </c:pt>
                <c:pt idx="261">
                  <c:v>-13.502377557287161</c:v>
                </c:pt>
                <c:pt idx="264">
                  <c:v>-14.155346831071986</c:v>
                </c:pt>
                <c:pt idx="267">
                  <c:v>-14.235250712361793</c:v>
                </c:pt>
                <c:pt idx="270">
                  <c:v>-14.825764532527534</c:v>
                </c:pt>
                <c:pt idx="273">
                  <c:v>-15.26848137033142</c:v>
                </c:pt>
                <c:pt idx="276">
                  <c:v>-15.388814568470968</c:v>
                </c:pt>
                <c:pt idx="279">
                  <c:v>-14.677908209927972</c:v>
                </c:pt>
                <c:pt idx="282">
                  <c:v>-13.714919095761928</c:v>
                </c:pt>
                <c:pt idx="285">
                  <c:v>-12.065455602943191</c:v>
                </c:pt>
                <c:pt idx="288">
                  <c:v>-10.490310708541621</c:v>
                </c:pt>
                <c:pt idx="291">
                  <c:v>-11.077020439308381</c:v>
                </c:pt>
                <c:pt idx="294">
                  <c:v>-11.89838495008842</c:v>
                </c:pt>
                <c:pt idx="297">
                  <c:v>-12.5019346603525</c:v>
                </c:pt>
                <c:pt idx="300">
                  <c:v>-13.098773325682899</c:v>
                </c:pt>
                <c:pt idx="303">
                  <c:v>-13.52317869814323</c:v>
                </c:pt>
                <c:pt idx="306">
                  <c:v>-14.133044557681103</c:v>
                </c:pt>
                <c:pt idx="309">
                  <c:v>-14.169193296140746</c:v>
                </c:pt>
                <c:pt idx="312">
                  <c:v>-14.343841871160624</c:v>
                </c:pt>
                <c:pt idx="315">
                  <c:v>-14.718238885172429</c:v>
                </c:pt>
                <c:pt idx="318">
                  <c:v>-14.337559859334824</c:v>
                </c:pt>
                <c:pt idx="321">
                  <c:v>-13.44174770318806</c:v>
                </c:pt>
                <c:pt idx="324">
                  <c:v>-13.388547302194272</c:v>
                </c:pt>
                <c:pt idx="327">
                  <c:v>-13.754776692528866</c:v>
                </c:pt>
                <c:pt idx="330">
                  <c:v>-14.48180562745703</c:v>
                </c:pt>
                <c:pt idx="333">
                  <c:v>-15.16665838240359</c:v>
                </c:pt>
                <c:pt idx="336">
                  <c:v>-15.640692035781738</c:v>
                </c:pt>
                <c:pt idx="339">
                  <c:v>-16.356484929217149</c:v>
                </c:pt>
                <c:pt idx="342">
                  <c:v>-16.439190075822676</c:v>
                </c:pt>
                <c:pt idx="345">
                  <c:v>-16.880744641507587</c:v>
                </c:pt>
                <c:pt idx="348">
                  <c:v>-17.162481454384753</c:v>
                </c:pt>
                <c:pt idx="351">
                  <c:v>-16.965320400643591</c:v>
                </c:pt>
                <c:pt idx="354">
                  <c:v>-15.223303275796107</c:v>
                </c:pt>
                <c:pt idx="357">
                  <c:v>-14.812795000172589</c:v>
                </c:pt>
                <c:pt idx="360">
                  <c:v>-14.667284634078745</c:v>
                </c:pt>
                <c:pt idx="363">
                  <c:v>-14.380249288007303</c:v>
                </c:pt>
                <c:pt idx="366">
                  <c:v>-14.864408360412247</c:v>
                </c:pt>
                <c:pt idx="370">
                  <c:v>-15.588600034841736</c:v>
                </c:pt>
                <c:pt idx="373">
                  <c:v>-14.576614045987863</c:v>
                </c:pt>
                <c:pt idx="376">
                  <c:v>-14.36180204290903</c:v>
                </c:pt>
                <c:pt idx="379">
                  <c:v>-14.691367853746653</c:v>
                </c:pt>
                <c:pt idx="382">
                  <c:v>-12.513940257842258</c:v>
                </c:pt>
                <c:pt idx="385">
                  <c:v>-12.533304783381174</c:v>
                </c:pt>
                <c:pt idx="388">
                  <c:v>-10.809608857156961</c:v>
                </c:pt>
                <c:pt idx="391">
                  <c:v>-7.878889403462229</c:v>
                </c:pt>
                <c:pt idx="395">
                  <c:v>-6.6813153664897431</c:v>
                </c:pt>
                <c:pt idx="398">
                  <c:v>-4.7414507821167176</c:v>
                </c:pt>
                <c:pt idx="402">
                  <c:v>-4.9729026513938397</c:v>
                </c:pt>
                <c:pt idx="405">
                  <c:v>-4.7091590760331288</c:v>
                </c:pt>
                <c:pt idx="408">
                  <c:v>-5.3432866001587573</c:v>
                </c:pt>
                <c:pt idx="411">
                  <c:v>-5.8986478733729832</c:v>
                </c:pt>
                <c:pt idx="414">
                  <c:v>-6.3740847814104473</c:v>
                </c:pt>
                <c:pt idx="418">
                  <c:v>-7.078112465469478</c:v>
                </c:pt>
                <c:pt idx="421">
                  <c:v>-6.5869863244943314</c:v>
                </c:pt>
                <c:pt idx="424">
                  <c:v>-6.2113605399238043</c:v>
                </c:pt>
                <c:pt idx="427">
                  <c:v>-2.72610047980347</c:v>
                </c:pt>
                <c:pt idx="430">
                  <c:v>-1.9330739226091134</c:v>
                </c:pt>
                <c:pt idx="433">
                  <c:v>5.6642222647520004</c:v>
                </c:pt>
                <c:pt idx="436">
                  <c:v>7.455102542223643</c:v>
                </c:pt>
                <c:pt idx="440">
                  <c:v>7.0929641774895362</c:v>
                </c:pt>
                <c:pt idx="443">
                  <c:v>6.7300225439726269</c:v>
                </c:pt>
                <c:pt idx="446">
                  <c:v>6.4707988416694535</c:v>
                </c:pt>
                <c:pt idx="449">
                  <c:v>6.0560730024635561</c:v>
                </c:pt>
                <c:pt idx="452">
                  <c:v>6.0027800864399747</c:v>
                </c:pt>
                <c:pt idx="455">
                  <c:v>5.8861581310011593</c:v>
                </c:pt>
                <c:pt idx="458">
                  <c:v>5.9522646697063406</c:v>
                </c:pt>
                <c:pt idx="461">
                  <c:v>6.2652919773053872</c:v>
                </c:pt>
                <c:pt idx="464">
                  <c:v>7.6164924882398921</c:v>
                </c:pt>
                <c:pt idx="467">
                  <c:v>11.791347140690755</c:v>
                </c:pt>
                <c:pt idx="470">
                  <c:v>12.317448936697241</c:v>
                </c:pt>
                <c:pt idx="474">
                  <c:v>12.90094709540751</c:v>
                </c:pt>
                <c:pt idx="477">
                  <c:v>12.536668626127652</c:v>
                </c:pt>
                <c:pt idx="481">
                  <c:v>11.912067180280847</c:v>
                </c:pt>
                <c:pt idx="484">
                  <c:v>11.076539578442542</c:v>
                </c:pt>
                <c:pt idx="487">
                  <c:v>10.339543185664969</c:v>
                </c:pt>
                <c:pt idx="490">
                  <c:v>9.830880308698358</c:v>
                </c:pt>
                <c:pt idx="493">
                  <c:v>9.7714132601709913</c:v>
                </c:pt>
                <c:pt idx="496">
                  <c:v>9.3572081109530316</c:v>
                </c:pt>
                <c:pt idx="499">
                  <c:v>9.220395970617103</c:v>
                </c:pt>
                <c:pt idx="502">
                  <c:v>9.0217612476610665</c:v>
                </c:pt>
                <c:pt idx="506">
                  <c:v>11.136837716670934</c:v>
                </c:pt>
                <c:pt idx="510">
                  <c:v>13.211329334134005</c:v>
                </c:pt>
                <c:pt idx="513">
                  <c:v>13.228572917791867</c:v>
                </c:pt>
                <c:pt idx="516">
                  <c:v>12.826734066287042</c:v>
                </c:pt>
                <c:pt idx="519">
                  <c:v>12.219258174097654</c:v>
                </c:pt>
                <c:pt idx="522">
                  <c:v>11.5321375986062</c:v>
                </c:pt>
                <c:pt idx="525">
                  <c:v>10.769997543201169</c:v>
                </c:pt>
                <c:pt idx="528">
                  <c:v>11.065577175037614</c:v>
                </c:pt>
                <c:pt idx="531">
                  <c:v>11.018699408048873</c:v>
                </c:pt>
                <c:pt idx="535">
                  <c:v>10.584905742490662</c:v>
                </c:pt>
                <c:pt idx="538">
                  <c:v>10.973230721343484</c:v>
                </c:pt>
                <c:pt idx="541">
                  <c:v>11.332900903316647</c:v>
                </c:pt>
                <c:pt idx="544">
                  <c:v>13.073309455117402</c:v>
                </c:pt>
                <c:pt idx="547">
                  <c:v>13.012601925084628</c:v>
                </c:pt>
                <c:pt idx="551">
                  <c:v>14.391919498719826</c:v>
                </c:pt>
                <c:pt idx="554">
                  <c:v>14.048894696789525</c:v>
                </c:pt>
                <c:pt idx="560">
                  <c:v>13.171352223031047</c:v>
                </c:pt>
                <c:pt idx="566">
                  <c:v>12.582171069169013</c:v>
                </c:pt>
                <c:pt idx="569">
                  <c:v>11.878832036686548</c:v>
                </c:pt>
                <c:pt idx="572">
                  <c:v>11.188673883111417</c:v>
                </c:pt>
                <c:pt idx="575">
                  <c:v>11.039088108480707</c:v>
                </c:pt>
                <c:pt idx="578">
                  <c:v>10.92302661700093</c:v>
                </c:pt>
                <c:pt idx="581">
                  <c:v>11.421297948828888</c:v>
                </c:pt>
                <c:pt idx="584">
                  <c:v>13.6952135444166</c:v>
                </c:pt>
                <c:pt idx="587">
                  <c:v>13.315774434526261</c:v>
                </c:pt>
                <c:pt idx="590">
                  <c:v>12.81299843704287</c:v>
                </c:pt>
                <c:pt idx="593">
                  <c:v>12.270192360154073</c:v>
                </c:pt>
                <c:pt idx="596">
                  <c:v>11.423834253832622</c:v>
                </c:pt>
                <c:pt idx="599">
                  <c:v>10.670088232622826</c:v>
                </c:pt>
                <c:pt idx="602">
                  <c:v>9.9355741022639616</c:v>
                </c:pt>
                <c:pt idx="605">
                  <c:v>9.1696397255329192</c:v>
                </c:pt>
                <c:pt idx="608">
                  <c:v>8.8441053509692633</c:v>
                </c:pt>
                <c:pt idx="611">
                  <c:v>8.399471762196324</c:v>
                </c:pt>
                <c:pt idx="614">
                  <c:v>8.9140318361317199</c:v>
                </c:pt>
                <c:pt idx="617">
                  <c:v>10.833027753067599</c:v>
                </c:pt>
                <c:pt idx="620">
                  <c:v>10.482444320201271</c:v>
                </c:pt>
                <c:pt idx="623">
                  <c:v>10.597030856342759</c:v>
                </c:pt>
                <c:pt idx="626">
                  <c:v>10.059863322427963</c:v>
                </c:pt>
                <c:pt idx="629">
                  <c:v>9.5851409964636627</c:v>
                </c:pt>
                <c:pt idx="638">
                  <c:v>9.0360785027977393</c:v>
                </c:pt>
                <c:pt idx="641">
                  <c:v>8.6669822434280199</c:v>
                </c:pt>
                <c:pt idx="644">
                  <c:v>8.3271154171136406</c:v>
                </c:pt>
                <c:pt idx="647">
                  <c:v>8.7738711579291344</c:v>
                </c:pt>
                <c:pt idx="650">
                  <c:v>9.6467468421014928</c:v>
                </c:pt>
                <c:pt idx="656">
                  <c:v>9.4944700237899369</c:v>
                </c:pt>
                <c:pt idx="662">
                  <c:v>9.4227924870681985</c:v>
                </c:pt>
                <c:pt idx="665">
                  <c:v>8.7820625920700568</c:v>
                </c:pt>
                <c:pt idx="668">
                  <c:v>7.9566010219728698</c:v>
                </c:pt>
                <c:pt idx="671">
                  <c:v>7.1484982470800311</c:v>
                </c:pt>
                <c:pt idx="674">
                  <c:v>6.2903123849917355</c:v>
                </c:pt>
                <c:pt idx="677">
                  <c:v>5.8756963787405976</c:v>
                </c:pt>
                <c:pt idx="680">
                  <c:v>5.2742674243519065</c:v>
                </c:pt>
                <c:pt idx="683">
                  <c:v>5.2616903458817017</c:v>
                </c:pt>
                <c:pt idx="686">
                  <c:v>7.3330726178692416</c:v>
                </c:pt>
                <c:pt idx="689">
                  <c:v>8.3130319437361901</c:v>
                </c:pt>
                <c:pt idx="692">
                  <c:v>8.8866541278735696</c:v>
                </c:pt>
                <c:pt idx="695">
                  <c:v>9.4299333123648239</c:v>
                </c:pt>
                <c:pt idx="710">
                  <c:v>8.9357397959802807</c:v>
                </c:pt>
                <c:pt idx="713">
                  <c:v>8.0059567382633166</c:v>
                </c:pt>
                <c:pt idx="716">
                  <c:v>7.3274190419962597</c:v>
                </c:pt>
                <c:pt idx="719">
                  <c:v>6.8363727689347789</c:v>
                </c:pt>
                <c:pt idx="722">
                  <c:v>6.9209451819688521</c:v>
                </c:pt>
                <c:pt idx="731">
                  <c:v>7.3526282709858917</c:v>
                </c:pt>
                <c:pt idx="737">
                  <c:v>6.9721713877593148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9-C644-A4B8-684448E37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zea/chl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'Zea update'!$L$5:$L$742</c:f>
              <c:numCache>
                <c:formatCode>General</c:formatCode>
                <c:ptCount val="738"/>
                <c:pt idx="0">
                  <c:v>6.1644955811756275E-3</c:v>
                </c:pt>
                <c:pt idx="3">
                  <c:v>1.5974892376728513E-3</c:v>
                </c:pt>
                <c:pt idx="6">
                  <c:v>5.8722522537310053E-4</c:v>
                </c:pt>
                <c:pt idx="9">
                  <c:v>1.6416142849409834E-3</c:v>
                </c:pt>
                <c:pt idx="12">
                  <c:v>2.4309879608106354E-3</c:v>
                </c:pt>
                <c:pt idx="15">
                  <c:v>4.7651671502889278E-3</c:v>
                </c:pt>
                <c:pt idx="18">
                  <c:v>6.5098809120221952E-4</c:v>
                </c:pt>
                <c:pt idx="21">
                  <c:v>6.8661087220446126E-3</c:v>
                </c:pt>
                <c:pt idx="24">
                  <c:v>1.5175429037113787E-2</c:v>
                </c:pt>
                <c:pt idx="27">
                  <c:v>4.1131393458811189E-3</c:v>
                </c:pt>
                <c:pt idx="30">
                  <c:v>1.3366887962516873E-2</c:v>
                </c:pt>
                <c:pt idx="33">
                  <c:v>1.6518452788028416E-2</c:v>
                </c:pt>
                <c:pt idx="36">
                  <c:v>1.1363947133025958E-3</c:v>
                </c:pt>
                <c:pt idx="39">
                  <c:v>0</c:v>
                </c:pt>
                <c:pt idx="42">
                  <c:v>2.9484671762598771E-3</c:v>
                </c:pt>
                <c:pt idx="45">
                  <c:v>0</c:v>
                </c:pt>
                <c:pt idx="48">
                  <c:v>3.9620023044384224E-3</c:v>
                </c:pt>
                <c:pt idx="51">
                  <c:v>6.6533159645965493E-3</c:v>
                </c:pt>
                <c:pt idx="54">
                  <c:v>0</c:v>
                </c:pt>
                <c:pt idx="57">
                  <c:v>0</c:v>
                </c:pt>
                <c:pt idx="60">
                  <c:v>1.1095294895094497E-2</c:v>
                </c:pt>
                <c:pt idx="63">
                  <c:v>1.3037639554058846E-2</c:v>
                </c:pt>
                <c:pt idx="66">
                  <c:v>2.1554721177420366E-2</c:v>
                </c:pt>
                <c:pt idx="69">
                  <c:v>1.7307213393252079E-2</c:v>
                </c:pt>
                <c:pt idx="72">
                  <c:v>5.4379387665713401E-3</c:v>
                </c:pt>
                <c:pt idx="75">
                  <c:v>5.6900371712336082E-3</c:v>
                </c:pt>
                <c:pt idx="78">
                  <c:v>3.8877082899025635E-3</c:v>
                </c:pt>
                <c:pt idx="81">
                  <c:v>2.3197691681004625E-3</c:v>
                </c:pt>
                <c:pt idx="84">
                  <c:v>4.3616414741572216E-3</c:v>
                </c:pt>
                <c:pt idx="87">
                  <c:v>6.0404241242836719E-3</c:v>
                </c:pt>
                <c:pt idx="90">
                  <c:v>7.341757295905877E-3</c:v>
                </c:pt>
                <c:pt idx="108">
                  <c:v>7.4474668634026157E-3</c:v>
                </c:pt>
                <c:pt idx="111">
                  <c:v>4.8617401385395997E-3</c:v>
                </c:pt>
                <c:pt idx="114">
                  <c:v>5.8941972246347261E-3</c:v>
                </c:pt>
                <c:pt idx="117">
                  <c:v>4.5986057389134378E-3</c:v>
                </c:pt>
                <c:pt idx="120">
                  <c:v>7.4403638962647128E-3</c:v>
                </c:pt>
                <c:pt idx="123">
                  <c:v>7.5805664279566774E-3</c:v>
                </c:pt>
                <c:pt idx="126">
                  <c:v>3.9780873569745627E-3</c:v>
                </c:pt>
                <c:pt idx="129">
                  <c:v>3.1555577008416879E-3</c:v>
                </c:pt>
                <c:pt idx="132">
                  <c:v>8.3735018970133406E-3</c:v>
                </c:pt>
                <c:pt idx="135">
                  <c:v>2.4503076156764374E-2</c:v>
                </c:pt>
                <c:pt idx="138">
                  <c:v>1.2856419138091685E-2</c:v>
                </c:pt>
                <c:pt idx="141">
                  <c:v>1.3203119180360082E-2</c:v>
                </c:pt>
                <c:pt idx="144">
                  <c:v>9.4502825502138128E-3</c:v>
                </c:pt>
                <c:pt idx="147">
                  <c:v>8.5361757012953413E-3</c:v>
                </c:pt>
                <c:pt idx="150">
                  <c:v>4.411834535739797E-3</c:v>
                </c:pt>
                <c:pt idx="153">
                  <c:v>1.6082365877842463E-3</c:v>
                </c:pt>
                <c:pt idx="156">
                  <c:v>2.8272007907471594E-3</c:v>
                </c:pt>
                <c:pt idx="159">
                  <c:v>7.0713800551914863E-3</c:v>
                </c:pt>
                <c:pt idx="162">
                  <c:v>1.0007552924612943E-2</c:v>
                </c:pt>
                <c:pt idx="165">
                  <c:v>3.6400362663794629E-3</c:v>
                </c:pt>
                <c:pt idx="168">
                  <c:v>1.1020555567624064E-2</c:v>
                </c:pt>
                <c:pt idx="171">
                  <c:v>8.5080902866534955E-3</c:v>
                </c:pt>
                <c:pt idx="177">
                  <c:v>3.8229528101519299E-2</c:v>
                </c:pt>
                <c:pt idx="180">
                  <c:v>2.0243587346862088E-2</c:v>
                </c:pt>
                <c:pt idx="183">
                  <c:v>6.2296933137979066E-3</c:v>
                </c:pt>
                <c:pt idx="186">
                  <c:v>2.3929746853945805E-3</c:v>
                </c:pt>
                <c:pt idx="189">
                  <c:v>1.8259494781448543E-3</c:v>
                </c:pt>
                <c:pt idx="192">
                  <c:v>3.4449318209810779E-3</c:v>
                </c:pt>
                <c:pt idx="195">
                  <c:v>3.1643233880668041E-3</c:v>
                </c:pt>
                <c:pt idx="198">
                  <c:v>3.8300164404447665E-3</c:v>
                </c:pt>
                <c:pt idx="201">
                  <c:v>5.3796204785639175E-3</c:v>
                </c:pt>
                <c:pt idx="204">
                  <c:v>8.116555098742647E-3</c:v>
                </c:pt>
                <c:pt idx="207">
                  <c:v>3.9647738820237845E-2</c:v>
                </c:pt>
                <c:pt idx="210">
                  <c:v>9.3188816252869379E-3</c:v>
                </c:pt>
                <c:pt idx="213">
                  <c:v>3.690277279375246E-2</c:v>
                </c:pt>
                <c:pt idx="216">
                  <c:v>1.1691645850679989E-2</c:v>
                </c:pt>
                <c:pt idx="219">
                  <c:v>6.3730979513866018E-3</c:v>
                </c:pt>
                <c:pt idx="222">
                  <c:v>1.3391914713953978E-3</c:v>
                </c:pt>
                <c:pt idx="225">
                  <c:v>4.0525245169818185E-3</c:v>
                </c:pt>
                <c:pt idx="228">
                  <c:v>5.5697097056143421E-3</c:v>
                </c:pt>
                <c:pt idx="231">
                  <c:v>4.536924867574052E-3</c:v>
                </c:pt>
                <c:pt idx="234">
                  <c:v>1.0867872824089932E-2</c:v>
                </c:pt>
                <c:pt idx="237">
                  <c:v>7.1074779527241965E-3</c:v>
                </c:pt>
                <c:pt idx="240">
                  <c:v>1.2429769210822027E-2</c:v>
                </c:pt>
                <c:pt idx="243">
                  <c:v>2.3135844927309676E-2</c:v>
                </c:pt>
                <c:pt idx="246">
                  <c:v>2.3603087724977993E-2</c:v>
                </c:pt>
                <c:pt idx="249">
                  <c:v>1.2921483300851643E-2</c:v>
                </c:pt>
                <c:pt idx="252">
                  <c:v>2.3514413202068138E-2</c:v>
                </c:pt>
                <c:pt idx="255">
                  <c:v>8.5252241167164695E-3</c:v>
                </c:pt>
                <c:pt idx="258">
                  <c:v>2.8810895756940808E-3</c:v>
                </c:pt>
                <c:pt idx="261">
                  <c:v>2.6562944692154443E-3</c:v>
                </c:pt>
                <c:pt idx="264">
                  <c:v>3.6619160728424385E-3</c:v>
                </c:pt>
                <c:pt idx="267">
                  <c:v>9.3477799022732098E-3</c:v>
                </c:pt>
                <c:pt idx="270">
                  <c:v>4.281589166583691E-3</c:v>
                </c:pt>
                <c:pt idx="273">
                  <c:v>5.7480073574494176E-3</c:v>
                </c:pt>
                <c:pt idx="276">
                  <c:v>8.9466466401097108E-3</c:v>
                </c:pt>
                <c:pt idx="279">
                  <c:v>1.7194073532101704E-2</c:v>
                </c:pt>
                <c:pt idx="282">
                  <c:v>1.9695198606118087E-2</c:v>
                </c:pt>
                <c:pt idx="285">
                  <c:v>2.6506288388417669E-2</c:v>
                </c:pt>
                <c:pt idx="288">
                  <c:v>2.5768911055694097E-2</c:v>
                </c:pt>
                <c:pt idx="291">
                  <c:v>4.3193327375632999E-3</c:v>
                </c:pt>
                <c:pt idx="294">
                  <c:v>1.9911252702241441E-3</c:v>
                </c:pt>
                <c:pt idx="297">
                  <c:v>4.1522491349480972E-3</c:v>
                </c:pt>
                <c:pt idx="300">
                  <c:v>4.2188350571584106E-3</c:v>
                </c:pt>
                <c:pt idx="303">
                  <c:v>5.9296908089792452E-3</c:v>
                </c:pt>
                <c:pt idx="306">
                  <c:v>4.089581304771178E-3</c:v>
                </c:pt>
                <c:pt idx="309">
                  <c:v>9.7819114817190491E-3</c:v>
                </c:pt>
                <c:pt idx="312">
                  <c:v>8.4077380952380966E-3</c:v>
                </c:pt>
                <c:pt idx="315">
                  <c:v>6.4258658008658018E-3</c:v>
                </c:pt>
                <c:pt idx="318">
                  <c:v>1.3917610372558675E-2</c:v>
                </c:pt>
                <c:pt idx="321">
                  <c:v>1.9028679495428049E-2</c:v>
                </c:pt>
                <c:pt idx="324">
                  <c:v>1.0668419455961172E-2</c:v>
                </c:pt>
                <c:pt idx="327">
                  <c:v>6.5069036660847486E-3</c:v>
                </c:pt>
                <c:pt idx="330">
                  <c:v>2.9271078746341121E-3</c:v>
                </c:pt>
                <c:pt idx="333">
                  <c:v>3.3455732354141163E-3</c:v>
                </c:pt>
                <c:pt idx="336">
                  <c:v>5.4372868860012909E-3</c:v>
                </c:pt>
                <c:pt idx="339">
                  <c:v>3.038590094196293E-3</c:v>
                </c:pt>
                <c:pt idx="342">
                  <c:v>9.3199861926130494E-3</c:v>
                </c:pt>
                <c:pt idx="345">
                  <c:v>5.7595392368610509E-3</c:v>
                </c:pt>
                <c:pt idx="348">
                  <c:v>7.3452256033578172E-3</c:v>
                </c:pt>
                <c:pt idx="351">
                  <c:v>1.2096774193548388E-2</c:v>
                </c:pt>
                <c:pt idx="354">
                  <c:v>2.7424590829162727E-2</c:v>
                </c:pt>
                <c:pt idx="357">
                  <c:v>1.4213571452459786E-2</c:v>
                </c:pt>
                <c:pt idx="360">
                  <c:v>1.1584304272130707E-2</c:v>
                </c:pt>
                <c:pt idx="363">
                  <c:v>1.2988492651247581E-2</c:v>
                </c:pt>
                <c:pt idx="366">
                  <c:v>5.3368240861947419E-3</c:v>
                </c:pt>
                <c:pt idx="370">
                  <c:v>2.9552587227840029E-3</c:v>
                </c:pt>
                <c:pt idx="373">
                  <c:v>2.0181337816740717E-2</c:v>
                </c:pt>
                <c:pt idx="376">
                  <c:v>1.2271904110148715E-2</c:v>
                </c:pt>
                <c:pt idx="379">
                  <c:v>6.8706738801813973E-3</c:v>
                </c:pt>
                <c:pt idx="382">
                  <c:v>3.1744664385793417E-2</c:v>
                </c:pt>
                <c:pt idx="385">
                  <c:v>9.9484417772162555E-3</c:v>
                </c:pt>
                <c:pt idx="388">
                  <c:v>2.7242810805577066E-2</c:v>
                </c:pt>
                <c:pt idx="391">
                  <c:v>3.921870658639974E-2</c:v>
                </c:pt>
                <c:pt idx="395">
                  <c:v>2.2022712961343359E-2</c:v>
                </c:pt>
                <c:pt idx="398">
                  <c:v>2.9387601907118942E-2</c:v>
                </c:pt>
                <c:pt idx="402">
                  <c:v>7.8441448291998138E-3</c:v>
                </c:pt>
                <c:pt idx="405">
                  <c:v>1.2757395400668626E-2</c:v>
                </c:pt>
                <c:pt idx="408">
                  <c:v>3.8488609211502012E-3</c:v>
                </c:pt>
                <c:pt idx="411">
                  <c:v>4.6303671556955214E-3</c:v>
                </c:pt>
                <c:pt idx="414">
                  <c:v>5.4233640160891074E-3</c:v>
                </c:pt>
                <c:pt idx="418">
                  <c:v>3.15532263347527E-3</c:v>
                </c:pt>
                <c:pt idx="421">
                  <c:v>1.5013449111470114E-2</c:v>
                </c:pt>
                <c:pt idx="424">
                  <c:v>1.3867472915091961E-2</c:v>
                </c:pt>
                <c:pt idx="427">
                  <c:v>4.4720770429931098E-2</c:v>
                </c:pt>
                <c:pt idx="430">
                  <c:v>1.8008857103562093E-2</c:v>
                </c:pt>
                <c:pt idx="433">
                  <c:v>8.5519739949616855E-2</c:v>
                </c:pt>
                <c:pt idx="436">
                  <c:v>2.7909403270702848E-2</c:v>
                </c:pt>
                <c:pt idx="440">
                  <c:v>6.5474941724941726E-3</c:v>
                </c:pt>
                <c:pt idx="443">
                  <c:v>6.5395242671792411E-3</c:v>
                </c:pt>
                <c:pt idx="446">
                  <c:v>7.568597111700561E-3</c:v>
                </c:pt>
                <c:pt idx="449">
                  <c:v>6.0257296009529476E-3</c:v>
                </c:pt>
                <c:pt idx="452">
                  <c:v>9.6118096741893214E-3</c:v>
                </c:pt>
                <c:pt idx="455">
                  <c:v>8.9834690008920616E-3</c:v>
                </c:pt>
                <c:pt idx="458">
                  <c:v>1.079647210501641E-2</c:v>
                </c:pt>
                <c:pt idx="461">
                  <c:v>1.3246380766358359E-2</c:v>
                </c:pt>
                <c:pt idx="464">
                  <c:v>2.3546970442222776E-2</c:v>
                </c:pt>
                <c:pt idx="467">
                  <c:v>5.1562818476895145E-2</c:v>
                </c:pt>
                <c:pt idx="470">
                  <c:v>1.5360472007037952E-2</c:v>
                </c:pt>
                <c:pt idx="474">
                  <c:v>1.5929949604031678E-2</c:v>
                </c:pt>
                <c:pt idx="477">
                  <c:v>6.5262603950103958E-3</c:v>
                </c:pt>
                <c:pt idx="481">
                  <c:v>3.9433771572224491E-3</c:v>
                </c:pt>
                <c:pt idx="484">
                  <c:v>1.8506013296481661E-3</c:v>
                </c:pt>
                <c:pt idx="487">
                  <c:v>2.8282123405475139E-3</c:v>
                </c:pt>
                <c:pt idx="490">
                  <c:v>5.0937012282011264E-3</c:v>
                </c:pt>
                <c:pt idx="493">
                  <c:v>9.5505509118541023E-3</c:v>
                </c:pt>
                <c:pt idx="496">
                  <c:v>6.0308958043348579E-3</c:v>
                </c:pt>
                <c:pt idx="499">
                  <c:v>8.7831451922666549E-3</c:v>
                </c:pt>
                <c:pt idx="502">
                  <c:v>8.1697513440860195E-3</c:v>
                </c:pt>
                <c:pt idx="506">
                  <c:v>3.1126026405247538E-2</c:v>
                </c:pt>
                <c:pt idx="510">
                  <c:v>3.0723349952516615E-2</c:v>
                </c:pt>
                <c:pt idx="513">
                  <c:v>1.0311661623802322E-2</c:v>
                </c:pt>
                <c:pt idx="516">
                  <c:v>6.1535922466465342E-3</c:v>
                </c:pt>
                <c:pt idx="519">
                  <c:v>4.1132941813088872E-3</c:v>
                </c:pt>
                <c:pt idx="522">
                  <c:v>3.3230722800663953E-3</c:v>
                </c:pt>
                <c:pt idx="525">
                  <c:v>2.5787409124257989E-3</c:v>
                </c:pt>
                <c:pt idx="528">
                  <c:v>1.3073267697892826E-2</c:v>
                </c:pt>
                <c:pt idx="531">
                  <c:v>9.6754597642755517E-3</c:v>
                </c:pt>
                <c:pt idx="535">
                  <c:v>5.83654165559394E-3</c:v>
                </c:pt>
                <c:pt idx="538">
                  <c:v>1.3993472304303442E-2</c:v>
                </c:pt>
                <c:pt idx="541">
                  <c:v>1.3709163959651223E-2</c:v>
                </c:pt>
                <c:pt idx="544">
                  <c:v>2.7408630822812363E-2</c:v>
                </c:pt>
                <c:pt idx="547">
                  <c:v>9.5382430513288718E-3</c:v>
                </c:pt>
                <c:pt idx="551">
                  <c:v>2.3825943473736098E-2</c:v>
                </c:pt>
                <c:pt idx="554">
                  <c:v>6.7371359076625562E-3</c:v>
                </c:pt>
                <c:pt idx="560">
                  <c:v>1.4337364418401692E-3</c:v>
                </c:pt>
                <c:pt idx="566">
                  <c:v>4.2948116700399861E-3</c:v>
                </c:pt>
                <c:pt idx="569">
                  <c:v>3.1621553250695679E-3</c:v>
                </c:pt>
                <c:pt idx="572">
                  <c:v>3.2929339126457811E-3</c:v>
                </c:pt>
                <c:pt idx="575">
                  <c:v>8.6564072210713241E-3</c:v>
                </c:pt>
                <c:pt idx="578">
                  <c:v>8.9890298352996827E-3</c:v>
                </c:pt>
                <c:pt idx="581">
                  <c:v>1.5084342560553634E-2</c:v>
                </c:pt>
                <c:pt idx="584">
                  <c:v>3.270200299768361E-2</c:v>
                </c:pt>
                <c:pt idx="587">
                  <c:v>6.3758389261744982E-3</c:v>
                </c:pt>
                <c:pt idx="590">
                  <c:v>5.1521099116781151E-3</c:v>
                </c:pt>
                <c:pt idx="593">
                  <c:v>4.754937820043892E-3</c:v>
                </c:pt>
                <c:pt idx="596">
                  <c:v>1.7431427839015639E-3</c:v>
                </c:pt>
                <c:pt idx="599">
                  <c:v>2.6620251868536915E-3</c:v>
                </c:pt>
                <c:pt idx="602">
                  <c:v>2.8528409541168087E-3</c:v>
                </c:pt>
                <c:pt idx="605">
                  <c:v>2.5410942587151589E-3</c:v>
                </c:pt>
                <c:pt idx="608">
                  <c:v>6.9106731507550543E-3</c:v>
                </c:pt>
                <c:pt idx="611">
                  <c:v>5.7289896586881581E-3</c:v>
                </c:pt>
                <c:pt idx="614">
                  <c:v>1.5245956873315361E-2</c:v>
                </c:pt>
                <c:pt idx="617">
                  <c:v>2.918054630246502E-2</c:v>
                </c:pt>
                <c:pt idx="620">
                  <c:v>6.6621403717219731E-3</c:v>
                </c:pt>
                <c:pt idx="623">
                  <c:v>1.1277482941622443E-2</c:v>
                </c:pt>
                <c:pt idx="626">
                  <c:v>4.8108825481088247E-3</c:v>
                </c:pt>
                <c:pt idx="629">
                  <c:v>5.4304539859532253E-3</c:v>
                </c:pt>
                <c:pt idx="638">
                  <c:v>4.6928626462141906E-3</c:v>
                </c:pt>
                <c:pt idx="641">
                  <c:v>6.4784590467376214E-3</c:v>
                </c:pt>
                <c:pt idx="644">
                  <c:v>6.7684688402806434E-3</c:v>
                </c:pt>
                <c:pt idx="647">
                  <c:v>1.4573213046495491E-2</c:v>
                </c:pt>
                <c:pt idx="650">
                  <c:v>1.8801107462494367E-2</c:v>
                </c:pt>
                <c:pt idx="656">
                  <c:v>8.629707112970713E-3</c:v>
                </c:pt>
                <c:pt idx="662">
                  <c:v>9.4294003868471941E-3</c:v>
                </c:pt>
                <c:pt idx="665">
                  <c:v>3.7833532457188365E-3</c:v>
                </c:pt>
                <c:pt idx="668">
                  <c:v>1.9504748982360916E-3</c:v>
                </c:pt>
                <c:pt idx="671">
                  <c:v>2.1227061079156398E-3</c:v>
                </c:pt>
                <c:pt idx="674">
                  <c:v>1.6257896692679305E-3</c:v>
                </c:pt>
                <c:pt idx="677">
                  <c:v>6.0268193460901011E-3</c:v>
                </c:pt>
                <c:pt idx="680">
                  <c:v>4.1732909379968205E-3</c:v>
                </c:pt>
                <c:pt idx="683">
                  <c:v>1.0015785749278755E-2</c:v>
                </c:pt>
                <c:pt idx="686">
                  <c:v>3.0692499520429697E-2</c:v>
                </c:pt>
                <c:pt idx="689">
                  <c:v>1.9863574351978171E-2</c:v>
                </c:pt>
                <c:pt idx="692">
                  <c:v>1.5831961752488442E-2</c:v>
                </c:pt>
                <c:pt idx="695">
                  <c:v>1.5530903328050714E-2</c:v>
                </c:pt>
                <c:pt idx="710">
                  <c:v>5.2372639263608958E-3</c:v>
                </c:pt>
                <c:pt idx="713">
                  <c:v>9.1541366289049078E-4</c:v>
                </c:pt>
                <c:pt idx="716">
                  <c:v>3.4082302448876544E-3</c:v>
                </c:pt>
                <c:pt idx="719">
                  <c:v>5.2684903748733527E-3</c:v>
                </c:pt>
                <c:pt idx="722">
                  <c:v>1.0979687577980736E-2</c:v>
                </c:pt>
                <c:pt idx="731">
                  <c:v>1.4423664588681091E-2</c:v>
                </c:pt>
                <c:pt idx="737">
                  <c:v>6.3657407407407421E-3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E-D246-9A66-A168171CF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'Zea update'!$AA$5:$AA$742</c:f>
              <c:numCache>
                <c:formatCode>General</c:formatCode>
                <c:ptCount val="738"/>
                <c:pt idx="0">
                  <c:v>-0.27111299803017663</c:v>
                </c:pt>
                <c:pt idx="3">
                  <c:v>-0.65299109649897147</c:v>
                </c:pt>
                <c:pt idx="6">
                  <c:v>-1.1887206753126836</c:v>
                </c:pt>
                <c:pt idx="9">
                  <c:v>-1.748338678810903</c:v>
                </c:pt>
                <c:pt idx="12">
                  <c:v>-1.8305429358731802</c:v>
                </c:pt>
                <c:pt idx="15">
                  <c:v>-2.6656163725324609</c:v>
                </c:pt>
                <c:pt idx="18">
                  <c:v>-3.2567452081792636</c:v>
                </c:pt>
                <c:pt idx="21">
                  <c:v>-4.3441803878359178</c:v>
                </c:pt>
                <c:pt idx="24">
                  <c:v>-4.7983667652075503</c:v>
                </c:pt>
                <c:pt idx="27">
                  <c:v>-3.6234328843476669</c:v>
                </c:pt>
                <c:pt idx="30">
                  <c:v>-4.1429860428692145</c:v>
                </c:pt>
                <c:pt idx="33">
                  <c:v>-3.8238250779269753</c:v>
                </c:pt>
                <c:pt idx="36">
                  <c:v>-4.1990555691695421</c:v>
                </c:pt>
                <c:pt idx="39">
                  <c:v>-5.4345996842886475</c:v>
                </c:pt>
                <c:pt idx="42">
                  <c:v>-5.732346384797264</c:v>
                </c:pt>
                <c:pt idx="45">
                  <c:v>-6.3708006447116183</c:v>
                </c:pt>
                <c:pt idx="48">
                  <c:v>-6.9965596572974826</c:v>
                </c:pt>
                <c:pt idx="51">
                  <c:v>-7.5996808854543039</c:v>
                </c:pt>
                <c:pt idx="54">
                  <c:v>-8.8667669353095775</c:v>
                </c:pt>
                <c:pt idx="57">
                  <c:v>-10.130706166001161</c:v>
                </c:pt>
                <c:pt idx="60">
                  <c:v>-11.084071873163101</c:v>
                </c:pt>
                <c:pt idx="63">
                  <c:v>-10.682888401058783</c:v>
                </c:pt>
                <c:pt idx="66">
                  <c:v>-10.697522279329474</c:v>
                </c:pt>
                <c:pt idx="69">
                  <c:v>-10.497907455478057</c:v>
                </c:pt>
                <c:pt idx="72">
                  <c:v>-11.305124853411328</c:v>
                </c:pt>
                <c:pt idx="75">
                  <c:v>-12.178611387750051</c:v>
                </c:pt>
                <c:pt idx="78">
                  <c:v>-12.647406879577288</c:v>
                </c:pt>
                <c:pt idx="81">
                  <c:v>-12.975735213126775</c:v>
                </c:pt>
                <c:pt idx="84">
                  <c:v>-13.704977217476833</c:v>
                </c:pt>
                <c:pt idx="87">
                  <c:v>-14.515680848434425</c:v>
                </c:pt>
                <c:pt idx="90">
                  <c:v>-15.440899990032797</c:v>
                </c:pt>
                <c:pt idx="93">
                  <c:v>-15.981705337225735</c:v>
                </c:pt>
                <c:pt idx="96">
                  <c:v>-15.61860023509092</c:v>
                </c:pt>
                <c:pt idx="99">
                  <c:v>-15.014002754712065</c:v>
                </c:pt>
                <c:pt idx="102">
                  <c:v>-14.235304828275241</c:v>
                </c:pt>
                <c:pt idx="105">
                  <c:v>-14.191914053223364</c:v>
                </c:pt>
                <c:pt idx="108">
                  <c:v>-14.710789155699132</c:v>
                </c:pt>
                <c:pt idx="111">
                  <c:v>-15.79762653918095</c:v>
                </c:pt>
                <c:pt idx="114">
                  <c:v>-16.591678528865664</c:v>
                </c:pt>
                <c:pt idx="117">
                  <c:v>-16.832382039851542</c:v>
                </c:pt>
                <c:pt idx="120">
                  <c:v>-17.253793773385691</c:v>
                </c:pt>
                <c:pt idx="123">
                  <c:v>-17.136553972686663</c:v>
                </c:pt>
                <c:pt idx="126">
                  <c:v>-15.724474688698665</c:v>
                </c:pt>
                <c:pt idx="129">
                  <c:v>-16.129550141205382</c:v>
                </c:pt>
                <c:pt idx="132">
                  <c:v>-16.745248587561068</c:v>
                </c:pt>
                <c:pt idx="135">
                  <c:v>-16.401934569455118</c:v>
                </c:pt>
                <c:pt idx="138">
                  <c:v>-16.075838640437809</c:v>
                </c:pt>
                <c:pt idx="141">
                  <c:v>-15.59613593729901</c:v>
                </c:pt>
                <c:pt idx="144">
                  <c:v>-16.104812341711124</c:v>
                </c:pt>
                <c:pt idx="147">
                  <c:v>-16.315646554897125</c:v>
                </c:pt>
                <c:pt idx="150">
                  <c:v>-16.612785027112459</c:v>
                </c:pt>
                <c:pt idx="153">
                  <c:v>-15.302335755474548</c:v>
                </c:pt>
                <c:pt idx="156">
                  <c:v>-14.248697957320593</c:v>
                </c:pt>
                <c:pt idx="159">
                  <c:v>-13.824315128862454</c:v>
                </c:pt>
                <c:pt idx="162">
                  <c:v>-14.649242752725602</c:v>
                </c:pt>
                <c:pt idx="165">
                  <c:v>-15.141510891674544</c:v>
                </c:pt>
                <c:pt idx="168">
                  <c:v>-14.161016556293003</c:v>
                </c:pt>
                <c:pt idx="171">
                  <c:v>-12.322898782018035</c:v>
                </c:pt>
                <c:pt idx="174">
                  <c:v>-10.522423499099755</c:v>
                </c:pt>
                <c:pt idx="177">
                  <c:v>-10.903211952107732</c:v>
                </c:pt>
                <c:pt idx="180">
                  <c:v>-10.712197488934724</c:v>
                </c:pt>
                <c:pt idx="183">
                  <c:v>-10.937523659129679</c:v>
                </c:pt>
                <c:pt idx="186">
                  <c:v>-10.015411380054234</c:v>
                </c:pt>
                <c:pt idx="189">
                  <c:v>-9.6361522870282421</c:v>
                </c:pt>
                <c:pt idx="192">
                  <c:v>-9.1646741172204749</c:v>
                </c:pt>
                <c:pt idx="195">
                  <c:v>-10.153773877064994</c:v>
                </c:pt>
                <c:pt idx="198">
                  <c:v>-10.368913249118231</c:v>
                </c:pt>
                <c:pt idx="201">
                  <c:v>-11.264180251662079</c:v>
                </c:pt>
                <c:pt idx="204">
                  <c:v>-10.915719834857494</c:v>
                </c:pt>
                <c:pt idx="207">
                  <c:v>-7.9508348084887688</c:v>
                </c:pt>
                <c:pt idx="210">
                  <c:v>-6.3308152563705828</c:v>
                </c:pt>
                <c:pt idx="213">
                  <c:v>-4.8282465108174915</c:v>
                </c:pt>
                <c:pt idx="216">
                  <c:v>-4.670699077820502</c:v>
                </c:pt>
                <c:pt idx="219">
                  <c:v>-5.0308967663256734</c:v>
                </c:pt>
                <c:pt idx="222">
                  <c:v>-5.088104572479029</c:v>
                </c:pt>
                <c:pt idx="225">
                  <c:v>-5.399107626847373</c:v>
                </c:pt>
                <c:pt idx="228">
                  <c:v>-5.8990771943164066</c:v>
                </c:pt>
                <c:pt idx="231">
                  <c:v>-6.2105226283908657</c:v>
                </c:pt>
                <c:pt idx="234">
                  <c:v>-6.823168317824222</c:v>
                </c:pt>
                <c:pt idx="237">
                  <c:v>-6.9063759857960605</c:v>
                </c:pt>
                <c:pt idx="240">
                  <c:v>-5.5797295844638057</c:v>
                </c:pt>
                <c:pt idx="243">
                  <c:v>-4.3310727145027696</c:v>
                </c:pt>
                <c:pt idx="246">
                  <c:v>-2.9309912819554342</c:v>
                </c:pt>
                <c:pt idx="249">
                  <c:v>-3.3824498930152727</c:v>
                </c:pt>
                <c:pt idx="252">
                  <c:v>-3.5441598506540535</c:v>
                </c:pt>
                <c:pt idx="255">
                  <c:v>-3.9814522570339839</c:v>
                </c:pt>
                <c:pt idx="258">
                  <c:v>-4.4111035593992014</c:v>
                </c:pt>
                <c:pt idx="261">
                  <c:v>-4.9325486507832697</c:v>
                </c:pt>
                <c:pt idx="264">
                  <c:v>-5.4979300902519359</c:v>
                </c:pt>
                <c:pt idx="267">
                  <c:v>-6.1326847109068092</c:v>
                </c:pt>
                <c:pt idx="270">
                  <c:v>-6.704199141755705</c:v>
                </c:pt>
                <c:pt idx="273">
                  <c:v>-5.6617314311811517</c:v>
                </c:pt>
                <c:pt idx="276">
                  <c:v>-5.7033956231151048</c:v>
                </c:pt>
                <c:pt idx="279">
                  <c:v>-4.5363578089322756</c:v>
                </c:pt>
                <c:pt idx="282">
                  <c:v>-1.5589815883163416</c:v>
                </c:pt>
                <c:pt idx="285">
                  <c:v>-0.39023457981443177</c:v>
                </c:pt>
                <c:pt idx="288">
                  <c:v>-0.52007309044447692</c:v>
                </c:pt>
                <c:pt idx="291">
                  <c:v>-1.4262879853062471</c:v>
                </c:pt>
                <c:pt idx="294">
                  <c:v>-1.2402271694333038</c:v>
                </c:pt>
                <c:pt idx="297">
                  <c:v>-2.0950656938803611</c:v>
                </c:pt>
                <c:pt idx="300">
                  <c:v>-2.9375376947246599</c:v>
                </c:pt>
                <c:pt idx="303">
                  <c:v>-3.806653018778154</c:v>
                </c:pt>
                <c:pt idx="306">
                  <c:v>-4.8716219036298094</c:v>
                </c:pt>
                <c:pt idx="309">
                  <c:v>-5.8258953211104298</c:v>
                </c:pt>
                <c:pt idx="312">
                  <c:v>-6.0558725106701301</c:v>
                </c:pt>
                <c:pt idx="315">
                  <c:v>-6.1507228081801752</c:v>
                </c:pt>
                <c:pt idx="318">
                  <c:v>-4.6689921576019433</c:v>
                </c:pt>
                <c:pt idx="321">
                  <c:v>-1.0933979253078476</c:v>
                </c:pt>
                <c:pt idx="324">
                  <c:v>-0.68614725637743268</c:v>
                </c:pt>
                <c:pt idx="327">
                  <c:v>-1.6338855191086279</c:v>
                </c:pt>
                <c:pt idx="330">
                  <c:v>-1.8068560510848801</c:v>
                </c:pt>
                <c:pt idx="333">
                  <c:v>-2.1559741387687188</c:v>
                </c:pt>
                <c:pt idx="336">
                  <c:v>-2.6462515690401438</c:v>
                </c:pt>
                <c:pt idx="339">
                  <c:v>-2.5730981190688098</c:v>
                </c:pt>
                <c:pt idx="342">
                  <c:v>-3.8630774089852928</c:v>
                </c:pt>
                <c:pt idx="345">
                  <c:v>-5.0253698291822353</c:v>
                </c:pt>
                <c:pt idx="348">
                  <c:v>-5.5526462894196369</c:v>
                </c:pt>
                <c:pt idx="351">
                  <c:v>-4.9895573149260031</c:v>
                </c:pt>
                <c:pt idx="354">
                  <c:v>-3.5976096365206445</c:v>
                </c:pt>
                <c:pt idx="357">
                  <c:v>-2.172584020998964</c:v>
                </c:pt>
                <c:pt idx="360">
                  <c:v>-2.2523531921641813</c:v>
                </c:pt>
                <c:pt idx="363">
                  <c:v>-2.9511523293634223</c:v>
                </c:pt>
                <c:pt idx="366">
                  <c:v>-3.5339273345497895</c:v>
                </c:pt>
                <c:pt idx="370">
                  <c:v>-3.4597182057343172</c:v>
                </c:pt>
                <c:pt idx="373">
                  <c:v>-2.5293535343229823</c:v>
                </c:pt>
                <c:pt idx="376">
                  <c:v>-1.6497619882725667</c:v>
                </c:pt>
                <c:pt idx="379">
                  <c:v>-1.9673102514745662</c:v>
                </c:pt>
                <c:pt idx="382">
                  <c:v>-2.9314366715004745</c:v>
                </c:pt>
                <c:pt idx="385">
                  <c:v>-2.125340481170519</c:v>
                </c:pt>
                <c:pt idx="388">
                  <c:v>-0.59142913343918302</c:v>
                </c:pt>
                <c:pt idx="391">
                  <c:v>0.64980782236019841</c:v>
                </c:pt>
                <c:pt idx="395">
                  <c:v>1.2240316951384298</c:v>
                </c:pt>
                <c:pt idx="398">
                  <c:v>1.0240156765837869</c:v>
                </c:pt>
                <c:pt idx="402">
                  <c:v>8.7336906505465106E-2</c:v>
                </c:pt>
                <c:pt idx="405">
                  <c:v>-0.50147054921883338</c:v>
                </c:pt>
                <c:pt idx="408">
                  <c:v>-0.8624524562939363</c:v>
                </c:pt>
                <c:pt idx="411">
                  <c:v>-1.1347573404614528</c:v>
                </c:pt>
                <c:pt idx="414">
                  <c:v>-1.4162114412781648</c:v>
                </c:pt>
                <c:pt idx="418">
                  <c:v>-1.8463905830654517</c:v>
                </c:pt>
                <c:pt idx="421">
                  <c:v>-2.8052888792918198</c:v>
                </c:pt>
                <c:pt idx="424">
                  <c:v>-2.7903485770115197</c:v>
                </c:pt>
                <c:pt idx="427">
                  <c:v>-1.9208111151909897</c:v>
                </c:pt>
                <c:pt idx="430">
                  <c:v>0.15310509652747317</c:v>
                </c:pt>
                <c:pt idx="433">
                  <c:v>0.48756419563352049</c:v>
                </c:pt>
                <c:pt idx="436">
                  <c:v>6.2135608644854401E-2</c:v>
                </c:pt>
                <c:pt idx="440">
                  <c:v>-0.16045182900588048</c:v>
                </c:pt>
                <c:pt idx="443">
                  <c:v>-0.48634498211868449</c:v>
                </c:pt>
                <c:pt idx="446">
                  <c:v>-1.3853209363349372</c:v>
                </c:pt>
                <c:pt idx="449">
                  <c:v>-1.278486304193488</c:v>
                </c:pt>
                <c:pt idx="452">
                  <c:v>-1.5544106586837632</c:v>
                </c:pt>
                <c:pt idx="455">
                  <c:v>-2.234006495003924</c:v>
                </c:pt>
                <c:pt idx="458">
                  <c:v>-2.742984521942935</c:v>
                </c:pt>
                <c:pt idx="461">
                  <c:v>-2.5741161901030947</c:v>
                </c:pt>
                <c:pt idx="464">
                  <c:v>0.23937845756571274</c:v>
                </c:pt>
                <c:pt idx="467">
                  <c:v>1.5388285610561285</c:v>
                </c:pt>
                <c:pt idx="470">
                  <c:v>4.071814258711143</c:v>
                </c:pt>
                <c:pt idx="474">
                  <c:v>4.0616444856273048</c:v>
                </c:pt>
                <c:pt idx="477">
                  <c:v>3.4476012784859948</c:v>
                </c:pt>
                <c:pt idx="481">
                  <c:v>2.9761752561456047</c:v>
                </c:pt>
                <c:pt idx="484">
                  <c:v>2.7408694019440651</c:v>
                </c:pt>
                <c:pt idx="487">
                  <c:v>2.5625702053259736</c:v>
                </c:pt>
                <c:pt idx="490">
                  <c:v>3.944664881186045</c:v>
                </c:pt>
                <c:pt idx="493">
                  <c:v>3.0249775134562289</c:v>
                </c:pt>
                <c:pt idx="496">
                  <c:v>2.4549711952418152</c:v>
                </c:pt>
                <c:pt idx="499">
                  <c:v>3.2294975610899317</c:v>
                </c:pt>
                <c:pt idx="502">
                  <c:v>5.388370784550923</c:v>
                </c:pt>
                <c:pt idx="506">
                  <c:v>6.9569687228753621</c:v>
                </c:pt>
                <c:pt idx="510">
                  <c:v>8.0753950398066969</c:v>
                </c:pt>
                <c:pt idx="513">
                  <c:v>7.4910113811435481</c:v>
                </c:pt>
                <c:pt idx="516">
                  <c:v>7.3413663245806298</c:v>
                </c:pt>
                <c:pt idx="519">
                  <c:v>7.3394157653547225</c:v>
                </c:pt>
                <c:pt idx="522">
                  <c:v>7.7570221410419187</c:v>
                </c:pt>
                <c:pt idx="525">
                  <c:v>9.1905937281590013</c:v>
                </c:pt>
                <c:pt idx="528">
                  <c:v>8.883300630871485</c:v>
                </c:pt>
                <c:pt idx="531">
                  <c:v>8.2915774907205204</c:v>
                </c:pt>
                <c:pt idx="535">
                  <c:v>7.8453369493759926</c:v>
                </c:pt>
                <c:pt idx="538">
                  <c:v>8.1354575370282465</c:v>
                </c:pt>
                <c:pt idx="541">
                  <c:v>9.4945283600018815</c:v>
                </c:pt>
                <c:pt idx="544">
                  <c:v>9.7608207680293084</c:v>
                </c:pt>
                <c:pt idx="547">
                  <c:v>9.6662720930461603</c:v>
                </c:pt>
                <c:pt idx="551">
                  <c:v>9.4617066013774949</c:v>
                </c:pt>
                <c:pt idx="554">
                  <c:v>9.5442103496826221</c:v>
                </c:pt>
                <c:pt idx="560">
                  <c:v>11.188716623942694</c:v>
                </c:pt>
                <c:pt idx="566">
                  <c:v>11.644126356334258</c:v>
                </c:pt>
                <c:pt idx="569">
                  <c:v>10.857756145492719</c:v>
                </c:pt>
                <c:pt idx="572">
                  <c:v>11.474835552300835</c:v>
                </c:pt>
                <c:pt idx="575">
                  <c:v>12.611409491267112</c:v>
                </c:pt>
                <c:pt idx="578">
                  <c:v>14.43035412691569</c:v>
                </c:pt>
                <c:pt idx="581">
                  <c:v>14.708711436018978</c:v>
                </c:pt>
                <c:pt idx="584">
                  <c:v>14.603203809225255</c:v>
                </c:pt>
                <c:pt idx="587">
                  <c:v>14.520016249421875</c:v>
                </c:pt>
                <c:pt idx="590">
                  <c:v>13.348574612575737</c:v>
                </c:pt>
                <c:pt idx="593">
                  <c:v>13.141721816744772</c:v>
                </c:pt>
                <c:pt idx="596">
                  <c:v>13.5215248357276</c:v>
                </c:pt>
                <c:pt idx="599">
                  <c:v>13.904243539137095</c:v>
                </c:pt>
                <c:pt idx="602">
                  <c:v>13.591722318050039</c:v>
                </c:pt>
                <c:pt idx="605">
                  <c:v>13.276587035063212</c:v>
                </c:pt>
                <c:pt idx="608">
                  <c:v>14.052219350176616</c:v>
                </c:pt>
                <c:pt idx="611">
                  <c:v>14.54181296894979</c:v>
                </c:pt>
                <c:pt idx="614">
                  <c:v>16.541429498209403</c:v>
                </c:pt>
                <c:pt idx="617">
                  <c:v>17.978419473964646</c:v>
                </c:pt>
                <c:pt idx="620">
                  <c:v>18.766518853523106</c:v>
                </c:pt>
                <c:pt idx="623">
                  <c:v>18.246179711404324</c:v>
                </c:pt>
                <c:pt idx="626">
                  <c:v>17.877053996103015</c:v>
                </c:pt>
                <c:pt idx="629">
                  <c:v>17.684377459036188</c:v>
                </c:pt>
                <c:pt idx="638">
                  <c:v>17.538552954480625</c:v>
                </c:pt>
                <c:pt idx="641">
                  <c:v>16.391844364840004</c:v>
                </c:pt>
                <c:pt idx="644">
                  <c:v>16.028650559234325</c:v>
                </c:pt>
                <c:pt idx="647">
                  <c:v>15.751318632951866</c:v>
                </c:pt>
                <c:pt idx="650">
                  <c:v>15.731572344639062</c:v>
                </c:pt>
                <c:pt idx="656">
                  <c:v>14.919262596484419</c:v>
                </c:pt>
                <c:pt idx="662">
                  <c:v>13.753853410176212</c:v>
                </c:pt>
                <c:pt idx="665">
                  <c:v>12.677523410144786</c:v>
                </c:pt>
                <c:pt idx="668">
                  <c:v>14.653010137252675</c:v>
                </c:pt>
                <c:pt idx="671">
                  <c:v>14.540062488128836</c:v>
                </c:pt>
                <c:pt idx="674">
                  <c:v>15.12325963108224</c:v>
                </c:pt>
                <c:pt idx="677">
                  <c:v>14.209303091363457</c:v>
                </c:pt>
                <c:pt idx="680">
                  <c:v>14.65174305509847</c:v>
                </c:pt>
                <c:pt idx="683">
                  <c:v>14.917532758914401</c:v>
                </c:pt>
                <c:pt idx="686">
                  <c:v>15.432764292473781</c:v>
                </c:pt>
                <c:pt idx="689">
                  <c:v>15.693929117543966</c:v>
                </c:pt>
                <c:pt idx="692">
                  <c:v>15.395483614378749</c:v>
                </c:pt>
                <c:pt idx="695">
                  <c:v>14.13144386177537</c:v>
                </c:pt>
                <c:pt idx="710">
                  <c:v>13.183705599044174</c:v>
                </c:pt>
                <c:pt idx="713">
                  <c:v>12.481085909837576</c:v>
                </c:pt>
                <c:pt idx="716">
                  <c:v>11.696324352472818</c:v>
                </c:pt>
                <c:pt idx="719">
                  <c:v>11.603585412651048</c:v>
                </c:pt>
                <c:pt idx="722">
                  <c:v>12.036876159736865</c:v>
                </c:pt>
                <c:pt idx="731">
                  <c:v>11.278154680527509</c:v>
                </c:pt>
                <c:pt idx="737">
                  <c:v>10.218112296948497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6-A54C-B563-63DCB28E9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'Zea update'!$I$5:$I$742</c:f>
              <c:numCache>
                <c:formatCode>General</c:formatCode>
                <c:ptCount val="738"/>
                <c:pt idx="0" formatCode="0.000">
                  <c:v>4.3436182486310626</c:v>
                </c:pt>
                <c:pt idx="3" formatCode="0.000">
                  <c:v>3.9763873870031197</c:v>
                </c:pt>
                <c:pt idx="6" formatCode="0.000">
                  <c:v>3.4663078451070866</c:v>
                </c:pt>
                <c:pt idx="9" formatCode="0.000">
                  <c:v>3.3871081085015358</c:v>
                </c:pt>
                <c:pt idx="12" formatCode="0.000">
                  <c:v>4.9699267107728504</c:v>
                </c:pt>
                <c:pt idx="15" formatCode="0.000">
                  <c:v>2.4738625495730591</c:v>
                </c:pt>
                <c:pt idx="18" formatCode="0.000">
                  <c:v>3.2826370251484334</c:v>
                </c:pt>
                <c:pt idx="21" formatCode="0.000">
                  <c:v>1.6371818626430468</c:v>
                </c:pt>
                <c:pt idx="24" formatCode="0.000">
                  <c:v>3.736656357471503</c:v>
                </c:pt>
                <c:pt idx="27" formatCode="0.000">
                  <c:v>9.1378453037807379</c:v>
                </c:pt>
                <c:pt idx="30" formatCode="0.000">
                  <c:v>3.5199391851087971</c:v>
                </c:pt>
                <c:pt idx="33" formatCode="0.000">
                  <c:v>6.3006138651251291</c:v>
                </c:pt>
                <c:pt idx="36" formatCode="0.000">
                  <c:v>3.9984268788627837</c:v>
                </c:pt>
                <c:pt idx="39" formatCode="0.000">
                  <c:v>1.1461411668887538</c:v>
                </c:pt>
                <c:pt idx="42" formatCode="0.000">
                  <c:v>4.2553168118899842</c:v>
                </c:pt>
                <c:pt idx="45" formatCode="0.000">
                  <c:v>3.1257342077279611</c:v>
                </c:pt>
                <c:pt idx="48" formatCode="0.000">
                  <c:v>3.1678240591031659</c:v>
                </c:pt>
                <c:pt idx="51" formatCode="0.000">
                  <c:v>3.2428774202097359</c:v>
                </c:pt>
                <c:pt idx="54" formatCode="0.000">
                  <c:v>1.0415669659472375</c:v>
                </c:pt>
                <c:pt idx="57" formatCode="0.000">
                  <c:v>1.0519999372377684</c:v>
                </c:pt>
                <c:pt idx="60" formatCode="0.000">
                  <c:v>2.0816760914865617</c:v>
                </c:pt>
                <c:pt idx="63" formatCode="0.000">
                  <c:v>6.5725514687452025</c:v>
                </c:pt>
                <c:pt idx="66" formatCode="0.000">
                  <c:v>5.1939496956832594</c:v>
                </c:pt>
                <c:pt idx="69" formatCode="0.000">
                  <c:v>5.904270321687398</c:v>
                </c:pt>
                <c:pt idx="72" formatCode="0.000">
                  <c:v>2.5662165226420637</c:v>
                </c:pt>
                <c:pt idx="75" formatCode="0.000">
                  <c:v>2.3465076796477864</c:v>
                </c:pt>
                <c:pt idx="78" formatCode="0.000">
                  <c:v>3.6882212667442942</c:v>
                </c:pt>
                <c:pt idx="81" formatCode="0.000">
                  <c:v>4.1539263973359724</c:v>
                </c:pt>
                <c:pt idx="84" formatCode="0.000">
                  <c:v>2.8247363168547728</c:v>
                </c:pt>
                <c:pt idx="87" formatCode="0.000">
                  <c:v>2.5546582578791779</c:v>
                </c:pt>
                <c:pt idx="90" formatCode="0.000">
                  <c:v>2.1749932778823258</c:v>
                </c:pt>
                <c:pt idx="93" formatCode="0.000">
                  <c:v>3.4494796312748774</c:v>
                </c:pt>
                <c:pt idx="96" formatCode="0.000">
                  <c:v>6.4463063558178026</c:v>
                </c:pt>
                <c:pt idx="99" formatCode="0.000">
                  <c:v>7.2469507265443438</c:v>
                </c:pt>
                <c:pt idx="102" formatCode="0.000">
                  <c:v>7.8241637346353476</c:v>
                </c:pt>
                <c:pt idx="105" formatCode="0.000">
                  <c:v>5.3863247610326406</c:v>
                </c:pt>
                <c:pt idx="108" formatCode="0.000">
                  <c:v>3.522187213638885</c:v>
                </c:pt>
                <c:pt idx="111" formatCode="0.000">
                  <c:v>1.6391637974175726</c:v>
                </c:pt>
                <c:pt idx="114" formatCode="0.000">
                  <c:v>2.6098651465827802</c:v>
                </c:pt>
                <c:pt idx="117" formatCode="0.000">
                  <c:v>4.4444379299631862</c:v>
                </c:pt>
                <c:pt idx="120" formatCode="0.000">
                  <c:v>3.8453174849234446</c:v>
                </c:pt>
                <c:pt idx="123" formatCode="0.000">
                  <c:v>5.6311639857649434</c:v>
                </c:pt>
                <c:pt idx="126" formatCode="0.000">
                  <c:v>9.9240777034895604</c:v>
                </c:pt>
                <c:pt idx="129" formatCode="0.000">
                  <c:v>3.899478827564264</c:v>
                </c:pt>
                <c:pt idx="132" formatCode="0.000">
                  <c:v>3.2011788828747592</c:v>
                </c:pt>
                <c:pt idx="135" formatCode="0.000">
                  <c:v>6.3806909515822534</c:v>
                </c:pt>
                <c:pt idx="138" formatCode="0.000">
                  <c:v>6.3236060605238791</c:v>
                </c:pt>
                <c:pt idx="141" formatCode="0.000">
                  <c:v>6.8328743028596763</c:v>
                </c:pt>
                <c:pt idx="144" formatCode="0.000">
                  <c:v>3.5559999999999996</c:v>
                </c:pt>
                <c:pt idx="147" formatCode="0.000">
                  <c:v>4.5434666666666672</c:v>
                </c:pt>
                <c:pt idx="150" formatCode="0.000">
                  <c:v>4.2573333333333325</c:v>
                </c:pt>
                <c:pt idx="153" formatCode="0.000">
                  <c:v>9.587133333333334</c:v>
                </c:pt>
                <c:pt idx="156" formatCode="0.000">
                  <c:v>8.7356999999999996</c:v>
                </c:pt>
                <c:pt idx="159" formatCode="0.000">
                  <c:v>6.6494666666666662</c:v>
                </c:pt>
                <c:pt idx="162" formatCode="0.000">
                  <c:v>2.5074999999999998</c:v>
                </c:pt>
                <c:pt idx="165" formatCode="0.000">
                  <c:v>3.6103999999999998</c:v>
                </c:pt>
                <c:pt idx="168" formatCode="0.000">
                  <c:v>8.4931999999999999</c:v>
                </c:pt>
                <c:pt idx="171" formatCode="0.000">
                  <c:v>11.336566666666664</c:v>
                </c:pt>
                <c:pt idx="174" formatCode="0.000">
                  <c:v>11.211766666666668</c:v>
                </c:pt>
                <c:pt idx="177" formatCode="0.000">
                  <c:v>3.9800000000000004</c:v>
                </c:pt>
                <c:pt idx="180" formatCode="0.000">
                  <c:v>5.8757566666666667</c:v>
                </c:pt>
                <c:pt idx="183" formatCode="0.000">
                  <c:v>4.4954200000000002</c:v>
                </c:pt>
                <c:pt idx="186" formatCode="0.000">
                  <c:v>8.2996399999999984</c:v>
                </c:pt>
                <c:pt idx="189" formatCode="0.000">
                  <c:v>6.4998633333333329</c:v>
                </c:pt>
                <c:pt idx="192" formatCode="0.000">
                  <c:v>6.8056066666666659</c:v>
                </c:pt>
                <c:pt idx="195" formatCode="0.000">
                  <c:v>1.9632033333333332</c:v>
                </c:pt>
                <c:pt idx="198" formatCode="0.000">
                  <c:v>4.5291933333333327</c:v>
                </c:pt>
                <c:pt idx="201" formatCode="0.000">
                  <c:v>2.2742966666666669</c:v>
                </c:pt>
                <c:pt idx="204" formatCode="0.000">
                  <c:v>6.3977533333333341</c:v>
                </c:pt>
                <c:pt idx="207" formatCode="0.000">
                  <c:v>15.072253333333334</c:v>
                </c:pt>
                <c:pt idx="210" formatCode="0.000">
                  <c:v>10.613483333333333</c:v>
                </c:pt>
                <c:pt idx="213" formatCode="0.000">
                  <c:v>10.224086666666667</c:v>
                </c:pt>
                <c:pt idx="216" formatCode="0.000">
                  <c:v>5.7648000000000001</c:v>
                </c:pt>
                <c:pt idx="219" formatCode="0.000">
                  <c:v>4.0482666666666667</c:v>
                </c:pt>
                <c:pt idx="222" formatCode="0.000">
                  <c:v>5.0528000000000004</c:v>
                </c:pt>
                <c:pt idx="225" formatCode="0.000">
                  <c:v>4.2113666666666667</c:v>
                </c:pt>
                <c:pt idx="228" formatCode="0.000">
                  <c:v>3.5848666666666666</c:v>
                </c:pt>
                <c:pt idx="231" formatCode="0.000">
                  <c:v>4.2099000000000002</c:v>
                </c:pt>
                <c:pt idx="234" formatCode="0.000">
                  <c:v>3.2113</c:v>
                </c:pt>
                <c:pt idx="237" formatCode="0.000">
                  <c:v>4.9666000000000006</c:v>
                </c:pt>
                <c:pt idx="240" formatCode="0.000">
                  <c:v>9.6408333333333331</c:v>
                </c:pt>
                <c:pt idx="243" formatCode="0.000">
                  <c:v>9.3822666666666663</c:v>
                </c:pt>
                <c:pt idx="246" formatCode="0.000">
                  <c:v>9.8842999999999996</c:v>
                </c:pt>
                <c:pt idx="249" formatCode="0.000">
                  <c:v>3.7456999999999998</c:v>
                </c:pt>
                <c:pt idx="252" formatCode="0.000">
                  <c:v>4.7063333333333333</c:v>
                </c:pt>
                <c:pt idx="255" formatCode="0.000">
                  <c:v>3.7926666666666669</c:v>
                </c:pt>
                <c:pt idx="258" formatCode="0.000">
                  <c:v>3.8180000000000001</c:v>
                </c:pt>
                <c:pt idx="261" formatCode="0.000">
                  <c:v>3.5136666666666669</c:v>
                </c:pt>
                <c:pt idx="264" formatCode="0.000">
                  <c:v>3.3679999999999999</c:v>
                </c:pt>
                <c:pt idx="267" formatCode="0.000">
                  <c:v>3.1379999999999999</c:v>
                </c:pt>
                <c:pt idx="270" formatCode="0.000">
                  <c:v>3.3476666666666666</c:v>
                </c:pt>
                <c:pt idx="273" formatCode="0.000">
                  <c:v>8.6986666666666661</c:v>
                </c:pt>
                <c:pt idx="276" formatCode="0.000">
                  <c:v>5.1043333333333329</c:v>
                </c:pt>
                <c:pt idx="279" formatCode="0.000">
                  <c:v>9.1116666666666664</c:v>
                </c:pt>
                <c:pt idx="282" formatCode="0.000">
                  <c:v>15.113666666666665</c:v>
                </c:pt>
                <c:pt idx="285" formatCode="0.000">
                  <c:v>9.1173333333333328</c:v>
                </c:pt>
                <c:pt idx="288" formatCode="0.000">
                  <c:v>4.8120000000000003</c:v>
                </c:pt>
                <c:pt idx="291" formatCode="0.000">
                  <c:v>2.238</c:v>
                </c:pt>
                <c:pt idx="294" formatCode="0.000">
                  <c:v>5.8593333333333328</c:v>
                </c:pt>
                <c:pt idx="297" formatCode="0.000">
                  <c:v>2.4083333333333332</c:v>
                </c:pt>
                <c:pt idx="300" formatCode="0.000">
                  <c:v>2.4493333333333331</c:v>
                </c:pt>
                <c:pt idx="303" formatCode="0.000">
                  <c:v>2.3610000000000002</c:v>
                </c:pt>
                <c:pt idx="306" formatCode="0.000">
                  <c:v>1.7116666666666667</c:v>
                </c:pt>
                <c:pt idx="309" formatCode="0.000">
                  <c:v>2.0786666666666669</c:v>
                </c:pt>
                <c:pt idx="312" formatCode="0.000">
                  <c:v>4.4799999999999995</c:v>
                </c:pt>
                <c:pt idx="315" formatCode="0.000">
                  <c:v>4.9279999999999999</c:v>
                </c:pt>
                <c:pt idx="318" formatCode="0.000">
                  <c:v>10.154999999999999</c:v>
                </c:pt>
                <c:pt idx="321" formatCode="0.000">
                  <c:v>17.096999999999998</c:v>
                </c:pt>
                <c:pt idx="324" formatCode="0.000">
                  <c:v>6.5926666666666662</c:v>
                </c:pt>
                <c:pt idx="327" formatCode="0.000">
                  <c:v>2.1003333333333334</c:v>
                </c:pt>
                <c:pt idx="330" formatCode="0.000">
                  <c:v>4.6689999999999996</c:v>
                </c:pt>
                <c:pt idx="333" formatCode="0.000">
                  <c:v>4.085</c:v>
                </c:pt>
                <c:pt idx="336" formatCode="0.000">
                  <c:v>3.6169999999999995</c:v>
                </c:pt>
                <c:pt idx="339" formatCode="0.000">
                  <c:v>5.4849999999999994</c:v>
                </c:pt>
                <c:pt idx="342" formatCode="0.000">
                  <c:v>0.96566666666666656</c:v>
                </c:pt>
                <c:pt idx="345" formatCode="0.000">
                  <c:v>1.389</c:v>
                </c:pt>
                <c:pt idx="348" formatCode="0.000">
                  <c:v>3.4943333333333335</c:v>
                </c:pt>
                <c:pt idx="351" formatCode="0.000">
                  <c:v>7.1093333333333328</c:v>
                </c:pt>
                <c:pt idx="354" formatCode="0.000">
                  <c:v>9.8573333333333331</c:v>
                </c:pt>
                <c:pt idx="357" formatCode="0.000">
                  <c:v>9.9670000000000005</c:v>
                </c:pt>
                <c:pt idx="360" formatCode="0.000">
                  <c:v>4.9780000000000006</c:v>
                </c:pt>
                <c:pt idx="363" formatCode="0.000">
                  <c:v>2.9256666666666669</c:v>
                </c:pt>
                <c:pt idx="366" formatCode="0.000">
                  <c:v>3.3103333333333338</c:v>
                </c:pt>
                <c:pt idx="370" formatCode="0.000">
                  <c:v>5.4885000000000002</c:v>
                </c:pt>
                <c:pt idx="373" formatCode="0.000">
                  <c:v>8.327</c:v>
                </c:pt>
                <c:pt idx="376" formatCode="0.000">
                  <c:v>8.158666666666667</c:v>
                </c:pt>
                <c:pt idx="379" formatCode="0.000">
                  <c:v>4.1896666666666667</c:v>
                </c:pt>
                <c:pt idx="382" formatCode="0.000">
                  <c:v>2.0459999999999998</c:v>
                </c:pt>
                <c:pt idx="385" formatCode="0.000">
                  <c:v>7.915</c:v>
                </c:pt>
                <c:pt idx="388" formatCode="0.000">
                  <c:v>10.328000000000001</c:v>
                </c:pt>
                <c:pt idx="391" formatCode="0.000">
                  <c:v>9.3576666666666668</c:v>
                </c:pt>
                <c:pt idx="395" formatCode="0.000">
                  <c:v>7.1462500000000002</c:v>
                </c:pt>
                <c:pt idx="398" formatCode="0.000">
                  <c:v>4.5793333333333335</c:v>
                </c:pt>
                <c:pt idx="402" formatCode="0.000">
                  <c:v>2.137</c:v>
                </c:pt>
                <c:pt idx="405" formatCode="0.000">
                  <c:v>3.2903333333333333</c:v>
                </c:pt>
                <c:pt idx="408" formatCode="0.000">
                  <c:v>4.0456666666666665</c:v>
                </c:pt>
                <c:pt idx="411" formatCode="0.000">
                  <c:v>4.339666666666667</c:v>
                </c:pt>
                <c:pt idx="414" formatCode="0.000">
                  <c:v>4.3093333333333339</c:v>
                </c:pt>
                <c:pt idx="418" formatCode="0.000">
                  <c:v>3.8162500000000001</c:v>
                </c:pt>
                <c:pt idx="421" formatCode="0.000">
                  <c:v>2.063333333333333</c:v>
                </c:pt>
                <c:pt idx="424" formatCode="0.000">
                  <c:v>5.2920000000000007</c:v>
                </c:pt>
                <c:pt idx="427" formatCode="0.000">
                  <c:v>8.125333333333332</c:v>
                </c:pt>
                <c:pt idx="430" formatCode="0.000">
                  <c:v>12.118333333333334</c:v>
                </c:pt>
                <c:pt idx="433" formatCode="0.000">
                  <c:v>6.3513333333333337</c:v>
                </c:pt>
                <c:pt idx="436" formatCode="0.000">
                  <c:v>3.8320000000000003</c:v>
                </c:pt>
                <c:pt idx="440" formatCode="0.000">
                  <c:v>4.5045000000000002</c:v>
                </c:pt>
                <c:pt idx="443" formatCode="0.000">
                  <c:v>4.1619999999999999</c:v>
                </c:pt>
                <c:pt idx="446" formatCode="0.000">
                  <c:v>2.262</c:v>
                </c:pt>
                <c:pt idx="449" formatCode="0.000">
                  <c:v>5.5966666666666667</c:v>
                </c:pt>
                <c:pt idx="452" formatCode="0.000">
                  <c:v>4.3276666666666666</c:v>
                </c:pt>
                <c:pt idx="455" formatCode="0.000">
                  <c:v>2.9893333333333332</c:v>
                </c:pt>
                <c:pt idx="458" formatCode="0.000">
                  <c:v>3.5549999999999997</c:v>
                </c:pt>
                <c:pt idx="461" formatCode="0.000">
                  <c:v>5.8023333333333333</c:v>
                </c:pt>
                <c:pt idx="464" formatCode="0.000">
                  <c:v>14.570333333333332</c:v>
                </c:pt>
                <c:pt idx="467" formatCode="0.000">
                  <c:v>9.5506666666666664</c:v>
                </c:pt>
                <c:pt idx="470" formatCode="0.000">
                  <c:v>13.640333333333333</c:v>
                </c:pt>
                <c:pt idx="474" formatCode="0.000">
                  <c:v>5.2087500000000002</c:v>
                </c:pt>
                <c:pt idx="477" formatCode="0.000">
                  <c:v>3.206666666666667</c:v>
                </c:pt>
                <c:pt idx="481" formatCode="0.000">
                  <c:v>3.6795</c:v>
                </c:pt>
                <c:pt idx="484" formatCode="0.000">
                  <c:v>4.4623333333333335</c:v>
                </c:pt>
                <c:pt idx="487" formatCode="0.000">
                  <c:v>4.6513333333333327</c:v>
                </c:pt>
                <c:pt idx="490" formatCode="0.000">
                  <c:v>9.8246666666666673</c:v>
                </c:pt>
                <c:pt idx="493" formatCode="0.000">
                  <c:v>2.1933333333333334</c:v>
                </c:pt>
                <c:pt idx="496" formatCode="0.000">
                  <c:v>3.3526666666666665</c:v>
                </c:pt>
                <c:pt idx="499" formatCode="0.000">
                  <c:v>7.8103333333333333</c:v>
                </c:pt>
                <c:pt idx="502" formatCode="0.000">
                  <c:v>12.4</c:v>
                </c:pt>
                <c:pt idx="506" formatCode="0.000">
                  <c:v>10.443</c:v>
                </c:pt>
                <c:pt idx="510" formatCode="0.000">
                  <c:v>8.9504999999999999</c:v>
                </c:pt>
                <c:pt idx="513" formatCode="0.000">
                  <c:v>3.3049999999999997</c:v>
                </c:pt>
                <c:pt idx="516" formatCode="0.000">
                  <c:v>4.7463333333333333</c:v>
                </c:pt>
                <c:pt idx="519" formatCode="0.000">
                  <c:v>5.2359999999999998</c:v>
                </c:pt>
                <c:pt idx="522" formatCode="0.000">
                  <c:v>6.6269999999999998</c:v>
                </c:pt>
                <c:pt idx="525" formatCode="0.000">
                  <c:v>9.995333333333333</c:v>
                </c:pt>
                <c:pt idx="528" formatCode="0.000">
                  <c:v>4.2236666666666665</c:v>
                </c:pt>
                <c:pt idx="531" formatCode="0.000">
                  <c:v>3.2806666666666668</c:v>
                </c:pt>
                <c:pt idx="535" formatCode="0.000">
                  <c:v>3.7629999999999999</c:v>
                </c:pt>
                <c:pt idx="538" formatCode="0.000">
                  <c:v>6.2043333333333335</c:v>
                </c:pt>
                <c:pt idx="541" formatCode="0.000">
                  <c:v>9.7483333333333331</c:v>
                </c:pt>
                <c:pt idx="544" formatCode="0.000">
                  <c:v>6.1253333333333337</c:v>
                </c:pt>
                <c:pt idx="547" formatCode="0.000">
                  <c:v>4.9289999999999994</c:v>
                </c:pt>
                <c:pt idx="551" formatCode="0.000">
                  <c:v>4.5642500000000004</c:v>
                </c:pt>
                <c:pt idx="554" formatCode="0.000">
                  <c:v>5.5160000000000009</c:v>
                </c:pt>
                <c:pt idx="560" formatCode="0.000">
                  <c:v>10.694666666666668</c:v>
                </c:pt>
                <c:pt idx="566" formatCode="0.000">
                  <c:v>6.7523333333333326</c:v>
                </c:pt>
                <c:pt idx="569" formatCode="0.000">
                  <c:v>2.6353333333333331</c:v>
                </c:pt>
                <c:pt idx="572" formatCode="0.000">
                  <c:v>7.288333333333334</c:v>
                </c:pt>
                <c:pt idx="575" formatCode="0.000">
                  <c:v>9.0106666666666655</c:v>
                </c:pt>
                <c:pt idx="578" formatCode="0.000">
                  <c:v>11.273000000000001</c:v>
                </c:pt>
                <c:pt idx="581" formatCode="0.000">
                  <c:v>6.1653333333333338</c:v>
                </c:pt>
                <c:pt idx="584" formatCode="0.000">
                  <c:v>4.8926666666666661</c:v>
                </c:pt>
                <c:pt idx="587" formatCode="0.000">
                  <c:v>4.9666666666666659</c:v>
                </c:pt>
                <c:pt idx="590" formatCode="0.000">
                  <c:v>1.3586666666666669</c:v>
                </c:pt>
                <c:pt idx="593" formatCode="0.000">
                  <c:v>4.5566666666666666</c:v>
                </c:pt>
                <c:pt idx="596" formatCode="0.000">
                  <c:v>6.501666666666666</c:v>
                </c:pt>
                <c:pt idx="599" formatCode="0.000">
                  <c:v>6.511333333333333</c:v>
                </c:pt>
                <c:pt idx="602" formatCode="0.000">
                  <c:v>4.2063333333333333</c:v>
                </c:pt>
                <c:pt idx="605" formatCode="0.000">
                  <c:v>4.1976666666666667</c:v>
                </c:pt>
                <c:pt idx="608" formatCode="0.000">
                  <c:v>7.8140000000000001</c:v>
                </c:pt>
                <c:pt idx="611" formatCode="0.000">
                  <c:v>6.8656666666666668</c:v>
                </c:pt>
                <c:pt idx="614" formatCode="0.000">
                  <c:v>11.872</c:v>
                </c:pt>
                <c:pt idx="617" formatCode="0.000">
                  <c:v>10.006666666666668</c:v>
                </c:pt>
                <c:pt idx="620" formatCode="0.000">
                  <c:v>7.8553333333333333</c:v>
                </c:pt>
                <c:pt idx="623" formatCode="0.000">
                  <c:v>3.5173333333333332</c:v>
                </c:pt>
                <c:pt idx="626" formatCode="0.000">
                  <c:v>4.0186666666666673</c:v>
                </c:pt>
                <c:pt idx="629" formatCode="0.000">
                  <c:v>4.6036666666666664</c:v>
                </c:pt>
                <c:pt idx="638" formatCode="0.000">
                  <c:v>4.7590000000000003</c:v>
                </c:pt>
                <c:pt idx="641" formatCode="0.000">
                  <c:v>1.4406666666666668</c:v>
                </c:pt>
                <c:pt idx="644" formatCode="0.000">
                  <c:v>4.0383333333333331</c:v>
                </c:pt>
                <c:pt idx="647" formatCode="0.000">
                  <c:v>4.3229999999999995</c:v>
                </c:pt>
                <c:pt idx="650" formatCode="0.000">
                  <c:v>5.1770000000000005</c:v>
                </c:pt>
                <c:pt idx="656" formatCode="0.000">
                  <c:v>2.5493333333333332</c:v>
                </c:pt>
                <c:pt idx="662" formatCode="0.000">
                  <c:v>1.3786666666666667</c:v>
                </c:pt>
                <c:pt idx="665" formatCode="0.000">
                  <c:v>1.6740000000000002</c:v>
                </c:pt>
                <c:pt idx="668">
                  <c:v>11.792000000000002</c:v>
                </c:pt>
                <c:pt idx="671">
                  <c:v>4.8679999999999994</c:v>
                </c:pt>
                <c:pt idx="674">
                  <c:v>7.1759999999999993</c:v>
                </c:pt>
                <c:pt idx="677">
                  <c:v>2.2123333333333335</c:v>
                </c:pt>
                <c:pt idx="680">
                  <c:v>6.7093333333333334</c:v>
                </c:pt>
                <c:pt idx="683">
                  <c:v>6.1236666666666659</c:v>
                </c:pt>
                <c:pt idx="686">
                  <c:v>6.9506666666666668</c:v>
                </c:pt>
                <c:pt idx="689">
                  <c:v>6.1083333333333334</c:v>
                </c:pt>
                <c:pt idx="692">
                  <c:v>4.2530000000000001</c:v>
                </c:pt>
                <c:pt idx="695">
                  <c:v>1.0516666666666667</c:v>
                </c:pt>
                <c:pt idx="710" formatCode="0.000">
                  <c:v>2.1003333333333334</c:v>
                </c:pt>
                <c:pt idx="713" formatCode="0.000">
                  <c:v>2.9130000000000003</c:v>
                </c:pt>
                <c:pt idx="716" formatCode="0.000">
                  <c:v>2.6406666666666667</c:v>
                </c:pt>
                <c:pt idx="719" formatCode="0.000">
                  <c:v>4.9349999999999996</c:v>
                </c:pt>
                <c:pt idx="722" formatCode="0.000">
                  <c:v>6.6789999999999994</c:v>
                </c:pt>
                <c:pt idx="731" formatCode="0.000">
                  <c:v>2.7270000000000003</c:v>
                </c:pt>
                <c:pt idx="737" formatCode="0.000">
                  <c:v>1.7279999999999998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2-A145-9DD2-EADD7CD1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'Fuco update'!$N$5:$N$742</c:f>
              <c:numCache>
                <c:formatCode>General</c:formatCode>
                <c:ptCount val="738"/>
                <c:pt idx="0">
                  <c:v>-0.57231753390856077</c:v>
                </c:pt>
                <c:pt idx="3">
                  <c:v>-0.15506798052044324</c:v>
                </c:pt>
                <c:pt idx="6">
                  <c:v>-7.0214986539696489E-2</c:v>
                </c:pt>
                <c:pt idx="9">
                  <c:v>0.19200929276939244</c:v>
                </c:pt>
                <c:pt idx="12">
                  <c:v>0.88375672494253754</c:v>
                </c:pt>
                <c:pt idx="15">
                  <c:v>0.64963142909942995</c:v>
                </c:pt>
                <c:pt idx="18">
                  <c:v>0.97143328274429808</c:v>
                </c:pt>
                <c:pt idx="21">
                  <c:v>0.19953118799096403</c:v>
                </c:pt>
                <c:pt idx="24">
                  <c:v>0.4702976624212013</c:v>
                </c:pt>
                <c:pt idx="27">
                  <c:v>0.88685017677397648</c:v>
                </c:pt>
                <c:pt idx="30">
                  <c:v>0.45251100275279321</c:v>
                </c:pt>
                <c:pt idx="33">
                  <c:v>0.71337407292089061</c:v>
                </c:pt>
                <c:pt idx="36">
                  <c:v>0.27534937594755221</c:v>
                </c:pt>
                <c:pt idx="39">
                  <c:v>-0.41815209434446848</c:v>
                </c:pt>
                <c:pt idx="42">
                  <c:v>-0.28881614889240448</c:v>
                </c:pt>
                <c:pt idx="45">
                  <c:v>-0.73484312155518539</c:v>
                </c:pt>
                <c:pt idx="48">
                  <c:v>5.840195845032492E-2</c:v>
                </c:pt>
                <c:pt idx="51">
                  <c:v>0.32387223679476762</c:v>
                </c:pt>
                <c:pt idx="54">
                  <c:v>-0.79433105816057614</c:v>
                </c:pt>
                <c:pt idx="57">
                  <c:v>-2.2285425083316541</c:v>
                </c:pt>
                <c:pt idx="60">
                  <c:v>-4.1108755715392764</c:v>
                </c:pt>
                <c:pt idx="63">
                  <c:v>-4.6659135943698171</c:v>
                </c:pt>
                <c:pt idx="66">
                  <c:v>-5.9412901326745144</c:v>
                </c:pt>
                <c:pt idx="69">
                  <c:v>-6.2684062531097817</c:v>
                </c:pt>
                <c:pt idx="72">
                  <c:v>-6.8581994994151865</c:v>
                </c:pt>
                <c:pt idx="75">
                  <c:v>-7.0993606294803602</c:v>
                </c:pt>
                <c:pt idx="78">
                  <c:v>-6.6231710086719273</c:v>
                </c:pt>
                <c:pt idx="81">
                  <c:v>-6.2269541673143625</c:v>
                </c:pt>
                <c:pt idx="84">
                  <c:v>-6.3169223828692429</c:v>
                </c:pt>
                <c:pt idx="87">
                  <c:v>-5.8905565855276132</c:v>
                </c:pt>
                <c:pt idx="90">
                  <c:v>-6.2663011820458392</c:v>
                </c:pt>
                <c:pt idx="108">
                  <c:v>-6.7768429478853944</c:v>
                </c:pt>
                <c:pt idx="111">
                  <c:v>-7.9090841052678496</c:v>
                </c:pt>
                <c:pt idx="114">
                  <c:v>-8.5296947011135629</c:v>
                </c:pt>
                <c:pt idx="117">
                  <c:v>-8.9271458580879806</c:v>
                </c:pt>
                <c:pt idx="120">
                  <c:v>-9.0784618580138368</c:v>
                </c:pt>
                <c:pt idx="123">
                  <c:v>-9.4437275803354233</c:v>
                </c:pt>
                <c:pt idx="126">
                  <c:v>-7.9444083984656242</c:v>
                </c:pt>
                <c:pt idx="129">
                  <c:v>-8.1575229655359127</c:v>
                </c:pt>
                <c:pt idx="132">
                  <c:v>-7.6678148097827146</c:v>
                </c:pt>
                <c:pt idx="135">
                  <c:v>-8.9619546728794415</c:v>
                </c:pt>
                <c:pt idx="138">
                  <c:v>-9.2578576647016337</c:v>
                </c:pt>
                <c:pt idx="141">
                  <c:v>-9.9560919423949432</c:v>
                </c:pt>
                <c:pt idx="144">
                  <c:v>-11.419619007041655</c:v>
                </c:pt>
                <c:pt idx="147">
                  <c:v>-12.483834906481833</c:v>
                </c:pt>
                <c:pt idx="150">
                  <c:v>-13.352106175327123</c:v>
                </c:pt>
                <c:pt idx="153">
                  <c:v>-13.571810542180923</c:v>
                </c:pt>
                <c:pt idx="156">
                  <c:v>-13.790529006664741</c:v>
                </c:pt>
                <c:pt idx="159">
                  <c:v>-13.070825414117159</c:v>
                </c:pt>
                <c:pt idx="162">
                  <c:v>-13.718376589574156</c:v>
                </c:pt>
                <c:pt idx="165">
                  <c:v>-14.121379814846556</c:v>
                </c:pt>
                <c:pt idx="168">
                  <c:v>-15.141632593245646</c:v>
                </c:pt>
                <c:pt idx="171">
                  <c:v>-15.59046574175022</c:v>
                </c:pt>
                <c:pt idx="177">
                  <c:v>-15.471148908560343</c:v>
                </c:pt>
                <c:pt idx="180">
                  <c:v>-16.576183614509358</c:v>
                </c:pt>
                <c:pt idx="183">
                  <c:v>-16.87165025296823</c:v>
                </c:pt>
                <c:pt idx="186">
                  <c:v>-16.9112992396112</c:v>
                </c:pt>
                <c:pt idx="189">
                  <c:v>-16.470208637017254</c:v>
                </c:pt>
                <c:pt idx="192">
                  <c:v>-16.581497923988014</c:v>
                </c:pt>
                <c:pt idx="195">
                  <c:v>-18.992330396808427</c:v>
                </c:pt>
                <c:pt idx="198">
                  <c:v>-18.979860983803739</c:v>
                </c:pt>
                <c:pt idx="201">
                  <c:v>-20.130972281824409</c:v>
                </c:pt>
                <c:pt idx="204">
                  <c:v>-19.686536599680299</c:v>
                </c:pt>
                <c:pt idx="207">
                  <c:v>-21.040975495684304</c:v>
                </c:pt>
                <c:pt idx="210">
                  <c:v>-20.980086209297966</c:v>
                </c:pt>
                <c:pt idx="213">
                  <c:v>-21.56463829070691</c:v>
                </c:pt>
                <c:pt idx="216">
                  <c:v>-21.781243154881746</c:v>
                </c:pt>
                <c:pt idx="219">
                  <c:v>-23.010945148734589</c:v>
                </c:pt>
                <c:pt idx="222">
                  <c:v>-23.681808469434049</c:v>
                </c:pt>
                <c:pt idx="225">
                  <c:v>-24.270089502941055</c:v>
                </c:pt>
                <c:pt idx="228">
                  <c:v>-24.045692795460965</c:v>
                </c:pt>
                <c:pt idx="231">
                  <c:v>-23.44529826061828</c:v>
                </c:pt>
                <c:pt idx="234">
                  <c:v>-23.409692483335068</c:v>
                </c:pt>
                <c:pt idx="237">
                  <c:v>-23.326057486419803</c:v>
                </c:pt>
                <c:pt idx="240">
                  <c:v>-22.222900498550334</c:v>
                </c:pt>
                <c:pt idx="243">
                  <c:v>-21.116972437571746</c:v>
                </c:pt>
                <c:pt idx="246">
                  <c:v>-20.884137599150542</c:v>
                </c:pt>
                <c:pt idx="249">
                  <c:v>-21.053945243650396</c:v>
                </c:pt>
                <c:pt idx="252">
                  <c:v>-20.203288674463675</c:v>
                </c:pt>
                <c:pt idx="255">
                  <c:v>-20.252210544706479</c:v>
                </c:pt>
                <c:pt idx="258">
                  <c:v>-20.641532687317962</c:v>
                </c:pt>
                <c:pt idx="261">
                  <c:v>-20.862329058942475</c:v>
                </c:pt>
                <c:pt idx="264">
                  <c:v>-20.575203674989691</c:v>
                </c:pt>
                <c:pt idx="267">
                  <c:v>-19.885330071350392</c:v>
                </c:pt>
                <c:pt idx="270">
                  <c:v>-19.282757182214162</c:v>
                </c:pt>
                <c:pt idx="273">
                  <c:v>-17.953835144419045</c:v>
                </c:pt>
                <c:pt idx="276">
                  <c:v>-18.824731420383952</c:v>
                </c:pt>
                <c:pt idx="279">
                  <c:v>-19.346449744149265</c:v>
                </c:pt>
                <c:pt idx="282">
                  <c:v>-19.06863437172716</c:v>
                </c:pt>
                <c:pt idx="285">
                  <c:v>-18.594157043056228</c:v>
                </c:pt>
                <c:pt idx="288">
                  <c:v>-19.504868408582592</c:v>
                </c:pt>
                <c:pt idx="291">
                  <c:v>-20.049078002622043</c:v>
                </c:pt>
                <c:pt idx="294">
                  <c:v>-20.468457300412968</c:v>
                </c:pt>
                <c:pt idx="297">
                  <c:v>-20.477663371273032</c:v>
                </c:pt>
                <c:pt idx="300">
                  <c:v>-20.702339020642029</c:v>
                </c:pt>
                <c:pt idx="303">
                  <c:v>-20.847962100451575</c:v>
                </c:pt>
                <c:pt idx="306">
                  <c:v>-21.622665919584762</c:v>
                </c:pt>
                <c:pt idx="309">
                  <c:v>-22.179708623424009</c:v>
                </c:pt>
                <c:pt idx="312">
                  <c:v>-22.755158471446819</c:v>
                </c:pt>
                <c:pt idx="315">
                  <c:v>-22.525947726403878</c:v>
                </c:pt>
                <c:pt idx="318">
                  <c:v>-22.395494561330903</c:v>
                </c:pt>
                <c:pt idx="321">
                  <c:v>-19.922575008742403</c:v>
                </c:pt>
                <c:pt idx="324">
                  <c:v>-19.506899328422083</c:v>
                </c:pt>
                <c:pt idx="327">
                  <c:v>-19.757999154391293</c:v>
                </c:pt>
                <c:pt idx="330">
                  <c:v>-19.935061688823652</c:v>
                </c:pt>
                <c:pt idx="333">
                  <c:v>-19.709800068474525</c:v>
                </c:pt>
                <c:pt idx="336">
                  <c:v>-18.009388796084135</c:v>
                </c:pt>
                <c:pt idx="339">
                  <c:v>-16.827219935227266</c:v>
                </c:pt>
                <c:pt idx="342">
                  <c:v>-17.229590641764077</c:v>
                </c:pt>
                <c:pt idx="345">
                  <c:v>-18.764791324703587</c:v>
                </c:pt>
                <c:pt idx="348">
                  <c:v>-19.551124729624721</c:v>
                </c:pt>
                <c:pt idx="351">
                  <c:v>-20.428748506145663</c:v>
                </c:pt>
                <c:pt idx="354">
                  <c:v>-20.795085473314128</c:v>
                </c:pt>
                <c:pt idx="357">
                  <c:v>-20.811504222755502</c:v>
                </c:pt>
                <c:pt idx="360">
                  <c:v>-21.535998086725773</c:v>
                </c:pt>
                <c:pt idx="363">
                  <c:v>-21.749004751101385</c:v>
                </c:pt>
                <c:pt idx="366">
                  <c:v>-22.301180087104893</c:v>
                </c:pt>
                <c:pt idx="370">
                  <c:v>-20.94827047245775</c:v>
                </c:pt>
                <c:pt idx="373">
                  <c:v>-22.973388958904774</c:v>
                </c:pt>
                <c:pt idx="376">
                  <c:v>-20.904714080154537</c:v>
                </c:pt>
                <c:pt idx="379">
                  <c:v>-18.522220371858239</c:v>
                </c:pt>
                <c:pt idx="382">
                  <c:v>-18.240662406887374</c:v>
                </c:pt>
                <c:pt idx="385">
                  <c:v>-18.277480699723366</c:v>
                </c:pt>
                <c:pt idx="388">
                  <c:v>-17.984773904835208</c:v>
                </c:pt>
                <c:pt idx="391">
                  <c:v>-16.721715336268144</c:v>
                </c:pt>
                <c:pt idx="395">
                  <c:v>-15.248322604440423</c:v>
                </c:pt>
                <c:pt idx="398">
                  <c:v>-16.480017613046229</c:v>
                </c:pt>
                <c:pt idx="402">
                  <c:v>-17.34174265995166</c:v>
                </c:pt>
                <c:pt idx="405">
                  <c:v>-17.367142056093577</c:v>
                </c:pt>
                <c:pt idx="408">
                  <c:v>-15.718561301962071</c:v>
                </c:pt>
                <c:pt idx="411">
                  <c:v>-14.586769482073111</c:v>
                </c:pt>
                <c:pt idx="414">
                  <c:v>-13.015372522713797</c:v>
                </c:pt>
                <c:pt idx="418">
                  <c:v>-12.525494736507618</c:v>
                </c:pt>
                <c:pt idx="421">
                  <c:v>-13.442489288674949</c:v>
                </c:pt>
                <c:pt idx="424">
                  <c:v>-12.63976100148094</c:v>
                </c:pt>
                <c:pt idx="427">
                  <c:v>-12.627953583900185</c:v>
                </c:pt>
                <c:pt idx="430">
                  <c:v>-11.510367116294226</c:v>
                </c:pt>
                <c:pt idx="433">
                  <c:v>-11.453999834041085</c:v>
                </c:pt>
                <c:pt idx="436">
                  <c:v>-11.348526173540845</c:v>
                </c:pt>
                <c:pt idx="440">
                  <c:v>-10.739481487506028</c:v>
                </c:pt>
                <c:pt idx="443">
                  <c:v>-10.671853124683333</c:v>
                </c:pt>
                <c:pt idx="446">
                  <c:v>-9.9897326212790158</c:v>
                </c:pt>
                <c:pt idx="449">
                  <c:v>-7.0005908879852061</c:v>
                </c:pt>
                <c:pt idx="452">
                  <c:v>-3.1821644651076073</c:v>
                </c:pt>
                <c:pt idx="455">
                  <c:v>-1.894274226036299</c:v>
                </c:pt>
                <c:pt idx="458">
                  <c:v>-0.47274770216362172</c:v>
                </c:pt>
                <c:pt idx="461">
                  <c:v>1.3259833487577835</c:v>
                </c:pt>
                <c:pt idx="464">
                  <c:v>2.6239046665810353</c:v>
                </c:pt>
                <c:pt idx="467">
                  <c:v>4.3147254822226362</c:v>
                </c:pt>
                <c:pt idx="470">
                  <c:v>4.0638256905683292</c:v>
                </c:pt>
                <c:pt idx="474">
                  <c:v>5.7776898309980202</c:v>
                </c:pt>
                <c:pt idx="477">
                  <c:v>5.6312026267727679</c:v>
                </c:pt>
                <c:pt idx="481">
                  <c:v>6.9078142642544895</c:v>
                </c:pt>
                <c:pt idx="484">
                  <c:v>7.7477480051166605</c:v>
                </c:pt>
                <c:pt idx="487">
                  <c:v>8.6711791338634363</c:v>
                </c:pt>
                <c:pt idx="490">
                  <c:v>11.362299763771366</c:v>
                </c:pt>
                <c:pt idx="493">
                  <c:v>13.436618586186473</c:v>
                </c:pt>
                <c:pt idx="496">
                  <c:v>13.732837219079679</c:v>
                </c:pt>
                <c:pt idx="499">
                  <c:v>15.025696388908791</c:v>
                </c:pt>
                <c:pt idx="502">
                  <c:v>16.517220177062644</c:v>
                </c:pt>
                <c:pt idx="506">
                  <c:v>17.337570031978526</c:v>
                </c:pt>
                <c:pt idx="510">
                  <c:v>20.167982213672754</c:v>
                </c:pt>
                <c:pt idx="513">
                  <c:v>20.319663418641014</c:v>
                </c:pt>
                <c:pt idx="516">
                  <c:v>22.062816690484585</c:v>
                </c:pt>
                <c:pt idx="519">
                  <c:v>23.804325586974102</c:v>
                </c:pt>
                <c:pt idx="522">
                  <c:v>25.773262269002174</c:v>
                </c:pt>
                <c:pt idx="525">
                  <c:v>27.357230185332536</c:v>
                </c:pt>
                <c:pt idx="528">
                  <c:v>29.42949980338545</c:v>
                </c:pt>
                <c:pt idx="531">
                  <c:v>31.51814490780114</c:v>
                </c:pt>
                <c:pt idx="535">
                  <c:v>31.755768557446519</c:v>
                </c:pt>
                <c:pt idx="538">
                  <c:v>33.629874141470786</c:v>
                </c:pt>
                <c:pt idx="541">
                  <c:v>34.603637113654102</c:v>
                </c:pt>
                <c:pt idx="544">
                  <c:v>36.195578887678892</c:v>
                </c:pt>
                <c:pt idx="547">
                  <c:v>37.584731451480991</c:v>
                </c:pt>
                <c:pt idx="551">
                  <c:v>38.309398992311692</c:v>
                </c:pt>
                <c:pt idx="554">
                  <c:v>39.162776914939585</c:v>
                </c:pt>
                <c:pt idx="560">
                  <c:v>39.309827472775567</c:v>
                </c:pt>
                <c:pt idx="566">
                  <c:v>39.801772070157647</c:v>
                </c:pt>
                <c:pt idx="569">
                  <c:v>39.810908619748893</c:v>
                </c:pt>
                <c:pt idx="572">
                  <c:v>39.414548655563046</c:v>
                </c:pt>
                <c:pt idx="575">
                  <c:v>38.700899876629812</c:v>
                </c:pt>
                <c:pt idx="578">
                  <c:v>38.529462551046976</c:v>
                </c:pt>
                <c:pt idx="581">
                  <c:v>38.543248172898835</c:v>
                </c:pt>
                <c:pt idx="584">
                  <c:v>38.006971119083751</c:v>
                </c:pt>
                <c:pt idx="587">
                  <c:v>37.067760792621343</c:v>
                </c:pt>
                <c:pt idx="590">
                  <c:v>36.03199571101522</c:v>
                </c:pt>
                <c:pt idx="593">
                  <c:v>35.758761424286917</c:v>
                </c:pt>
                <c:pt idx="596">
                  <c:v>35.811214469192286</c:v>
                </c:pt>
                <c:pt idx="599">
                  <c:v>35.555379990457084</c:v>
                </c:pt>
                <c:pt idx="602">
                  <c:v>36.304153241728656</c:v>
                </c:pt>
                <c:pt idx="605">
                  <c:v>36.967740872501409</c:v>
                </c:pt>
                <c:pt idx="608">
                  <c:v>38.064670423907117</c:v>
                </c:pt>
                <c:pt idx="611">
                  <c:v>37.868310806068109</c:v>
                </c:pt>
                <c:pt idx="614">
                  <c:v>37.451427837973768</c:v>
                </c:pt>
                <c:pt idx="617">
                  <c:v>37.899682099556799</c:v>
                </c:pt>
                <c:pt idx="620">
                  <c:v>38.216177332885984</c:v>
                </c:pt>
                <c:pt idx="623">
                  <c:v>37.943735288862719</c:v>
                </c:pt>
                <c:pt idx="626">
                  <c:v>38.197837033119512</c:v>
                </c:pt>
                <c:pt idx="629">
                  <c:v>37.365606718004656</c:v>
                </c:pt>
                <c:pt idx="638">
                  <c:v>39.025749450991462</c:v>
                </c:pt>
                <c:pt idx="641">
                  <c:v>39.538001455719531</c:v>
                </c:pt>
                <c:pt idx="644">
                  <c:v>38.328387402777871</c:v>
                </c:pt>
                <c:pt idx="647">
                  <c:v>37.945444007607968</c:v>
                </c:pt>
                <c:pt idx="650">
                  <c:v>37.425727722348931</c:v>
                </c:pt>
                <c:pt idx="656">
                  <c:v>36.859010240330583</c:v>
                </c:pt>
                <c:pt idx="662">
                  <c:v>35.035174085413011</c:v>
                </c:pt>
                <c:pt idx="665">
                  <c:v>34.545125629291107</c:v>
                </c:pt>
                <c:pt idx="668">
                  <c:v>32.473424262762556</c:v>
                </c:pt>
                <c:pt idx="671">
                  <c:v>33.206015752954741</c:v>
                </c:pt>
                <c:pt idx="674">
                  <c:v>33.55076939477491</c:v>
                </c:pt>
                <c:pt idx="677">
                  <c:v>32.026688498174494</c:v>
                </c:pt>
                <c:pt idx="680">
                  <c:v>31.052661326713732</c:v>
                </c:pt>
                <c:pt idx="683">
                  <c:v>29.487343651510532</c:v>
                </c:pt>
                <c:pt idx="686">
                  <c:v>28.580502356242942</c:v>
                </c:pt>
                <c:pt idx="689">
                  <c:v>27.549406823261013</c:v>
                </c:pt>
                <c:pt idx="692">
                  <c:v>26.400427064237729</c:v>
                </c:pt>
                <c:pt idx="695">
                  <c:v>24.800146880320099</c:v>
                </c:pt>
                <c:pt idx="710">
                  <c:v>24.60469250107543</c:v>
                </c:pt>
                <c:pt idx="713">
                  <c:v>23.761467332487417</c:v>
                </c:pt>
                <c:pt idx="716">
                  <c:v>22.706146856108731</c:v>
                </c:pt>
                <c:pt idx="719">
                  <c:v>21.399811686954166</c:v>
                </c:pt>
                <c:pt idx="722">
                  <c:v>20.271199007708411</c:v>
                </c:pt>
                <c:pt idx="731">
                  <c:v>19.308304455155763</c:v>
                </c:pt>
                <c:pt idx="737">
                  <c:v>18.356028757468007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0-1A43-9D7A-3C887C4E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Fuco/chl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'Fuco update'!$L$5:$L$742</c:f>
              <c:numCache>
                <c:formatCode>General</c:formatCode>
                <c:ptCount val="738"/>
                <c:pt idx="0">
                  <c:v>0.29191680728890895</c:v>
                </c:pt>
                <c:pt idx="3">
                  <c:v>0.37094174474353192</c:v>
                </c:pt>
                <c:pt idx="6">
                  <c:v>0.34439719040810246</c:v>
                </c:pt>
                <c:pt idx="9">
                  <c:v>0.35856172246384171</c:v>
                </c:pt>
                <c:pt idx="12">
                  <c:v>0.39286262103467118</c:v>
                </c:pt>
                <c:pt idx="15">
                  <c:v>0.31892419345185324</c:v>
                </c:pt>
                <c:pt idx="18">
                  <c:v>0.36331947375329177</c:v>
                </c:pt>
                <c:pt idx="21">
                  <c:v>0.27597836547921484</c:v>
                </c:pt>
                <c:pt idx="24">
                  <c:v>0.35924388585007361</c:v>
                </c:pt>
                <c:pt idx="27">
                  <c:v>0.37088608053755895</c:v>
                </c:pt>
                <c:pt idx="30">
                  <c:v>0.30293549556195826</c:v>
                </c:pt>
                <c:pt idx="33">
                  <c:v>0.35845301890183928</c:v>
                </c:pt>
                <c:pt idx="36">
                  <c:v>0.30264117673858543</c:v>
                </c:pt>
                <c:pt idx="39">
                  <c:v>0.28223928959845163</c:v>
                </c:pt>
                <c:pt idx="42">
                  <c:v>0.34794951394729873</c:v>
                </c:pt>
                <c:pt idx="45">
                  <c:v>0.30200213028688866</c:v>
                </c:pt>
                <c:pt idx="48">
                  <c:v>0.40096802932351749</c:v>
                </c:pt>
                <c:pt idx="51">
                  <c:v>0.35882094174673779</c:v>
                </c:pt>
                <c:pt idx="54">
                  <c:v>0.24832341308868525</c:v>
                </c:pt>
                <c:pt idx="57">
                  <c:v>0.22308760540909203</c:v>
                </c:pt>
                <c:pt idx="60">
                  <c:v>0.18730146933314484</c:v>
                </c:pt>
                <c:pt idx="63">
                  <c:v>0.29329671603862023</c:v>
                </c:pt>
                <c:pt idx="66">
                  <c:v>0.23577185808582657</c:v>
                </c:pt>
                <c:pt idx="69">
                  <c:v>0.31149812381838932</c:v>
                </c:pt>
                <c:pt idx="72">
                  <c:v>0.29052123027663357</c:v>
                </c:pt>
                <c:pt idx="75">
                  <c:v>0.3183623251697757</c:v>
                </c:pt>
                <c:pt idx="78">
                  <c:v>0.37564858594839229</c:v>
                </c:pt>
                <c:pt idx="81">
                  <c:v>0.369262112534607</c:v>
                </c:pt>
                <c:pt idx="84">
                  <c:v>0.3304363025343604</c:v>
                </c:pt>
                <c:pt idx="87">
                  <c:v>0.37166975057304613</c:v>
                </c:pt>
                <c:pt idx="90">
                  <c:v>0.30761474660192645</c:v>
                </c:pt>
                <c:pt idx="108">
                  <c:v>0.29685010213120283</c:v>
                </c:pt>
                <c:pt idx="111">
                  <c:v>0.24720237620847774</c:v>
                </c:pt>
                <c:pt idx="114">
                  <c:v>0.28806021560546757</c:v>
                </c:pt>
                <c:pt idx="117">
                  <c:v>0.3058813021448239</c:v>
                </c:pt>
                <c:pt idx="120">
                  <c:v>0.32553718565271472</c:v>
                </c:pt>
                <c:pt idx="123">
                  <c:v>0.30845156947994518</c:v>
                </c:pt>
                <c:pt idx="126">
                  <c:v>0.4573537584513761</c:v>
                </c:pt>
                <c:pt idx="129">
                  <c:v>0.32060207011980502</c:v>
                </c:pt>
                <c:pt idx="132">
                  <c:v>0.3767281503278086</c:v>
                </c:pt>
                <c:pt idx="135">
                  <c:v>0.23427345480709433</c:v>
                </c:pt>
                <c:pt idx="138">
                  <c:v>0.31399074465034293</c:v>
                </c:pt>
                <c:pt idx="141">
                  <c:v>0.28186133663935181</c:v>
                </c:pt>
                <c:pt idx="144">
                  <c:v>0.22074651643178017</c:v>
                </c:pt>
                <c:pt idx="147">
                  <c:v>0.25263474337512282</c:v>
                </c:pt>
                <c:pt idx="150">
                  <c:v>0.26828250730756248</c:v>
                </c:pt>
                <c:pt idx="153">
                  <c:v>0.32007582129603579</c:v>
                </c:pt>
                <c:pt idx="156">
                  <c:v>0.32015455357616568</c:v>
                </c:pt>
                <c:pt idx="159">
                  <c:v>0.39509514660410622</c:v>
                </c:pt>
                <c:pt idx="162">
                  <c:v>0.28590879237595312</c:v>
                </c:pt>
                <c:pt idx="165">
                  <c:v>0.30543792457535512</c:v>
                </c:pt>
                <c:pt idx="168">
                  <c:v>0.25614555424907054</c:v>
                </c:pt>
                <c:pt idx="171">
                  <c:v>0.3017780344441397</c:v>
                </c:pt>
                <c:pt idx="177">
                  <c:v>0.34714940677919043</c:v>
                </c:pt>
                <c:pt idx="180">
                  <c:v>0.24937503145387729</c:v>
                </c:pt>
                <c:pt idx="183">
                  <c:v>0.31402559099647454</c:v>
                </c:pt>
                <c:pt idx="186">
                  <c:v>0.33445470004229644</c:v>
                </c:pt>
                <c:pt idx="189">
                  <c:v>0.37284564539516929</c:v>
                </c:pt>
                <c:pt idx="192">
                  <c:v>0.32873364249570841</c:v>
                </c:pt>
                <c:pt idx="195">
                  <c:v>0.14509651594938847</c:v>
                </c:pt>
                <c:pt idx="198">
                  <c:v>0.33861677588865724</c:v>
                </c:pt>
                <c:pt idx="201">
                  <c:v>0.2456954428202944</c:v>
                </c:pt>
                <c:pt idx="204">
                  <c:v>0.3731127770587282</c:v>
                </c:pt>
                <c:pt idx="207">
                  <c:v>0.22945808921415675</c:v>
                </c:pt>
                <c:pt idx="210">
                  <c:v>0.34248349449183835</c:v>
                </c:pt>
                <c:pt idx="213">
                  <c:v>0.29093977969430229</c:v>
                </c:pt>
                <c:pt idx="216">
                  <c:v>0.32032334165972798</c:v>
                </c:pt>
                <c:pt idx="219">
                  <c:v>0.23941933996442921</c:v>
                </c:pt>
                <c:pt idx="222">
                  <c:v>0.28404712898458939</c:v>
                </c:pt>
                <c:pt idx="225">
                  <c:v>0.29064199270228985</c:v>
                </c:pt>
                <c:pt idx="228">
                  <c:v>0.35554088483067708</c:v>
                </c:pt>
                <c:pt idx="231">
                  <c:v>0.3855673531437801</c:v>
                </c:pt>
                <c:pt idx="234">
                  <c:v>0.34046440174799408</c:v>
                </c:pt>
                <c:pt idx="237">
                  <c:v>0.34429992348890587</c:v>
                </c:pt>
                <c:pt idx="240">
                  <c:v>0.42571700233382315</c:v>
                </c:pt>
                <c:pt idx="243">
                  <c:v>0.42593829493938928</c:v>
                </c:pt>
                <c:pt idx="246">
                  <c:v>0.35621473785026087</c:v>
                </c:pt>
                <c:pt idx="249">
                  <c:v>0.32406047823726764</c:v>
                </c:pt>
                <c:pt idx="252">
                  <c:v>0.4055528011898859</c:v>
                </c:pt>
                <c:pt idx="255">
                  <c:v>0.33371418526981889</c:v>
                </c:pt>
                <c:pt idx="258">
                  <c:v>0.30653046970490661</c:v>
                </c:pt>
                <c:pt idx="261">
                  <c:v>0.31998861588084621</c:v>
                </c:pt>
                <c:pt idx="264">
                  <c:v>0.36055027711797305</c:v>
                </c:pt>
                <c:pt idx="267">
                  <c:v>0.39271298066709154</c:v>
                </c:pt>
                <c:pt idx="270">
                  <c:v>0.38574131235686543</c:v>
                </c:pt>
                <c:pt idx="273">
                  <c:v>0.44374616799509503</c:v>
                </c:pt>
                <c:pt idx="276">
                  <c:v>0.26807287925292239</c:v>
                </c:pt>
                <c:pt idx="279">
                  <c:v>0.29595756356319741</c:v>
                </c:pt>
                <c:pt idx="282">
                  <c:v>0.35980679737985488</c:v>
                </c:pt>
                <c:pt idx="285">
                  <c:v>0.37551184556887984</c:v>
                </c:pt>
                <c:pt idx="288">
                  <c:v>0.26489332224993073</c:v>
                </c:pt>
                <c:pt idx="291">
                  <c:v>0.29416145367887997</c:v>
                </c:pt>
                <c:pt idx="294">
                  <c:v>0.30413016270337928</c:v>
                </c:pt>
                <c:pt idx="297">
                  <c:v>0.3368858131487889</c:v>
                </c:pt>
                <c:pt idx="300">
                  <c:v>0.31967882416984217</c:v>
                </c:pt>
                <c:pt idx="303">
                  <c:v>0.32599181137935901</c:v>
                </c:pt>
                <c:pt idx="306">
                  <c:v>0.27575462512171373</c:v>
                </c:pt>
                <c:pt idx="309">
                  <c:v>0.29313662604233481</c:v>
                </c:pt>
                <c:pt idx="312">
                  <c:v>0.29166666666666669</c:v>
                </c:pt>
                <c:pt idx="315">
                  <c:v>0.35592532467532462</c:v>
                </c:pt>
                <c:pt idx="318">
                  <c:v>0.34803873297226323</c:v>
                </c:pt>
                <c:pt idx="321">
                  <c:v>0.53510362441753911</c:v>
                </c:pt>
                <c:pt idx="324">
                  <c:v>0.37081605824653657</c:v>
                </c:pt>
                <c:pt idx="327">
                  <c:v>0.31756863989842887</c:v>
                </c:pt>
                <c:pt idx="330">
                  <c:v>0.32348111658456491</c:v>
                </c:pt>
                <c:pt idx="333">
                  <c:v>0.35560995512035903</c:v>
                </c:pt>
                <c:pt idx="336">
                  <c:v>0.47341258870150227</c:v>
                </c:pt>
                <c:pt idx="339">
                  <c:v>0.432026739592829</c:v>
                </c:pt>
                <c:pt idx="342">
                  <c:v>0.3054884363134277</c:v>
                </c:pt>
                <c:pt idx="345">
                  <c:v>0.21502279817614589</c:v>
                </c:pt>
                <c:pt idx="348">
                  <c:v>0.2748259086139464</c:v>
                </c:pt>
                <c:pt idx="351">
                  <c:v>0.26753563390847712</c:v>
                </c:pt>
                <c:pt idx="354">
                  <c:v>0.30836602191262008</c:v>
                </c:pt>
                <c:pt idx="357">
                  <c:v>0.33630982241396612</c:v>
                </c:pt>
                <c:pt idx="360">
                  <c:v>0.27976429623677512</c:v>
                </c:pt>
                <c:pt idx="363">
                  <c:v>0.32061068702290074</c:v>
                </c:pt>
                <c:pt idx="366">
                  <c:v>0.29352532474071086</c:v>
                </c:pt>
                <c:pt idx="370">
                  <c:v>0.44566177006468072</c:v>
                </c:pt>
                <c:pt idx="373">
                  <c:v>0.17589889816260357</c:v>
                </c:pt>
                <c:pt idx="376">
                  <c:v>0.50282141689818594</c:v>
                </c:pt>
                <c:pt idx="379">
                  <c:v>0.52788238921155228</c:v>
                </c:pt>
                <c:pt idx="382">
                  <c:v>0.36010567367220592</c:v>
                </c:pt>
                <c:pt idx="385">
                  <c:v>0.33468075384291429</c:v>
                </c:pt>
                <c:pt idx="388">
                  <c:v>0.36099599793441767</c:v>
                </c:pt>
                <c:pt idx="391">
                  <c:v>0.43848643714601215</c:v>
                </c:pt>
                <c:pt idx="395">
                  <c:v>0.45528332167220559</c:v>
                </c:pt>
                <c:pt idx="398">
                  <c:v>0.2392601816130441</c:v>
                </c:pt>
                <c:pt idx="402">
                  <c:v>0.26880527608797378</c:v>
                </c:pt>
                <c:pt idx="405">
                  <c:v>0.33559264512207465</c:v>
                </c:pt>
                <c:pt idx="408">
                  <c:v>0.46927350251297678</c:v>
                </c:pt>
                <c:pt idx="411">
                  <c:v>0.42800372532452563</c:v>
                </c:pt>
                <c:pt idx="414">
                  <c:v>0.46310975208849009</c:v>
                </c:pt>
                <c:pt idx="418">
                  <c:v>0.37674169669177859</c:v>
                </c:pt>
                <c:pt idx="421">
                  <c:v>0.26439155896607436</c:v>
                </c:pt>
                <c:pt idx="424">
                  <c:v>0.40172534013605427</c:v>
                </c:pt>
                <c:pt idx="427">
                  <c:v>0.33856391019855603</c:v>
                </c:pt>
                <c:pt idx="430">
                  <c:v>0.42686931302434322</c:v>
                </c:pt>
                <c:pt idx="433">
                  <c:v>0.34212237587908045</c:v>
                </c:pt>
                <c:pt idx="436">
                  <c:v>0.3460439174495476</c:v>
                </c:pt>
                <c:pt idx="440">
                  <c:v>0.3862581376956376</c:v>
                </c:pt>
                <c:pt idx="443">
                  <c:v>0.34302166426397573</c:v>
                </c:pt>
                <c:pt idx="446">
                  <c:v>0.39209383289124666</c:v>
                </c:pt>
                <c:pt idx="449">
                  <c:v>0.5763281417510423</c:v>
                </c:pt>
                <c:pt idx="452">
                  <c:v>0.64255323307401979</c:v>
                </c:pt>
                <c:pt idx="455">
                  <c:v>0.44046944692239071</c:v>
                </c:pt>
                <c:pt idx="458">
                  <c:v>0.45114138537271453</c:v>
                </c:pt>
                <c:pt idx="461">
                  <c:v>0.48126421841787781</c:v>
                </c:pt>
                <c:pt idx="464">
                  <c:v>0.44127050971151427</c:v>
                </c:pt>
                <c:pt idx="467">
                  <c:v>0.47264671314393414</c:v>
                </c:pt>
                <c:pt idx="470">
                  <c:v>0.31758461425673856</c:v>
                </c:pt>
                <c:pt idx="474">
                  <c:v>0.47448690904727614</c:v>
                </c:pt>
                <c:pt idx="477">
                  <c:v>0.32592280405405405</c:v>
                </c:pt>
                <c:pt idx="481">
                  <c:v>0.439568759342302</c:v>
                </c:pt>
                <c:pt idx="484">
                  <c:v>0.40469649660118023</c:v>
                </c:pt>
                <c:pt idx="487">
                  <c:v>0.41136443851225457</c:v>
                </c:pt>
                <c:pt idx="490">
                  <c:v>0.55252874567415344</c:v>
                </c:pt>
                <c:pt idx="493">
                  <c:v>0.50327213145896654</c:v>
                </c:pt>
                <c:pt idx="496">
                  <c:v>0.3612764466096639</c:v>
                </c:pt>
                <c:pt idx="499">
                  <c:v>0.44086625624173104</c:v>
                </c:pt>
                <c:pt idx="502">
                  <c:v>0.45673123319892467</c:v>
                </c:pt>
                <c:pt idx="506">
                  <c:v>0.40313256487599353</c:v>
                </c:pt>
                <c:pt idx="510">
                  <c:v>0.56365230294396951</c:v>
                </c:pt>
                <c:pt idx="513">
                  <c:v>0.34973396369137677</c:v>
                </c:pt>
                <c:pt idx="516">
                  <c:v>0.47682588313786073</c:v>
                </c:pt>
                <c:pt idx="519">
                  <c:v>0.47669456646294883</c:v>
                </c:pt>
                <c:pt idx="522">
                  <c:v>0.4948565150143352</c:v>
                </c:pt>
                <c:pt idx="525">
                  <c:v>0.46411364470086042</c:v>
                </c:pt>
                <c:pt idx="528">
                  <c:v>0.50310848591271407</c:v>
                </c:pt>
                <c:pt idx="531">
                  <c:v>0.5044162009754114</c:v>
                </c:pt>
                <c:pt idx="535">
                  <c:v>0.3565971631676853</c:v>
                </c:pt>
                <c:pt idx="538">
                  <c:v>0.48728348466125826</c:v>
                </c:pt>
                <c:pt idx="541">
                  <c:v>0.41538384339203283</c:v>
                </c:pt>
                <c:pt idx="544">
                  <c:v>0.46475042174575532</c:v>
                </c:pt>
                <c:pt idx="547">
                  <c:v>0.44855606275782783</c:v>
                </c:pt>
                <c:pt idx="551">
                  <c:v>0.39549155803253544</c:v>
                </c:pt>
                <c:pt idx="554">
                  <c:v>0.40577012327773743</c:v>
                </c:pt>
                <c:pt idx="560">
                  <c:v>0.3493641690562273</c:v>
                </c:pt>
                <c:pt idx="566">
                  <c:v>0.37690674828454362</c:v>
                </c:pt>
                <c:pt idx="569">
                  <c:v>0.33835061978244374</c:v>
                </c:pt>
                <c:pt idx="572">
                  <c:v>0.30596844271667045</c:v>
                </c:pt>
                <c:pt idx="575">
                  <c:v>0.28063036401302166</c:v>
                </c:pt>
                <c:pt idx="578">
                  <c:v>0.32393033501877638</c:v>
                </c:pt>
                <c:pt idx="581">
                  <c:v>0.33872188581314877</c:v>
                </c:pt>
                <c:pt idx="584">
                  <c:v>0.29479493118953537</c:v>
                </c:pt>
                <c:pt idx="587">
                  <c:v>0.26261744966442957</c:v>
                </c:pt>
                <c:pt idx="590">
                  <c:v>0.25490677134445527</c:v>
                </c:pt>
                <c:pt idx="593">
                  <c:v>0.31580102414045358</c:v>
                </c:pt>
                <c:pt idx="596">
                  <c:v>0.34180979236093312</c:v>
                </c:pt>
                <c:pt idx="599">
                  <c:v>0.31719053957202825</c:v>
                </c:pt>
                <c:pt idx="602">
                  <c:v>0.39741659402488311</c:v>
                </c:pt>
                <c:pt idx="605">
                  <c:v>0.39061383308187092</c:v>
                </c:pt>
                <c:pt idx="608">
                  <c:v>0.42521969115263203</c:v>
                </c:pt>
                <c:pt idx="611">
                  <c:v>0.32194008836238286</c:v>
                </c:pt>
                <c:pt idx="614">
                  <c:v>0.30432951482479781</c:v>
                </c:pt>
                <c:pt idx="617">
                  <c:v>0.37341772151898733</c:v>
                </c:pt>
                <c:pt idx="620">
                  <c:v>0.36289569719086823</c:v>
                </c:pt>
                <c:pt idx="623">
                  <c:v>0.3158642911296437</c:v>
                </c:pt>
                <c:pt idx="626">
                  <c:v>0.35791307232913072</c:v>
                </c:pt>
                <c:pt idx="629">
                  <c:v>0.27116066903193109</c:v>
                </c:pt>
                <c:pt idx="638">
                  <c:v>0.47019682006023661</c:v>
                </c:pt>
                <c:pt idx="641">
                  <c:v>0.3785284590467376</c:v>
                </c:pt>
                <c:pt idx="644">
                  <c:v>0.24102352455633513</c:v>
                </c:pt>
                <c:pt idx="647">
                  <c:v>0.30703986429177277</c:v>
                </c:pt>
                <c:pt idx="650">
                  <c:v>0.29611744253428629</c:v>
                </c:pt>
                <c:pt idx="656">
                  <c:v>0.29236401673640167</c:v>
                </c:pt>
                <c:pt idx="662">
                  <c:v>0.19197292069632493</c:v>
                </c:pt>
                <c:pt idx="665">
                  <c:v>0.29848665870171248</c:v>
                </c:pt>
                <c:pt idx="668">
                  <c:v>0.17217887833559475</c:v>
                </c:pt>
                <c:pt idx="671">
                  <c:v>0.39612434949328956</c:v>
                </c:pt>
                <c:pt idx="674">
                  <c:v>0.36515235971757715</c:v>
                </c:pt>
                <c:pt idx="677">
                  <c:v>0.21591080307367785</c:v>
                </c:pt>
                <c:pt idx="680">
                  <c:v>0.25983704292527821</c:v>
                </c:pt>
                <c:pt idx="683">
                  <c:v>0.21261771269936316</c:v>
                </c:pt>
                <c:pt idx="686">
                  <c:v>0.26520237866871288</c:v>
                </c:pt>
                <c:pt idx="689">
                  <c:v>0.25527967257844475</c:v>
                </c:pt>
                <c:pt idx="692">
                  <c:v>0.24586566345324865</c:v>
                </c:pt>
                <c:pt idx="695">
                  <c:v>0.20982567353407289</c:v>
                </c:pt>
                <c:pt idx="710">
                  <c:v>0.32201237898746232</c:v>
                </c:pt>
                <c:pt idx="713">
                  <c:v>0.27028264103444327</c:v>
                </c:pt>
                <c:pt idx="716">
                  <c:v>0.25334511486998235</c:v>
                </c:pt>
                <c:pt idx="719">
                  <c:v>0.23329956095913545</c:v>
                </c:pt>
                <c:pt idx="722">
                  <c:v>0.24749213954184765</c:v>
                </c:pt>
                <c:pt idx="731">
                  <c:v>0.26072607260726066</c:v>
                </c:pt>
                <c:pt idx="737">
                  <c:v>0.26157407407407407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4-5642-836C-8C64C5A86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'But-fuco update'!$N$5:$N$742</c:f>
              <c:numCache>
                <c:formatCode>General</c:formatCode>
                <c:ptCount val="738"/>
                <c:pt idx="0">
                  <c:v>-0.43753089105951098</c:v>
                </c:pt>
                <c:pt idx="3">
                  <c:v>-0.71642298974298435</c:v>
                </c:pt>
                <c:pt idx="6">
                  <c:v>-0.94768474371707878</c:v>
                </c:pt>
                <c:pt idx="9">
                  <c:v>-1.3852156347765898</c:v>
                </c:pt>
                <c:pt idx="12">
                  <c:v>-1.7380894796505455</c:v>
                </c:pt>
                <c:pt idx="15">
                  <c:v>-1.9393411715842295</c:v>
                </c:pt>
                <c:pt idx="18">
                  <c:v>-2.3768720626437405</c:v>
                </c:pt>
                <c:pt idx="21">
                  <c:v>-2.8144029537032513</c:v>
                </c:pt>
                <c:pt idx="24">
                  <c:v>-1.3037154368500123</c:v>
                </c:pt>
                <c:pt idx="27">
                  <c:v>-0.55974214405540801</c:v>
                </c:pt>
                <c:pt idx="30">
                  <c:v>-0.99727303511491905</c:v>
                </c:pt>
                <c:pt idx="33">
                  <c:v>-1.160402783912396</c:v>
                </c:pt>
                <c:pt idx="36">
                  <c:v>-1.5979336749719071</c:v>
                </c:pt>
                <c:pt idx="39">
                  <c:v>-1.5932230873937048</c:v>
                </c:pt>
                <c:pt idx="42">
                  <c:v>-1.5190641614325628</c:v>
                </c:pt>
                <c:pt idx="45">
                  <c:v>-1.7146733271634862</c:v>
                </c:pt>
                <c:pt idx="48">
                  <c:v>-2.1522042182229972</c:v>
                </c:pt>
                <c:pt idx="51">
                  <c:v>-2.5897351092825081</c:v>
                </c:pt>
                <c:pt idx="54">
                  <c:v>-3.0272660003420189</c:v>
                </c:pt>
                <c:pt idx="57">
                  <c:v>-3.4647968914015297</c:v>
                </c:pt>
                <c:pt idx="60">
                  <c:v>-3.9023277824610405</c:v>
                </c:pt>
                <c:pt idx="63">
                  <c:v>-3.5451745597964823</c:v>
                </c:pt>
                <c:pt idx="66">
                  <c:v>-3.6956370579213682</c:v>
                </c:pt>
                <c:pt idx="69">
                  <c:v>-3.904570819069745</c:v>
                </c:pt>
                <c:pt idx="72">
                  <c:v>-4.3421017101292563</c:v>
                </c:pt>
                <c:pt idx="75">
                  <c:v>-4.5515452607364342</c:v>
                </c:pt>
                <c:pt idx="78">
                  <c:v>-2.3550932377264817</c:v>
                </c:pt>
                <c:pt idx="81">
                  <c:v>-2.1525716522080485</c:v>
                </c:pt>
                <c:pt idx="84">
                  <c:v>-1.9814403200229871</c:v>
                </c:pt>
                <c:pt idx="87">
                  <c:v>-1.4094505952974896</c:v>
                </c:pt>
                <c:pt idx="90">
                  <c:v>-1.8469814863570007</c:v>
                </c:pt>
                <c:pt idx="108">
                  <c:v>-2.2845123774165117</c:v>
                </c:pt>
                <c:pt idx="111">
                  <c:v>-2.7220432684760225</c:v>
                </c:pt>
                <c:pt idx="114">
                  <c:v>-3.1595741595355333</c:v>
                </c:pt>
                <c:pt idx="117">
                  <c:v>-3.5971050505950442</c:v>
                </c:pt>
                <c:pt idx="120">
                  <c:v>-4.034635941654555</c:v>
                </c:pt>
                <c:pt idx="123">
                  <c:v>-4.3335042118480489</c:v>
                </c:pt>
                <c:pt idx="126">
                  <c:v>-4.7710351029075602</c:v>
                </c:pt>
                <c:pt idx="129">
                  <c:v>-5.2085659939670714</c:v>
                </c:pt>
                <c:pt idx="132">
                  <c:v>-4.9934117140769212</c:v>
                </c:pt>
                <c:pt idx="135">
                  <c:v>-4.9086299346243063</c:v>
                </c:pt>
                <c:pt idx="138">
                  <c:v>-5.3461608256838176</c:v>
                </c:pt>
                <c:pt idx="141">
                  <c:v>-5.7836917167433288</c:v>
                </c:pt>
                <c:pt idx="144">
                  <c:v>-6.2212226078028401</c:v>
                </c:pt>
                <c:pt idx="147">
                  <c:v>-6.6587534988623513</c:v>
                </c:pt>
                <c:pt idx="150">
                  <c:v>-7.0962843899218626</c:v>
                </c:pt>
                <c:pt idx="153">
                  <c:v>-7.5338152809813739</c:v>
                </c:pt>
                <c:pt idx="156">
                  <c:v>-7.9713461720408851</c:v>
                </c:pt>
                <c:pt idx="159">
                  <c:v>-8.4088770631003964</c:v>
                </c:pt>
                <c:pt idx="162">
                  <c:v>-8.5346782051014962</c:v>
                </c:pt>
                <c:pt idx="165">
                  <c:v>-8.9722090961610075</c:v>
                </c:pt>
                <c:pt idx="168">
                  <c:v>-9.4097399872205187</c:v>
                </c:pt>
                <c:pt idx="171">
                  <c:v>-9.84727087828003</c:v>
                </c:pt>
                <c:pt idx="177">
                  <c:v>-10.284801769339541</c:v>
                </c:pt>
                <c:pt idx="180">
                  <c:v>-10.722332660399053</c:v>
                </c:pt>
                <c:pt idx="183">
                  <c:v>-11.159863551458564</c:v>
                </c:pt>
                <c:pt idx="186">
                  <c:v>-11.597394442518075</c:v>
                </c:pt>
                <c:pt idx="189">
                  <c:v>-12.034925333577586</c:v>
                </c:pt>
                <c:pt idx="192">
                  <c:v>-12.472456224637098</c:v>
                </c:pt>
                <c:pt idx="195">
                  <c:v>-12.909987115696609</c:v>
                </c:pt>
                <c:pt idx="198">
                  <c:v>-12.937238320691161</c:v>
                </c:pt>
                <c:pt idx="201">
                  <c:v>-13.374769211750673</c:v>
                </c:pt>
                <c:pt idx="204">
                  <c:v>-11.403152079412783</c:v>
                </c:pt>
                <c:pt idx="207">
                  <c:v>-11.517757886539252</c:v>
                </c:pt>
                <c:pt idx="210">
                  <c:v>-11.955288777598764</c:v>
                </c:pt>
                <c:pt idx="213">
                  <c:v>-12.392819668658275</c:v>
                </c:pt>
                <c:pt idx="216">
                  <c:v>-12.828568967771018</c:v>
                </c:pt>
                <c:pt idx="219">
                  <c:v>-13.263562841855018</c:v>
                </c:pt>
                <c:pt idx="222">
                  <c:v>-13.699061093337518</c:v>
                </c:pt>
                <c:pt idx="225">
                  <c:v>-13.900032064408624</c:v>
                </c:pt>
                <c:pt idx="228">
                  <c:v>-14.334697989429028</c:v>
                </c:pt>
                <c:pt idx="231">
                  <c:v>-14.769789268798302</c:v>
                </c:pt>
                <c:pt idx="234">
                  <c:v>-15.015425514298816</c:v>
                </c:pt>
                <c:pt idx="237">
                  <c:v>-15.286144357972194</c:v>
                </c:pt>
                <c:pt idx="240">
                  <c:v>-9.4099102595238016</c:v>
                </c:pt>
                <c:pt idx="243">
                  <c:v>-2.2482158158759864</c:v>
                </c:pt>
                <c:pt idx="246">
                  <c:v>-2.6847076327213673</c:v>
                </c:pt>
                <c:pt idx="249">
                  <c:v>-3.1194965740105478</c:v>
                </c:pt>
                <c:pt idx="252">
                  <c:v>1.5349506150040475</c:v>
                </c:pt>
                <c:pt idx="255">
                  <c:v>1.1244969630092263</c:v>
                </c:pt>
                <c:pt idx="258">
                  <c:v>0.71386364712677486</c:v>
                </c:pt>
                <c:pt idx="261">
                  <c:v>0.30556004248013169</c:v>
                </c:pt>
                <c:pt idx="264">
                  <c:v>-0.10147947624386472</c:v>
                </c:pt>
                <c:pt idx="267">
                  <c:v>-0.27717535236677326</c:v>
                </c:pt>
                <c:pt idx="270">
                  <c:v>-0.68402967008385274</c:v>
                </c:pt>
                <c:pt idx="273">
                  <c:v>3.9003528052849723</c:v>
                </c:pt>
                <c:pt idx="276">
                  <c:v>4.3012044368146656</c:v>
                </c:pt>
                <c:pt idx="279">
                  <c:v>5.588264457011638</c:v>
                </c:pt>
                <c:pt idx="282">
                  <c:v>5.1575284056353725</c:v>
                </c:pt>
                <c:pt idx="285">
                  <c:v>4.731261218366372</c:v>
                </c:pt>
                <c:pt idx="288">
                  <c:v>4.3150717533305549</c:v>
                </c:pt>
                <c:pt idx="291">
                  <c:v>3.9234277890029534</c:v>
                </c:pt>
                <c:pt idx="294">
                  <c:v>3.5034236260170593</c:v>
                </c:pt>
                <c:pt idx="297">
                  <c:v>3.1085342333766541</c:v>
                </c:pt>
                <c:pt idx="300">
                  <c:v>2.7129310540860652</c:v>
                </c:pt>
                <c:pt idx="303">
                  <c:v>2.3188965383022904</c:v>
                </c:pt>
                <c:pt idx="306">
                  <c:v>1.9413626922433713</c:v>
                </c:pt>
                <c:pt idx="309">
                  <c:v>1.5532360388487159</c:v>
                </c:pt>
                <c:pt idx="312">
                  <c:v>1.1386281259200115</c:v>
                </c:pt>
                <c:pt idx="315">
                  <c:v>0.72193630588850644</c:v>
                </c:pt>
                <c:pt idx="318">
                  <c:v>0.43611111066305247</c:v>
                </c:pt>
                <c:pt idx="321">
                  <c:v>6.4102721456013168</c:v>
                </c:pt>
                <c:pt idx="324">
                  <c:v>5.9883184021845421</c:v>
                </c:pt>
                <c:pt idx="327">
                  <c:v>5.5996821034243549</c:v>
                </c:pt>
                <c:pt idx="330">
                  <c:v>5.1841462738396809</c:v>
                </c:pt>
                <c:pt idx="333">
                  <c:v>4.7717549034719724</c:v>
                </c:pt>
                <c:pt idx="336">
                  <c:v>4.3626182034658711</c:v>
                </c:pt>
                <c:pt idx="339">
                  <c:v>3.9438114307363845</c:v>
                </c:pt>
                <c:pt idx="342">
                  <c:v>3.6126302450960295</c:v>
                </c:pt>
                <c:pt idx="345">
                  <c:v>3.2490362622676905</c:v>
                </c:pt>
                <c:pt idx="348">
                  <c:v>3.1250193272811142</c:v>
                </c:pt>
                <c:pt idx="351">
                  <c:v>4.4258878046370063</c:v>
                </c:pt>
                <c:pt idx="354">
                  <c:v>4.1620093671431029</c:v>
                </c:pt>
                <c:pt idx="357">
                  <c:v>3.7347830022747495</c:v>
                </c:pt>
                <c:pt idx="360">
                  <c:v>3.317883933743818</c:v>
                </c:pt>
                <c:pt idx="363">
                  <c:v>3.196297071256283</c:v>
                </c:pt>
                <c:pt idx="366">
                  <c:v>2.9138923152452576</c:v>
                </c:pt>
                <c:pt idx="370">
                  <c:v>2.4763614241857468</c:v>
                </c:pt>
                <c:pt idx="373">
                  <c:v>2.0829261225351527</c:v>
                </c:pt>
                <c:pt idx="376">
                  <c:v>1.6453952314756417</c:v>
                </c:pt>
                <c:pt idx="379">
                  <c:v>1.2078643404161307</c:v>
                </c:pt>
                <c:pt idx="382">
                  <c:v>0.77033344935661963</c:v>
                </c:pt>
                <c:pt idx="385">
                  <c:v>0.41703964781747838</c:v>
                </c:pt>
                <c:pt idx="388">
                  <c:v>0.31313081494741141</c:v>
                </c:pt>
                <c:pt idx="391">
                  <c:v>0.22346567631891928</c:v>
                </c:pt>
                <c:pt idx="395">
                  <c:v>0.44955112331637626</c:v>
                </c:pt>
                <c:pt idx="398">
                  <c:v>1.2020232256865271E-2</c:v>
                </c:pt>
                <c:pt idx="402">
                  <c:v>-0.42551065880264571</c:v>
                </c:pt>
                <c:pt idx="405">
                  <c:v>-0.86304154986215664</c:v>
                </c:pt>
                <c:pt idx="408">
                  <c:v>-1.3005724409216677</c:v>
                </c:pt>
                <c:pt idx="411">
                  <c:v>-1.7381033319811787</c:v>
                </c:pt>
                <c:pt idx="414">
                  <c:v>-2.1756342230406895</c:v>
                </c:pt>
                <c:pt idx="418">
                  <c:v>-2.6131651141002004</c:v>
                </c:pt>
                <c:pt idx="421">
                  <c:v>-2.2808797864279962</c:v>
                </c:pt>
                <c:pt idx="424">
                  <c:v>-2.718410677487507</c:v>
                </c:pt>
                <c:pt idx="427">
                  <c:v>-3.1559415685470178</c:v>
                </c:pt>
                <c:pt idx="430">
                  <c:v>-3.5934724596065286</c:v>
                </c:pt>
                <c:pt idx="433">
                  <c:v>-4.0310033506660394</c:v>
                </c:pt>
                <c:pt idx="436">
                  <c:v>-4.4685342417255507</c:v>
                </c:pt>
                <c:pt idx="440">
                  <c:v>-4.7866891336773509</c:v>
                </c:pt>
                <c:pt idx="443">
                  <c:v>-5.2242200247368622</c:v>
                </c:pt>
                <c:pt idx="446">
                  <c:v>-5.6617509157963735</c:v>
                </c:pt>
                <c:pt idx="449">
                  <c:v>-6.0992818068558847</c:v>
                </c:pt>
                <c:pt idx="452">
                  <c:v>-6.3230732463508064</c:v>
                </c:pt>
                <c:pt idx="455">
                  <c:v>-6.3528067234514509</c:v>
                </c:pt>
                <c:pt idx="458">
                  <c:v>-6.7903376145109622</c:v>
                </c:pt>
                <c:pt idx="461">
                  <c:v>-5.2671227736108017</c:v>
                </c:pt>
                <c:pt idx="464">
                  <c:v>-5.704653664670313</c:v>
                </c:pt>
                <c:pt idx="467">
                  <c:v>-5.999648005625887</c:v>
                </c:pt>
                <c:pt idx="470">
                  <c:v>-6.4371788966853982</c:v>
                </c:pt>
                <c:pt idx="474">
                  <c:v>-6.8747097877449095</c:v>
                </c:pt>
                <c:pt idx="477">
                  <c:v>-7.3122406788044207</c:v>
                </c:pt>
                <c:pt idx="481">
                  <c:v>-7.6461722748762764</c:v>
                </c:pt>
                <c:pt idx="484">
                  <c:v>-8.0837031659357876</c:v>
                </c:pt>
                <c:pt idx="487">
                  <c:v>-8.5212340569952989</c:v>
                </c:pt>
                <c:pt idx="490">
                  <c:v>-8.9587649480548102</c:v>
                </c:pt>
                <c:pt idx="493">
                  <c:v>-9.3962958391143214</c:v>
                </c:pt>
                <c:pt idx="496">
                  <c:v>-9.8338267301738327</c:v>
                </c:pt>
                <c:pt idx="499">
                  <c:v>-10.271357621233344</c:v>
                </c:pt>
                <c:pt idx="502">
                  <c:v>-10.708888512292855</c:v>
                </c:pt>
                <c:pt idx="506">
                  <c:v>-11.146419403352366</c:v>
                </c:pt>
                <c:pt idx="510">
                  <c:v>-7.5437981241833096</c:v>
                </c:pt>
                <c:pt idx="513">
                  <c:v>-7.9813290152428209</c:v>
                </c:pt>
                <c:pt idx="516">
                  <c:v>-7.8875476074546089</c:v>
                </c:pt>
                <c:pt idx="519">
                  <c:v>-8.3250784985141202</c:v>
                </c:pt>
                <c:pt idx="522">
                  <c:v>-8.7626093895736314</c:v>
                </c:pt>
                <c:pt idx="525">
                  <c:v>-9.2001402806331427</c:v>
                </c:pt>
                <c:pt idx="528">
                  <c:v>-9.637671171692654</c:v>
                </c:pt>
                <c:pt idx="531">
                  <c:v>-10.075202062752165</c:v>
                </c:pt>
                <c:pt idx="535">
                  <c:v>-10.512732953811676</c:v>
                </c:pt>
                <c:pt idx="538">
                  <c:v>-10.527118010511058</c:v>
                </c:pt>
                <c:pt idx="541">
                  <c:v>-10.96464890157057</c:v>
                </c:pt>
                <c:pt idx="544">
                  <c:v>-11.402179792630081</c:v>
                </c:pt>
                <c:pt idx="547">
                  <c:v>-11.839710683689592</c:v>
                </c:pt>
                <c:pt idx="551">
                  <c:v>-11.797655711585575</c:v>
                </c:pt>
                <c:pt idx="554">
                  <c:v>-12.235186602645086</c:v>
                </c:pt>
                <c:pt idx="560">
                  <c:v>-12.419827835581104</c:v>
                </c:pt>
                <c:pt idx="566">
                  <c:v>-12.517661375568544</c:v>
                </c:pt>
                <c:pt idx="569">
                  <c:v>-12.01985514249407</c:v>
                </c:pt>
                <c:pt idx="572">
                  <c:v>-11.851441719874297</c:v>
                </c:pt>
                <c:pt idx="575">
                  <c:v>-12.049610803058775</c:v>
                </c:pt>
                <c:pt idx="578">
                  <c:v>-12.207746101275545</c:v>
                </c:pt>
                <c:pt idx="581">
                  <c:v>-12.21215596191297</c:v>
                </c:pt>
                <c:pt idx="584">
                  <c:v>-11.481150915147591</c:v>
                </c:pt>
                <c:pt idx="587">
                  <c:v>-11.381030357973081</c:v>
                </c:pt>
                <c:pt idx="590">
                  <c:v>-11.138229927085836</c:v>
                </c:pt>
                <c:pt idx="593">
                  <c:v>-10.764337046740451</c:v>
                </c:pt>
                <c:pt idx="596">
                  <c:v>-10.849073821385353</c:v>
                </c:pt>
                <c:pt idx="599">
                  <c:v>-10.860725618745228</c:v>
                </c:pt>
                <c:pt idx="602">
                  <c:v>-11.045949544992526</c:v>
                </c:pt>
                <c:pt idx="605">
                  <c:v>-11.083849258825314</c:v>
                </c:pt>
                <c:pt idx="608">
                  <c:v>-9.5585811045313562</c:v>
                </c:pt>
                <c:pt idx="611">
                  <c:v>-9.5971987070643134</c:v>
                </c:pt>
                <c:pt idx="614">
                  <c:v>-9.7348266863730419</c:v>
                </c:pt>
                <c:pt idx="617">
                  <c:v>-9.8028651405536404</c:v>
                </c:pt>
                <c:pt idx="620">
                  <c:v>-9.7435618539678774</c:v>
                </c:pt>
                <c:pt idx="623">
                  <c:v>-9.4316327975160519</c:v>
                </c:pt>
                <c:pt idx="626">
                  <c:v>-8.4464886308952583</c:v>
                </c:pt>
                <c:pt idx="629">
                  <c:v>-7.4041601854182177</c:v>
                </c:pt>
                <c:pt idx="638">
                  <c:v>-7.1151220166420446</c:v>
                </c:pt>
                <c:pt idx="641">
                  <c:v>-4.9386840552722475</c:v>
                </c:pt>
                <c:pt idx="644">
                  <c:v>-5.2744863446376016</c:v>
                </c:pt>
                <c:pt idx="647">
                  <c:v>-4.5795594213506465</c:v>
                </c:pt>
                <c:pt idx="650">
                  <c:v>-4.5740248793622564</c:v>
                </c:pt>
                <c:pt idx="656">
                  <c:v>-4.3266752997221509</c:v>
                </c:pt>
                <c:pt idx="662">
                  <c:v>-4.3172324104795416</c:v>
                </c:pt>
                <c:pt idx="665">
                  <c:v>-4.1412315658922907</c:v>
                </c:pt>
                <c:pt idx="668">
                  <c:v>-4.2594060334116346</c:v>
                </c:pt>
                <c:pt idx="671">
                  <c:v>-4.2749763141701269</c:v>
                </c:pt>
                <c:pt idx="674">
                  <c:v>-4.2926791346165025</c:v>
                </c:pt>
                <c:pt idx="677">
                  <c:v>-3.8945792470783838</c:v>
                </c:pt>
                <c:pt idx="680">
                  <c:v>-3.9239018211773704</c:v>
                </c:pt>
                <c:pt idx="683">
                  <c:v>-3.2656719121027287</c:v>
                </c:pt>
                <c:pt idx="686">
                  <c:v>-3.0776723028024167</c:v>
                </c:pt>
                <c:pt idx="689">
                  <c:v>-2.8538544855084425</c:v>
                </c:pt>
                <c:pt idx="692">
                  <c:v>-2.6554647094910537</c:v>
                </c:pt>
                <c:pt idx="695">
                  <c:v>-2.7674705341701622</c:v>
                </c:pt>
                <c:pt idx="710">
                  <c:v>0.56025870783156861</c:v>
                </c:pt>
                <c:pt idx="713">
                  <c:v>0.65159090918847329</c:v>
                </c:pt>
                <c:pt idx="716">
                  <c:v>0.87525237358347685</c:v>
                </c:pt>
                <c:pt idx="719">
                  <c:v>0.73602098536304195</c:v>
                </c:pt>
                <c:pt idx="722">
                  <c:v>0.48301810007793056</c:v>
                </c:pt>
                <c:pt idx="731">
                  <c:v>0.67319294515867079</c:v>
                </c:pt>
                <c:pt idx="737">
                  <c:v>0.5922734130513807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C-8242-BEDE-B1D8CF053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But-fuco/chl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'But-fuco update'!$L$5:$L$742</c:f>
              <c:numCache>
                <c:formatCode>General</c:formatCode>
                <c:ptCount val="738"/>
                <c:pt idx="0">
                  <c:v>0</c:v>
                </c:pt>
                <c:pt idx="3">
                  <c:v>1.5446031261853186E-3</c:v>
                </c:pt>
                <c:pt idx="6">
                  <c:v>2.0083609387448126E-3</c:v>
                </c:pt>
                <c:pt idx="9">
                  <c:v>0</c:v>
                </c:pt>
                <c:pt idx="12">
                  <c:v>8.2427214827673543E-4</c:v>
                </c:pt>
                <c:pt idx="15">
                  <c:v>2.3005570337248891E-3</c:v>
                </c:pt>
                <c:pt idx="18">
                  <c:v>0</c:v>
                </c:pt>
                <c:pt idx="21">
                  <c:v>0</c:v>
                </c:pt>
                <c:pt idx="24">
                  <c:v>1.8969031459977002E-2</c:v>
                </c:pt>
                <c:pt idx="27">
                  <c:v>1.1503838554546127E-2</c:v>
                </c:pt>
                <c:pt idx="30">
                  <c:v>0</c:v>
                </c:pt>
                <c:pt idx="33">
                  <c:v>2.6717353039481476E-3</c:v>
                </c:pt>
                <c:pt idx="36">
                  <c:v>0</c:v>
                </c:pt>
                <c:pt idx="39">
                  <c:v>4.305930221741968E-3</c:v>
                </c:pt>
                <c:pt idx="42">
                  <c:v>4.9821212023212396E-3</c:v>
                </c:pt>
                <c:pt idx="45">
                  <c:v>2.3554960778378034E-3</c:v>
                </c:pt>
                <c:pt idx="48">
                  <c:v>0</c:v>
                </c:pt>
                <c:pt idx="51">
                  <c:v>0</c:v>
                </c:pt>
                <c:pt idx="54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7.7375246495725095E-3</c:v>
                </c:pt>
                <c:pt idx="66">
                  <c:v>2.7950713095745562E-3</c:v>
                </c:pt>
                <c:pt idx="69">
                  <c:v>2.2257597666323638E-3</c:v>
                </c:pt>
                <c:pt idx="72">
                  <c:v>0</c:v>
                </c:pt>
                <c:pt idx="75">
                  <c:v>2.2207961484657932E-3</c:v>
                </c:pt>
                <c:pt idx="78">
                  <c:v>2.5646049005129394E-2</c:v>
                </c:pt>
                <c:pt idx="81">
                  <c:v>6.2319376076786113E-3</c:v>
                </c:pt>
                <c:pt idx="84">
                  <c:v>5.9263031364104159E-3</c:v>
                </c:pt>
                <c:pt idx="87">
                  <c:v>9.8293026297998059E-3</c:v>
                </c:pt>
                <c:pt idx="90">
                  <c:v>0</c:v>
                </c:pt>
                <c:pt idx="93">
                  <c:v>0</c:v>
                </c:pt>
                <c:pt idx="96">
                  <c:v>1.0175913700203532E-2</c:v>
                </c:pt>
                <c:pt idx="99">
                  <c:v>1.2015691049480095E-3</c:v>
                </c:pt>
                <c:pt idx="102">
                  <c:v>1.0412241867489649E-3</c:v>
                </c:pt>
                <c:pt idx="105">
                  <c:v>5.7707052301065524E-4</c:v>
                </c:pt>
                <c:pt idx="108">
                  <c:v>0</c:v>
                </c:pt>
                <c:pt idx="111">
                  <c:v>0</c:v>
                </c:pt>
                <c:pt idx="114">
                  <c:v>0</c:v>
                </c:pt>
                <c:pt idx="117">
                  <c:v>0</c:v>
                </c:pt>
                <c:pt idx="120">
                  <c:v>0</c:v>
                </c:pt>
                <c:pt idx="123">
                  <c:v>1.350103051509684E-3</c:v>
                </c:pt>
                <c:pt idx="126">
                  <c:v>0</c:v>
                </c:pt>
                <c:pt idx="129">
                  <c:v>0</c:v>
                </c:pt>
                <c:pt idx="132">
                  <c:v>6.3549371522820903E-3</c:v>
                </c:pt>
                <c:pt idx="135">
                  <c:v>5.0855517218441329E-3</c:v>
                </c:pt>
                <c:pt idx="138">
                  <c:v>0</c:v>
                </c:pt>
                <c:pt idx="141">
                  <c:v>0</c:v>
                </c:pt>
                <c:pt idx="144">
                  <c:v>0</c:v>
                </c:pt>
                <c:pt idx="147">
                  <c:v>0</c:v>
                </c:pt>
                <c:pt idx="150">
                  <c:v>0</c:v>
                </c:pt>
                <c:pt idx="153">
                  <c:v>0</c:v>
                </c:pt>
                <c:pt idx="156">
                  <c:v>0</c:v>
                </c:pt>
                <c:pt idx="159">
                  <c:v>0</c:v>
                </c:pt>
                <c:pt idx="162">
                  <c:v>3.0351891722627416E-3</c:v>
                </c:pt>
                <c:pt idx="165">
                  <c:v>0</c:v>
                </c:pt>
                <c:pt idx="168">
                  <c:v>0</c:v>
                </c:pt>
                <c:pt idx="171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6">
                  <c:v>0</c:v>
                </c:pt>
                <c:pt idx="189">
                  <c:v>0</c:v>
                </c:pt>
                <c:pt idx="192">
                  <c:v>0</c:v>
                </c:pt>
                <c:pt idx="195">
                  <c:v>0</c:v>
                </c:pt>
                <c:pt idx="198">
                  <c:v>3.9947308991365458E-3</c:v>
                </c:pt>
                <c:pt idx="201">
                  <c:v>0</c:v>
                </c:pt>
                <c:pt idx="204">
                  <c:v>2.345692067273257E-2</c:v>
                </c:pt>
                <c:pt idx="207">
                  <c:v>3.1441937164038395E-3</c:v>
                </c:pt>
                <c:pt idx="210">
                  <c:v>0</c:v>
                </c:pt>
                <c:pt idx="213">
                  <c:v>0</c:v>
                </c:pt>
                <c:pt idx="216">
                  <c:v>1.7346655564807107E-5</c:v>
                </c:pt>
                <c:pt idx="219">
                  <c:v>2.4701930044134117E-5</c:v>
                </c:pt>
                <c:pt idx="222">
                  <c:v>1.9791006966434452E-5</c:v>
                </c:pt>
                <c:pt idx="225">
                  <c:v>2.3032903016439632E-3</c:v>
                </c:pt>
                <c:pt idx="228">
                  <c:v>2.7895040261841448E-5</c:v>
                </c:pt>
                <c:pt idx="231">
                  <c:v>2.3753533338084038E-5</c:v>
                </c:pt>
                <c:pt idx="234">
                  <c:v>1.8684022047146013E-3</c:v>
                </c:pt>
                <c:pt idx="237">
                  <c:v>1.6241828749379184E-3</c:v>
                </c:pt>
                <c:pt idx="240">
                  <c:v>6.1474630478001557E-2</c:v>
                </c:pt>
                <c:pt idx="243">
                  <c:v>7.3990649025821767E-2</c:v>
                </c:pt>
                <c:pt idx="246">
                  <c:v>1.0117054318464636E-5</c:v>
                </c:pt>
                <c:pt idx="249">
                  <c:v>2.6697279547214142E-5</c:v>
                </c:pt>
                <c:pt idx="252">
                  <c:v>4.9578574969898731E-2</c:v>
                </c:pt>
                <c:pt idx="255">
                  <c:v>2.6364035858674633E-4</c:v>
                </c:pt>
                <c:pt idx="258">
                  <c:v>2.6189104243059191E-4</c:v>
                </c:pt>
                <c:pt idx="261">
                  <c:v>2.8457451854662741E-4</c:v>
                </c:pt>
                <c:pt idx="264">
                  <c:v>2.9688242280285034E-4</c:v>
                </c:pt>
                <c:pt idx="267">
                  <c:v>2.5493838963246227E-3</c:v>
                </c:pt>
                <c:pt idx="270">
                  <c:v>2.9868565169769991E-4</c:v>
                </c:pt>
                <c:pt idx="273">
                  <c:v>4.8896382587369711E-2</c:v>
                </c:pt>
                <c:pt idx="276">
                  <c:v>8.1629987592241882E-3</c:v>
                </c:pt>
                <c:pt idx="279">
                  <c:v>1.6791659045180173E-2</c:v>
                </c:pt>
                <c:pt idx="282">
                  <c:v>6.6158664343530138E-5</c:v>
                </c:pt>
                <c:pt idx="285">
                  <c:v>1.0967022521205031E-4</c:v>
                </c:pt>
                <c:pt idx="288">
                  <c:v>2.0779301745635909E-4</c:v>
                </c:pt>
                <c:pt idx="291">
                  <c:v>4.4678284182305631E-4</c:v>
                </c:pt>
                <c:pt idx="294">
                  <c:v>1.7065081351689613E-4</c:v>
                </c:pt>
                <c:pt idx="297">
                  <c:v>4.151833910034602E-4</c:v>
                </c:pt>
                <c:pt idx="300">
                  <c:v>4.0823353293413175E-4</c:v>
                </c:pt>
                <c:pt idx="303">
                  <c:v>4.2350698856416768E-4</c:v>
                </c:pt>
                <c:pt idx="306">
                  <c:v>5.8416747809152873E-4</c:v>
                </c:pt>
                <c:pt idx="309">
                  <c:v>4.8102950609364969E-4</c:v>
                </c:pt>
                <c:pt idx="312">
                  <c:v>2.2319196428571429E-4</c:v>
                </c:pt>
                <c:pt idx="315">
                  <c:v>2.0290178571428572E-4</c:v>
                </c:pt>
                <c:pt idx="318">
                  <c:v>1.4770983095355327E-3</c:v>
                </c:pt>
                <c:pt idx="321">
                  <c:v>6.2428106295451445E-2</c:v>
                </c:pt>
                <c:pt idx="324">
                  <c:v>1.5166852057842047E-4</c:v>
                </c:pt>
                <c:pt idx="327">
                  <c:v>4.7606729090620531E-4</c:v>
                </c:pt>
                <c:pt idx="330">
                  <c:v>2.1415720711073037E-4</c:v>
                </c:pt>
                <c:pt idx="333">
                  <c:v>2.4477356181150552E-4</c:v>
                </c:pt>
                <c:pt idx="336">
                  <c:v>2.7646299880195379E-4</c:v>
                </c:pt>
                <c:pt idx="339">
                  <c:v>1.8230932847158919E-4</c:v>
                </c:pt>
                <c:pt idx="342">
                  <c:v>1.0354849844666895E-3</c:v>
                </c:pt>
                <c:pt idx="345">
                  <c:v>7.1989440844732403E-4</c:v>
                </c:pt>
                <c:pt idx="348">
                  <c:v>3.0525612897071446E-3</c:v>
                </c:pt>
                <c:pt idx="351">
                  <c:v>1.6926106526631658E-2</c:v>
                </c:pt>
                <c:pt idx="354">
                  <c:v>1.6907852022183146E-3</c:v>
                </c:pt>
                <c:pt idx="357">
                  <c:v>1.0033109260559847E-4</c:v>
                </c:pt>
                <c:pt idx="360">
                  <c:v>2.0088388911209318E-4</c:v>
                </c:pt>
                <c:pt idx="363">
                  <c:v>3.0762219437165321E-3</c:v>
                </c:pt>
                <c:pt idx="366">
                  <c:v>1.5104017722283754E-3</c:v>
                </c:pt>
                <c:pt idx="370">
                  <c:v>0</c:v>
                </c:pt>
                <c:pt idx="373">
                  <c:v>4.2934129938753448E-4</c:v>
                </c:pt>
                <c:pt idx="376">
                  <c:v>0</c:v>
                </c:pt>
                <c:pt idx="379">
                  <c:v>0</c:v>
                </c:pt>
                <c:pt idx="382">
                  <c:v>0</c:v>
                </c:pt>
                <c:pt idx="385">
                  <c:v>8.2018319646241311E-4</c:v>
                </c:pt>
                <c:pt idx="388">
                  <c:v>3.2483459204750826E-3</c:v>
                </c:pt>
                <c:pt idx="391">
                  <c:v>3.3870311331172303E-3</c:v>
                </c:pt>
                <c:pt idx="395">
                  <c:v>6.4613695994402663E-3</c:v>
                </c:pt>
                <c:pt idx="398">
                  <c:v>0</c:v>
                </c:pt>
                <c:pt idx="402">
                  <c:v>0</c:v>
                </c:pt>
                <c:pt idx="405">
                  <c:v>0</c:v>
                </c:pt>
                <c:pt idx="408">
                  <c:v>0</c:v>
                </c:pt>
                <c:pt idx="411">
                  <c:v>0</c:v>
                </c:pt>
                <c:pt idx="414">
                  <c:v>0</c:v>
                </c:pt>
                <c:pt idx="418">
                  <c:v>0</c:v>
                </c:pt>
                <c:pt idx="421">
                  <c:v>7.4953957996768987E-3</c:v>
                </c:pt>
                <c:pt idx="424">
                  <c:v>0</c:v>
                </c:pt>
                <c:pt idx="427">
                  <c:v>0</c:v>
                </c:pt>
                <c:pt idx="430">
                  <c:v>0</c:v>
                </c:pt>
                <c:pt idx="433">
                  <c:v>0</c:v>
                </c:pt>
                <c:pt idx="436">
                  <c:v>0</c:v>
                </c:pt>
                <c:pt idx="440">
                  <c:v>1.1623168498168495E-3</c:v>
                </c:pt>
                <c:pt idx="443">
                  <c:v>0</c:v>
                </c:pt>
                <c:pt idx="446">
                  <c:v>0</c:v>
                </c:pt>
                <c:pt idx="449">
                  <c:v>0</c:v>
                </c:pt>
                <c:pt idx="452">
                  <c:v>2.0810964337980441E-3</c:v>
                </c:pt>
                <c:pt idx="455">
                  <c:v>3.9705619982158781E-3</c:v>
                </c:pt>
                <c:pt idx="458">
                  <c:v>0</c:v>
                </c:pt>
                <c:pt idx="461">
                  <c:v>1.9091005055437465E-2</c:v>
                </c:pt>
                <c:pt idx="464">
                  <c:v>0</c:v>
                </c:pt>
                <c:pt idx="467">
                  <c:v>1.3878219670529106E-3</c:v>
                </c:pt>
                <c:pt idx="470">
                  <c:v>0</c:v>
                </c:pt>
                <c:pt idx="474">
                  <c:v>0</c:v>
                </c:pt>
                <c:pt idx="477">
                  <c:v>0</c:v>
                </c:pt>
                <c:pt idx="481">
                  <c:v>1.0087053268107078E-3</c:v>
                </c:pt>
                <c:pt idx="484">
                  <c:v>0</c:v>
                </c:pt>
                <c:pt idx="487">
                  <c:v>0</c:v>
                </c:pt>
                <c:pt idx="490">
                  <c:v>0</c:v>
                </c:pt>
                <c:pt idx="493">
                  <c:v>0</c:v>
                </c:pt>
                <c:pt idx="496">
                  <c:v>0</c:v>
                </c:pt>
                <c:pt idx="499">
                  <c:v>0</c:v>
                </c:pt>
                <c:pt idx="502">
                  <c:v>0</c:v>
                </c:pt>
                <c:pt idx="506">
                  <c:v>0</c:v>
                </c:pt>
                <c:pt idx="510">
                  <c:v>3.9337362437852637E-2</c:v>
                </c:pt>
                <c:pt idx="513">
                  <c:v>0</c:v>
                </c:pt>
                <c:pt idx="516">
                  <c:v>5.1731775405576231E-3</c:v>
                </c:pt>
                <c:pt idx="519">
                  <c:v>0</c:v>
                </c:pt>
                <c:pt idx="522">
                  <c:v>0</c:v>
                </c:pt>
                <c:pt idx="525">
                  <c:v>0</c:v>
                </c:pt>
                <c:pt idx="528">
                  <c:v>0</c:v>
                </c:pt>
                <c:pt idx="531">
                  <c:v>0</c:v>
                </c:pt>
                <c:pt idx="535">
                  <c:v>0</c:v>
                </c:pt>
                <c:pt idx="538">
                  <c:v>4.1200034921828818E-3</c:v>
                </c:pt>
                <c:pt idx="541">
                  <c:v>0</c:v>
                </c:pt>
                <c:pt idx="544">
                  <c:v>0</c:v>
                </c:pt>
                <c:pt idx="547">
                  <c:v>0</c:v>
                </c:pt>
                <c:pt idx="551">
                  <c:v>4.6695377115626869E-3</c:v>
                </c:pt>
                <c:pt idx="554">
                  <c:v>0</c:v>
                </c:pt>
                <c:pt idx="560">
                  <c:v>2.4622864979428993E-3</c:v>
                </c:pt>
                <c:pt idx="566">
                  <c:v>3.3074986424445874E-3</c:v>
                </c:pt>
                <c:pt idx="569">
                  <c:v>9.1070073362003543E-3</c:v>
                </c:pt>
                <c:pt idx="572">
                  <c:v>5.8998399268236912E-3</c:v>
                </c:pt>
                <c:pt idx="575">
                  <c:v>2.330571174903818E-3</c:v>
                </c:pt>
                <c:pt idx="578">
                  <c:v>2.7203642922617459E-3</c:v>
                </c:pt>
                <c:pt idx="581">
                  <c:v>4.2171280276816605E-3</c:v>
                </c:pt>
                <c:pt idx="584">
                  <c:v>1.1377571876277423E-2</c:v>
                </c:pt>
                <c:pt idx="587">
                  <c:v>5.234899328859061E-3</c:v>
                </c:pt>
                <c:pt idx="590">
                  <c:v>6.6241167811579961E-3</c:v>
                </c:pt>
                <c:pt idx="593">
                  <c:v>7.9005120702267742E-3</c:v>
                </c:pt>
                <c:pt idx="596">
                  <c:v>3.4350166623942583E-3</c:v>
                </c:pt>
                <c:pt idx="599">
                  <c:v>4.1466161564451725E-3</c:v>
                </c:pt>
                <c:pt idx="602">
                  <c:v>2.4566130438228068E-3</c:v>
                </c:pt>
                <c:pt idx="605">
                  <c:v>3.891050583657588E-3</c:v>
                </c:pt>
                <c:pt idx="608">
                  <c:v>1.9110997355174474E-2</c:v>
                </c:pt>
                <c:pt idx="611">
                  <c:v>3.8840607855512941E-3</c:v>
                </c:pt>
                <c:pt idx="614">
                  <c:v>2.9200359389038632E-3</c:v>
                </c:pt>
                <c:pt idx="617">
                  <c:v>3.5976015989340432E-3</c:v>
                </c:pt>
                <c:pt idx="620">
                  <c:v>4.837477722142069E-3</c:v>
                </c:pt>
                <c:pt idx="623">
                  <c:v>7.2971948445792268E-3</c:v>
                </c:pt>
                <c:pt idx="626">
                  <c:v>1.3852023888520238E-2</c:v>
                </c:pt>
                <c:pt idx="629">
                  <c:v>1.4408804576062558E-2</c:v>
                </c:pt>
                <c:pt idx="638">
                  <c:v>7.0743153323527342E-3</c:v>
                </c:pt>
                <c:pt idx="641">
                  <c:v>2.5451180009254972E-2</c:v>
                </c:pt>
                <c:pt idx="644">
                  <c:v>9.9049112670243503E-4</c:v>
                </c:pt>
                <c:pt idx="647">
                  <c:v>1.102629346904156E-2</c:v>
                </c:pt>
                <c:pt idx="650">
                  <c:v>4.3139527396819262E-3</c:v>
                </c:pt>
                <c:pt idx="656">
                  <c:v>6.6684100418410051E-3</c:v>
                </c:pt>
                <c:pt idx="662">
                  <c:v>4.3520067698259194E-3</c:v>
                </c:pt>
                <c:pt idx="665">
                  <c:v>5.9737156511350054E-3</c:v>
                </c:pt>
                <c:pt idx="668" formatCode="0.000">
                  <c:v>3.1094470827679778E-3</c:v>
                </c:pt>
                <c:pt idx="671" formatCode="0.000">
                  <c:v>4.1084634346754316E-3</c:v>
                </c:pt>
                <c:pt idx="674" formatCode="0.000">
                  <c:v>4.0876997398736539E-3</c:v>
                </c:pt>
                <c:pt idx="677" formatCode="0.000">
                  <c:v>8.1362061172216352E-3</c:v>
                </c:pt>
                <c:pt idx="680" formatCode="0.000">
                  <c:v>3.9745627980922104E-3</c:v>
                </c:pt>
                <c:pt idx="683" formatCode="0.000">
                  <c:v>1.066898916770998E-2</c:v>
                </c:pt>
                <c:pt idx="686" formatCode="0.000">
                  <c:v>6.0905428735852675E-3</c:v>
                </c:pt>
                <c:pt idx="689" formatCode="0.000">
                  <c:v>6.4392905866302872E-3</c:v>
                </c:pt>
                <c:pt idx="692" formatCode="0.000">
                  <c:v>6.1917078140920137E-3</c:v>
                </c:pt>
                <c:pt idx="695" formatCode="0.000">
                  <c:v>3.169508716323296E-3</c:v>
                </c:pt>
                <c:pt idx="710">
                  <c:v>3.6660847484526263E-2</c:v>
                </c:pt>
                <c:pt idx="713">
                  <c:v>5.1493305870236863E-3</c:v>
                </c:pt>
                <c:pt idx="716">
                  <c:v>6.4377682403433476E-3</c:v>
                </c:pt>
                <c:pt idx="719">
                  <c:v>2.9044241810199261E-3</c:v>
                </c:pt>
                <c:pt idx="722">
                  <c:v>1.7966761491241203E-3</c:v>
                </c:pt>
                <c:pt idx="731">
                  <c:v>6.1117222833394439E-3</c:v>
                </c:pt>
                <c:pt idx="737">
                  <c:v>3.4721836419753091E-3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5-044D-9F48-16DA6787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cusum but fuco vs peri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'But-fuco update'!$N$5:$N$742</c:f>
              <c:numCache>
                <c:formatCode>General</c:formatCode>
                <c:ptCount val="738"/>
                <c:pt idx="0">
                  <c:v>-0.43753089105951098</c:v>
                </c:pt>
                <c:pt idx="3">
                  <c:v>-0.71642298974298435</c:v>
                </c:pt>
                <c:pt idx="6">
                  <c:v>-0.94768474371707878</c:v>
                </c:pt>
                <c:pt idx="9">
                  <c:v>-1.3852156347765898</c:v>
                </c:pt>
                <c:pt idx="12">
                  <c:v>-1.7380894796505455</c:v>
                </c:pt>
                <c:pt idx="15">
                  <c:v>-1.9393411715842295</c:v>
                </c:pt>
                <c:pt idx="18">
                  <c:v>-2.3768720626437405</c:v>
                </c:pt>
                <c:pt idx="21">
                  <c:v>-2.8144029537032513</c:v>
                </c:pt>
                <c:pt idx="24">
                  <c:v>-1.3037154368500123</c:v>
                </c:pt>
                <c:pt idx="27">
                  <c:v>-0.55974214405540801</c:v>
                </c:pt>
                <c:pt idx="30">
                  <c:v>-0.99727303511491905</c:v>
                </c:pt>
                <c:pt idx="33">
                  <c:v>-1.160402783912396</c:v>
                </c:pt>
                <c:pt idx="36">
                  <c:v>-1.5979336749719071</c:v>
                </c:pt>
                <c:pt idx="39">
                  <c:v>-1.5932230873937048</c:v>
                </c:pt>
                <c:pt idx="42">
                  <c:v>-1.5190641614325628</c:v>
                </c:pt>
                <c:pt idx="45">
                  <c:v>-1.7146733271634862</c:v>
                </c:pt>
                <c:pt idx="48">
                  <c:v>-2.1522042182229972</c:v>
                </c:pt>
                <c:pt idx="51">
                  <c:v>-2.5897351092825081</c:v>
                </c:pt>
                <c:pt idx="54">
                  <c:v>-3.0272660003420189</c:v>
                </c:pt>
                <c:pt idx="57">
                  <c:v>-3.4647968914015297</c:v>
                </c:pt>
                <c:pt idx="60">
                  <c:v>-3.9023277824610405</c:v>
                </c:pt>
                <c:pt idx="63">
                  <c:v>-3.5451745597964823</c:v>
                </c:pt>
                <c:pt idx="66">
                  <c:v>-3.6956370579213682</c:v>
                </c:pt>
                <c:pt idx="69">
                  <c:v>-3.904570819069745</c:v>
                </c:pt>
                <c:pt idx="72">
                  <c:v>-4.3421017101292563</c:v>
                </c:pt>
                <c:pt idx="75">
                  <c:v>-4.5515452607364342</c:v>
                </c:pt>
                <c:pt idx="78">
                  <c:v>-2.3550932377264817</c:v>
                </c:pt>
                <c:pt idx="81">
                  <c:v>-2.1525716522080485</c:v>
                </c:pt>
                <c:pt idx="84">
                  <c:v>-1.9814403200229871</c:v>
                </c:pt>
                <c:pt idx="87">
                  <c:v>-1.4094505952974896</c:v>
                </c:pt>
                <c:pt idx="90">
                  <c:v>-1.8469814863570007</c:v>
                </c:pt>
                <c:pt idx="108">
                  <c:v>-2.2845123774165117</c:v>
                </c:pt>
                <c:pt idx="111">
                  <c:v>-2.7220432684760225</c:v>
                </c:pt>
                <c:pt idx="114">
                  <c:v>-3.1595741595355333</c:v>
                </c:pt>
                <c:pt idx="117">
                  <c:v>-3.5971050505950442</c:v>
                </c:pt>
                <c:pt idx="120">
                  <c:v>-4.034635941654555</c:v>
                </c:pt>
                <c:pt idx="123">
                  <c:v>-4.3335042118480489</c:v>
                </c:pt>
                <c:pt idx="126">
                  <c:v>-4.7710351029075602</c:v>
                </c:pt>
                <c:pt idx="129">
                  <c:v>-5.2085659939670714</c:v>
                </c:pt>
                <c:pt idx="132">
                  <c:v>-4.9934117140769212</c:v>
                </c:pt>
                <c:pt idx="135">
                  <c:v>-4.9086299346243063</c:v>
                </c:pt>
                <c:pt idx="138">
                  <c:v>-5.3461608256838176</c:v>
                </c:pt>
                <c:pt idx="141">
                  <c:v>-5.7836917167433288</c:v>
                </c:pt>
                <c:pt idx="144">
                  <c:v>-6.2212226078028401</c:v>
                </c:pt>
                <c:pt idx="147">
                  <c:v>-6.6587534988623513</c:v>
                </c:pt>
                <c:pt idx="150">
                  <c:v>-7.0962843899218626</c:v>
                </c:pt>
                <c:pt idx="153">
                  <c:v>-7.5338152809813739</c:v>
                </c:pt>
                <c:pt idx="156">
                  <c:v>-7.9713461720408851</c:v>
                </c:pt>
                <c:pt idx="159">
                  <c:v>-8.4088770631003964</c:v>
                </c:pt>
                <c:pt idx="162">
                  <c:v>-8.5346782051014962</c:v>
                </c:pt>
                <c:pt idx="165">
                  <c:v>-8.9722090961610075</c:v>
                </c:pt>
                <c:pt idx="168">
                  <c:v>-9.4097399872205187</c:v>
                </c:pt>
                <c:pt idx="171">
                  <c:v>-9.84727087828003</c:v>
                </c:pt>
                <c:pt idx="177">
                  <c:v>-10.284801769339541</c:v>
                </c:pt>
                <c:pt idx="180">
                  <c:v>-10.722332660399053</c:v>
                </c:pt>
                <c:pt idx="183">
                  <c:v>-11.159863551458564</c:v>
                </c:pt>
                <c:pt idx="186">
                  <c:v>-11.597394442518075</c:v>
                </c:pt>
                <c:pt idx="189">
                  <c:v>-12.034925333577586</c:v>
                </c:pt>
                <c:pt idx="192">
                  <c:v>-12.472456224637098</c:v>
                </c:pt>
                <c:pt idx="195">
                  <c:v>-12.909987115696609</c:v>
                </c:pt>
                <c:pt idx="198">
                  <c:v>-12.937238320691161</c:v>
                </c:pt>
                <c:pt idx="201">
                  <c:v>-13.374769211750673</c:v>
                </c:pt>
                <c:pt idx="204">
                  <c:v>-11.403152079412783</c:v>
                </c:pt>
                <c:pt idx="207">
                  <c:v>-11.517757886539252</c:v>
                </c:pt>
                <c:pt idx="210">
                  <c:v>-11.955288777598764</c:v>
                </c:pt>
                <c:pt idx="213">
                  <c:v>-12.392819668658275</c:v>
                </c:pt>
                <c:pt idx="216">
                  <c:v>-12.828568967771018</c:v>
                </c:pt>
                <c:pt idx="219">
                  <c:v>-13.263562841855018</c:v>
                </c:pt>
                <c:pt idx="222">
                  <c:v>-13.699061093337518</c:v>
                </c:pt>
                <c:pt idx="225">
                  <c:v>-13.900032064408624</c:v>
                </c:pt>
                <c:pt idx="228">
                  <c:v>-14.334697989429028</c:v>
                </c:pt>
                <c:pt idx="231">
                  <c:v>-14.769789268798302</c:v>
                </c:pt>
                <c:pt idx="234">
                  <c:v>-15.015425514298816</c:v>
                </c:pt>
                <c:pt idx="237">
                  <c:v>-15.286144357972194</c:v>
                </c:pt>
                <c:pt idx="240">
                  <c:v>-9.4099102595238016</c:v>
                </c:pt>
                <c:pt idx="243">
                  <c:v>-2.2482158158759864</c:v>
                </c:pt>
                <c:pt idx="246">
                  <c:v>-2.6847076327213673</c:v>
                </c:pt>
                <c:pt idx="249">
                  <c:v>-3.1194965740105478</c:v>
                </c:pt>
                <c:pt idx="252">
                  <c:v>1.5349506150040475</c:v>
                </c:pt>
                <c:pt idx="255">
                  <c:v>1.1244969630092263</c:v>
                </c:pt>
                <c:pt idx="258">
                  <c:v>0.71386364712677486</c:v>
                </c:pt>
                <c:pt idx="261">
                  <c:v>0.30556004248013169</c:v>
                </c:pt>
                <c:pt idx="264">
                  <c:v>-0.10147947624386472</c:v>
                </c:pt>
                <c:pt idx="267">
                  <c:v>-0.27717535236677326</c:v>
                </c:pt>
                <c:pt idx="270">
                  <c:v>-0.68402967008385274</c:v>
                </c:pt>
                <c:pt idx="273">
                  <c:v>3.9003528052849723</c:v>
                </c:pt>
                <c:pt idx="276">
                  <c:v>4.3012044368146656</c:v>
                </c:pt>
                <c:pt idx="279">
                  <c:v>5.588264457011638</c:v>
                </c:pt>
                <c:pt idx="282">
                  <c:v>5.1575284056353725</c:v>
                </c:pt>
                <c:pt idx="285">
                  <c:v>4.731261218366372</c:v>
                </c:pt>
                <c:pt idx="288">
                  <c:v>4.3150717533305549</c:v>
                </c:pt>
                <c:pt idx="291">
                  <c:v>3.9234277890029534</c:v>
                </c:pt>
                <c:pt idx="294">
                  <c:v>3.5034236260170593</c:v>
                </c:pt>
                <c:pt idx="297">
                  <c:v>3.1085342333766541</c:v>
                </c:pt>
                <c:pt idx="300">
                  <c:v>2.7129310540860652</c:v>
                </c:pt>
                <c:pt idx="303">
                  <c:v>2.3188965383022904</c:v>
                </c:pt>
                <c:pt idx="306">
                  <c:v>1.9413626922433713</c:v>
                </c:pt>
                <c:pt idx="309">
                  <c:v>1.5532360388487159</c:v>
                </c:pt>
                <c:pt idx="312">
                  <c:v>1.1386281259200115</c:v>
                </c:pt>
                <c:pt idx="315">
                  <c:v>0.72193630588850644</c:v>
                </c:pt>
                <c:pt idx="318">
                  <c:v>0.43611111066305247</c:v>
                </c:pt>
                <c:pt idx="321">
                  <c:v>6.4102721456013168</c:v>
                </c:pt>
                <c:pt idx="324">
                  <c:v>5.9883184021845421</c:v>
                </c:pt>
                <c:pt idx="327">
                  <c:v>5.5996821034243549</c:v>
                </c:pt>
                <c:pt idx="330">
                  <c:v>5.1841462738396809</c:v>
                </c:pt>
                <c:pt idx="333">
                  <c:v>4.7717549034719724</c:v>
                </c:pt>
                <c:pt idx="336">
                  <c:v>4.3626182034658711</c:v>
                </c:pt>
                <c:pt idx="339">
                  <c:v>3.9438114307363845</c:v>
                </c:pt>
                <c:pt idx="342">
                  <c:v>3.6126302450960295</c:v>
                </c:pt>
                <c:pt idx="345">
                  <c:v>3.2490362622676905</c:v>
                </c:pt>
                <c:pt idx="348">
                  <c:v>3.1250193272811142</c:v>
                </c:pt>
                <c:pt idx="351">
                  <c:v>4.4258878046370063</c:v>
                </c:pt>
                <c:pt idx="354">
                  <c:v>4.1620093671431029</c:v>
                </c:pt>
                <c:pt idx="357">
                  <c:v>3.7347830022747495</c:v>
                </c:pt>
                <c:pt idx="360">
                  <c:v>3.317883933743818</c:v>
                </c:pt>
                <c:pt idx="363">
                  <c:v>3.196297071256283</c:v>
                </c:pt>
                <c:pt idx="366">
                  <c:v>2.9138923152452576</c:v>
                </c:pt>
                <c:pt idx="370">
                  <c:v>2.4763614241857468</c:v>
                </c:pt>
                <c:pt idx="373">
                  <c:v>2.0829261225351527</c:v>
                </c:pt>
                <c:pt idx="376">
                  <c:v>1.6453952314756417</c:v>
                </c:pt>
                <c:pt idx="379">
                  <c:v>1.2078643404161307</c:v>
                </c:pt>
                <c:pt idx="382">
                  <c:v>0.77033344935661963</c:v>
                </c:pt>
                <c:pt idx="385">
                  <c:v>0.41703964781747838</c:v>
                </c:pt>
                <c:pt idx="388">
                  <c:v>0.31313081494741141</c:v>
                </c:pt>
                <c:pt idx="391">
                  <c:v>0.22346567631891928</c:v>
                </c:pt>
                <c:pt idx="395">
                  <c:v>0.44955112331637626</c:v>
                </c:pt>
                <c:pt idx="398">
                  <c:v>1.2020232256865271E-2</c:v>
                </c:pt>
                <c:pt idx="402">
                  <c:v>-0.42551065880264571</c:v>
                </c:pt>
                <c:pt idx="405">
                  <c:v>-0.86304154986215664</c:v>
                </c:pt>
                <c:pt idx="408">
                  <c:v>-1.3005724409216677</c:v>
                </c:pt>
                <c:pt idx="411">
                  <c:v>-1.7381033319811787</c:v>
                </c:pt>
                <c:pt idx="414">
                  <c:v>-2.1756342230406895</c:v>
                </c:pt>
                <c:pt idx="418">
                  <c:v>-2.6131651141002004</c:v>
                </c:pt>
                <c:pt idx="421">
                  <c:v>-2.2808797864279962</c:v>
                </c:pt>
                <c:pt idx="424">
                  <c:v>-2.718410677487507</c:v>
                </c:pt>
                <c:pt idx="427">
                  <c:v>-3.1559415685470178</c:v>
                </c:pt>
                <c:pt idx="430">
                  <c:v>-3.5934724596065286</c:v>
                </c:pt>
                <c:pt idx="433">
                  <c:v>-4.0310033506660394</c:v>
                </c:pt>
                <c:pt idx="436">
                  <c:v>-4.4685342417255507</c:v>
                </c:pt>
                <c:pt idx="440">
                  <c:v>-4.7866891336773509</c:v>
                </c:pt>
                <c:pt idx="443">
                  <c:v>-5.2242200247368622</c:v>
                </c:pt>
                <c:pt idx="446">
                  <c:v>-5.6617509157963735</c:v>
                </c:pt>
                <c:pt idx="449">
                  <c:v>-6.0992818068558847</c:v>
                </c:pt>
                <c:pt idx="452">
                  <c:v>-6.3230732463508064</c:v>
                </c:pt>
                <c:pt idx="455">
                  <c:v>-6.3528067234514509</c:v>
                </c:pt>
                <c:pt idx="458">
                  <c:v>-6.7903376145109622</c:v>
                </c:pt>
                <c:pt idx="461">
                  <c:v>-5.2671227736108017</c:v>
                </c:pt>
                <c:pt idx="464">
                  <c:v>-5.704653664670313</c:v>
                </c:pt>
                <c:pt idx="467">
                  <c:v>-5.999648005625887</c:v>
                </c:pt>
                <c:pt idx="470">
                  <c:v>-6.4371788966853982</c:v>
                </c:pt>
                <c:pt idx="474">
                  <c:v>-6.8747097877449095</c:v>
                </c:pt>
                <c:pt idx="477">
                  <c:v>-7.3122406788044207</c:v>
                </c:pt>
                <c:pt idx="481">
                  <c:v>-7.6461722748762764</c:v>
                </c:pt>
                <c:pt idx="484">
                  <c:v>-8.0837031659357876</c:v>
                </c:pt>
                <c:pt idx="487">
                  <c:v>-8.5212340569952989</c:v>
                </c:pt>
                <c:pt idx="490">
                  <c:v>-8.9587649480548102</c:v>
                </c:pt>
                <c:pt idx="493">
                  <c:v>-9.3962958391143214</c:v>
                </c:pt>
                <c:pt idx="496">
                  <c:v>-9.8338267301738327</c:v>
                </c:pt>
                <c:pt idx="499">
                  <c:v>-10.271357621233344</c:v>
                </c:pt>
                <c:pt idx="502">
                  <c:v>-10.708888512292855</c:v>
                </c:pt>
                <c:pt idx="506">
                  <c:v>-11.146419403352366</c:v>
                </c:pt>
                <c:pt idx="510">
                  <c:v>-7.5437981241833096</c:v>
                </c:pt>
                <c:pt idx="513">
                  <c:v>-7.9813290152428209</c:v>
                </c:pt>
                <c:pt idx="516">
                  <c:v>-7.8875476074546089</c:v>
                </c:pt>
                <c:pt idx="519">
                  <c:v>-8.3250784985141202</c:v>
                </c:pt>
                <c:pt idx="522">
                  <c:v>-8.7626093895736314</c:v>
                </c:pt>
                <c:pt idx="525">
                  <c:v>-9.2001402806331427</c:v>
                </c:pt>
                <c:pt idx="528">
                  <c:v>-9.637671171692654</c:v>
                </c:pt>
                <c:pt idx="531">
                  <c:v>-10.075202062752165</c:v>
                </c:pt>
                <c:pt idx="535">
                  <c:v>-10.512732953811676</c:v>
                </c:pt>
                <c:pt idx="538">
                  <c:v>-10.527118010511058</c:v>
                </c:pt>
                <c:pt idx="541">
                  <c:v>-10.96464890157057</c:v>
                </c:pt>
                <c:pt idx="544">
                  <c:v>-11.402179792630081</c:v>
                </c:pt>
                <c:pt idx="547">
                  <c:v>-11.839710683689592</c:v>
                </c:pt>
                <c:pt idx="551">
                  <c:v>-11.797655711585575</c:v>
                </c:pt>
                <c:pt idx="554">
                  <c:v>-12.235186602645086</c:v>
                </c:pt>
                <c:pt idx="560">
                  <c:v>-12.419827835581104</c:v>
                </c:pt>
                <c:pt idx="566">
                  <c:v>-12.517661375568544</c:v>
                </c:pt>
                <c:pt idx="569">
                  <c:v>-12.01985514249407</c:v>
                </c:pt>
                <c:pt idx="572">
                  <c:v>-11.851441719874297</c:v>
                </c:pt>
                <c:pt idx="575">
                  <c:v>-12.049610803058775</c:v>
                </c:pt>
                <c:pt idx="578">
                  <c:v>-12.207746101275545</c:v>
                </c:pt>
                <c:pt idx="581">
                  <c:v>-12.21215596191297</c:v>
                </c:pt>
                <c:pt idx="584">
                  <c:v>-11.481150915147591</c:v>
                </c:pt>
                <c:pt idx="587">
                  <c:v>-11.381030357973081</c:v>
                </c:pt>
                <c:pt idx="590">
                  <c:v>-11.138229927085836</c:v>
                </c:pt>
                <c:pt idx="593">
                  <c:v>-10.764337046740451</c:v>
                </c:pt>
                <c:pt idx="596">
                  <c:v>-10.849073821385353</c:v>
                </c:pt>
                <c:pt idx="599">
                  <c:v>-10.860725618745228</c:v>
                </c:pt>
                <c:pt idx="602">
                  <c:v>-11.045949544992526</c:v>
                </c:pt>
                <c:pt idx="605">
                  <c:v>-11.083849258825314</c:v>
                </c:pt>
                <c:pt idx="608">
                  <c:v>-9.5585811045313562</c:v>
                </c:pt>
                <c:pt idx="611">
                  <c:v>-9.5971987070643134</c:v>
                </c:pt>
                <c:pt idx="614">
                  <c:v>-9.7348266863730419</c:v>
                </c:pt>
                <c:pt idx="617">
                  <c:v>-9.8028651405536404</c:v>
                </c:pt>
                <c:pt idx="620">
                  <c:v>-9.7435618539678774</c:v>
                </c:pt>
                <c:pt idx="623">
                  <c:v>-9.4316327975160519</c:v>
                </c:pt>
                <c:pt idx="626">
                  <c:v>-8.4464886308952583</c:v>
                </c:pt>
                <c:pt idx="629">
                  <c:v>-7.4041601854182177</c:v>
                </c:pt>
                <c:pt idx="638">
                  <c:v>-7.1151220166420446</c:v>
                </c:pt>
                <c:pt idx="641">
                  <c:v>-4.9386840552722475</c:v>
                </c:pt>
                <c:pt idx="644">
                  <c:v>-5.2744863446376016</c:v>
                </c:pt>
                <c:pt idx="647">
                  <c:v>-4.5795594213506465</c:v>
                </c:pt>
                <c:pt idx="650">
                  <c:v>-4.5740248793622564</c:v>
                </c:pt>
                <c:pt idx="656">
                  <c:v>-4.3266752997221509</c:v>
                </c:pt>
                <c:pt idx="662">
                  <c:v>-4.3172324104795416</c:v>
                </c:pt>
                <c:pt idx="665">
                  <c:v>-4.1412315658922907</c:v>
                </c:pt>
                <c:pt idx="668">
                  <c:v>-4.2594060334116346</c:v>
                </c:pt>
                <c:pt idx="671">
                  <c:v>-4.2749763141701269</c:v>
                </c:pt>
                <c:pt idx="674">
                  <c:v>-4.2926791346165025</c:v>
                </c:pt>
                <c:pt idx="677">
                  <c:v>-3.8945792470783838</c:v>
                </c:pt>
                <c:pt idx="680">
                  <c:v>-3.9239018211773704</c:v>
                </c:pt>
                <c:pt idx="683">
                  <c:v>-3.2656719121027287</c:v>
                </c:pt>
                <c:pt idx="686">
                  <c:v>-3.0776723028024167</c:v>
                </c:pt>
                <c:pt idx="689">
                  <c:v>-2.8538544855084425</c:v>
                </c:pt>
                <c:pt idx="692">
                  <c:v>-2.6554647094910537</c:v>
                </c:pt>
                <c:pt idx="695">
                  <c:v>-2.7674705341701622</c:v>
                </c:pt>
                <c:pt idx="710">
                  <c:v>0.56025870783156861</c:v>
                </c:pt>
                <c:pt idx="713">
                  <c:v>0.65159090918847329</c:v>
                </c:pt>
                <c:pt idx="716">
                  <c:v>0.87525237358347685</c:v>
                </c:pt>
                <c:pt idx="719">
                  <c:v>0.73602098536304195</c:v>
                </c:pt>
                <c:pt idx="722">
                  <c:v>0.48301810007793056</c:v>
                </c:pt>
                <c:pt idx="731">
                  <c:v>0.67319294515867079</c:v>
                </c:pt>
                <c:pt idx="737">
                  <c:v>0.5922734130513807</c:v>
                </c:pt>
              </c:numCache>
            </c:numRef>
          </c:xVal>
          <c:yVal>
            <c:numRef>
              <c:f>'Peridin update'!$N$5:$N$742</c:f>
              <c:numCache>
                <c:formatCode>General</c:formatCode>
                <c:ptCount val="738"/>
                <c:pt idx="0">
                  <c:v>0.71439483605316434</c:v>
                </c:pt>
                <c:pt idx="3">
                  <c:v>0.26198364636244731</c:v>
                </c:pt>
                <c:pt idx="6">
                  <c:v>-0.23480800688917353</c:v>
                </c:pt>
                <c:pt idx="9">
                  <c:v>-0.31142582305749739</c:v>
                </c:pt>
                <c:pt idx="12">
                  <c:v>-0.63424983495042198</c:v>
                </c:pt>
                <c:pt idx="15">
                  <c:v>-0.34873852911165193</c:v>
                </c:pt>
                <c:pt idx="18">
                  <c:v>-0.60043721339973333</c:v>
                </c:pt>
                <c:pt idx="21">
                  <c:v>2.9605989819687761</c:v>
                </c:pt>
                <c:pt idx="24">
                  <c:v>2.8959160676212501</c:v>
                </c:pt>
                <c:pt idx="27">
                  <c:v>3.0250196275224184</c:v>
                </c:pt>
                <c:pt idx="30">
                  <c:v>2.2978600827637785</c:v>
                </c:pt>
                <c:pt idx="33">
                  <c:v>1.83605084015465</c:v>
                </c:pt>
                <c:pt idx="36">
                  <c:v>1.2166848961445231</c:v>
                </c:pt>
                <c:pt idx="39">
                  <c:v>2.3588541759146575</c:v>
                </c:pt>
                <c:pt idx="42">
                  <c:v>2.214469502751391</c:v>
                </c:pt>
                <c:pt idx="45">
                  <c:v>2.5400212606595769</c:v>
                </c:pt>
                <c:pt idx="48">
                  <c:v>2.1987446246875342</c:v>
                </c:pt>
                <c:pt idx="51">
                  <c:v>1.6902661562251873</c:v>
                </c:pt>
                <c:pt idx="54">
                  <c:v>1.4265830927031942</c:v>
                </c:pt>
                <c:pt idx="57">
                  <c:v>0.58035533458811961</c:v>
                </c:pt>
                <c:pt idx="60">
                  <c:v>0.89954722195780668</c:v>
                </c:pt>
                <c:pt idx="63">
                  <c:v>1.4789160085947182</c:v>
                </c:pt>
                <c:pt idx="66">
                  <c:v>1.192433636472116</c:v>
                </c:pt>
                <c:pt idx="69">
                  <c:v>0.46586566217953251</c:v>
                </c:pt>
                <c:pt idx="72">
                  <c:v>-3.6002502320996221E-2</c:v>
                </c:pt>
                <c:pt idx="75">
                  <c:v>-0.72338029562239237</c:v>
                </c:pt>
                <c:pt idx="78">
                  <c:v>-0.86086260829624184</c:v>
                </c:pt>
                <c:pt idx="81">
                  <c:v>-1.293307476654284</c:v>
                </c:pt>
                <c:pt idx="84">
                  <c:v>-0.4898385430941814</c:v>
                </c:pt>
                <c:pt idx="87">
                  <c:v>-0.3005420287434093</c:v>
                </c:pt>
                <c:pt idx="90">
                  <c:v>-0.7008131555985333</c:v>
                </c:pt>
                <c:pt idx="108">
                  <c:v>-1.0009981080420465</c:v>
                </c:pt>
                <c:pt idx="111">
                  <c:v>-1.573409502724407</c:v>
                </c:pt>
                <c:pt idx="114">
                  <c:v>-0.69922496099344733</c:v>
                </c:pt>
                <c:pt idx="117">
                  <c:v>-0.59856963160861043</c:v>
                </c:pt>
                <c:pt idx="120">
                  <c:v>2.099772813483396</c:v>
                </c:pt>
                <c:pt idx="123">
                  <c:v>4.1545363865200891</c:v>
                </c:pt>
                <c:pt idx="126">
                  <c:v>3.5927257584651069</c:v>
                </c:pt>
                <c:pt idx="129">
                  <c:v>3.6651721088729845</c:v>
                </c:pt>
                <c:pt idx="132">
                  <c:v>3.3898935896999971</c:v>
                </c:pt>
                <c:pt idx="135">
                  <c:v>3.6495993801730435</c:v>
                </c:pt>
                <c:pt idx="138">
                  <c:v>3.6760831934763858</c:v>
                </c:pt>
                <c:pt idx="141">
                  <c:v>4.2435920147187822</c:v>
                </c:pt>
                <c:pt idx="144">
                  <c:v>4.0133675551459866</c:v>
                </c:pt>
                <c:pt idx="147">
                  <c:v>3.9600611775963075</c:v>
                </c:pt>
                <c:pt idx="150">
                  <c:v>4.5927101842303157</c:v>
                </c:pt>
                <c:pt idx="153">
                  <c:v>3.9427315720397242</c:v>
                </c:pt>
                <c:pt idx="156">
                  <c:v>4.3189903138824155</c:v>
                </c:pt>
                <c:pt idx="159">
                  <c:v>5.207354707311123</c:v>
                </c:pt>
                <c:pt idx="162">
                  <c:v>5.2936007619531926</c:v>
                </c:pt>
                <c:pt idx="165">
                  <c:v>6.5626669238279751</c:v>
                </c:pt>
                <c:pt idx="168">
                  <c:v>6.9318829395959334</c:v>
                </c:pt>
                <c:pt idx="171">
                  <c:v>6.828990936035999</c:v>
                </c:pt>
                <c:pt idx="177">
                  <c:v>6.1065164610595479</c:v>
                </c:pt>
                <c:pt idx="180">
                  <c:v>5.5507342006299707</c:v>
                </c:pt>
                <c:pt idx="183">
                  <c:v>5.0597041769008388</c:v>
                </c:pt>
                <c:pt idx="186">
                  <c:v>4.5081744708231115</c:v>
                </c:pt>
                <c:pt idx="189">
                  <c:v>4.1374004354091767</c:v>
                </c:pt>
                <c:pt idx="192">
                  <c:v>5.0002131273488475</c:v>
                </c:pt>
                <c:pt idx="195">
                  <c:v>14.897251009812717</c:v>
                </c:pt>
                <c:pt idx="198">
                  <c:v>14.567592348485352</c:v>
                </c:pt>
                <c:pt idx="201">
                  <c:v>14.364485465720172</c:v>
                </c:pt>
                <c:pt idx="204">
                  <c:v>14.044607742768907</c:v>
                </c:pt>
                <c:pt idx="207">
                  <c:v>15.04073001265396</c:v>
                </c:pt>
                <c:pt idx="210">
                  <c:v>14.868498518029527</c:v>
                </c:pt>
                <c:pt idx="213">
                  <c:v>14.625381857405984</c:v>
                </c:pt>
                <c:pt idx="216">
                  <c:v>13.868445797788047</c:v>
                </c:pt>
                <c:pt idx="219">
                  <c:v>13.170563071475641</c:v>
                </c:pt>
                <c:pt idx="222">
                  <c:v>12.568188804774238</c:v>
                </c:pt>
                <c:pt idx="225">
                  <c:v>14.031657110235098</c:v>
                </c:pt>
                <c:pt idx="228">
                  <c:v>14.21696225731853</c:v>
                </c:pt>
                <c:pt idx="231">
                  <c:v>13.740709752541443</c:v>
                </c:pt>
                <c:pt idx="234">
                  <c:v>13.219213422673899</c:v>
                </c:pt>
                <c:pt idx="237">
                  <c:v>12.625240971168683</c:v>
                </c:pt>
                <c:pt idx="240">
                  <c:v>12.761252226333244</c:v>
                </c:pt>
                <c:pt idx="243">
                  <c:v>12.40769698260026</c:v>
                </c:pt>
                <c:pt idx="246">
                  <c:v>11.842058739732797</c:v>
                </c:pt>
                <c:pt idx="249">
                  <c:v>11.525781852065672</c:v>
                </c:pt>
                <c:pt idx="252">
                  <c:v>10.959274022166493</c:v>
                </c:pt>
                <c:pt idx="255">
                  <c:v>10.323649563134344</c:v>
                </c:pt>
                <c:pt idx="258">
                  <c:v>10.198019892498962</c:v>
                </c:pt>
                <c:pt idx="261">
                  <c:v>10.850460445352574</c:v>
                </c:pt>
                <c:pt idx="264">
                  <c:v>10.531250444113882</c:v>
                </c:pt>
                <c:pt idx="267">
                  <c:v>9.9867003244368195</c:v>
                </c:pt>
                <c:pt idx="270">
                  <c:v>9.5027887468034038</c:v>
                </c:pt>
                <c:pt idx="273">
                  <c:v>9.0272585170693311</c:v>
                </c:pt>
                <c:pt idx="276">
                  <c:v>10.171859006431374</c:v>
                </c:pt>
                <c:pt idx="279">
                  <c:v>10.091863203717212</c:v>
                </c:pt>
                <c:pt idx="282">
                  <c:v>9.3435044965255862</c:v>
                </c:pt>
                <c:pt idx="285">
                  <c:v>8.5021433431530689</c:v>
                </c:pt>
                <c:pt idx="288">
                  <c:v>7.8833845681043124</c:v>
                </c:pt>
                <c:pt idx="291">
                  <c:v>7.056982751740569</c:v>
                </c:pt>
                <c:pt idx="294">
                  <c:v>6.7232196489438047</c:v>
                </c:pt>
                <c:pt idx="297">
                  <c:v>6.4481843125583076</c:v>
                </c:pt>
                <c:pt idx="300">
                  <c:v>6.4655398428816886</c:v>
                </c:pt>
                <c:pt idx="303">
                  <c:v>6.4776151530529082</c:v>
                </c:pt>
                <c:pt idx="306">
                  <c:v>5.7782937906951517</c:v>
                </c:pt>
                <c:pt idx="309">
                  <c:v>5.0957308358173732</c:v>
                </c:pt>
                <c:pt idx="312">
                  <c:v>4.7150432721359135</c:v>
                </c:pt>
                <c:pt idx="315">
                  <c:v>4.5081453748484339</c:v>
                </c:pt>
                <c:pt idx="318">
                  <c:v>4.0158680357829217</c:v>
                </c:pt>
                <c:pt idx="321">
                  <c:v>3.2933580839778385</c:v>
                </c:pt>
                <c:pt idx="324">
                  <c:v>2.5907238787121649</c:v>
                </c:pt>
                <c:pt idx="327">
                  <c:v>2.3712800702051262</c:v>
                </c:pt>
                <c:pt idx="330">
                  <c:v>1.8513616001807289</c:v>
                </c:pt>
                <c:pt idx="333">
                  <c:v>1.5663830256636686</c:v>
                </c:pt>
                <c:pt idx="336">
                  <c:v>1.0145974801822113</c:v>
                </c:pt>
                <c:pt idx="339">
                  <c:v>0.49737228698582103</c:v>
                </c:pt>
                <c:pt idx="342">
                  <c:v>6.4716407018228339E-2</c:v>
                </c:pt>
                <c:pt idx="345">
                  <c:v>-0.23840608313942807</c:v>
                </c:pt>
                <c:pt idx="348">
                  <c:v>-9.4432123540147128E-3</c:v>
                </c:pt>
                <c:pt idx="351">
                  <c:v>-0.24813771007592111</c:v>
                </c:pt>
                <c:pt idx="354">
                  <c:v>-0.44911979980650019</c:v>
                </c:pt>
                <c:pt idx="357">
                  <c:v>-1.1410052585531556</c:v>
                </c:pt>
                <c:pt idx="360">
                  <c:v>-1.4939805329791602</c:v>
                </c:pt>
                <c:pt idx="363">
                  <c:v>-1.733510397112354</c:v>
                </c:pt>
                <c:pt idx="366">
                  <c:v>-2.2580194952941017</c:v>
                </c:pt>
                <c:pt idx="370">
                  <c:v>-1.3399444558543374</c:v>
                </c:pt>
                <c:pt idx="373">
                  <c:v>-1.8400800950054741</c:v>
                </c:pt>
                <c:pt idx="376">
                  <c:v>-2.6863078531205486</c:v>
                </c:pt>
                <c:pt idx="379">
                  <c:v>-3.2775066210473875</c:v>
                </c:pt>
                <c:pt idx="382">
                  <c:v>-2.8730417322189004</c:v>
                </c:pt>
                <c:pt idx="385">
                  <c:v>-2.1610159411625909</c:v>
                </c:pt>
                <c:pt idx="388">
                  <c:v>-1.8650889089763631</c:v>
                </c:pt>
                <c:pt idx="391">
                  <c:v>-1.710146526429204</c:v>
                </c:pt>
                <c:pt idx="395">
                  <c:v>-1.9084744251339028</c:v>
                </c:pt>
                <c:pt idx="398">
                  <c:v>-1.7680419106098713</c:v>
                </c:pt>
                <c:pt idx="402">
                  <c:v>-2.1575827983445746</c:v>
                </c:pt>
                <c:pt idx="405">
                  <c:v>-2.6470677106492602</c:v>
                </c:pt>
                <c:pt idx="408">
                  <c:v>-3.2368967250976852</c:v>
                </c:pt>
                <c:pt idx="411">
                  <c:v>-3.7825364626978928</c:v>
                </c:pt>
                <c:pt idx="414">
                  <c:v>-3.6569465518787654</c:v>
                </c:pt>
                <c:pt idx="418">
                  <c:v>-3.665779486680028</c:v>
                </c:pt>
                <c:pt idx="421">
                  <c:v>-1.5990256773968521</c:v>
                </c:pt>
                <c:pt idx="424">
                  <c:v>-1.7201067580050398</c:v>
                </c:pt>
                <c:pt idx="427">
                  <c:v>-1.6583014372340548</c:v>
                </c:pt>
                <c:pt idx="430">
                  <c:v>-2.1287481070866603</c:v>
                </c:pt>
                <c:pt idx="433">
                  <c:v>-2.408936279755038</c:v>
                </c:pt>
                <c:pt idx="436">
                  <c:v>-1.1741948194317819</c:v>
                </c:pt>
                <c:pt idx="440">
                  <c:v>-1.2551812914594336</c:v>
                </c:pt>
                <c:pt idx="443">
                  <c:v>-0.85253793707488723</c:v>
                </c:pt>
                <c:pt idx="446">
                  <c:v>0.64786831334085704</c:v>
                </c:pt>
                <c:pt idx="449">
                  <c:v>1.5777754657934544</c:v>
                </c:pt>
                <c:pt idx="452">
                  <c:v>1.6543258393565161</c:v>
                </c:pt>
                <c:pt idx="455">
                  <c:v>1.3012053204186862</c:v>
                </c:pt>
                <c:pt idx="458">
                  <c:v>1.6223935724000629</c:v>
                </c:pt>
                <c:pt idx="461">
                  <c:v>1.8072158143080466</c:v>
                </c:pt>
                <c:pt idx="464">
                  <c:v>1.9812640842589559</c:v>
                </c:pt>
                <c:pt idx="467">
                  <c:v>1.7394619065112962</c:v>
                </c:pt>
                <c:pt idx="470">
                  <c:v>8.3135729406738523</c:v>
                </c:pt>
                <c:pt idx="474">
                  <c:v>8.7862025806172763</c:v>
                </c:pt>
                <c:pt idx="477">
                  <c:v>7.9399748225022018</c:v>
                </c:pt>
                <c:pt idx="481">
                  <c:v>7.4094361676969713</c:v>
                </c:pt>
                <c:pt idx="484">
                  <c:v>8.0221354306306978</c:v>
                </c:pt>
                <c:pt idx="487">
                  <c:v>10.601372352632362</c:v>
                </c:pt>
                <c:pt idx="490">
                  <c:v>10.476421447935396</c:v>
                </c:pt>
                <c:pt idx="493">
                  <c:v>9.6301936898203202</c:v>
                </c:pt>
                <c:pt idx="496">
                  <c:v>9.3084504560129542</c:v>
                </c:pt>
                <c:pt idx="499">
                  <c:v>9.072446631595712</c:v>
                </c:pt>
                <c:pt idx="502">
                  <c:v>9.3658806962515335</c:v>
                </c:pt>
                <c:pt idx="506">
                  <c:v>10.379783618748437</c:v>
                </c:pt>
                <c:pt idx="510">
                  <c:v>10.035426324979024</c:v>
                </c:pt>
                <c:pt idx="513">
                  <c:v>9.9028947968552288</c:v>
                </c:pt>
                <c:pt idx="516">
                  <c:v>10.001021152200895</c:v>
                </c:pt>
                <c:pt idx="519">
                  <c:v>9.7297322678201663</c:v>
                </c:pt>
                <c:pt idx="522">
                  <c:v>9.4917944605847033</c:v>
                </c:pt>
                <c:pt idx="525">
                  <c:v>10.426405525256008</c:v>
                </c:pt>
                <c:pt idx="528">
                  <c:v>10.040715704876147</c:v>
                </c:pt>
                <c:pt idx="531">
                  <c:v>9.4675043537803703</c:v>
                </c:pt>
                <c:pt idx="535">
                  <c:v>9.5630911446429661</c:v>
                </c:pt>
                <c:pt idx="538">
                  <c:v>9.7233367532123278</c:v>
                </c:pt>
                <c:pt idx="541">
                  <c:v>9.8735334573355047</c:v>
                </c:pt>
                <c:pt idx="544">
                  <c:v>10.134454321918881</c:v>
                </c:pt>
                <c:pt idx="547">
                  <c:v>9.660538520998653</c:v>
                </c:pt>
                <c:pt idx="551">
                  <c:v>10.132029070645638</c:v>
                </c:pt>
                <c:pt idx="554">
                  <c:v>10.192816472813593</c:v>
                </c:pt>
                <c:pt idx="560">
                  <c:v>9.5236235786964905</c:v>
                </c:pt>
                <c:pt idx="566">
                  <c:v>9.0454158818772914</c:v>
                </c:pt>
                <c:pt idx="569">
                  <c:v>8.5022799953743515</c:v>
                </c:pt>
                <c:pt idx="572">
                  <c:v>8.6444160116850171</c:v>
                </c:pt>
                <c:pt idx="575">
                  <c:v>11.143706020397572</c:v>
                </c:pt>
                <c:pt idx="578">
                  <c:v>11.604358878163376</c:v>
                </c:pt>
                <c:pt idx="581">
                  <c:v>11.65781676415361</c:v>
                </c:pt>
                <c:pt idx="584">
                  <c:v>10.941587676875614</c:v>
                </c:pt>
                <c:pt idx="587">
                  <c:v>10.580803402386419</c:v>
                </c:pt>
                <c:pt idx="590">
                  <c:v>10.60552549959993</c:v>
                </c:pt>
                <c:pt idx="593">
                  <c:v>10.161820564893409</c:v>
                </c:pt>
                <c:pt idx="596">
                  <c:v>9.6932514887271974</c:v>
                </c:pt>
                <c:pt idx="599">
                  <c:v>10.071456436382899</c:v>
                </c:pt>
                <c:pt idx="602">
                  <c:v>9.4291865130789425</c:v>
                </c:pt>
                <c:pt idx="605">
                  <c:v>8.7485761671025628</c:v>
                </c:pt>
                <c:pt idx="608">
                  <c:v>8.273369629245245</c:v>
                </c:pt>
                <c:pt idx="611">
                  <c:v>8.1833485124020058</c:v>
                </c:pt>
                <c:pt idx="614">
                  <c:v>8.8559043673327675</c:v>
                </c:pt>
                <c:pt idx="617">
                  <c:v>8.2890521981377248</c:v>
                </c:pt>
                <c:pt idx="620">
                  <c:v>7.7535202601144597</c:v>
                </c:pt>
                <c:pt idx="623">
                  <c:v>7.6978990490284209</c:v>
                </c:pt>
                <c:pt idx="626">
                  <c:v>7.3669736563794039</c:v>
                </c:pt>
                <c:pt idx="629">
                  <c:v>7.4525190926316816</c:v>
                </c:pt>
                <c:pt idx="638">
                  <c:v>6.8611587016509699</c:v>
                </c:pt>
                <c:pt idx="641">
                  <c:v>6.1484026607265161</c:v>
                </c:pt>
                <c:pt idx="644">
                  <c:v>8.4888161541362059</c:v>
                </c:pt>
                <c:pt idx="647">
                  <c:v>9.1960005626154793</c:v>
                </c:pt>
                <c:pt idx="650">
                  <c:v>9.4155017262127085</c:v>
                </c:pt>
                <c:pt idx="656">
                  <c:v>9.11467670634622</c:v>
                </c:pt>
                <c:pt idx="662">
                  <c:v>8.9765589768852632</c:v>
                </c:pt>
                <c:pt idx="665">
                  <c:v>8.7665304320890609</c:v>
                </c:pt>
                <c:pt idx="668">
                  <c:v>8.080863126724747</c:v>
                </c:pt>
                <c:pt idx="671">
                  <c:v>7.4625261611784452</c:v>
                </c:pt>
                <c:pt idx="674">
                  <c:v>6.8533435768995146</c:v>
                </c:pt>
                <c:pt idx="677">
                  <c:v>6.301299242872977</c:v>
                </c:pt>
                <c:pt idx="680">
                  <c:v>6.0260719735500707</c:v>
                </c:pt>
                <c:pt idx="683">
                  <c:v>6.0880669887462346</c:v>
                </c:pt>
                <c:pt idx="686">
                  <c:v>5.6653287822650222</c:v>
                </c:pt>
                <c:pt idx="689">
                  <c:v>5.2331859937028824</c:v>
                </c:pt>
                <c:pt idx="692">
                  <c:v>4.5434646893314472</c:v>
                </c:pt>
                <c:pt idx="695">
                  <c:v>4.1051174648967921</c:v>
                </c:pt>
                <c:pt idx="710">
                  <c:v>3.7589083632106002</c:v>
                </c:pt>
                <c:pt idx="713">
                  <c:v>3.2275042116863788</c:v>
                </c:pt>
                <c:pt idx="716">
                  <c:v>3.4287525188479249</c:v>
                </c:pt>
                <c:pt idx="719">
                  <c:v>3.6225847816555126</c:v>
                </c:pt>
                <c:pt idx="722">
                  <c:v>3.4806149788740344</c:v>
                </c:pt>
                <c:pt idx="731">
                  <c:v>2.7808384774504713</c:v>
                </c:pt>
                <c:pt idx="737">
                  <c:v>2.5594886792922589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1-FB44-A176-0582AB99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709536"/>
        <c:axId val="1612083584"/>
      </c:scatterChart>
      <c:valAx>
        <c:axId val="161170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83584"/>
        <c:crosses val="autoZero"/>
        <c:crossBetween val="midCat"/>
      </c:valAx>
      <c:valAx>
        <c:axId val="16120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0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cusum but fuco vs fuco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update'!$N$5:$N$742</c:f>
              <c:numCache>
                <c:formatCode>General</c:formatCode>
                <c:ptCount val="738"/>
                <c:pt idx="0">
                  <c:v>-0.43753089105951098</c:v>
                </c:pt>
                <c:pt idx="3">
                  <c:v>-0.71642298974298435</c:v>
                </c:pt>
                <c:pt idx="6">
                  <c:v>-0.94768474371707878</c:v>
                </c:pt>
                <c:pt idx="9">
                  <c:v>-1.3852156347765898</c:v>
                </c:pt>
                <c:pt idx="12">
                  <c:v>-1.7380894796505455</c:v>
                </c:pt>
                <c:pt idx="15">
                  <c:v>-1.9393411715842295</c:v>
                </c:pt>
                <c:pt idx="18">
                  <c:v>-2.3768720626437405</c:v>
                </c:pt>
                <c:pt idx="21">
                  <c:v>-2.8144029537032513</c:v>
                </c:pt>
                <c:pt idx="24">
                  <c:v>-1.3037154368500123</c:v>
                </c:pt>
                <c:pt idx="27">
                  <c:v>-0.55974214405540801</c:v>
                </c:pt>
                <c:pt idx="30">
                  <c:v>-0.99727303511491905</c:v>
                </c:pt>
                <c:pt idx="33">
                  <c:v>-1.160402783912396</c:v>
                </c:pt>
                <c:pt idx="36">
                  <c:v>-1.5979336749719071</c:v>
                </c:pt>
                <c:pt idx="39">
                  <c:v>-1.5932230873937048</c:v>
                </c:pt>
                <c:pt idx="42">
                  <c:v>-1.5190641614325628</c:v>
                </c:pt>
                <c:pt idx="45">
                  <c:v>-1.7146733271634862</c:v>
                </c:pt>
                <c:pt idx="48">
                  <c:v>-2.1522042182229972</c:v>
                </c:pt>
                <c:pt idx="51">
                  <c:v>-2.5897351092825081</c:v>
                </c:pt>
                <c:pt idx="54">
                  <c:v>-3.0272660003420189</c:v>
                </c:pt>
                <c:pt idx="57">
                  <c:v>-3.4647968914015297</c:v>
                </c:pt>
                <c:pt idx="60">
                  <c:v>-3.9023277824610405</c:v>
                </c:pt>
                <c:pt idx="63">
                  <c:v>-3.5451745597964823</c:v>
                </c:pt>
                <c:pt idx="66">
                  <c:v>-3.6956370579213682</c:v>
                </c:pt>
                <c:pt idx="69">
                  <c:v>-3.904570819069745</c:v>
                </c:pt>
                <c:pt idx="72">
                  <c:v>-4.3421017101292563</c:v>
                </c:pt>
                <c:pt idx="75">
                  <c:v>-4.5515452607364342</c:v>
                </c:pt>
                <c:pt idx="78">
                  <c:v>-2.3550932377264817</c:v>
                </c:pt>
                <c:pt idx="81">
                  <c:v>-2.1525716522080485</c:v>
                </c:pt>
                <c:pt idx="84">
                  <c:v>-1.9814403200229871</c:v>
                </c:pt>
                <c:pt idx="87">
                  <c:v>-1.4094505952974896</c:v>
                </c:pt>
                <c:pt idx="90">
                  <c:v>-1.8469814863570007</c:v>
                </c:pt>
                <c:pt idx="108">
                  <c:v>-2.2845123774165117</c:v>
                </c:pt>
                <c:pt idx="111">
                  <c:v>-2.7220432684760225</c:v>
                </c:pt>
                <c:pt idx="114">
                  <c:v>-3.1595741595355333</c:v>
                </c:pt>
                <c:pt idx="117">
                  <c:v>-3.5971050505950442</c:v>
                </c:pt>
                <c:pt idx="120">
                  <c:v>-4.034635941654555</c:v>
                </c:pt>
                <c:pt idx="123">
                  <c:v>-4.3335042118480489</c:v>
                </c:pt>
                <c:pt idx="126">
                  <c:v>-4.7710351029075602</c:v>
                </c:pt>
                <c:pt idx="129">
                  <c:v>-5.2085659939670714</c:v>
                </c:pt>
                <c:pt idx="132">
                  <c:v>-4.9934117140769212</c:v>
                </c:pt>
                <c:pt idx="135">
                  <c:v>-4.9086299346243063</c:v>
                </c:pt>
                <c:pt idx="138">
                  <c:v>-5.3461608256838176</c:v>
                </c:pt>
                <c:pt idx="141">
                  <c:v>-5.7836917167433288</c:v>
                </c:pt>
                <c:pt idx="144">
                  <c:v>-6.2212226078028401</c:v>
                </c:pt>
                <c:pt idx="147">
                  <c:v>-6.6587534988623513</c:v>
                </c:pt>
                <c:pt idx="150">
                  <c:v>-7.0962843899218626</c:v>
                </c:pt>
                <c:pt idx="153">
                  <c:v>-7.5338152809813739</c:v>
                </c:pt>
                <c:pt idx="156">
                  <c:v>-7.9713461720408851</c:v>
                </c:pt>
                <c:pt idx="159">
                  <c:v>-8.4088770631003964</c:v>
                </c:pt>
                <c:pt idx="162">
                  <c:v>-8.5346782051014962</c:v>
                </c:pt>
                <c:pt idx="165">
                  <c:v>-8.9722090961610075</c:v>
                </c:pt>
                <c:pt idx="168">
                  <c:v>-9.4097399872205187</c:v>
                </c:pt>
                <c:pt idx="171">
                  <c:v>-9.84727087828003</c:v>
                </c:pt>
                <c:pt idx="177">
                  <c:v>-10.284801769339541</c:v>
                </c:pt>
                <c:pt idx="180">
                  <c:v>-10.722332660399053</c:v>
                </c:pt>
                <c:pt idx="183">
                  <c:v>-11.159863551458564</c:v>
                </c:pt>
                <c:pt idx="186">
                  <c:v>-11.597394442518075</c:v>
                </c:pt>
                <c:pt idx="189">
                  <c:v>-12.034925333577586</c:v>
                </c:pt>
                <c:pt idx="192">
                  <c:v>-12.472456224637098</c:v>
                </c:pt>
                <c:pt idx="195">
                  <c:v>-12.909987115696609</c:v>
                </c:pt>
                <c:pt idx="198">
                  <c:v>-12.937238320691161</c:v>
                </c:pt>
                <c:pt idx="201">
                  <c:v>-13.374769211750673</c:v>
                </c:pt>
                <c:pt idx="204">
                  <c:v>-11.403152079412783</c:v>
                </c:pt>
                <c:pt idx="207">
                  <c:v>-11.517757886539252</c:v>
                </c:pt>
                <c:pt idx="210">
                  <c:v>-11.955288777598764</c:v>
                </c:pt>
                <c:pt idx="213">
                  <c:v>-12.392819668658275</c:v>
                </c:pt>
                <c:pt idx="216">
                  <c:v>-12.828568967771018</c:v>
                </c:pt>
                <c:pt idx="219">
                  <c:v>-13.263562841855018</c:v>
                </c:pt>
                <c:pt idx="222">
                  <c:v>-13.699061093337518</c:v>
                </c:pt>
                <c:pt idx="225">
                  <c:v>-13.900032064408624</c:v>
                </c:pt>
                <c:pt idx="228">
                  <c:v>-14.334697989429028</c:v>
                </c:pt>
                <c:pt idx="231">
                  <c:v>-14.769789268798302</c:v>
                </c:pt>
                <c:pt idx="234">
                  <c:v>-15.015425514298816</c:v>
                </c:pt>
                <c:pt idx="237">
                  <c:v>-15.286144357972194</c:v>
                </c:pt>
                <c:pt idx="240">
                  <c:v>-9.4099102595238016</c:v>
                </c:pt>
                <c:pt idx="243">
                  <c:v>-2.2482158158759864</c:v>
                </c:pt>
                <c:pt idx="246">
                  <c:v>-2.6847076327213673</c:v>
                </c:pt>
                <c:pt idx="249">
                  <c:v>-3.1194965740105478</c:v>
                </c:pt>
                <c:pt idx="252">
                  <c:v>1.5349506150040475</c:v>
                </c:pt>
                <c:pt idx="255">
                  <c:v>1.1244969630092263</c:v>
                </c:pt>
                <c:pt idx="258">
                  <c:v>0.71386364712677486</c:v>
                </c:pt>
                <c:pt idx="261">
                  <c:v>0.30556004248013169</c:v>
                </c:pt>
                <c:pt idx="264">
                  <c:v>-0.10147947624386472</c:v>
                </c:pt>
                <c:pt idx="267">
                  <c:v>-0.27717535236677326</c:v>
                </c:pt>
                <c:pt idx="270">
                  <c:v>-0.68402967008385274</c:v>
                </c:pt>
                <c:pt idx="273">
                  <c:v>3.9003528052849723</c:v>
                </c:pt>
                <c:pt idx="276">
                  <c:v>4.3012044368146656</c:v>
                </c:pt>
                <c:pt idx="279">
                  <c:v>5.588264457011638</c:v>
                </c:pt>
                <c:pt idx="282">
                  <c:v>5.1575284056353725</c:v>
                </c:pt>
                <c:pt idx="285">
                  <c:v>4.731261218366372</c:v>
                </c:pt>
                <c:pt idx="288">
                  <c:v>4.3150717533305549</c:v>
                </c:pt>
                <c:pt idx="291">
                  <c:v>3.9234277890029534</c:v>
                </c:pt>
                <c:pt idx="294">
                  <c:v>3.5034236260170593</c:v>
                </c:pt>
                <c:pt idx="297">
                  <c:v>3.1085342333766541</c:v>
                </c:pt>
                <c:pt idx="300">
                  <c:v>2.7129310540860652</c:v>
                </c:pt>
                <c:pt idx="303">
                  <c:v>2.3188965383022904</c:v>
                </c:pt>
                <c:pt idx="306">
                  <c:v>1.9413626922433713</c:v>
                </c:pt>
                <c:pt idx="309">
                  <c:v>1.5532360388487159</c:v>
                </c:pt>
                <c:pt idx="312">
                  <c:v>1.1386281259200115</c:v>
                </c:pt>
                <c:pt idx="315">
                  <c:v>0.72193630588850644</c:v>
                </c:pt>
                <c:pt idx="318">
                  <c:v>0.43611111066305247</c:v>
                </c:pt>
                <c:pt idx="321">
                  <c:v>6.4102721456013168</c:v>
                </c:pt>
                <c:pt idx="324">
                  <c:v>5.9883184021845421</c:v>
                </c:pt>
                <c:pt idx="327">
                  <c:v>5.5996821034243549</c:v>
                </c:pt>
                <c:pt idx="330">
                  <c:v>5.1841462738396809</c:v>
                </c:pt>
                <c:pt idx="333">
                  <c:v>4.7717549034719724</c:v>
                </c:pt>
                <c:pt idx="336">
                  <c:v>4.3626182034658711</c:v>
                </c:pt>
                <c:pt idx="339">
                  <c:v>3.9438114307363845</c:v>
                </c:pt>
                <c:pt idx="342">
                  <c:v>3.6126302450960295</c:v>
                </c:pt>
                <c:pt idx="345">
                  <c:v>3.2490362622676905</c:v>
                </c:pt>
                <c:pt idx="348">
                  <c:v>3.1250193272811142</c:v>
                </c:pt>
                <c:pt idx="351">
                  <c:v>4.4258878046370063</c:v>
                </c:pt>
                <c:pt idx="354">
                  <c:v>4.1620093671431029</c:v>
                </c:pt>
                <c:pt idx="357">
                  <c:v>3.7347830022747495</c:v>
                </c:pt>
                <c:pt idx="360">
                  <c:v>3.317883933743818</c:v>
                </c:pt>
                <c:pt idx="363">
                  <c:v>3.196297071256283</c:v>
                </c:pt>
                <c:pt idx="366">
                  <c:v>2.9138923152452576</c:v>
                </c:pt>
                <c:pt idx="370">
                  <c:v>2.4763614241857468</c:v>
                </c:pt>
                <c:pt idx="373">
                  <c:v>2.0829261225351527</c:v>
                </c:pt>
                <c:pt idx="376">
                  <c:v>1.6453952314756417</c:v>
                </c:pt>
                <c:pt idx="379">
                  <c:v>1.2078643404161307</c:v>
                </c:pt>
                <c:pt idx="382">
                  <c:v>0.77033344935661963</c:v>
                </c:pt>
                <c:pt idx="385">
                  <c:v>0.41703964781747838</c:v>
                </c:pt>
                <c:pt idx="388">
                  <c:v>0.31313081494741141</c:v>
                </c:pt>
                <c:pt idx="391">
                  <c:v>0.22346567631891928</c:v>
                </c:pt>
                <c:pt idx="395">
                  <c:v>0.44955112331637626</c:v>
                </c:pt>
                <c:pt idx="398">
                  <c:v>1.2020232256865271E-2</c:v>
                </c:pt>
                <c:pt idx="402">
                  <c:v>-0.42551065880264571</c:v>
                </c:pt>
                <c:pt idx="405">
                  <c:v>-0.86304154986215664</c:v>
                </c:pt>
                <c:pt idx="408">
                  <c:v>-1.3005724409216677</c:v>
                </c:pt>
                <c:pt idx="411">
                  <c:v>-1.7381033319811787</c:v>
                </c:pt>
                <c:pt idx="414">
                  <c:v>-2.1756342230406895</c:v>
                </c:pt>
                <c:pt idx="418">
                  <c:v>-2.6131651141002004</c:v>
                </c:pt>
                <c:pt idx="421">
                  <c:v>-2.2808797864279962</c:v>
                </c:pt>
                <c:pt idx="424">
                  <c:v>-2.718410677487507</c:v>
                </c:pt>
                <c:pt idx="427">
                  <c:v>-3.1559415685470178</c:v>
                </c:pt>
                <c:pt idx="430">
                  <c:v>-3.5934724596065286</c:v>
                </c:pt>
                <c:pt idx="433">
                  <c:v>-4.0310033506660394</c:v>
                </c:pt>
                <c:pt idx="436">
                  <c:v>-4.4685342417255507</c:v>
                </c:pt>
                <c:pt idx="440">
                  <c:v>-4.7866891336773509</c:v>
                </c:pt>
                <c:pt idx="443">
                  <c:v>-5.2242200247368622</c:v>
                </c:pt>
                <c:pt idx="446">
                  <c:v>-5.6617509157963735</c:v>
                </c:pt>
                <c:pt idx="449">
                  <c:v>-6.0992818068558847</c:v>
                </c:pt>
                <c:pt idx="452">
                  <c:v>-6.3230732463508064</c:v>
                </c:pt>
                <c:pt idx="455">
                  <c:v>-6.3528067234514509</c:v>
                </c:pt>
                <c:pt idx="458">
                  <c:v>-6.7903376145109622</c:v>
                </c:pt>
                <c:pt idx="461">
                  <c:v>-5.2671227736108017</c:v>
                </c:pt>
                <c:pt idx="464">
                  <c:v>-5.704653664670313</c:v>
                </c:pt>
                <c:pt idx="467">
                  <c:v>-5.999648005625887</c:v>
                </c:pt>
                <c:pt idx="470">
                  <c:v>-6.4371788966853982</c:v>
                </c:pt>
                <c:pt idx="474">
                  <c:v>-6.8747097877449095</c:v>
                </c:pt>
                <c:pt idx="477">
                  <c:v>-7.3122406788044207</c:v>
                </c:pt>
                <c:pt idx="481">
                  <c:v>-7.6461722748762764</c:v>
                </c:pt>
                <c:pt idx="484">
                  <c:v>-8.0837031659357876</c:v>
                </c:pt>
                <c:pt idx="487">
                  <c:v>-8.5212340569952989</c:v>
                </c:pt>
                <c:pt idx="490">
                  <c:v>-8.9587649480548102</c:v>
                </c:pt>
                <c:pt idx="493">
                  <c:v>-9.3962958391143214</c:v>
                </c:pt>
                <c:pt idx="496">
                  <c:v>-9.8338267301738327</c:v>
                </c:pt>
                <c:pt idx="499">
                  <c:v>-10.271357621233344</c:v>
                </c:pt>
                <c:pt idx="502">
                  <c:v>-10.708888512292855</c:v>
                </c:pt>
                <c:pt idx="506">
                  <c:v>-11.146419403352366</c:v>
                </c:pt>
                <c:pt idx="510">
                  <c:v>-7.5437981241833096</c:v>
                </c:pt>
                <c:pt idx="513">
                  <c:v>-7.9813290152428209</c:v>
                </c:pt>
                <c:pt idx="516">
                  <c:v>-7.8875476074546089</c:v>
                </c:pt>
                <c:pt idx="519">
                  <c:v>-8.3250784985141202</c:v>
                </c:pt>
                <c:pt idx="522">
                  <c:v>-8.7626093895736314</c:v>
                </c:pt>
                <c:pt idx="525">
                  <c:v>-9.2001402806331427</c:v>
                </c:pt>
                <c:pt idx="528">
                  <c:v>-9.637671171692654</c:v>
                </c:pt>
                <c:pt idx="531">
                  <c:v>-10.075202062752165</c:v>
                </c:pt>
                <c:pt idx="535">
                  <c:v>-10.512732953811676</c:v>
                </c:pt>
                <c:pt idx="538">
                  <c:v>-10.527118010511058</c:v>
                </c:pt>
                <c:pt idx="541">
                  <c:v>-10.96464890157057</c:v>
                </c:pt>
                <c:pt idx="544">
                  <c:v>-11.402179792630081</c:v>
                </c:pt>
                <c:pt idx="547">
                  <c:v>-11.839710683689592</c:v>
                </c:pt>
                <c:pt idx="551">
                  <c:v>-11.797655711585575</c:v>
                </c:pt>
                <c:pt idx="554">
                  <c:v>-12.235186602645086</c:v>
                </c:pt>
                <c:pt idx="560">
                  <c:v>-12.419827835581104</c:v>
                </c:pt>
                <c:pt idx="566">
                  <c:v>-12.517661375568544</c:v>
                </c:pt>
                <c:pt idx="569">
                  <c:v>-12.01985514249407</c:v>
                </c:pt>
                <c:pt idx="572">
                  <c:v>-11.851441719874297</c:v>
                </c:pt>
                <c:pt idx="575">
                  <c:v>-12.049610803058775</c:v>
                </c:pt>
                <c:pt idx="578">
                  <c:v>-12.207746101275545</c:v>
                </c:pt>
                <c:pt idx="581">
                  <c:v>-12.21215596191297</c:v>
                </c:pt>
                <c:pt idx="584">
                  <c:v>-11.481150915147591</c:v>
                </c:pt>
                <c:pt idx="587">
                  <c:v>-11.381030357973081</c:v>
                </c:pt>
                <c:pt idx="590">
                  <c:v>-11.138229927085836</c:v>
                </c:pt>
                <c:pt idx="593">
                  <c:v>-10.764337046740451</c:v>
                </c:pt>
                <c:pt idx="596">
                  <c:v>-10.849073821385353</c:v>
                </c:pt>
                <c:pt idx="599">
                  <c:v>-10.860725618745228</c:v>
                </c:pt>
                <c:pt idx="602">
                  <c:v>-11.045949544992526</c:v>
                </c:pt>
                <c:pt idx="605">
                  <c:v>-11.083849258825314</c:v>
                </c:pt>
                <c:pt idx="608">
                  <c:v>-9.5585811045313562</c:v>
                </c:pt>
                <c:pt idx="611">
                  <c:v>-9.5971987070643134</c:v>
                </c:pt>
                <c:pt idx="614">
                  <c:v>-9.7348266863730419</c:v>
                </c:pt>
                <c:pt idx="617">
                  <c:v>-9.8028651405536404</c:v>
                </c:pt>
                <c:pt idx="620">
                  <c:v>-9.7435618539678774</c:v>
                </c:pt>
                <c:pt idx="623">
                  <c:v>-9.4316327975160519</c:v>
                </c:pt>
                <c:pt idx="626">
                  <c:v>-8.4464886308952583</c:v>
                </c:pt>
                <c:pt idx="629">
                  <c:v>-7.4041601854182177</c:v>
                </c:pt>
                <c:pt idx="638">
                  <c:v>-7.1151220166420446</c:v>
                </c:pt>
                <c:pt idx="641">
                  <c:v>-4.9386840552722475</c:v>
                </c:pt>
                <c:pt idx="644">
                  <c:v>-5.2744863446376016</c:v>
                </c:pt>
                <c:pt idx="647">
                  <c:v>-4.5795594213506465</c:v>
                </c:pt>
                <c:pt idx="650">
                  <c:v>-4.5740248793622564</c:v>
                </c:pt>
                <c:pt idx="656">
                  <c:v>-4.3266752997221509</c:v>
                </c:pt>
                <c:pt idx="662">
                  <c:v>-4.3172324104795416</c:v>
                </c:pt>
                <c:pt idx="665">
                  <c:v>-4.1412315658922907</c:v>
                </c:pt>
                <c:pt idx="668">
                  <c:v>-4.2594060334116346</c:v>
                </c:pt>
                <c:pt idx="671">
                  <c:v>-4.2749763141701269</c:v>
                </c:pt>
                <c:pt idx="674">
                  <c:v>-4.2926791346165025</c:v>
                </c:pt>
                <c:pt idx="677">
                  <c:v>-3.8945792470783838</c:v>
                </c:pt>
                <c:pt idx="680">
                  <c:v>-3.9239018211773704</c:v>
                </c:pt>
                <c:pt idx="683">
                  <c:v>-3.2656719121027287</c:v>
                </c:pt>
                <c:pt idx="686">
                  <c:v>-3.0776723028024167</c:v>
                </c:pt>
                <c:pt idx="689">
                  <c:v>-2.8538544855084425</c:v>
                </c:pt>
                <c:pt idx="692">
                  <c:v>-2.6554647094910537</c:v>
                </c:pt>
                <c:pt idx="695">
                  <c:v>-2.7674705341701622</c:v>
                </c:pt>
                <c:pt idx="710">
                  <c:v>0.56025870783156861</c:v>
                </c:pt>
                <c:pt idx="713">
                  <c:v>0.65159090918847329</c:v>
                </c:pt>
                <c:pt idx="716">
                  <c:v>0.87525237358347685</c:v>
                </c:pt>
                <c:pt idx="719">
                  <c:v>0.73602098536304195</c:v>
                </c:pt>
                <c:pt idx="722">
                  <c:v>0.48301810007793056</c:v>
                </c:pt>
                <c:pt idx="731">
                  <c:v>0.67319294515867079</c:v>
                </c:pt>
                <c:pt idx="737">
                  <c:v>0.5922734130513807</c:v>
                </c:pt>
              </c:numCache>
            </c:numRef>
          </c:xVal>
          <c:yVal>
            <c:numRef>
              <c:f>'Fuco update'!$N$5:$N$742</c:f>
              <c:numCache>
                <c:formatCode>General</c:formatCode>
                <c:ptCount val="738"/>
                <c:pt idx="0">
                  <c:v>-0.57231753390856077</c:v>
                </c:pt>
                <c:pt idx="3">
                  <c:v>-0.15506798052044324</c:v>
                </c:pt>
                <c:pt idx="6">
                  <c:v>-7.0214986539696489E-2</c:v>
                </c:pt>
                <c:pt idx="9">
                  <c:v>0.19200929276939244</c:v>
                </c:pt>
                <c:pt idx="12">
                  <c:v>0.88375672494253754</c:v>
                </c:pt>
                <c:pt idx="15">
                  <c:v>0.64963142909942995</c:v>
                </c:pt>
                <c:pt idx="18">
                  <c:v>0.97143328274429808</c:v>
                </c:pt>
                <c:pt idx="21">
                  <c:v>0.19953118799096403</c:v>
                </c:pt>
                <c:pt idx="24">
                  <c:v>0.4702976624212013</c:v>
                </c:pt>
                <c:pt idx="27">
                  <c:v>0.88685017677397648</c:v>
                </c:pt>
                <c:pt idx="30">
                  <c:v>0.45251100275279321</c:v>
                </c:pt>
                <c:pt idx="33">
                  <c:v>0.71337407292089061</c:v>
                </c:pt>
                <c:pt idx="36">
                  <c:v>0.27534937594755221</c:v>
                </c:pt>
                <c:pt idx="39">
                  <c:v>-0.41815209434446848</c:v>
                </c:pt>
                <c:pt idx="42">
                  <c:v>-0.28881614889240448</c:v>
                </c:pt>
                <c:pt idx="45">
                  <c:v>-0.73484312155518539</c:v>
                </c:pt>
                <c:pt idx="48">
                  <c:v>5.840195845032492E-2</c:v>
                </c:pt>
                <c:pt idx="51">
                  <c:v>0.32387223679476762</c:v>
                </c:pt>
                <c:pt idx="54">
                  <c:v>-0.79433105816057614</c:v>
                </c:pt>
                <c:pt idx="57">
                  <c:v>-2.2285425083316541</c:v>
                </c:pt>
                <c:pt idx="60">
                  <c:v>-4.1108755715392764</c:v>
                </c:pt>
                <c:pt idx="63">
                  <c:v>-4.6659135943698171</c:v>
                </c:pt>
                <c:pt idx="66">
                  <c:v>-5.9412901326745144</c:v>
                </c:pt>
                <c:pt idx="69">
                  <c:v>-6.2684062531097817</c:v>
                </c:pt>
                <c:pt idx="72">
                  <c:v>-6.8581994994151865</c:v>
                </c:pt>
                <c:pt idx="75">
                  <c:v>-7.0993606294803602</c:v>
                </c:pt>
                <c:pt idx="78">
                  <c:v>-6.6231710086719273</c:v>
                </c:pt>
                <c:pt idx="81">
                  <c:v>-6.2269541673143625</c:v>
                </c:pt>
                <c:pt idx="84">
                  <c:v>-6.3169223828692429</c:v>
                </c:pt>
                <c:pt idx="87">
                  <c:v>-5.8905565855276132</c:v>
                </c:pt>
                <c:pt idx="90">
                  <c:v>-6.2663011820458392</c:v>
                </c:pt>
                <c:pt idx="108">
                  <c:v>-6.7768429478853944</c:v>
                </c:pt>
                <c:pt idx="111">
                  <c:v>-7.9090841052678496</c:v>
                </c:pt>
                <c:pt idx="114">
                  <c:v>-8.5296947011135629</c:v>
                </c:pt>
                <c:pt idx="117">
                  <c:v>-8.9271458580879806</c:v>
                </c:pt>
                <c:pt idx="120">
                  <c:v>-9.0784618580138368</c:v>
                </c:pt>
                <c:pt idx="123">
                  <c:v>-9.4437275803354233</c:v>
                </c:pt>
                <c:pt idx="126">
                  <c:v>-7.9444083984656242</c:v>
                </c:pt>
                <c:pt idx="129">
                  <c:v>-8.1575229655359127</c:v>
                </c:pt>
                <c:pt idx="132">
                  <c:v>-7.6678148097827146</c:v>
                </c:pt>
                <c:pt idx="135">
                  <c:v>-8.9619546728794415</c:v>
                </c:pt>
                <c:pt idx="138">
                  <c:v>-9.2578576647016337</c:v>
                </c:pt>
                <c:pt idx="141">
                  <c:v>-9.9560919423949432</c:v>
                </c:pt>
                <c:pt idx="144">
                  <c:v>-11.419619007041655</c:v>
                </c:pt>
                <c:pt idx="147">
                  <c:v>-12.483834906481833</c:v>
                </c:pt>
                <c:pt idx="150">
                  <c:v>-13.352106175327123</c:v>
                </c:pt>
                <c:pt idx="153">
                  <c:v>-13.571810542180923</c:v>
                </c:pt>
                <c:pt idx="156">
                  <c:v>-13.790529006664741</c:v>
                </c:pt>
                <c:pt idx="159">
                  <c:v>-13.070825414117159</c:v>
                </c:pt>
                <c:pt idx="162">
                  <c:v>-13.718376589574156</c:v>
                </c:pt>
                <c:pt idx="165">
                  <c:v>-14.121379814846556</c:v>
                </c:pt>
                <c:pt idx="168">
                  <c:v>-15.141632593245646</c:v>
                </c:pt>
                <c:pt idx="171">
                  <c:v>-15.59046574175022</c:v>
                </c:pt>
                <c:pt idx="177">
                  <c:v>-15.471148908560343</c:v>
                </c:pt>
                <c:pt idx="180">
                  <c:v>-16.576183614509358</c:v>
                </c:pt>
                <c:pt idx="183">
                  <c:v>-16.87165025296823</c:v>
                </c:pt>
                <c:pt idx="186">
                  <c:v>-16.9112992396112</c:v>
                </c:pt>
                <c:pt idx="189">
                  <c:v>-16.470208637017254</c:v>
                </c:pt>
                <c:pt idx="192">
                  <c:v>-16.581497923988014</c:v>
                </c:pt>
                <c:pt idx="195">
                  <c:v>-18.992330396808427</c:v>
                </c:pt>
                <c:pt idx="198">
                  <c:v>-18.979860983803739</c:v>
                </c:pt>
                <c:pt idx="201">
                  <c:v>-20.130972281824409</c:v>
                </c:pt>
                <c:pt idx="204">
                  <c:v>-19.686536599680299</c:v>
                </c:pt>
                <c:pt idx="207">
                  <c:v>-21.040975495684304</c:v>
                </c:pt>
                <c:pt idx="210">
                  <c:v>-20.980086209297966</c:v>
                </c:pt>
                <c:pt idx="213">
                  <c:v>-21.56463829070691</c:v>
                </c:pt>
                <c:pt idx="216">
                  <c:v>-21.781243154881746</c:v>
                </c:pt>
                <c:pt idx="219">
                  <c:v>-23.010945148734589</c:v>
                </c:pt>
                <c:pt idx="222">
                  <c:v>-23.681808469434049</c:v>
                </c:pt>
                <c:pt idx="225">
                  <c:v>-24.270089502941055</c:v>
                </c:pt>
                <c:pt idx="228">
                  <c:v>-24.045692795460965</c:v>
                </c:pt>
                <c:pt idx="231">
                  <c:v>-23.44529826061828</c:v>
                </c:pt>
                <c:pt idx="234">
                  <c:v>-23.409692483335068</c:v>
                </c:pt>
                <c:pt idx="237">
                  <c:v>-23.326057486419803</c:v>
                </c:pt>
                <c:pt idx="240">
                  <c:v>-22.222900498550334</c:v>
                </c:pt>
                <c:pt idx="243">
                  <c:v>-21.116972437571746</c:v>
                </c:pt>
                <c:pt idx="246">
                  <c:v>-20.884137599150542</c:v>
                </c:pt>
                <c:pt idx="249">
                  <c:v>-21.053945243650396</c:v>
                </c:pt>
                <c:pt idx="252">
                  <c:v>-20.203288674463675</c:v>
                </c:pt>
                <c:pt idx="255">
                  <c:v>-20.252210544706479</c:v>
                </c:pt>
                <c:pt idx="258">
                  <c:v>-20.641532687317962</c:v>
                </c:pt>
                <c:pt idx="261">
                  <c:v>-20.862329058942475</c:v>
                </c:pt>
                <c:pt idx="264">
                  <c:v>-20.575203674989691</c:v>
                </c:pt>
                <c:pt idx="267">
                  <c:v>-19.885330071350392</c:v>
                </c:pt>
                <c:pt idx="270">
                  <c:v>-19.282757182214162</c:v>
                </c:pt>
                <c:pt idx="273">
                  <c:v>-17.953835144419045</c:v>
                </c:pt>
                <c:pt idx="276">
                  <c:v>-18.824731420383952</c:v>
                </c:pt>
                <c:pt idx="279">
                  <c:v>-19.346449744149265</c:v>
                </c:pt>
                <c:pt idx="282">
                  <c:v>-19.06863437172716</c:v>
                </c:pt>
                <c:pt idx="285">
                  <c:v>-18.594157043056228</c:v>
                </c:pt>
                <c:pt idx="288">
                  <c:v>-19.504868408582592</c:v>
                </c:pt>
                <c:pt idx="291">
                  <c:v>-20.049078002622043</c:v>
                </c:pt>
                <c:pt idx="294">
                  <c:v>-20.468457300412968</c:v>
                </c:pt>
                <c:pt idx="297">
                  <c:v>-20.477663371273032</c:v>
                </c:pt>
                <c:pt idx="300">
                  <c:v>-20.702339020642029</c:v>
                </c:pt>
                <c:pt idx="303">
                  <c:v>-20.847962100451575</c:v>
                </c:pt>
                <c:pt idx="306">
                  <c:v>-21.622665919584762</c:v>
                </c:pt>
                <c:pt idx="309">
                  <c:v>-22.179708623424009</c:v>
                </c:pt>
                <c:pt idx="312">
                  <c:v>-22.755158471446819</c:v>
                </c:pt>
                <c:pt idx="315">
                  <c:v>-22.525947726403878</c:v>
                </c:pt>
                <c:pt idx="318">
                  <c:v>-22.395494561330903</c:v>
                </c:pt>
                <c:pt idx="321">
                  <c:v>-19.922575008742403</c:v>
                </c:pt>
                <c:pt idx="324">
                  <c:v>-19.506899328422083</c:v>
                </c:pt>
                <c:pt idx="327">
                  <c:v>-19.757999154391293</c:v>
                </c:pt>
                <c:pt idx="330">
                  <c:v>-19.935061688823652</c:v>
                </c:pt>
                <c:pt idx="333">
                  <c:v>-19.709800068474525</c:v>
                </c:pt>
                <c:pt idx="336">
                  <c:v>-18.009388796084135</c:v>
                </c:pt>
                <c:pt idx="339">
                  <c:v>-16.827219935227266</c:v>
                </c:pt>
                <c:pt idx="342">
                  <c:v>-17.229590641764077</c:v>
                </c:pt>
                <c:pt idx="345">
                  <c:v>-18.764791324703587</c:v>
                </c:pt>
                <c:pt idx="348">
                  <c:v>-19.551124729624721</c:v>
                </c:pt>
                <c:pt idx="351">
                  <c:v>-20.428748506145663</c:v>
                </c:pt>
                <c:pt idx="354">
                  <c:v>-20.795085473314128</c:v>
                </c:pt>
                <c:pt idx="357">
                  <c:v>-20.811504222755502</c:v>
                </c:pt>
                <c:pt idx="360">
                  <c:v>-21.535998086725773</c:v>
                </c:pt>
                <c:pt idx="363">
                  <c:v>-21.749004751101385</c:v>
                </c:pt>
                <c:pt idx="366">
                  <c:v>-22.301180087104893</c:v>
                </c:pt>
                <c:pt idx="370">
                  <c:v>-20.94827047245775</c:v>
                </c:pt>
                <c:pt idx="373">
                  <c:v>-22.973388958904774</c:v>
                </c:pt>
                <c:pt idx="376">
                  <c:v>-20.904714080154537</c:v>
                </c:pt>
                <c:pt idx="379">
                  <c:v>-18.522220371858239</c:v>
                </c:pt>
                <c:pt idx="382">
                  <c:v>-18.240662406887374</c:v>
                </c:pt>
                <c:pt idx="385">
                  <c:v>-18.277480699723366</c:v>
                </c:pt>
                <c:pt idx="388">
                  <c:v>-17.984773904835208</c:v>
                </c:pt>
                <c:pt idx="391">
                  <c:v>-16.721715336268144</c:v>
                </c:pt>
                <c:pt idx="395">
                  <c:v>-15.248322604440423</c:v>
                </c:pt>
                <c:pt idx="398">
                  <c:v>-16.480017613046229</c:v>
                </c:pt>
                <c:pt idx="402">
                  <c:v>-17.34174265995166</c:v>
                </c:pt>
                <c:pt idx="405">
                  <c:v>-17.367142056093577</c:v>
                </c:pt>
                <c:pt idx="408">
                  <c:v>-15.718561301962071</c:v>
                </c:pt>
                <c:pt idx="411">
                  <c:v>-14.586769482073111</c:v>
                </c:pt>
                <c:pt idx="414">
                  <c:v>-13.015372522713797</c:v>
                </c:pt>
                <c:pt idx="418">
                  <c:v>-12.525494736507618</c:v>
                </c:pt>
                <c:pt idx="421">
                  <c:v>-13.442489288674949</c:v>
                </c:pt>
                <c:pt idx="424">
                  <c:v>-12.63976100148094</c:v>
                </c:pt>
                <c:pt idx="427">
                  <c:v>-12.627953583900185</c:v>
                </c:pt>
                <c:pt idx="430">
                  <c:v>-11.510367116294226</c:v>
                </c:pt>
                <c:pt idx="433">
                  <c:v>-11.453999834041085</c:v>
                </c:pt>
                <c:pt idx="436">
                  <c:v>-11.348526173540845</c:v>
                </c:pt>
                <c:pt idx="440">
                  <c:v>-10.739481487506028</c:v>
                </c:pt>
                <c:pt idx="443">
                  <c:v>-10.671853124683333</c:v>
                </c:pt>
                <c:pt idx="446">
                  <c:v>-9.9897326212790158</c:v>
                </c:pt>
                <c:pt idx="449">
                  <c:v>-7.0005908879852061</c:v>
                </c:pt>
                <c:pt idx="452">
                  <c:v>-3.1821644651076073</c:v>
                </c:pt>
                <c:pt idx="455">
                  <c:v>-1.894274226036299</c:v>
                </c:pt>
                <c:pt idx="458">
                  <c:v>-0.47274770216362172</c:v>
                </c:pt>
                <c:pt idx="461">
                  <c:v>1.3259833487577835</c:v>
                </c:pt>
                <c:pt idx="464">
                  <c:v>2.6239046665810353</c:v>
                </c:pt>
                <c:pt idx="467">
                  <c:v>4.3147254822226362</c:v>
                </c:pt>
                <c:pt idx="470">
                  <c:v>4.0638256905683292</c:v>
                </c:pt>
                <c:pt idx="474">
                  <c:v>5.7776898309980202</c:v>
                </c:pt>
                <c:pt idx="477">
                  <c:v>5.6312026267727679</c:v>
                </c:pt>
                <c:pt idx="481">
                  <c:v>6.9078142642544895</c:v>
                </c:pt>
                <c:pt idx="484">
                  <c:v>7.7477480051166605</c:v>
                </c:pt>
                <c:pt idx="487">
                  <c:v>8.6711791338634363</c:v>
                </c:pt>
                <c:pt idx="490">
                  <c:v>11.362299763771366</c:v>
                </c:pt>
                <c:pt idx="493">
                  <c:v>13.436618586186473</c:v>
                </c:pt>
                <c:pt idx="496">
                  <c:v>13.732837219079679</c:v>
                </c:pt>
                <c:pt idx="499">
                  <c:v>15.025696388908791</c:v>
                </c:pt>
                <c:pt idx="502">
                  <c:v>16.517220177062644</c:v>
                </c:pt>
                <c:pt idx="506">
                  <c:v>17.337570031978526</c:v>
                </c:pt>
                <c:pt idx="510">
                  <c:v>20.167982213672754</c:v>
                </c:pt>
                <c:pt idx="513">
                  <c:v>20.319663418641014</c:v>
                </c:pt>
                <c:pt idx="516">
                  <c:v>22.062816690484585</c:v>
                </c:pt>
                <c:pt idx="519">
                  <c:v>23.804325586974102</c:v>
                </c:pt>
                <c:pt idx="522">
                  <c:v>25.773262269002174</c:v>
                </c:pt>
                <c:pt idx="525">
                  <c:v>27.357230185332536</c:v>
                </c:pt>
                <c:pt idx="528">
                  <c:v>29.42949980338545</c:v>
                </c:pt>
                <c:pt idx="531">
                  <c:v>31.51814490780114</c:v>
                </c:pt>
                <c:pt idx="535">
                  <c:v>31.755768557446519</c:v>
                </c:pt>
                <c:pt idx="538">
                  <c:v>33.629874141470786</c:v>
                </c:pt>
                <c:pt idx="541">
                  <c:v>34.603637113654102</c:v>
                </c:pt>
                <c:pt idx="544">
                  <c:v>36.195578887678892</c:v>
                </c:pt>
                <c:pt idx="547">
                  <c:v>37.584731451480991</c:v>
                </c:pt>
                <c:pt idx="551">
                  <c:v>38.309398992311692</c:v>
                </c:pt>
                <c:pt idx="554">
                  <c:v>39.162776914939585</c:v>
                </c:pt>
                <c:pt idx="560">
                  <c:v>39.309827472775567</c:v>
                </c:pt>
                <c:pt idx="566">
                  <c:v>39.801772070157647</c:v>
                </c:pt>
                <c:pt idx="569">
                  <c:v>39.810908619748893</c:v>
                </c:pt>
                <c:pt idx="572">
                  <c:v>39.414548655563046</c:v>
                </c:pt>
                <c:pt idx="575">
                  <c:v>38.700899876629812</c:v>
                </c:pt>
                <c:pt idx="578">
                  <c:v>38.529462551046976</c:v>
                </c:pt>
                <c:pt idx="581">
                  <c:v>38.543248172898835</c:v>
                </c:pt>
                <c:pt idx="584">
                  <c:v>38.006971119083751</c:v>
                </c:pt>
                <c:pt idx="587">
                  <c:v>37.067760792621343</c:v>
                </c:pt>
                <c:pt idx="590">
                  <c:v>36.03199571101522</c:v>
                </c:pt>
                <c:pt idx="593">
                  <c:v>35.758761424286917</c:v>
                </c:pt>
                <c:pt idx="596">
                  <c:v>35.811214469192286</c:v>
                </c:pt>
                <c:pt idx="599">
                  <c:v>35.555379990457084</c:v>
                </c:pt>
                <c:pt idx="602">
                  <c:v>36.304153241728656</c:v>
                </c:pt>
                <c:pt idx="605">
                  <c:v>36.967740872501409</c:v>
                </c:pt>
                <c:pt idx="608">
                  <c:v>38.064670423907117</c:v>
                </c:pt>
                <c:pt idx="611">
                  <c:v>37.868310806068109</c:v>
                </c:pt>
                <c:pt idx="614">
                  <c:v>37.451427837973768</c:v>
                </c:pt>
                <c:pt idx="617">
                  <c:v>37.899682099556799</c:v>
                </c:pt>
                <c:pt idx="620">
                  <c:v>38.216177332885984</c:v>
                </c:pt>
                <c:pt idx="623">
                  <c:v>37.943735288862719</c:v>
                </c:pt>
                <c:pt idx="626">
                  <c:v>38.197837033119512</c:v>
                </c:pt>
                <c:pt idx="629">
                  <c:v>37.365606718004656</c:v>
                </c:pt>
                <c:pt idx="638">
                  <c:v>39.025749450991462</c:v>
                </c:pt>
                <c:pt idx="641">
                  <c:v>39.538001455719531</c:v>
                </c:pt>
                <c:pt idx="644">
                  <c:v>38.328387402777871</c:v>
                </c:pt>
                <c:pt idx="647">
                  <c:v>37.945444007607968</c:v>
                </c:pt>
                <c:pt idx="650">
                  <c:v>37.425727722348931</c:v>
                </c:pt>
                <c:pt idx="656">
                  <c:v>36.859010240330583</c:v>
                </c:pt>
                <c:pt idx="662">
                  <c:v>35.035174085413011</c:v>
                </c:pt>
                <c:pt idx="665">
                  <c:v>34.545125629291107</c:v>
                </c:pt>
                <c:pt idx="668">
                  <c:v>32.473424262762556</c:v>
                </c:pt>
                <c:pt idx="671">
                  <c:v>33.206015752954741</c:v>
                </c:pt>
                <c:pt idx="674">
                  <c:v>33.55076939477491</c:v>
                </c:pt>
                <c:pt idx="677">
                  <c:v>32.026688498174494</c:v>
                </c:pt>
                <c:pt idx="680">
                  <c:v>31.052661326713732</c:v>
                </c:pt>
                <c:pt idx="683">
                  <c:v>29.487343651510532</c:v>
                </c:pt>
                <c:pt idx="686">
                  <c:v>28.580502356242942</c:v>
                </c:pt>
                <c:pt idx="689">
                  <c:v>27.549406823261013</c:v>
                </c:pt>
                <c:pt idx="692">
                  <c:v>26.400427064237729</c:v>
                </c:pt>
                <c:pt idx="695">
                  <c:v>24.800146880320099</c:v>
                </c:pt>
                <c:pt idx="710">
                  <c:v>24.60469250107543</c:v>
                </c:pt>
                <c:pt idx="713">
                  <c:v>23.761467332487417</c:v>
                </c:pt>
                <c:pt idx="716">
                  <c:v>22.706146856108731</c:v>
                </c:pt>
                <c:pt idx="719">
                  <c:v>21.399811686954166</c:v>
                </c:pt>
                <c:pt idx="722">
                  <c:v>20.271199007708411</c:v>
                </c:pt>
                <c:pt idx="731">
                  <c:v>19.308304455155763</c:v>
                </c:pt>
                <c:pt idx="737">
                  <c:v>18.356028757468007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0A-DE4C-8B8F-8CD30F35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709536"/>
        <c:axId val="1612083584"/>
      </c:scatterChart>
      <c:valAx>
        <c:axId val="161170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83584"/>
        <c:crosses val="autoZero"/>
        <c:crossBetween val="midCat"/>
      </c:valAx>
      <c:valAx>
        <c:axId val="16120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0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'Peridin update'!$N$5:$N$742</c:f>
              <c:numCache>
                <c:formatCode>General</c:formatCode>
                <c:ptCount val="738"/>
                <c:pt idx="0">
                  <c:v>0.71439483605316434</c:v>
                </c:pt>
                <c:pt idx="3">
                  <c:v>0.26198364636244731</c:v>
                </c:pt>
                <c:pt idx="6">
                  <c:v>-0.23480800688917353</c:v>
                </c:pt>
                <c:pt idx="9">
                  <c:v>-0.31142582305749739</c:v>
                </c:pt>
                <c:pt idx="12">
                  <c:v>-0.63424983495042198</c:v>
                </c:pt>
                <c:pt idx="15">
                  <c:v>-0.34873852911165193</c:v>
                </c:pt>
                <c:pt idx="18">
                  <c:v>-0.60043721339973333</c:v>
                </c:pt>
                <c:pt idx="21">
                  <c:v>2.9605989819687761</c:v>
                </c:pt>
                <c:pt idx="24">
                  <c:v>2.8959160676212501</c:v>
                </c:pt>
                <c:pt idx="27">
                  <c:v>3.0250196275224184</c:v>
                </c:pt>
                <c:pt idx="30">
                  <c:v>2.2978600827637785</c:v>
                </c:pt>
                <c:pt idx="33">
                  <c:v>1.83605084015465</c:v>
                </c:pt>
                <c:pt idx="36">
                  <c:v>1.2166848961445231</c:v>
                </c:pt>
                <c:pt idx="39">
                  <c:v>2.3588541759146575</c:v>
                </c:pt>
                <c:pt idx="42">
                  <c:v>2.214469502751391</c:v>
                </c:pt>
                <c:pt idx="45">
                  <c:v>2.5400212606595769</c:v>
                </c:pt>
                <c:pt idx="48">
                  <c:v>2.1987446246875342</c:v>
                </c:pt>
                <c:pt idx="51">
                  <c:v>1.6902661562251873</c:v>
                </c:pt>
                <c:pt idx="54">
                  <c:v>1.4265830927031942</c:v>
                </c:pt>
                <c:pt idx="57">
                  <c:v>0.58035533458811961</c:v>
                </c:pt>
                <c:pt idx="60">
                  <c:v>0.89954722195780668</c:v>
                </c:pt>
                <c:pt idx="63">
                  <c:v>1.4789160085947182</c:v>
                </c:pt>
                <c:pt idx="66">
                  <c:v>1.192433636472116</c:v>
                </c:pt>
                <c:pt idx="69">
                  <c:v>0.46586566217953251</c:v>
                </c:pt>
                <c:pt idx="72">
                  <c:v>-3.6002502320996221E-2</c:v>
                </c:pt>
                <c:pt idx="75">
                  <c:v>-0.72338029562239237</c:v>
                </c:pt>
                <c:pt idx="78">
                  <c:v>-0.86086260829624184</c:v>
                </c:pt>
                <c:pt idx="81">
                  <c:v>-1.293307476654284</c:v>
                </c:pt>
                <c:pt idx="84">
                  <c:v>-0.4898385430941814</c:v>
                </c:pt>
                <c:pt idx="87">
                  <c:v>-0.3005420287434093</c:v>
                </c:pt>
                <c:pt idx="90">
                  <c:v>-0.7008131555985333</c:v>
                </c:pt>
                <c:pt idx="108">
                  <c:v>-1.0009981080420465</c:v>
                </c:pt>
                <c:pt idx="111">
                  <c:v>-1.573409502724407</c:v>
                </c:pt>
                <c:pt idx="114">
                  <c:v>-0.69922496099344733</c:v>
                </c:pt>
                <c:pt idx="117">
                  <c:v>-0.59856963160861043</c:v>
                </c:pt>
                <c:pt idx="120">
                  <c:v>2.099772813483396</c:v>
                </c:pt>
                <c:pt idx="123">
                  <c:v>4.1545363865200891</c:v>
                </c:pt>
                <c:pt idx="126">
                  <c:v>3.5927257584651069</c:v>
                </c:pt>
                <c:pt idx="129">
                  <c:v>3.6651721088729845</c:v>
                </c:pt>
                <c:pt idx="132">
                  <c:v>3.3898935896999971</c:v>
                </c:pt>
                <c:pt idx="135">
                  <c:v>3.6495993801730435</c:v>
                </c:pt>
                <c:pt idx="138">
                  <c:v>3.6760831934763858</c:v>
                </c:pt>
                <c:pt idx="141">
                  <c:v>4.2435920147187822</c:v>
                </c:pt>
                <c:pt idx="144">
                  <c:v>4.0133675551459866</c:v>
                </c:pt>
                <c:pt idx="147">
                  <c:v>3.9600611775963075</c:v>
                </c:pt>
                <c:pt idx="150">
                  <c:v>4.5927101842303157</c:v>
                </c:pt>
                <c:pt idx="153">
                  <c:v>3.9427315720397242</c:v>
                </c:pt>
                <c:pt idx="156">
                  <c:v>4.3189903138824155</c:v>
                </c:pt>
                <c:pt idx="159">
                  <c:v>5.207354707311123</c:v>
                </c:pt>
                <c:pt idx="162">
                  <c:v>5.2936007619531926</c:v>
                </c:pt>
                <c:pt idx="165">
                  <c:v>6.5626669238279751</c:v>
                </c:pt>
                <c:pt idx="168">
                  <c:v>6.9318829395959334</c:v>
                </c:pt>
                <c:pt idx="171">
                  <c:v>6.828990936035999</c:v>
                </c:pt>
                <c:pt idx="177">
                  <c:v>6.1065164610595479</c:v>
                </c:pt>
                <c:pt idx="180">
                  <c:v>5.5507342006299707</c:v>
                </c:pt>
                <c:pt idx="183">
                  <c:v>5.0597041769008388</c:v>
                </c:pt>
                <c:pt idx="186">
                  <c:v>4.5081744708231115</c:v>
                </c:pt>
                <c:pt idx="189">
                  <c:v>4.1374004354091767</c:v>
                </c:pt>
                <c:pt idx="192">
                  <c:v>5.0002131273488475</c:v>
                </c:pt>
                <c:pt idx="195">
                  <c:v>14.897251009812717</c:v>
                </c:pt>
                <c:pt idx="198">
                  <c:v>14.567592348485352</c:v>
                </c:pt>
                <c:pt idx="201">
                  <c:v>14.364485465720172</c:v>
                </c:pt>
                <c:pt idx="204">
                  <c:v>14.044607742768907</c:v>
                </c:pt>
                <c:pt idx="207">
                  <c:v>15.04073001265396</c:v>
                </c:pt>
                <c:pt idx="210">
                  <c:v>14.868498518029527</c:v>
                </c:pt>
                <c:pt idx="213">
                  <c:v>14.625381857405984</c:v>
                </c:pt>
                <c:pt idx="216">
                  <c:v>13.868445797788047</c:v>
                </c:pt>
                <c:pt idx="219">
                  <c:v>13.170563071475641</c:v>
                </c:pt>
                <c:pt idx="222">
                  <c:v>12.568188804774238</c:v>
                </c:pt>
                <c:pt idx="225">
                  <c:v>14.031657110235098</c:v>
                </c:pt>
                <c:pt idx="228">
                  <c:v>14.21696225731853</c:v>
                </c:pt>
                <c:pt idx="231">
                  <c:v>13.740709752541443</c:v>
                </c:pt>
                <c:pt idx="234">
                  <c:v>13.219213422673899</c:v>
                </c:pt>
                <c:pt idx="237">
                  <c:v>12.625240971168683</c:v>
                </c:pt>
                <c:pt idx="240">
                  <c:v>12.761252226333244</c:v>
                </c:pt>
                <c:pt idx="243">
                  <c:v>12.40769698260026</c:v>
                </c:pt>
                <c:pt idx="246">
                  <c:v>11.842058739732797</c:v>
                </c:pt>
                <c:pt idx="249">
                  <c:v>11.525781852065672</c:v>
                </c:pt>
                <c:pt idx="252">
                  <c:v>10.959274022166493</c:v>
                </c:pt>
                <c:pt idx="255">
                  <c:v>10.323649563134344</c:v>
                </c:pt>
                <c:pt idx="258">
                  <c:v>10.198019892498962</c:v>
                </c:pt>
                <c:pt idx="261">
                  <c:v>10.850460445352574</c:v>
                </c:pt>
                <c:pt idx="264">
                  <c:v>10.531250444113882</c:v>
                </c:pt>
                <c:pt idx="267">
                  <c:v>9.9867003244368195</c:v>
                </c:pt>
                <c:pt idx="270">
                  <c:v>9.5027887468034038</c:v>
                </c:pt>
                <c:pt idx="273">
                  <c:v>9.0272585170693311</c:v>
                </c:pt>
                <c:pt idx="276">
                  <c:v>10.171859006431374</c:v>
                </c:pt>
                <c:pt idx="279">
                  <c:v>10.091863203717212</c:v>
                </c:pt>
                <c:pt idx="282">
                  <c:v>9.3435044965255862</c:v>
                </c:pt>
                <c:pt idx="285">
                  <c:v>8.5021433431530689</c:v>
                </c:pt>
                <c:pt idx="288">
                  <c:v>7.8833845681043124</c:v>
                </c:pt>
                <c:pt idx="291">
                  <c:v>7.056982751740569</c:v>
                </c:pt>
                <c:pt idx="294">
                  <c:v>6.7232196489438047</c:v>
                </c:pt>
                <c:pt idx="297">
                  <c:v>6.4481843125583076</c:v>
                </c:pt>
                <c:pt idx="300">
                  <c:v>6.4655398428816886</c:v>
                </c:pt>
                <c:pt idx="303">
                  <c:v>6.4776151530529082</c:v>
                </c:pt>
                <c:pt idx="306">
                  <c:v>5.7782937906951517</c:v>
                </c:pt>
                <c:pt idx="309">
                  <c:v>5.0957308358173732</c:v>
                </c:pt>
                <c:pt idx="312">
                  <c:v>4.7150432721359135</c:v>
                </c:pt>
                <c:pt idx="315">
                  <c:v>4.5081453748484339</c:v>
                </c:pt>
                <c:pt idx="318">
                  <c:v>4.0158680357829217</c:v>
                </c:pt>
                <c:pt idx="321">
                  <c:v>3.2933580839778385</c:v>
                </c:pt>
                <c:pt idx="324">
                  <c:v>2.5907238787121649</c:v>
                </c:pt>
                <c:pt idx="327">
                  <c:v>2.3712800702051262</c:v>
                </c:pt>
                <c:pt idx="330">
                  <c:v>1.8513616001807289</c:v>
                </c:pt>
                <c:pt idx="333">
                  <c:v>1.5663830256636686</c:v>
                </c:pt>
                <c:pt idx="336">
                  <c:v>1.0145974801822113</c:v>
                </c:pt>
                <c:pt idx="339">
                  <c:v>0.49737228698582103</c:v>
                </c:pt>
                <c:pt idx="342">
                  <c:v>6.4716407018228339E-2</c:v>
                </c:pt>
                <c:pt idx="345">
                  <c:v>-0.23840608313942807</c:v>
                </c:pt>
                <c:pt idx="348">
                  <c:v>-9.4432123540147128E-3</c:v>
                </c:pt>
                <c:pt idx="351">
                  <c:v>-0.24813771007592111</c:v>
                </c:pt>
                <c:pt idx="354">
                  <c:v>-0.44911979980650019</c:v>
                </c:pt>
                <c:pt idx="357">
                  <c:v>-1.1410052585531556</c:v>
                </c:pt>
                <c:pt idx="360">
                  <c:v>-1.4939805329791602</c:v>
                </c:pt>
                <c:pt idx="363">
                  <c:v>-1.733510397112354</c:v>
                </c:pt>
                <c:pt idx="366">
                  <c:v>-2.2580194952941017</c:v>
                </c:pt>
                <c:pt idx="370">
                  <c:v>-1.3399444558543374</c:v>
                </c:pt>
                <c:pt idx="373">
                  <c:v>-1.8400800950054741</c:v>
                </c:pt>
                <c:pt idx="376">
                  <c:v>-2.6863078531205486</c:v>
                </c:pt>
                <c:pt idx="379">
                  <c:v>-3.2775066210473875</c:v>
                </c:pt>
                <c:pt idx="382">
                  <c:v>-2.8730417322189004</c:v>
                </c:pt>
                <c:pt idx="385">
                  <c:v>-2.1610159411625909</c:v>
                </c:pt>
                <c:pt idx="388">
                  <c:v>-1.8650889089763631</c:v>
                </c:pt>
                <c:pt idx="391">
                  <c:v>-1.710146526429204</c:v>
                </c:pt>
                <c:pt idx="395">
                  <c:v>-1.9084744251339028</c:v>
                </c:pt>
                <c:pt idx="398">
                  <c:v>-1.7680419106098713</c:v>
                </c:pt>
                <c:pt idx="402">
                  <c:v>-2.1575827983445746</c:v>
                </c:pt>
                <c:pt idx="405">
                  <c:v>-2.6470677106492602</c:v>
                </c:pt>
                <c:pt idx="408">
                  <c:v>-3.2368967250976852</c:v>
                </c:pt>
                <c:pt idx="411">
                  <c:v>-3.7825364626978928</c:v>
                </c:pt>
                <c:pt idx="414">
                  <c:v>-3.6569465518787654</c:v>
                </c:pt>
                <c:pt idx="418">
                  <c:v>-3.665779486680028</c:v>
                </c:pt>
                <c:pt idx="421">
                  <c:v>-1.5990256773968521</c:v>
                </c:pt>
                <c:pt idx="424">
                  <c:v>-1.7201067580050398</c:v>
                </c:pt>
                <c:pt idx="427">
                  <c:v>-1.6583014372340548</c:v>
                </c:pt>
                <c:pt idx="430">
                  <c:v>-2.1287481070866603</c:v>
                </c:pt>
                <c:pt idx="433">
                  <c:v>-2.408936279755038</c:v>
                </c:pt>
                <c:pt idx="436">
                  <c:v>-1.1741948194317819</c:v>
                </c:pt>
                <c:pt idx="440">
                  <c:v>-1.2551812914594336</c:v>
                </c:pt>
                <c:pt idx="443">
                  <c:v>-0.85253793707488723</c:v>
                </c:pt>
                <c:pt idx="446">
                  <c:v>0.64786831334085704</c:v>
                </c:pt>
                <c:pt idx="449">
                  <c:v>1.5777754657934544</c:v>
                </c:pt>
                <c:pt idx="452">
                  <c:v>1.6543258393565161</c:v>
                </c:pt>
                <c:pt idx="455">
                  <c:v>1.3012053204186862</c:v>
                </c:pt>
                <c:pt idx="458">
                  <c:v>1.6223935724000629</c:v>
                </c:pt>
                <c:pt idx="461">
                  <c:v>1.8072158143080466</c:v>
                </c:pt>
                <c:pt idx="464">
                  <c:v>1.9812640842589559</c:v>
                </c:pt>
                <c:pt idx="467">
                  <c:v>1.7394619065112962</c:v>
                </c:pt>
                <c:pt idx="470">
                  <c:v>8.3135729406738523</c:v>
                </c:pt>
                <c:pt idx="474">
                  <c:v>8.7862025806172763</c:v>
                </c:pt>
                <c:pt idx="477">
                  <c:v>7.9399748225022018</c:v>
                </c:pt>
                <c:pt idx="481">
                  <c:v>7.4094361676969713</c:v>
                </c:pt>
                <c:pt idx="484">
                  <c:v>8.0221354306306978</c:v>
                </c:pt>
                <c:pt idx="487">
                  <c:v>10.601372352632362</c:v>
                </c:pt>
                <c:pt idx="490">
                  <c:v>10.476421447935396</c:v>
                </c:pt>
                <c:pt idx="493">
                  <c:v>9.6301936898203202</c:v>
                </c:pt>
                <c:pt idx="496">
                  <c:v>9.3084504560129542</c:v>
                </c:pt>
                <c:pt idx="499">
                  <c:v>9.072446631595712</c:v>
                </c:pt>
                <c:pt idx="502">
                  <c:v>9.3658806962515335</c:v>
                </c:pt>
                <c:pt idx="506">
                  <c:v>10.379783618748437</c:v>
                </c:pt>
                <c:pt idx="510">
                  <c:v>10.035426324979024</c:v>
                </c:pt>
                <c:pt idx="513">
                  <c:v>9.9028947968552288</c:v>
                </c:pt>
                <c:pt idx="516">
                  <c:v>10.001021152200895</c:v>
                </c:pt>
                <c:pt idx="519">
                  <c:v>9.7297322678201663</c:v>
                </c:pt>
                <c:pt idx="522">
                  <c:v>9.4917944605847033</c:v>
                </c:pt>
                <c:pt idx="525">
                  <c:v>10.426405525256008</c:v>
                </c:pt>
                <c:pt idx="528">
                  <c:v>10.040715704876147</c:v>
                </c:pt>
                <c:pt idx="531">
                  <c:v>9.4675043537803703</c:v>
                </c:pt>
                <c:pt idx="535">
                  <c:v>9.5630911446429661</c:v>
                </c:pt>
                <c:pt idx="538">
                  <c:v>9.7233367532123278</c:v>
                </c:pt>
                <c:pt idx="541">
                  <c:v>9.8735334573355047</c:v>
                </c:pt>
                <c:pt idx="544">
                  <c:v>10.134454321918881</c:v>
                </c:pt>
                <c:pt idx="547">
                  <c:v>9.660538520998653</c:v>
                </c:pt>
                <c:pt idx="551">
                  <c:v>10.132029070645638</c:v>
                </c:pt>
                <c:pt idx="554">
                  <c:v>10.192816472813593</c:v>
                </c:pt>
                <c:pt idx="560">
                  <c:v>9.5236235786964905</c:v>
                </c:pt>
                <c:pt idx="566">
                  <c:v>9.0454158818772914</c:v>
                </c:pt>
                <c:pt idx="569">
                  <c:v>8.5022799953743515</c:v>
                </c:pt>
                <c:pt idx="572">
                  <c:v>8.6444160116850171</c:v>
                </c:pt>
                <c:pt idx="575">
                  <c:v>11.143706020397572</c:v>
                </c:pt>
                <c:pt idx="578">
                  <c:v>11.604358878163376</c:v>
                </c:pt>
                <c:pt idx="581">
                  <c:v>11.65781676415361</c:v>
                </c:pt>
                <c:pt idx="584">
                  <c:v>10.941587676875614</c:v>
                </c:pt>
                <c:pt idx="587">
                  <c:v>10.580803402386419</c:v>
                </c:pt>
                <c:pt idx="590">
                  <c:v>10.60552549959993</c:v>
                </c:pt>
                <c:pt idx="593">
                  <c:v>10.161820564893409</c:v>
                </c:pt>
                <c:pt idx="596">
                  <c:v>9.6932514887271974</c:v>
                </c:pt>
                <c:pt idx="599">
                  <c:v>10.071456436382899</c:v>
                </c:pt>
                <c:pt idx="602">
                  <c:v>9.4291865130789425</c:v>
                </c:pt>
                <c:pt idx="605">
                  <c:v>8.7485761671025628</c:v>
                </c:pt>
                <c:pt idx="608">
                  <c:v>8.273369629245245</c:v>
                </c:pt>
                <c:pt idx="611">
                  <c:v>8.1833485124020058</c:v>
                </c:pt>
                <c:pt idx="614">
                  <c:v>8.8559043673327675</c:v>
                </c:pt>
                <c:pt idx="617">
                  <c:v>8.2890521981377248</c:v>
                </c:pt>
                <c:pt idx="620">
                  <c:v>7.7535202601144597</c:v>
                </c:pt>
                <c:pt idx="623">
                  <c:v>7.6978990490284209</c:v>
                </c:pt>
                <c:pt idx="626">
                  <c:v>7.3669736563794039</c:v>
                </c:pt>
                <c:pt idx="629">
                  <c:v>7.4525190926316816</c:v>
                </c:pt>
                <c:pt idx="638">
                  <c:v>6.8611587016509699</c:v>
                </c:pt>
                <c:pt idx="641">
                  <c:v>6.1484026607265161</c:v>
                </c:pt>
                <c:pt idx="644">
                  <c:v>8.4888161541362059</c:v>
                </c:pt>
                <c:pt idx="647">
                  <c:v>9.1960005626154793</c:v>
                </c:pt>
                <c:pt idx="650">
                  <c:v>9.4155017262127085</c:v>
                </c:pt>
                <c:pt idx="656">
                  <c:v>9.11467670634622</c:v>
                </c:pt>
                <c:pt idx="662">
                  <c:v>8.9765589768852632</c:v>
                </c:pt>
                <c:pt idx="665">
                  <c:v>8.7665304320890609</c:v>
                </c:pt>
                <c:pt idx="668">
                  <c:v>8.080863126724747</c:v>
                </c:pt>
                <c:pt idx="671">
                  <c:v>7.4625261611784452</c:v>
                </c:pt>
                <c:pt idx="674">
                  <c:v>6.8533435768995146</c:v>
                </c:pt>
                <c:pt idx="677">
                  <c:v>6.301299242872977</c:v>
                </c:pt>
                <c:pt idx="680">
                  <c:v>6.0260719735500707</c:v>
                </c:pt>
                <c:pt idx="683">
                  <c:v>6.0880669887462346</c:v>
                </c:pt>
                <c:pt idx="686">
                  <c:v>5.6653287822650222</c:v>
                </c:pt>
                <c:pt idx="689">
                  <c:v>5.2331859937028824</c:v>
                </c:pt>
                <c:pt idx="692">
                  <c:v>4.5434646893314472</c:v>
                </c:pt>
                <c:pt idx="695">
                  <c:v>4.1051174648967921</c:v>
                </c:pt>
                <c:pt idx="710">
                  <c:v>3.7589083632106002</c:v>
                </c:pt>
                <c:pt idx="713">
                  <c:v>3.2275042116863788</c:v>
                </c:pt>
                <c:pt idx="716">
                  <c:v>3.4287525188479249</c:v>
                </c:pt>
                <c:pt idx="719">
                  <c:v>3.6225847816555126</c:v>
                </c:pt>
                <c:pt idx="722">
                  <c:v>3.4806149788740344</c:v>
                </c:pt>
                <c:pt idx="731">
                  <c:v>2.7808384774504713</c:v>
                </c:pt>
                <c:pt idx="737">
                  <c:v>2.5594886792922589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3-AC45-80DF-C7D0E043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Peridinin/chl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update'!$B$5:$B$744</c:f>
              <c:numCache>
                <c:formatCode>[$-409]mmm\-yy;@</c:formatCode>
                <c:ptCount val="740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36473</c:v>
                </c:pt>
                <c:pt idx="4">
                  <c:v>36502</c:v>
                </c:pt>
                <c:pt idx="5">
                  <c:v>36502</c:v>
                </c:pt>
                <c:pt idx="6">
                  <c:v>36502</c:v>
                </c:pt>
                <c:pt idx="7">
                  <c:v>36531</c:v>
                </c:pt>
                <c:pt idx="8">
                  <c:v>36531</c:v>
                </c:pt>
                <c:pt idx="9">
                  <c:v>36531</c:v>
                </c:pt>
                <c:pt idx="10">
                  <c:v>36578</c:v>
                </c:pt>
                <c:pt idx="11">
                  <c:v>36578</c:v>
                </c:pt>
                <c:pt idx="12">
                  <c:v>36578</c:v>
                </c:pt>
                <c:pt idx="13">
                  <c:v>36599</c:v>
                </c:pt>
                <c:pt idx="14">
                  <c:v>36599</c:v>
                </c:pt>
                <c:pt idx="15">
                  <c:v>36599</c:v>
                </c:pt>
                <c:pt idx="16">
                  <c:v>36626</c:v>
                </c:pt>
                <c:pt idx="17">
                  <c:v>36626</c:v>
                </c:pt>
                <c:pt idx="18">
                  <c:v>36626</c:v>
                </c:pt>
                <c:pt idx="19">
                  <c:v>36663</c:v>
                </c:pt>
                <c:pt idx="20">
                  <c:v>36663</c:v>
                </c:pt>
                <c:pt idx="21">
                  <c:v>36663</c:v>
                </c:pt>
                <c:pt idx="22">
                  <c:v>36692</c:v>
                </c:pt>
                <c:pt idx="23">
                  <c:v>36692</c:v>
                </c:pt>
                <c:pt idx="24">
                  <c:v>36692</c:v>
                </c:pt>
                <c:pt idx="25">
                  <c:v>36719</c:v>
                </c:pt>
                <c:pt idx="26">
                  <c:v>36719</c:v>
                </c:pt>
                <c:pt idx="27">
                  <c:v>36719</c:v>
                </c:pt>
                <c:pt idx="28">
                  <c:v>36755</c:v>
                </c:pt>
                <c:pt idx="29">
                  <c:v>36755</c:v>
                </c:pt>
                <c:pt idx="30">
                  <c:v>36755</c:v>
                </c:pt>
                <c:pt idx="31">
                  <c:v>36783</c:v>
                </c:pt>
                <c:pt idx="32">
                  <c:v>36783</c:v>
                </c:pt>
                <c:pt idx="33">
                  <c:v>36783</c:v>
                </c:pt>
                <c:pt idx="34">
                  <c:v>36815</c:v>
                </c:pt>
                <c:pt idx="35">
                  <c:v>36815</c:v>
                </c:pt>
                <c:pt idx="36">
                  <c:v>36815</c:v>
                </c:pt>
                <c:pt idx="37">
                  <c:v>36846</c:v>
                </c:pt>
                <c:pt idx="38">
                  <c:v>36846</c:v>
                </c:pt>
                <c:pt idx="39">
                  <c:v>36846</c:v>
                </c:pt>
                <c:pt idx="40">
                  <c:v>36873</c:v>
                </c:pt>
                <c:pt idx="41">
                  <c:v>36873</c:v>
                </c:pt>
                <c:pt idx="42">
                  <c:v>36873</c:v>
                </c:pt>
                <c:pt idx="43">
                  <c:v>36902</c:v>
                </c:pt>
                <c:pt idx="44">
                  <c:v>36902</c:v>
                </c:pt>
                <c:pt idx="45">
                  <c:v>36902</c:v>
                </c:pt>
                <c:pt idx="46">
                  <c:v>36929</c:v>
                </c:pt>
                <c:pt idx="47">
                  <c:v>36929</c:v>
                </c:pt>
                <c:pt idx="48">
                  <c:v>36929</c:v>
                </c:pt>
                <c:pt idx="49">
                  <c:v>36962</c:v>
                </c:pt>
                <c:pt idx="50">
                  <c:v>36962</c:v>
                </c:pt>
                <c:pt idx="51">
                  <c:v>36962</c:v>
                </c:pt>
                <c:pt idx="52">
                  <c:v>36998</c:v>
                </c:pt>
                <c:pt idx="53">
                  <c:v>36998</c:v>
                </c:pt>
                <c:pt idx="54">
                  <c:v>36998</c:v>
                </c:pt>
                <c:pt idx="55">
                  <c:v>37025</c:v>
                </c:pt>
                <c:pt idx="56">
                  <c:v>37025</c:v>
                </c:pt>
                <c:pt idx="57">
                  <c:v>37025</c:v>
                </c:pt>
                <c:pt idx="58">
                  <c:v>37054</c:v>
                </c:pt>
                <c:pt idx="59">
                  <c:v>37054</c:v>
                </c:pt>
                <c:pt idx="60">
                  <c:v>37054</c:v>
                </c:pt>
                <c:pt idx="61">
                  <c:v>37090</c:v>
                </c:pt>
                <c:pt idx="62">
                  <c:v>37090</c:v>
                </c:pt>
                <c:pt idx="63">
                  <c:v>37090</c:v>
                </c:pt>
                <c:pt idx="64">
                  <c:v>37117</c:v>
                </c:pt>
                <c:pt idx="65">
                  <c:v>37117</c:v>
                </c:pt>
                <c:pt idx="66">
                  <c:v>37117</c:v>
                </c:pt>
                <c:pt idx="67">
                  <c:v>37145</c:v>
                </c:pt>
                <c:pt idx="68">
                  <c:v>37145</c:v>
                </c:pt>
                <c:pt idx="69">
                  <c:v>37145</c:v>
                </c:pt>
                <c:pt idx="70">
                  <c:v>37182</c:v>
                </c:pt>
                <c:pt idx="71">
                  <c:v>37182</c:v>
                </c:pt>
                <c:pt idx="72">
                  <c:v>37182</c:v>
                </c:pt>
                <c:pt idx="73">
                  <c:v>37202</c:v>
                </c:pt>
                <c:pt idx="74">
                  <c:v>37202</c:v>
                </c:pt>
                <c:pt idx="75">
                  <c:v>37202</c:v>
                </c:pt>
                <c:pt idx="76">
                  <c:v>37230</c:v>
                </c:pt>
                <c:pt idx="77">
                  <c:v>37230</c:v>
                </c:pt>
                <c:pt idx="78">
                  <c:v>37230</c:v>
                </c:pt>
                <c:pt idx="79">
                  <c:v>37272</c:v>
                </c:pt>
                <c:pt idx="80">
                  <c:v>37272</c:v>
                </c:pt>
                <c:pt idx="81">
                  <c:v>37272</c:v>
                </c:pt>
                <c:pt idx="82">
                  <c:v>37301</c:v>
                </c:pt>
                <c:pt idx="83">
                  <c:v>37301</c:v>
                </c:pt>
                <c:pt idx="84">
                  <c:v>37301</c:v>
                </c:pt>
                <c:pt idx="85">
                  <c:v>37336</c:v>
                </c:pt>
                <c:pt idx="86">
                  <c:v>37336</c:v>
                </c:pt>
                <c:pt idx="87">
                  <c:v>37336</c:v>
                </c:pt>
                <c:pt idx="88">
                  <c:v>37363</c:v>
                </c:pt>
                <c:pt idx="89">
                  <c:v>37363</c:v>
                </c:pt>
                <c:pt idx="90">
                  <c:v>37363</c:v>
                </c:pt>
                <c:pt idx="91">
                  <c:v>37392</c:v>
                </c:pt>
                <c:pt idx="92">
                  <c:v>37392</c:v>
                </c:pt>
                <c:pt idx="93">
                  <c:v>37392</c:v>
                </c:pt>
                <c:pt idx="94">
                  <c:v>37420</c:v>
                </c:pt>
                <c:pt idx="95">
                  <c:v>37420</c:v>
                </c:pt>
                <c:pt idx="96">
                  <c:v>37420</c:v>
                </c:pt>
                <c:pt idx="97">
                  <c:v>37453</c:v>
                </c:pt>
                <c:pt idx="98">
                  <c:v>37453</c:v>
                </c:pt>
                <c:pt idx="99">
                  <c:v>37453</c:v>
                </c:pt>
                <c:pt idx="100">
                  <c:v>37481</c:v>
                </c:pt>
                <c:pt idx="101">
                  <c:v>37481</c:v>
                </c:pt>
                <c:pt idx="102">
                  <c:v>37481</c:v>
                </c:pt>
                <c:pt idx="103">
                  <c:v>37518</c:v>
                </c:pt>
                <c:pt idx="104">
                  <c:v>37518</c:v>
                </c:pt>
                <c:pt idx="105">
                  <c:v>37518</c:v>
                </c:pt>
                <c:pt idx="106">
                  <c:v>37546</c:v>
                </c:pt>
                <c:pt idx="107">
                  <c:v>37546</c:v>
                </c:pt>
                <c:pt idx="108">
                  <c:v>37546</c:v>
                </c:pt>
                <c:pt idx="109">
                  <c:v>37574</c:v>
                </c:pt>
                <c:pt idx="110">
                  <c:v>37574</c:v>
                </c:pt>
                <c:pt idx="111">
                  <c:v>37574</c:v>
                </c:pt>
                <c:pt idx="112">
                  <c:v>37608</c:v>
                </c:pt>
                <c:pt idx="113">
                  <c:v>37608</c:v>
                </c:pt>
                <c:pt idx="114">
                  <c:v>37608</c:v>
                </c:pt>
                <c:pt idx="115">
                  <c:v>37636</c:v>
                </c:pt>
                <c:pt idx="116">
                  <c:v>37636</c:v>
                </c:pt>
                <c:pt idx="117">
                  <c:v>37636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37691</c:v>
                </c:pt>
                <c:pt idx="122">
                  <c:v>37691</c:v>
                </c:pt>
                <c:pt idx="123">
                  <c:v>37691</c:v>
                </c:pt>
                <c:pt idx="124">
                  <c:v>37727</c:v>
                </c:pt>
                <c:pt idx="125">
                  <c:v>37727</c:v>
                </c:pt>
                <c:pt idx="126">
                  <c:v>37727</c:v>
                </c:pt>
                <c:pt idx="127">
                  <c:v>37756</c:v>
                </c:pt>
                <c:pt idx="128">
                  <c:v>37756</c:v>
                </c:pt>
                <c:pt idx="129">
                  <c:v>37756</c:v>
                </c:pt>
                <c:pt idx="130">
                  <c:v>37790</c:v>
                </c:pt>
                <c:pt idx="131">
                  <c:v>37790</c:v>
                </c:pt>
                <c:pt idx="132">
                  <c:v>37790</c:v>
                </c:pt>
                <c:pt idx="133">
                  <c:v>37818</c:v>
                </c:pt>
                <c:pt idx="134">
                  <c:v>37818</c:v>
                </c:pt>
                <c:pt idx="135">
                  <c:v>37818</c:v>
                </c:pt>
                <c:pt idx="136">
                  <c:v>37846</c:v>
                </c:pt>
                <c:pt idx="137">
                  <c:v>37846</c:v>
                </c:pt>
                <c:pt idx="138">
                  <c:v>37846</c:v>
                </c:pt>
                <c:pt idx="139">
                  <c:v>37886</c:v>
                </c:pt>
                <c:pt idx="140">
                  <c:v>37886</c:v>
                </c:pt>
                <c:pt idx="141">
                  <c:v>37886</c:v>
                </c:pt>
                <c:pt idx="142">
                  <c:v>37910</c:v>
                </c:pt>
                <c:pt idx="143">
                  <c:v>37910</c:v>
                </c:pt>
                <c:pt idx="144">
                  <c:v>37910</c:v>
                </c:pt>
                <c:pt idx="145">
                  <c:v>37942</c:v>
                </c:pt>
                <c:pt idx="146">
                  <c:v>37942</c:v>
                </c:pt>
                <c:pt idx="147">
                  <c:v>37942</c:v>
                </c:pt>
                <c:pt idx="148">
                  <c:v>37971</c:v>
                </c:pt>
                <c:pt idx="149">
                  <c:v>37971</c:v>
                </c:pt>
                <c:pt idx="150">
                  <c:v>37971</c:v>
                </c:pt>
                <c:pt idx="151">
                  <c:v>37998</c:v>
                </c:pt>
                <c:pt idx="152">
                  <c:v>37998</c:v>
                </c:pt>
                <c:pt idx="153">
                  <c:v>37998</c:v>
                </c:pt>
                <c:pt idx="154">
                  <c:v>38026</c:v>
                </c:pt>
                <c:pt idx="155">
                  <c:v>38026</c:v>
                </c:pt>
                <c:pt idx="156">
                  <c:v>38026</c:v>
                </c:pt>
                <c:pt idx="157">
                  <c:v>38061</c:v>
                </c:pt>
                <c:pt idx="158">
                  <c:v>38061</c:v>
                </c:pt>
                <c:pt idx="159">
                  <c:v>38061</c:v>
                </c:pt>
                <c:pt idx="160">
                  <c:v>38093</c:v>
                </c:pt>
                <c:pt idx="161">
                  <c:v>38093</c:v>
                </c:pt>
                <c:pt idx="162">
                  <c:v>38093</c:v>
                </c:pt>
                <c:pt idx="163">
                  <c:v>38117</c:v>
                </c:pt>
                <c:pt idx="164">
                  <c:v>38117</c:v>
                </c:pt>
                <c:pt idx="165">
                  <c:v>38117</c:v>
                </c:pt>
                <c:pt idx="166">
                  <c:v>38160</c:v>
                </c:pt>
                <c:pt idx="167">
                  <c:v>38160</c:v>
                </c:pt>
                <c:pt idx="168">
                  <c:v>38160</c:v>
                </c:pt>
                <c:pt idx="169">
                  <c:v>38183</c:v>
                </c:pt>
                <c:pt idx="170">
                  <c:v>38183</c:v>
                </c:pt>
                <c:pt idx="171">
                  <c:v>38183</c:v>
                </c:pt>
                <c:pt idx="172">
                  <c:v>38218</c:v>
                </c:pt>
                <c:pt idx="173">
                  <c:v>38218</c:v>
                </c:pt>
                <c:pt idx="174">
                  <c:v>38218</c:v>
                </c:pt>
                <c:pt idx="175">
                  <c:v>38246</c:v>
                </c:pt>
                <c:pt idx="176">
                  <c:v>38246</c:v>
                </c:pt>
                <c:pt idx="177">
                  <c:v>38246</c:v>
                </c:pt>
                <c:pt idx="178">
                  <c:v>38274</c:v>
                </c:pt>
                <c:pt idx="179">
                  <c:v>38274</c:v>
                </c:pt>
                <c:pt idx="180">
                  <c:v>38274</c:v>
                </c:pt>
                <c:pt idx="181">
                  <c:v>38309</c:v>
                </c:pt>
                <c:pt idx="182">
                  <c:v>38309</c:v>
                </c:pt>
                <c:pt idx="183">
                  <c:v>38309</c:v>
                </c:pt>
                <c:pt idx="184">
                  <c:v>38337</c:v>
                </c:pt>
                <c:pt idx="185">
                  <c:v>38337</c:v>
                </c:pt>
                <c:pt idx="186">
                  <c:v>38337</c:v>
                </c:pt>
                <c:pt idx="187">
                  <c:v>38364</c:v>
                </c:pt>
                <c:pt idx="188">
                  <c:v>38364</c:v>
                </c:pt>
                <c:pt idx="189">
                  <c:v>38364</c:v>
                </c:pt>
                <c:pt idx="190">
                  <c:v>38398</c:v>
                </c:pt>
                <c:pt idx="191">
                  <c:v>38398</c:v>
                </c:pt>
                <c:pt idx="192">
                  <c:v>38398</c:v>
                </c:pt>
                <c:pt idx="193">
                  <c:v>38427</c:v>
                </c:pt>
                <c:pt idx="194">
                  <c:v>38427</c:v>
                </c:pt>
                <c:pt idx="195">
                  <c:v>38427</c:v>
                </c:pt>
                <c:pt idx="196">
                  <c:v>38470</c:v>
                </c:pt>
                <c:pt idx="197">
                  <c:v>38470</c:v>
                </c:pt>
                <c:pt idx="198">
                  <c:v>38470</c:v>
                </c:pt>
                <c:pt idx="199">
                  <c:v>38488</c:v>
                </c:pt>
                <c:pt idx="200">
                  <c:v>38488</c:v>
                </c:pt>
                <c:pt idx="201">
                  <c:v>38488</c:v>
                </c:pt>
                <c:pt idx="202">
                  <c:v>38525</c:v>
                </c:pt>
                <c:pt idx="203">
                  <c:v>38525</c:v>
                </c:pt>
                <c:pt idx="204">
                  <c:v>38525</c:v>
                </c:pt>
                <c:pt idx="205">
                  <c:v>38546</c:v>
                </c:pt>
                <c:pt idx="206">
                  <c:v>38546</c:v>
                </c:pt>
                <c:pt idx="207">
                  <c:v>38546</c:v>
                </c:pt>
                <c:pt idx="208">
                  <c:v>38587</c:v>
                </c:pt>
                <c:pt idx="209">
                  <c:v>38587</c:v>
                </c:pt>
                <c:pt idx="210">
                  <c:v>38587</c:v>
                </c:pt>
                <c:pt idx="211">
                  <c:v>38609</c:v>
                </c:pt>
                <c:pt idx="212">
                  <c:v>38609</c:v>
                </c:pt>
                <c:pt idx="213">
                  <c:v>38609</c:v>
                </c:pt>
                <c:pt idx="214">
                  <c:v>38643</c:v>
                </c:pt>
                <c:pt idx="215">
                  <c:v>38643</c:v>
                </c:pt>
                <c:pt idx="216">
                  <c:v>38643</c:v>
                </c:pt>
                <c:pt idx="217">
                  <c:v>38670</c:v>
                </c:pt>
                <c:pt idx="218">
                  <c:v>38670</c:v>
                </c:pt>
                <c:pt idx="219">
                  <c:v>38670</c:v>
                </c:pt>
                <c:pt idx="220">
                  <c:v>38706</c:v>
                </c:pt>
                <c:pt idx="221">
                  <c:v>38706</c:v>
                </c:pt>
                <c:pt idx="222">
                  <c:v>38706</c:v>
                </c:pt>
                <c:pt idx="223">
                  <c:v>38737</c:v>
                </c:pt>
                <c:pt idx="224">
                  <c:v>38740</c:v>
                </c:pt>
                <c:pt idx="225">
                  <c:v>38740</c:v>
                </c:pt>
                <c:pt idx="226">
                  <c:v>38763</c:v>
                </c:pt>
                <c:pt idx="227">
                  <c:v>38763</c:v>
                </c:pt>
                <c:pt idx="228">
                  <c:v>38763</c:v>
                </c:pt>
                <c:pt idx="229">
                  <c:v>38792</c:v>
                </c:pt>
                <c:pt idx="230">
                  <c:v>38792</c:v>
                </c:pt>
                <c:pt idx="231">
                  <c:v>38792</c:v>
                </c:pt>
                <c:pt idx="232">
                  <c:v>38826</c:v>
                </c:pt>
                <c:pt idx="233">
                  <c:v>38826</c:v>
                </c:pt>
                <c:pt idx="234">
                  <c:v>38826</c:v>
                </c:pt>
                <c:pt idx="235">
                  <c:v>38853</c:v>
                </c:pt>
                <c:pt idx="236">
                  <c:v>38853</c:v>
                </c:pt>
                <c:pt idx="237">
                  <c:v>38853</c:v>
                </c:pt>
                <c:pt idx="238">
                  <c:v>38884</c:v>
                </c:pt>
                <c:pt idx="239">
                  <c:v>38884</c:v>
                </c:pt>
                <c:pt idx="240">
                  <c:v>38884</c:v>
                </c:pt>
                <c:pt idx="241">
                  <c:v>38915</c:v>
                </c:pt>
                <c:pt idx="242">
                  <c:v>38915</c:v>
                </c:pt>
                <c:pt idx="243">
                  <c:v>38915</c:v>
                </c:pt>
                <c:pt idx="244">
                  <c:v>38952</c:v>
                </c:pt>
                <c:pt idx="245">
                  <c:v>38952</c:v>
                </c:pt>
                <c:pt idx="246">
                  <c:v>38952</c:v>
                </c:pt>
                <c:pt idx="247">
                  <c:v>38975</c:v>
                </c:pt>
                <c:pt idx="248">
                  <c:v>38975</c:v>
                </c:pt>
                <c:pt idx="249">
                  <c:v>38975</c:v>
                </c:pt>
                <c:pt idx="250">
                  <c:v>39006</c:v>
                </c:pt>
                <c:pt idx="251">
                  <c:v>39006</c:v>
                </c:pt>
                <c:pt idx="252">
                  <c:v>39006</c:v>
                </c:pt>
                <c:pt idx="253">
                  <c:v>39041</c:v>
                </c:pt>
                <c:pt idx="254">
                  <c:v>39041</c:v>
                </c:pt>
                <c:pt idx="255">
                  <c:v>39041</c:v>
                </c:pt>
                <c:pt idx="256">
                  <c:v>39062</c:v>
                </c:pt>
                <c:pt idx="257">
                  <c:v>39062</c:v>
                </c:pt>
                <c:pt idx="258">
                  <c:v>39062</c:v>
                </c:pt>
                <c:pt idx="259">
                  <c:v>39100</c:v>
                </c:pt>
                <c:pt idx="260">
                  <c:v>39100</c:v>
                </c:pt>
                <c:pt idx="261">
                  <c:v>39100</c:v>
                </c:pt>
                <c:pt idx="262">
                  <c:v>39135</c:v>
                </c:pt>
                <c:pt idx="263">
                  <c:v>39135</c:v>
                </c:pt>
                <c:pt idx="264">
                  <c:v>39135</c:v>
                </c:pt>
                <c:pt idx="265">
                  <c:v>39153</c:v>
                </c:pt>
                <c:pt idx="266">
                  <c:v>39153</c:v>
                </c:pt>
                <c:pt idx="267">
                  <c:v>39153</c:v>
                </c:pt>
                <c:pt idx="268">
                  <c:v>39191</c:v>
                </c:pt>
                <c:pt idx="269">
                  <c:v>39191</c:v>
                </c:pt>
                <c:pt idx="270">
                  <c:v>39191</c:v>
                </c:pt>
                <c:pt idx="271">
                  <c:v>39216</c:v>
                </c:pt>
                <c:pt idx="272">
                  <c:v>39216</c:v>
                </c:pt>
                <c:pt idx="273">
                  <c:v>39216</c:v>
                </c:pt>
                <c:pt idx="274">
                  <c:v>39248</c:v>
                </c:pt>
                <c:pt idx="275">
                  <c:v>39248</c:v>
                </c:pt>
                <c:pt idx="276">
                  <c:v>39248</c:v>
                </c:pt>
                <c:pt idx="277">
                  <c:v>39279</c:v>
                </c:pt>
                <c:pt idx="278">
                  <c:v>39279</c:v>
                </c:pt>
                <c:pt idx="279">
                  <c:v>39279</c:v>
                </c:pt>
                <c:pt idx="280">
                  <c:v>39310</c:v>
                </c:pt>
                <c:pt idx="281">
                  <c:v>39308</c:v>
                </c:pt>
                <c:pt idx="282">
                  <c:v>39308</c:v>
                </c:pt>
                <c:pt idx="283">
                  <c:v>39335</c:v>
                </c:pt>
                <c:pt idx="284">
                  <c:v>39335</c:v>
                </c:pt>
                <c:pt idx="285">
                  <c:v>39335</c:v>
                </c:pt>
                <c:pt idx="286">
                  <c:v>39370</c:v>
                </c:pt>
                <c:pt idx="287">
                  <c:v>39370</c:v>
                </c:pt>
                <c:pt idx="288">
                  <c:v>39370</c:v>
                </c:pt>
                <c:pt idx="289">
                  <c:v>39400</c:v>
                </c:pt>
                <c:pt idx="290">
                  <c:v>39400</c:v>
                </c:pt>
                <c:pt idx="291">
                  <c:v>39400</c:v>
                </c:pt>
                <c:pt idx="292">
                  <c:v>39434</c:v>
                </c:pt>
                <c:pt idx="293">
                  <c:v>39434</c:v>
                </c:pt>
                <c:pt idx="294">
                  <c:v>39434</c:v>
                </c:pt>
                <c:pt idx="295">
                  <c:v>39463</c:v>
                </c:pt>
                <c:pt idx="296">
                  <c:v>39463</c:v>
                </c:pt>
                <c:pt idx="297">
                  <c:v>39463</c:v>
                </c:pt>
                <c:pt idx="298">
                  <c:v>39493</c:v>
                </c:pt>
                <c:pt idx="299">
                  <c:v>39493</c:v>
                </c:pt>
                <c:pt idx="300">
                  <c:v>39493</c:v>
                </c:pt>
                <c:pt idx="301">
                  <c:v>39517</c:v>
                </c:pt>
                <c:pt idx="302">
                  <c:v>39517</c:v>
                </c:pt>
                <c:pt idx="303">
                  <c:v>39517</c:v>
                </c:pt>
                <c:pt idx="304">
                  <c:v>39552</c:v>
                </c:pt>
                <c:pt idx="305">
                  <c:v>39552</c:v>
                </c:pt>
                <c:pt idx="306">
                  <c:v>39552</c:v>
                </c:pt>
                <c:pt idx="307">
                  <c:v>39583</c:v>
                </c:pt>
                <c:pt idx="308">
                  <c:v>39583</c:v>
                </c:pt>
                <c:pt idx="309">
                  <c:v>39583</c:v>
                </c:pt>
                <c:pt idx="310">
                  <c:v>39617</c:v>
                </c:pt>
                <c:pt idx="311">
                  <c:v>39617</c:v>
                </c:pt>
                <c:pt idx="312">
                  <c:v>39617</c:v>
                </c:pt>
                <c:pt idx="313">
                  <c:v>39645</c:v>
                </c:pt>
                <c:pt idx="314">
                  <c:v>39645</c:v>
                </c:pt>
                <c:pt idx="315">
                  <c:v>39645</c:v>
                </c:pt>
                <c:pt idx="316">
                  <c:v>39672</c:v>
                </c:pt>
                <c:pt idx="317">
                  <c:v>39672</c:v>
                </c:pt>
                <c:pt idx="318">
                  <c:v>39672</c:v>
                </c:pt>
                <c:pt idx="319">
                  <c:v>39709</c:v>
                </c:pt>
                <c:pt idx="320">
                  <c:v>39709</c:v>
                </c:pt>
                <c:pt idx="321">
                  <c:v>39709</c:v>
                </c:pt>
                <c:pt idx="322">
                  <c:v>39735</c:v>
                </c:pt>
                <c:pt idx="323">
                  <c:v>39735</c:v>
                </c:pt>
                <c:pt idx="324">
                  <c:v>39735</c:v>
                </c:pt>
                <c:pt idx="325">
                  <c:v>39769</c:v>
                </c:pt>
                <c:pt idx="326">
                  <c:v>39769</c:v>
                </c:pt>
                <c:pt idx="327">
                  <c:v>39769</c:v>
                </c:pt>
                <c:pt idx="328">
                  <c:v>39797</c:v>
                </c:pt>
                <c:pt idx="329">
                  <c:v>39797</c:v>
                </c:pt>
                <c:pt idx="330">
                  <c:v>39797</c:v>
                </c:pt>
                <c:pt idx="331">
                  <c:v>39826</c:v>
                </c:pt>
                <c:pt idx="332">
                  <c:v>39826</c:v>
                </c:pt>
                <c:pt idx="333">
                  <c:v>39826</c:v>
                </c:pt>
                <c:pt idx="334">
                  <c:v>39861</c:v>
                </c:pt>
                <c:pt idx="335">
                  <c:v>39861</c:v>
                </c:pt>
                <c:pt idx="336">
                  <c:v>39861</c:v>
                </c:pt>
                <c:pt idx="337">
                  <c:v>39888</c:v>
                </c:pt>
                <c:pt idx="338">
                  <c:v>39888</c:v>
                </c:pt>
                <c:pt idx="339">
                  <c:v>39888</c:v>
                </c:pt>
                <c:pt idx="340">
                  <c:v>39916</c:v>
                </c:pt>
                <c:pt idx="341">
                  <c:v>39916</c:v>
                </c:pt>
                <c:pt idx="342">
                  <c:v>39916</c:v>
                </c:pt>
                <c:pt idx="343">
                  <c:v>39946</c:v>
                </c:pt>
                <c:pt idx="344">
                  <c:v>39946</c:v>
                </c:pt>
                <c:pt idx="345">
                  <c:v>39946</c:v>
                </c:pt>
                <c:pt idx="346">
                  <c:v>39983</c:v>
                </c:pt>
                <c:pt idx="347">
                  <c:v>39983</c:v>
                </c:pt>
                <c:pt idx="348">
                  <c:v>39983</c:v>
                </c:pt>
                <c:pt idx="349">
                  <c:v>40007</c:v>
                </c:pt>
                <c:pt idx="350">
                  <c:v>40007</c:v>
                </c:pt>
                <c:pt idx="351">
                  <c:v>40007</c:v>
                </c:pt>
                <c:pt idx="352">
                  <c:v>40042</c:v>
                </c:pt>
                <c:pt idx="353">
                  <c:v>40042</c:v>
                </c:pt>
                <c:pt idx="354">
                  <c:v>40042</c:v>
                </c:pt>
                <c:pt idx="355">
                  <c:v>40071</c:v>
                </c:pt>
                <c:pt idx="356">
                  <c:v>40071</c:v>
                </c:pt>
                <c:pt idx="357">
                  <c:v>40071</c:v>
                </c:pt>
                <c:pt idx="358">
                  <c:v>40100</c:v>
                </c:pt>
                <c:pt idx="359">
                  <c:v>40100</c:v>
                </c:pt>
                <c:pt idx="360">
                  <c:v>40100</c:v>
                </c:pt>
                <c:pt idx="361">
                  <c:v>40133</c:v>
                </c:pt>
                <c:pt idx="362">
                  <c:v>40133</c:v>
                </c:pt>
                <c:pt idx="363">
                  <c:v>40133</c:v>
                </c:pt>
                <c:pt idx="364">
                  <c:v>40161</c:v>
                </c:pt>
                <c:pt idx="365">
                  <c:v>40161</c:v>
                </c:pt>
                <c:pt idx="366">
                  <c:v>40161</c:v>
                </c:pt>
                <c:pt idx="367">
                  <c:v>40197</c:v>
                </c:pt>
                <c:pt idx="368">
                  <c:v>40197</c:v>
                </c:pt>
                <c:pt idx="369">
                  <c:v>40197</c:v>
                </c:pt>
                <c:pt idx="370">
                  <c:v>40197</c:v>
                </c:pt>
                <c:pt idx="371">
                  <c:v>40225</c:v>
                </c:pt>
                <c:pt idx="372">
                  <c:v>40225</c:v>
                </c:pt>
                <c:pt idx="373">
                  <c:v>40225</c:v>
                </c:pt>
                <c:pt idx="374">
                  <c:v>40255</c:v>
                </c:pt>
                <c:pt idx="375">
                  <c:v>40255</c:v>
                </c:pt>
                <c:pt idx="376">
                  <c:v>40255</c:v>
                </c:pt>
                <c:pt idx="377">
                  <c:v>40281</c:v>
                </c:pt>
                <c:pt idx="378">
                  <c:v>40281</c:v>
                </c:pt>
                <c:pt idx="379">
                  <c:v>40281</c:v>
                </c:pt>
                <c:pt idx="380">
                  <c:v>40317</c:v>
                </c:pt>
                <c:pt idx="381">
                  <c:v>40317</c:v>
                </c:pt>
                <c:pt idx="382">
                  <c:v>40317</c:v>
                </c:pt>
                <c:pt idx="383">
                  <c:v>40345</c:v>
                </c:pt>
                <c:pt idx="384">
                  <c:v>40345</c:v>
                </c:pt>
                <c:pt idx="385">
                  <c:v>40345</c:v>
                </c:pt>
                <c:pt idx="386">
                  <c:v>40374</c:v>
                </c:pt>
                <c:pt idx="387">
                  <c:v>40374</c:v>
                </c:pt>
                <c:pt idx="388">
                  <c:v>40374</c:v>
                </c:pt>
                <c:pt idx="389">
                  <c:v>40409</c:v>
                </c:pt>
                <c:pt idx="390">
                  <c:v>40409</c:v>
                </c:pt>
                <c:pt idx="391">
                  <c:v>40409</c:v>
                </c:pt>
                <c:pt idx="392">
                  <c:v>40434</c:v>
                </c:pt>
                <c:pt idx="393">
                  <c:v>40434</c:v>
                </c:pt>
                <c:pt idx="394">
                  <c:v>40434</c:v>
                </c:pt>
                <c:pt idx="395">
                  <c:v>40434</c:v>
                </c:pt>
                <c:pt idx="396">
                  <c:v>40463</c:v>
                </c:pt>
                <c:pt idx="397">
                  <c:v>40463</c:v>
                </c:pt>
                <c:pt idx="398">
                  <c:v>40463</c:v>
                </c:pt>
                <c:pt idx="399">
                  <c:v>40500</c:v>
                </c:pt>
                <c:pt idx="400">
                  <c:v>40500</c:v>
                </c:pt>
                <c:pt idx="401">
                  <c:v>40500</c:v>
                </c:pt>
                <c:pt idx="402">
                  <c:v>40500</c:v>
                </c:pt>
                <c:pt idx="403">
                  <c:v>40521</c:v>
                </c:pt>
                <c:pt idx="404">
                  <c:v>40521</c:v>
                </c:pt>
                <c:pt idx="405">
                  <c:v>40521</c:v>
                </c:pt>
                <c:pt idx="406">
                  <c:v>40563</c:v>
                </c:pt>
                <c:pt idx="407">
                  <c:v>40563</c:v>
                </c:pt>
                <c:pt idx="408">
                  <c:v>40563</c:v>
                </c:pt>
                <c:pt idx="409">
                  <c:v>40598</c:v>
                </c:pt>
                <c:pt idx="410">
                  <c:v>40598</c:v>
                </c:pt>
                <c:pt idx="411">
                  <c:v>40598</c:v>
                </c:pt>
                <c:pt idx="412">
                  <c:v>40617</c:v>
                </c:pt>
                <c:pt idx="413">
                  <c:v>40617</c:v>
                </c:pt>
                <c:pt idx="414">
                  <c:v>40617</c:v>
                </c:pt>
                <c:pt idx="415">
                  <c:v>40647</c:v>
                </c:pt>
                <c:pt idx="416">
                  <c:v>40647</c:v>
                </c:pt>
                <c:pt idx="417">
                  <c:v>40647</c:v>
                </c:pt>
                <c:pt idx="418">
                  <c:v>40647</c:v>
                </c:pt>
                <c:pt idx="419">
                  <c:v>40682</c:v>
                </c:pt>
                <c:pt idx="420">
                  <c:v>40682</c:v>
                </c:pt>
                <c:pt idx="421">
                  <c:v>40682</c:v>
                </c:pt>
                <c:pt idx="422">
                  <c:v>40709</c:v>
                </c:pt>
                <c:pt idx="423">
                  <c:v>40709</c:v>
                </c:pt>
                <c:pt idx="424">
                  <c:v>40709</c:v>
                </c:pt>
                <c:pt idx="425">
                  <c:v>40736</c:v>
                </c:pt>
                <c:pt idx="426">
                  <c:v>40736</c:v>
                </c:pt>
                <c:pt idx="427">
                  <c:v>40736</c:v>
                </c:pt>
                <c:pt idx="428">
                  <c:v>40772</c:v>
                </c:pt>
                <c:pt idx="429">
                  <c:v>40772</c:v>
                </c:pt>
                <c:pt idx="430">
                  <c:v>40772</c:v>
                </c:pt>
                <c:pt idx="431">
                  <c:v>40798</c:v>
                </c:pt>
                <c:pt idx="432">
                  <c:v>40798</c:v>
                </c:pt>
                <c:pt idx="433">
                  <c:v>40798</c:v>
                </c:pt>
                <c:pt idx="434">
                  <c:v>40829</c:v>
                </c:pt>
                <c:pt idx="435">
                  <c:v>40829</c:v>
                </c:pt>
                <c:pt idx="436">
                  <c:v>40829</c:v>
                </c:pt>
                <c:pt idx="437">
                  <c:v>40877</c:v>
                </c:pt>
                <c:pt idx="438">
                  <c:v>40877</c:v>
                </c:pt>
                <c:pt idx="439">
                  <c:v>40877</c:v>
                </c:pt>
                <c:pt idx="440">
                  <c:v>40877</c:v>
                </c:pt>
                <c:pt idx="441">
                  <c:v>40891</c:v>
                </c:pt>
                <c:pt idx="442">
                  <c:v>40891</c:v>
                </c:pt>
                <c:pt idx="443">
                  <c:v>40891</c:v>
                </c:pt>
                <c:pt idx="444">
                  <c:v>40919</c:v>
                </c:pt>
                <c:pt idx="445">
                  <c:v>40919</c:v>
                </c:pt>
                <c:pt idx="446">
                  <c:v>40919</c:v>
                </c:pt>
                <c:pt idx="447">
                  <c:v>40960</c:v>
                </c:pt>
                <c:pt idx="448">
                  <c:v>40960</c:v>
                </c:pt>
                <c:pt idx="449">
                  <c:v>40960</c:v>
                </c:pt>
                <c:pt idx="450">
                  <c:v>40982</c:v>
                </c:pt>
                <c:pt idx="451">
                  <c:v>40982</c:v>
                </c:pt>
                <c:pt idx="452">
                  <c:v>40982</c:v>
                </c:pt>
                <c:pt idx="453">
                  <c:v>41016</c:v>
                </c:pt>
                <c:pt idx="454">
                  <c:v>41016</c:v>
                </c:pt>
                <c:pt idx="455">
                  <c:v>41016</c:v>
                </c:pt>
                <c:pt idx="456">
                  <c:v>41051</c:v>
                </c:pt>
                <c:pt idx="457">
                  <c:v>41051</c:v>
                </c:pt>
                <c:pt idx="458">
                  <c:v>41051</c:v>
                </c:pt>
                <c:pt idx="459">
                  <c:v>41080</c:v>
                </c:pt>
                <c:pt idx="460">
                  <c:v>41080</c:v>
                </c:pt>
                <c:pt idx="461">
                  <c:v>41080</c:v>
                </c:pt>
                <c:pt idx="462">
                  <c:v>41106</c:v>
                </c:pt>
                <c:pt idx="463">
                  <c:v>41106</c:v>
                </c:pt>
                <c:pt idx="464">
                  <c:v>41106</c:v>
                </c:pt>
                <c:pt idx="465">
                  <c:v>41137</c:v>
                </c:pt>
                <c:pt idx="466">
                  <c:v>41137</c:v>
                </c:pt>
                <c:pt idx="467">
                  <c:v>41137</c:v>
                </c:pt>
                <c:pt idx="468">
                  <c:v>41163</c:v>
                </c:pt>
                <c:pt idx="469">
                  <c:v>41163</c:v>
                </c:pt>
                <c:pt idx="470">
                  <c:v>41163</c:v>
                </c:pt>
                <c:pt idx="471">
                  <c:v>41199</c:v>
                </c:pt>
                <c:pt idx="472">
                  <c:v>41199</c:v>
                </c:pt>
                <c:pt idx="473">
                  <c:v>41199</c:v>
                </c:pt>
                <c:pt idx="474">
                  <c:v>41199</c:v>
                </c:pt>
                <c:pt idx="475">
                  <c:v>41225</c:v>
                </c:pt>
                <c:pt idx="476">
                  <c:v>41225</c:v>
                </c:pt>
                <c:pt idx="477">
                  <c:v>41225</c:v>
                </c:pt>
                <c:pt idx="478">
                  <c:v>41255</c:v>
                </c:pt>
                <c:pt idx="479">
                  <c:v>41255</c:v>
                </c:pt>
                <c:pt idx="480">
                  <c:v>41255</c:v>
                </c:pt>
                <c:pt idx="481">
                  <c:v>41255</c:v>
                </c:pt>
                <c:pt idx="482">
                  <c:v>41297</c:v>
                </c:pt>
                <c:pt idx="483">
                  <c:v>41297</c:v>
                </c:pt>
                <c:pt idx="484">
                  <c:v>41297</c:v>
                </c:pt>
                <c:pt idx="485">
                  <c:v>41319</c:v>
                </c:pt>
                <c:pt idx="486">
                  <c:v>41319</c:v>
                </c:pt>
                <c:pt idx="487">
                  <c:v>41319</c:v>
                </c:pt>
                <c:pt idx="488">
                  <c:v>41346</c:v>
                </c:pt>
                <c:pt idx="489">
                  <c:v>41346</c:v>
                </c:pt>
                <c:pt idx="490">
                  <c:v>41346</c:v>
                </c:pt>
                <c:pt idx="491">
                  <c:v>41380</c:v>
                </c:pt>
                <c:pt idx="492">
                  <c:v>41380</c:v>
                </c:pt>
                <c:pt idx="493">
                  <c:v>41380</c:v>
                </c:pt>
                <c:pt idx="494">
                  <c:v>41407</c:v>
                </c:pt>
                <c:pt idx="495">
                  <c:v>41407</c:v>
                </c:pt>
                <c:pt idx="496">
                  <c:v>41407</c:v>
                </c:pt>
                <c:pt idx="497">
                  <c:v>41437</c:v>
                </c:pt>
                <c:pt idx="498">
                  <c:v>41437</c:v>
                </c:pt>
                <c:pt idx="499">
                  <c:v>41437</c:v>
                </c:pt>
                <c:pt idx="500">
                  <c:v>41470</c:v>
                </c:pt>
                <c:pt idx="501">
                  <c:v>41470</c:v>
                </c:pt>
                <c:pt idx="502">
                  <c:v>41470</c:v>
                </c:pt>
                <c:pt idx="503">
                  <c:v>41498</c:v>
                </c:pt>
                <c:pt idx="504">
                  <c:v>41498</c:v>
                </c:pt>
                <c:pt idx="505">
                  <c:v>41498</c:v>
                </c:pt>
                <c:pt idx="506">
                  <c:v>41498</c:v>
                </c:pt>
                <c:pt idx="507">
                  <c:v>41535</c:v>
                </c:pt>
                <c:pt idx="508">
                  <c:v>41535</c:v>
                </c:pt>
                <c:pt idx="509">
                  <c:v>41535</c:v>
                </c:pt>
                <c:pt idx="510">
                  <c:v>41535</c:v>
                </c:pt>
                <c:pt idx="511">
                  <c:v>406810</c:v>
                </c:pt>
                <c:pt idx="512">
                  <c:v>406810</c:v>
                </c:pt>
                <c:pt idx="513">
                  <c:v>406810</c:v>
                </c:pt>
                <c:pt idx="514">
                  <c:v>41599</c:v>
                </c:pt>
                <c:pt idx="515">
                  <c:v>41599</c:v>
                </c:pt>
                <c:pt idx="516">
                  <c:v>41599</c:v>
                </c:pt>
                <c:pt idx="517">
                  <c:v>41627</c:v>
                </c:pt>
                <c:pt idx="518">
                  <c:v>41627</c:v>
                </c:pt>
                <c:pt idx="519">
                  <c:v>41627</c:v>
                </c:pt>
                <c:pt idx="520">
                  <c:v>41655</c:v>
                </c:pt>
                <c:pt idx="521">
                  <c:v>41655</c:v>
                </c:pt>
                <c:pt idx="522">
                  <c:v>41655</c:v>
                </c:pt>
                <c:pt idx="523">
                  <c:v>41690</c:v>
                </c:pt>
                <c:pt idx="524">
                  <c:v>41690</c:v>
                </c:pt>
                <c:pt idx="525">
                  <c:v>41690</c:v>
                </c:pt>
                <c:pt idx="526">
                  <c:v>41718</c:v>
                </c:pt>
                <c:pt idx="527">
                  <c:v>41718</c:v>
                </c:pt>
                <c:pt idx="528">
                  <c:v>41718</c:v>
                </c:pt>
                <c:pt idx="529">
                  <c:v>41750</c:v>
                </c:pt>
                <c:pt idx="530">
                  <c:v>41750</c:v>
                </c:pt>
                <c:pt idx="531">
                  <c:v>41750</c:v>
                </c:pt>
                <c:pt idx="532">
                  <c:v>41406</c:v>
                </c:pt>
                <c:pt idx="533">
                  <c:v>41406</c:v>
                </c:pt>
                <c:pt idx="534">
                  <c:v>41406</c:v>
                </c:pt>
                <c:pt idx="535">
                  <c:v>41406</c:v>
                </c:pt>
                <c:pt idx="536">
                  <c:v>41807</c:v>
                </c:pt>
                <c:pt idx="537">
                  <c:v>41807</c:v>
                </c:pt>
                <c:pt idx="538">
                  <c:v>41807</c:v>
                </c:pt>
                <c:pt idx="539">
                  <c:v>41837</c:v>
                </c:pt>
                <c:pt idx="540">
                  <c:v>41837</c:v>
                </c:pt>
                <c:pt idx="541">
                  <c:v>41837</c:v>
                </c:pt>
                <c:pt idx="542">
                  <c:v>41862</c:v>
                </c:pt>
                <c:pt idx="543">
                  <c:v>41862</c:v>
                </c:pt>
                <c:pt idx="544">
                  <c:v>41862</c:v>
                </c:pt>
                <c:pt idx="545">
                  <c:v>41897</c:v>
                </c:pt>
                <c:pt idx="546">
                  <c:v>41897</c:v>
                </c:pt>
                <c:pt idx="547">
                  <c:v>41897</c:v>
                </c:pt>
                <c:pt idx="548">
                  <c:v>41928</c:v>
                </c:pt>
                <c:pt idx="549">
                  <c:v>41928</c:v>
                </c:pt>
                <c:pt idx="550">
                  <c:v>41928</c:v>
                </c:pt>
                <c:pt idx="551">
                  <c:v>41928</c:v>
                </c:pt>
                <c:pt idx="552">
                  <c:v>41955</c:v>
                </c:pt>
                <c:pt idx="553">
                  <c:v>41955</c:v>
                </c:pt>
                <c:pt idx="554">
                  <c:v>41955</c:v>
                </c:pt>
                <c:pt idx="555">
                  <c:v>41987</c:v>
                </c:pt>
                <c:pt idx="556">
                  <c:v>41987</c:v>
                </c:pt>
                <c:pt idx="557">
                  <c:v>41987</c:v>
                </c:pt>
                <c:pt idx="558">
                  <c:v>42014</c:v>
                </c:pt>
                <c:pt idx="559">
                  <c:v>42009</c:v>
                </c:pt>
                <c:pt idx="560">
                  <c:v>42009</c:v>
                </c:pt>
                <c:pt idx="561">
                  <c:v>42036</c:v>
                </c:pt>
                <c:pt idx="562">
                  <c:v>42036</c:v>
                </c:pt>
                <c:pt idx="563">
                  <c:v>42036</c:v>
                </c:pt>
                <c:pt idx="564">
                  <c:v>42064</c:v>
                </c:pt>
                <c:pt idx="565">
                  <c:v>42064</c:v>
                </c:pt>
                <c:pt idx="566">
                  <c:v>42064</c:v>
                </c:pt>
                <c:pt idx="567">
                  <c:v>42095</c:v>
                </c:pt>
                <c:pt idx="568">
                  <c:v>42095</c:v>
                </c:pt>
                <c:pt idx="569">
                  <c:v>42095</c:v>
                </c:pt>
                <c:pt idx="570">
                  <c:v>42125</c:v>
                </c:pt>
                <c:pt idx="571">
                  <c:v>42125</c:v>
                </c:pt>
                <c:pt idx="572">
                  <c:v>42125</c:v>
                </c:pt>
                <c:pt idx="573">
                  <c:v>42156</c:v>
                </c:pt>
                <c:pt idx="574">
                  <c:v>42156</c:v>
                </c:pt>
                <c:pt idx="575">
                  <c:v>42156</c:v>
                </c:pt>
                <c:pt idx="576">
                  <c:v>42186</c:v>
                </c:pt>
                <c:pt idx="577">
                  <c:v>42186</c:v>
                </c:pt>
                <c:pt idx="578">
                  <c:v>42186</c:v>
                </c:pt>
                <c:pt idx="579">
                  <c:v>42217</c:v>
                </c:pt>
                <c:pt idx="580">
                  <c:v>42217</c:v>
                </c:pt>
                <c:pt idx="581">
                  <c:v>42217</c:v>
                </c:pt>
                <c:pt idx="582">
                  <c:v>42248</c:v>
                </c:pt>
                <c:pt idx="583">
                  <c:v>42248</c:v>
                </c:pt>
                <c:pt idx="584">
                  <c:v>42248</c:v>
                </c:pt>
                <c:pt idx="585">
                  <c:v>42278</c:v>
                </c:pt>
                <c:pt idx="586">
                  <c:v>42278</c:v>
                </c:pt>
                <c:pt idx="587">
                  <c:v>42278</c:v>
                </c:pt>
                <c:pt idx="588">
                  <c:v>42309</c:v>
                </c:pt>
                <c:pt idx="589">
                  <c:v>42309</c:v>
                </c:pt>
                <c:pt idx="590">
                  <c:v>42309</c:v>
                </c:pt>
                <c:pt idx="591">
                  <c:v>42339</c:v>
                </c:pt>
                <c:pt idx="592">
                  <c:v>42339</c:v>
                </c:pt>
                <c:pt idx="593">
                  <c:v>42339</c:v>
                </c:pt>
                <c:pt idx="594">
                  <c:v>42379</c:v>
                </c:pt>
                <c:pt idx="595">
                  <c:v>42374</c:v>
                </c:pt>
                <c:pt idx="596">
                  <c:v>42374</c:v>
                </c:pt>
                <c:pt idx="597">
                  <c:v>42401</c:v>
                </c:pt>
                <c:pt idx="598">
                  <c:v>42401</c:v>
                </c:pt>
                <c:pt idx="599">
                  <c:v>42401</c:v>
                </c:pt>
                <c:pt idx="600">
                  <c:v>42430</c:v>
                </c:pt>
                <c:pt idx="601">
                  <c:v>42430</c:v>
                </c:pt>
                <c:pt idx="602">
                  <c:v>42430</c:v>
                </c:pt>
                <c:pt idx="603">
                  <c:v>42461</c:v>
                </c:pt>
                <c:pt idx="604">
                  <c:v>42461</c:v>
                </c:pt>
                <c:pt idx="605">
                  <c:v>42461</c:v>
                </c:pt>
                <c:pt idx="606">
                  <c:v>42491</c:v>
                </c:pt>
                <c:pt idx="607">
                  <c:v>42491</c:v>
                </c:pt>
                <c:pt idx="608">
                  <c:v>42491</c:v>
                </c:pt>
                <c:pt idx="609">
                  <c:v>42522</c:v>
                </c:pt>
                <c:pt idx="610">
                  <c:v>42522</c:v>
                </c:pt>
                <c:pt idx="611">
                  <c:v>42522</c:v>
                </c:pt>
                <c:pt idx="612">
                  <c:v>42552</c:v>
                </c:pt>
                <c:pt idx="613">
                  <c:v>42552</c:v>
                </c:pt>
                <c:pt idx="614">
                  <c:v>42552</c:v>
                </c:pt>
                <c:pt idx="615">
                  <c:v>42583</c:v>
                </c:pt>
                <c:pt idx="616">
                  <c:v>42583</c:v>
                </c:pt>
                <c:pt idx="617">
                  <c:v>42583</c:v>
                </c:pt>
                <c:pt idx="618">
                  <c:v>42614</c:v>
                </c:pt>
                <c:pt idx="619">
                  <c:v>42614</c:v>
                </c:pt>
                <c:pt idx="620">
                  <c:v>42614</c:v>
                </c:pt>
                <c:pt idx="621">
                  <c:v>42644</c:v>
                </c:pt>
                <c:pt idx="622">
                  <c:v>42644</c:v>
                </c:pt>
                <c:pt idx="623">
                  <c:v>42644</c:v>
                </c:pt>
                <c:pt idx="624">
                  <c:v>42675</c:v>
                </c:pt>
                <c:pt idx="625">
                  <c:v>42675</c:v>
                </c:pt>
                <c:pt idx="626">
                  <c:v>42675</c:v>
                </c:pt>
                <c:pt idx="627">
                  <c:v>42705</c:v>
                </c:pt>
                <c:pt idx="628">
                  <c:v>42705</c:v>
                </c:pt>
                <c:pt idx="629">
                  <c:v>42705</c:v>
                </c:pt>
                <c:pt idx="630">
                  <c:v>42745</c:v>
                </c:pt>
                <c:pt idx="631">
                  <c:v>42740</c:v>
                </c:pt>
                <c:pt idx="632">
                  <c:v>42740</c:v>
                </c:pt>
                <c:pt idx="633">
                  <c:v>42767</c:v>
                </c:pt>
                <c:pt idx="634">
                  <c:v>42767</c:v>
                </c:pt>
                <c:pt idx="635">
                  <c:v>42767</c:v>
                </c:pt>
                <c:pt idx="636">
                  <c:v>42795</c:v>
                </c:pt>
                <c:pt idx="637">
                  <c:v>42795</c:v>
                </c:pt>
                <c:pt idx="638">
                  <c:v>42795</c:v>
                </c:pt>
                <c:pt idx="639">
                  <c:v>42826</c:v>
                </c:pt>
                <c:pt idx="640">
                  <c:v>42826</c:v>
                </c:pt>
                <c:pt idx="641">
                  <c:v>42826</c:v>
                </c:pt>
                <c:pt idx="642">
                  <c:v>42856</c:v>
                </c:pt>
                <c:pt idx="643">
                  <c:v>42856</c:v>
                </c:pt>
                <c:pt idx="644">
                  <c:v>42856</c:v>
                </c:pt>
                <c:pt idx="645">
                  <c:v>42887</c:v>
                </c:pt>
                <c:pt idx="646">
                  <c:v>42887</c:v>
                </c:pt>
                <c:pt idx="647">
                  <c:v>42887</c:v>
                </c:pt>
                <c:pt idx="648">
                  <c:v>42917</c:v>
                </c:pt>
                <c:pt idx="649">
                  <c:v>42917</c:v>
                </c:pt>
                <c:pt idx="650">
                  <c:v>42917</c:v>
                </c:pt>
                <c:pt idx="651">
                  <c:v>42948</c:v>
                </c:pt>
                <c:pt idx="652">
                  <c:v>42948</c:v>
                </c:pt>
                <c:pt idx="653">
                  <c:v>42948</c:v>
                </c:pt>
                <c:pt idx="654">
                  <c:v>42979</c:v>
                </c:pt>
                <c:pt idx="655">
                  <c:v>42979</c:v>
                </c:pt>
                <c:pt idx="656">
                  <c:v>42979</c:v>
                </c:pt>
                <c:pt idx="657">
                  <c:v>43009</c:v>
                </c:pt>
                <c:pt idx="658">
                  <c:v>43009</c:v>
                </c:pt>
                <c:pt idx="659">
                  <c:v>43009</c:v>
                </c:pt>
                <c:pt idx="660">
                  <c:v>43040</c:v>
                </c:pt>
                <c:pt idx="661">
                  <c:v>43040</c:v>
                </c:pt>
                <c:pt idx="662">
                  <c:v>43040</c:v>
                </c:pt>
                <c:pt idx="663">
                  <c:v>43070</c:v>
                </c:pt>
                <c:pt idx="664">
                  <c:v>43070</c:v>
                </c:pt>
                <c:pt idx="665">
                  <c:v>43070</c:v>
                </c:pt>
                <c:pt idx="666">
                  <c:v>43110</c:v>
                </c:pt>
                <c:pt idx="667">
                  <c:v>43105</c:v>
                </c:pt>
                <c:pt idx="668">
                  <c:v>43105</c:v>
                </c:pt>
                <c:pt idx="669">
                  <c:v>43132</c:v>
                </c:pt>
                <c:pt idx="670">
                  <c:v>43132</c:v>
                </c:pt>
                <c:pt idx="671">
                  <c:v>43132</c:v>
                </c:pt>
                <c:pt idx="672">
                  <c:v>43160</c:v>
                </c:pt>
                <c:pt idx="673">
                  <c:v>43160</c:v>
                </c:pt>
                <c:pt idx="674">
                  <c:v>43160</c:v>
                </c:pt>
                <c:pt idx="675">
                  <c:v>43191</c:v>
                </c:pt>
                <c:pt idx="676">
                  <c:v>43191</c:v>
                </c:pt>
                <c:pt idx="677">
                  <c:v>43191</c:v>
                </c:pt>
                <c:pt idx="678">
                  <c:v>43221</c:v>
                </c:pt>
                <c:pt idx="679">
                  <c:v>43221</c:v>
                </c:pt>
                <c:pt idx="680">
                  <c:v>43221</c:v>
                </c:pt>
                <c:pt idx="681">
                  <c:v>43252</c:v>
                </c:pt>
                <c:pt idx="682">
                  <c:v>43252</c:v>
                </c:pt>
                <c:pt idx="683">
                  <c:v>43252</c:v>
                </c:pt>
                <c:pt idx="684">
                  <c:v>43282</c:v>
                </c:pt>
                <c:pt idx="685">
                  <c:v>43282</c:v>
                </c:pt>
                <c:pt idx="686">
                  <c:v>43282</c:v>
                </c:pt>
                <c:pt idx="687">
                  <c:v>43313</c:v>
                </c:pt>
                <c:pt idx="688">
                  <c:v>43313</c:v>
                </c:pt>
                <c:pt idx="689">
                  <c:v>43313</c:v>
                </c:pt>
                <c:pt idx="690">
                  <c:v>43344</c:v>
                </c:pt>
                <c:pt idx="691">
                  <c:v>43344</c:v>
                </c:pt>
                <c:pt idx="692">
                  <c:v>43344</c:v>
                </c:pt>
                <c:pt idx="693">
                  <c:v>43374</c:v>
                </c:pt>
                <c:pt idx="694">
                  <c:v>43374</c:v>
                </c:pt>
                <c:pt idx="695">
                  <c:v>43374</c:v>
                </c:pt>
                <c:pt idx="696">
                  <c:v>43405</c:v>
                </c:pt>
                <c:pt idx="697">
                  <c:v>43405</c:v>
                </c:pt>
                <c:pt idx="698">
                  <c:v>43405</c:v>
                </c:pt>
                <c:pt idx="699">
                  <c:v>43435</c:v>
                </c:pt>
                <c:pt idx="700">
                  <c:v>43435</c:v>
                </c:pt>
                <c:pt idx="701">
                  <c:v>43435</c:v>
                </c:pt>
                <c:pt idx="702">
                  <c:v>43475</c:v>
                </c:pt>
                <c:pt idx="703">
                  <c:v>43470</c:v>
                </c:pt>
                <c:pt idx="704">
                  <c:v>43470</c:v>
                </c:pt>
                <c:pt idx="705">
                  <c:v>43497</c:v>
                </c:pt>
                <c:pt idx="706">
                  <c:v>43497</c:v>
                </c:pt>
                <c:pt idx="707">
                  <c:v>43497</c:v>
                </c:pt>
                <c:pt idx="708">
                  <c:v>43525</c:v>
                </c:pt>
                <c:pt idx="709">
                  <c:v>43525</c:v>
                </c:pt>
                <c:pt idx="710">
                  <c:v>43525</c:v>
                </c:pt>
                <c:pt idx="711">
                  <c:v>43556</c:v>
                </c:pt>
                <c:pt idx="712">
                  <c:v>43556</c:v>
                </c:pt>
                <c:pt idx="713">
                  <c:v>43556</c:v>
                </c:pt>
                <c:pt idx="714">
                  <c:v>43586</c:v>
                </c:pt>
                <c:pt idx="715">
                  <c:v>43586</c:v>
                </c:pt>
                <c:pt idx="716">
                  <c:v>43586</c:v>
                </c:pt>
                <c:pt idx="717">
                  <c:v>43617</c:v>
                </c:pt>
                <c:pt idx="718">
                  <c:v>43617</c:v>
                </c:pt>
                <c:pt idx="719">
                  <c:v>43617</c:v>
                </c:pt>
                <c:pt idx="720">
                  <c:v>43647</c:v>
                </c:pt>
                <c:pt idx="721">
                  <c:v>43647</c:v>
                </c:pt>
                <c:pt idx="722">
                  <c:v>43647</c:v>
                </c:pt>
                <c:pt idx="723">
                  <c:v>43678</c:v>
                </c:pt>
                <c:pt idx="724">
                  <c:v>43678</c:v>
                </c:pt>
                <c:pt idx="725">
                  <c:v>43678</c:v>
                </c:pt>
                <c:pt idx="726">
                  <c:v>43709</c:v>
                </c:pt>
                <c:pt idx="727">
                  <c:v>43709</c:v>
                </c:pt>
                <c:pt idx="728">
                  <c:v>43709</c:v>
                </c:pt>
                <c:pt idx="729">
                  <c:v>43739</c:v>
                </c:pt>
                <c:pt idx="730">
                  <c:v>43739</c:v>
                </c:pt>
                <c:pt idx="731">
                  <c:v>43739</c:v>
                </c:pt>
                <c:pt idx="732">
                  <c:v>43770</c:v>
                </c:pt>
                <c:pt idx="733">
                  <c:v>43770</c:v>
                </c:pt>
                <c:pt idx="734">
                  <c:v>43770</c:v>
                </c:pt>
                <c:pt idx="735">
                  <c:v>43800</c:v>
                </c:pt>
                <c:pt idx="736">
                  <c:v>43800</c:v>
                </c:pt>
                <c:pt idx="737">
                  <c:v>43800</c:v>
                </c:pt>
                <c:pt idx="738">
                  <c:v>43840</c:v>
                </c:pt>
                <c:pt idx="739">
                  <c:v>43835</c:v>
                </c:pt>
              </c:numCache>
            </c:numRef>
          </c:xVal>
          <c:yVal>
            <c:numRef>
              <c:f>'Peridin update'!$L$5:$L$742</c:f>
              <c:numCache>
                <c:formatCode>General</c:formatCode>
                <c:ptCount val="738"/>
                <c:pt idx="0">
                  <c:v>3.5169042983239397E-2</c:v>
                </c:pt>
                <c:pt idx="3">
                  <c:v>8.8747605437621835E-3</c:v>
                </c:pt>
                <c:pt idx="6">
                  <c:v>7.8746350576760476E-3</c:v>
                </c:pt>
                <c:pt idx="9">
                  <c:v>1.7343363622823356E-2</c:v>
                </c:pt>
                <c:pt idx="12">
                  <c:v>1.1795041874480855E-2</c:v>
                </c:pt>
                <c:pt idx="15">
                  <c:v>2.5504039179451422E-2</c:v>
                </c:pt>
                <c:pt idx="18">
                  <c:v>1.3397869946481747E-2</c:v>
                </c:pt>
                <c:pt idx="21">
                  <c:v>9.9318859023155001E-2</c:v>
                </c:pt>
                <c:pt idx="24">
                  <c:v>1.7612319792434678E-2</c:v>
                </c:pt>
                <c:pt idx="27">
                  <c:v>2.1979349250991934E-2</c:v>
                </c:pt>
                <c:pt idx="30">
                  <c:v>2.6832336845038305E-3</c:v>
                </c:pt>
                <c:pt idx="33">
                  <c:v>8.6629729352260335E-3</c:v>
                </c:pt>
                <c:pt idx="36">
                  <c:v>5.1123909914714879E-3</c:v>
                </c:pt>
                <c:pt idx="39">
                  <c:v>4.4809053229426833E-2</c:v>
                </c:pt>
                <c:pt idx="42">
                  <c:v>1.5816219574415931E-2</c:v>
                </c:pt>
                <c:pt idx="45">
                  <c:v>2.640636135853543E-2</c:v>
                </c:pt>
                <c:pt idx="48">
                  <c:v>1.1379207109677934E-2</c:v>
                </c:pt>
                <c:pt idx="51">
                  <c:v>7.6112695854477965E-3</c:v>
                </c:pt>
                <c:pt idx="54">
                  <c:v>1.3127798790277888E-2</c:v>
                </c:pt>
                <c:pt idx="57">
                  <c:v>0</c:v>
                </c:pt>
                <c:pt idx="60">
                  <c:v>2.6263039993605741E-2</c:v>
                </c:pt>
                <c:pt idx="63">
                  <c:v>3.2126195241881324E-2</c:v>
                </c:pt>
                <c:pt idx="66">
                  <c:v>1.2614010339976545E-2</c:v>
                </c:pt>
                <c:pt idx="69">
                  <c:v>2.6965648814415767E-3</c:v>
                </c:pt>
                <c:pt idx="72">
                  <c:v>7.7602345338178783E-3</c:v>
                </c:pt>
                <c:pt idx="75">
                  <c:v>3.5797259768597677E-3</c:v>
                </c:pt>
                <c:pt idx="78">
                  <c:v>1.5971766093891709E-2</c:v>
                </c:pt>
                <c:pt idx="81">
                  <c:v>9.3247068765847287E-3</c:v>
                </c:pt>
                <c:pt idx="84">
                  <c:v>3.7176351332881975E-2</c:v>
                </c:pt>
                <c:pt idx="87">
                  <c:v>2.3335813402053741E-2</c:v>
                </c:pt>
                <c:pt idx="90">
                  <c:v>1.0049750652111273E-2</c:v>
                </c:pt>
                <c:pt idx="108">
                  <c:v>1.2305219067770056E-2</c:v>
                </c:pt>
                <c:pt idx="111">
                  <c:v>6.1705241812238529E-3</c:v>
                </c:pt>
                <c:pt idx="114">
                  <c:v>3.8769946269056971E-2</c:v>
                </c:pt>
                <c:pt idx="117">
                  <c:v>2.1338260851038845E-2</c:v>
                </c:pt>
                <c:pt idx="120">
                  <c:v>7.9877827156628278E-2</c:v>
                </c:pt>
                <c:pt idx="123">
                  <c:v>6.53746070321745E-2</c:v>
                </c:pt>
                <c:pt idx="126">
                  <c:v>6.4094152613393919E-3</c:v>
                </c:pt>
                <c:pt idx="129">
                  <c:v>2.070256404781351E-2</c:v>
                </c:pt>
                <c:pt idx="132">
                  <c:v>1.2866492129895078E-2</c:v>
                </c:pt>
                <c:pt idx="135">
                  <c:v>2.4922505064481446E-2</c:v>
                </c:pt>
                <c:pt idx="138">
                  <c:v>1.9666786115923672E-2</c:v>
                </c:pt>
                <c:pt idx="141">
                  <c:v>3.185892778445884E-2</c:v>
                </c:pt>
                <c:pt idx="144">
                  <c:v>1.388179728090955E-2</c:v>
                </c:pt>
                <c:pt idx="147">
                  <c:v>1.7868693058552314E-2</c:v>
                </c:pt>
                <c:pt idx="150">
                  <c:v>3.3326879093464941E-2</c:v>
                </c:pt>
                <c:pt idx="153">
                  <c:v>4.4225264162093304E-3</c:v>
                </c:pt>
                <c:pt idx="156">
                  <c:v>2.7549056654763336E-2</c:v>
                </c:pt>
                <c:pt idx="159">
                  <c:v>3.9089492977990685E-2</c:v>
                </c:pt>
                <c:pt idx="162">
                  <c:v>2.1013544033097485E-2</c:v>
                </c:pt>
                <c:pt idx="165">
                  <c:v>4.7668708035050085E-2</c:v>
                </c:pt>
                <c:pt idx="168">
                  <c:v>2.7390346959692263E-2</c:v>
                </c:pt>
                <c:pt idx="171">
                  <c:v>1.6751267859774557E-2</c:v>
                </c:pt>
                <c:pt idx="177">
                  <c:v>2.7888129713634436E-3</c:v>
                </c:pt>
                <c:pt idx="180">
                  <c:v>6.5452661204317142E-3</c:v>
                </c:pt>
                <c:pt idx="183">
                  <c:v>8.0044749030602561E-3</c:v>
                </c:pt>
                <c:pt idx="186">
                  <c:v>6.6410985576574903E-3</c:v>
                </c:pt>
                <c:pt idx="189">
                  <c:v>1.0714475410455938E-2</c:v>
                </c:pt>
                <c:pt idx="192">
                  <c:v>3.8513678625871961E-2</c:v>
                </c:pt>
                <c:pt idx="195">
                  <c:v>0.24210233307255888</c:v>
                </c:pt>
                <c:pt idx="198">
                  <c:v>1.1641021241540241E-2</c:v>
                </c:pt>
                <c:pt idx="201">
                  <c:v>1.4492899047545582E-2</c:v>
                </c:pt>
                <c:pt idx="204">
                  <c:v>1.1861437275148183E-2</c:v>
                </c:pt>
                <c:pt idx="207">
                  <c:v>4.1517845228584364E-2</c:v>
                </c:pt>
                <c:pt idx="210">
                  <c:v>1.5188684086608733E-2</c:v>
                </c:pt>
                <c:pt idx="213">
                  <c:v>1.3591268119921736E-2</c:v>
                </c:pt>
                <c:pt idx="216">
                  <c:v>2.0122120455176242E-3</c:v>
                </c:pt>
                <c:pt idx="219">
                  <c:v>3.3429945326394835E-3</c:v>
                </c:pt>
                <c:pt idx="222">
                  <c:v>5.4953029343466318E-3</c:v>
                </c:pt>
                <c:pt idx="225">
                  <c:v>5.2049611764985231E-2</c:v>
                </c:pt>
                <c:pt idx="228">
                  <c:v>2.324586688486787E-2</c:v>
                </c:pt>
                <c:pt idx="231">
                  <c:v>8.3374902016674982E-3</c:v>
                </c:pt>
                <c:pt idx="234">
                  <c:v>7.3179086351321905E-3</c:v>
                </c:pt>
                <c:pt idx="237">
                  <c:v>5.6846400622827141E-3</c:v>
                </c:pt>
                <c:pt idx="240">
                  <c:v>2.2135015991010459E-2</c:v>
                </c:pt>
                <c:pt idx="243">
                  <c:v>1.1102505435786662E-2</c:v>
                </c:pt>
                <c:pt idx="246">
                  <c:v>6.3231589490403972E-3</c:v>
                </c:pt>
                <c:pt idx="249">
                  <c:v>1.1942583050787124E-2</c:v>
                </c:pt>
                <c:pt idx="252">
                  <c:v>6.3035625752532048E-3</c:v>
                </c:pt>
                <c:pt idx="255">
                  <c:v>4.7460010546669E-3</c:v>
                </c:pt>
                <c:pt idx="258">
                  <c:v>1.6238868517548456E-2</c:v>
                </c:pt>
                <c:pt idx="261">
                  <c:v>3.3772886822882077E-2</c:v>
                </c:pt>
                <c:pt idx="264">
                  <c:v>1.1876484560570073E-2</c:v>
                </c:pt>
                <c:pt idx="267">
                  <c:v>6.7983853834714253E-3</c:v>
                </c:pt>
                <c:pt idx="270">
                  <c:v>8.1648909688340141E-3</c:v>
                </c:pt>
                <c:pt idx="273">
                  <c:v>8.3537668608215827E-3</c:v>
                </c:pt>
                <c:pt idx="276">
                  <c:v>4.486384118069614E-2</c:v>
                </c:pt>
                <c:pt idx="279">
                  <c:v>1.7267239802451071E-2</c:v>
                </c:pt>
                <c:pt idx="282">
                  <c:v>2.2055049513685187E-3</c:v>
                </c:pt>
                <c:pt idx="285">
                  <c:v>1.0967022521205031E-4</c:v>
                </c:pt>
                <c:pt idx="288">
                  <c:v>5.1260737046273201E-3</c:v>
                </c:pt>
                <c:pt idx="291">
                  <c:v>4.4678284182305631E-4</c:v>
                </c:pt>
                <c:pt idx="294">
                  <c:v>1.1548526567300035E-2</c:v>
                </c:pt>
                <c:pt idx="297">
                  <c:v>1.28719723183391E-2</c:v>
                </c:pt>
                <c:pt idx="300">
                  <c:v>1.9461077844311381E-2</c:v>
                </c:pt>
                <c:pt idx="303">
                  <c:v>1.9342086686432301E-2</c:v>
                </c:pt>
                <c:pt idx="306">
                  <c:v>3.3105744888023369E-3</c:v>
                </c:pt>
                <c:pt idx="309">
                  <c:v>3.6882296343810138E-3</c:v>
                </c:pt>
                <c:pt idx="312">
                  <c:v>1.0491071428571431E-2</c:v>
                </c:pt>
                <c:pt idx="315">
                  <c:v>1.4407467532467532E-2</c:v>
                </c:pt>
                <c:pt idx="318">
                  <c:v>7.9763663220088626E-3</c:v>
                </c:pt>
                <c:pt idx="321">
                  <c:v>2.7880134916457083E-3</c:v>
                </c:pt>
                <c:pt idx="324">
                  <c:v>3.2359186975427245E-3</c:v>
                </c:pt>
                <c:pt idx="327">
                  <c:v>1.4124742104427867E-2</c:v>
                </c:pt>
                <c:pt idx="330">
                  <c:v>7.3534661240808171E-3</c:v>
                </c:pt>
                <c:pt idx="333">
                  <c:v>1.2647898816809465E-2</c:v>
                </c:pt>
                <c:pt idx="336">
                  <c:v>6.6353331490185252E-3</c:v>
                </c:pt>
                <c:pt idx="339">
                  <c:v>7.4141598298389545E-3</c:v>
                </c:pt>
                <c:pt idx="342">
                  <c:v>9.3199516741456698E-3</c:v>
                </c:pt>
                <c:pt idx="345">
                  <c:v>1.2239020878329735E-2</c:v>
                </c:pt>
                <c:pt idx="348">
                  <c:v>2.4229705237050463E-2</c:v>
                </c:pt>
                <c:pt idx="351">
                  <c:v>1.3690922730682674E-2</c:v>
                </c:pt>
                <c:pt idx="354">
                  <c:v>1.4540781820641148E-2</c:v>
                </c:pt>
                <c:pt idx="357">
                  <c:v>3.4781445436607474E-3</c:v>
                </c:pt>
                <c:pt idx="360">
                  <c:v>1.1115575197535824E-2</c:v>
                </c:pt>
                <c:pt idx="363">
                  <c:v>1.367209752762903E-2</c:v>
                </c:pt>
                <c:pt idx="366">
                  <c:v>7.2500151042191111E-3</c:v>
                </c:pt>
                <c:pt idx="370">
                  <c:v>3.9759030245057843E-2</c:v>
                </c:pt>
                <c:pt idx="373">
                  <c:v>7.7992774508626557E-3</c:v>
                </c:pt>
                <c:pt idx="376">
                  <c:v>0</c:v>
                </c:pt>
                <c:pt idx="379">
                  <c:v>5.7471457554300271E-3</c:v>
                </c:pt>
                <c:pt idx="382">
                  <c:v>2.8184689638318675E-2</c:v>
                </c:pt>
                <c:pt idx="385">
                  <c:v>3.5115655927563695E-2</c:v>
                </c:pt>
                <c:pt idx="388">
                  <c:v>2.573876032791117E-2</c:v>
                </c:pt>
                <c:pt idx="391">
                  <c:v>2.2561633954333346E-2</c:v>
                </c:pt>
                <c:pt idx="395">
                  <c:v>1.4600594717509184E-2</c:v>
                </c:pt>
                <c:pt idx="398">
                  <c:v>2.2234650240209639E-2</c:v>
                </c:pt>
                <c:pt idx="402">
                  <c:v>1.0291559429106222E-2</c:v>
                </c:pt>
                <c:pt idx="405">
                  <c:v>8.0392943977307257E-3</c:v>
                </c:pt>
                <c:pt idx="408">
                  <c:v>5.7780135124000983E-3</c:v>
                </c:pt>
                <c:pt idx="411">
                  <c:v>6.7738305553421913E-3</c:v>
                </c:pt>
                <c:pt idx="414">
                  <c:v>2.1900168239480197E-2</c:v>
                </c:pt>
                <c:pt idx="418">
                  <c:v>1.8870913855224367E-2</c:v>
                </c:pt>
                <c:pt idx="421">
                  <c:v>6.5644810177705987E-2</c:v>
                </c:pt>
                <c:pt idx="424">
                  <c:v>1.6341372197026957E-2</c:v>
                </c:pt>
                <c:pt idx="427">
                  <c:v>2.0462765630127999E-2</c:v>
                </c:pt>
                <c:pt idx="430">
                  <c:v>8.4683262274790252E-3</c:v>
                </c:pt>
                <c:pt idx="433">
                  <c:v>1.2755851789650467E-2</c:v>
                </c:pt>
                <c:pt idx="436">
                  <c:v>4.6895191805845497E-2</c:v>
                </c:pt>
                <c:pt idx="440">
                  <c:v>1.7244914807414805E-2</c:v>
                </c:pt>
                <c:pt idx="443">
                  <c:v>2.8143640877783111E-2</c:v>
                </c:pt>
                <c:pt idx="446">
                  <c:v>5.2882018125552606E-2</c:v>
                </c:pt>
                <c:pt idx="449">
                  <c:v>4.0025670041691476E-2</c:v>
                </c:pt>
                <c:pt idx="452">
                  <c:v>2.0795049295232224E-2</c:v>
                </c:pt>
                <c:pt idx="455">
                  <c:v>1.1112302074041036E-2</c:v>
                </c:pt>
                <c:pt idx="458">
                  <c:v>2.6308028598218472E-2</c:v>
                </c:pt>
                <c:pt idx="461">
                  <c:v>2.3234984488998682E-2</c:v>
                </c:pt>
                <c:pt idx="464">
                  <c:v>2.2992190180961315E-2</c:v>
                </c:pt>
                <c:pt idx="467">
                  <c:v>1.3620890339243331E-2</c:v>
                </c:pt>
                <c:pt idx="470">
                  <c:v>0.16721929754893575</c:v>
                </c:pt>
                <c:pt idx="474">
                  <c:v>2.9720800335973116E-2</c:v>
                </c:pt>
                <c:pt idx="477">
                  <c:v>0</c:v>
                </c:pt>
                <c:pt idx="481">
                  <c:v>7.1141374507405894E-3</c:v>
                </c:pt>
                <c:pt idx="484">
                  <c:v>3.2877306341973556E-2</c:v>
                </c:pt>
                <c:pt idx="487">
                  <c:v>7.7193752687401473E-2</c:v>
                </c:pt>
                <c:pt idx="490">
                  <c:v>1.6254164687521205E-2</c:v>
                </c:pt>
                <c:pt idx="493">
                  <c:v>0</c:v>
                </c:pt>
                <c:pt idx="496">
                  <c:v>1.1819397494531717E-2</c:v>
                </c:pt>
                <c:pt idx="499">
                  <c:v>1.3751557765353591E-2</c:v>
                </c:pt>
                <c:pt idx="502">
                  <c:v>2.5682580645161282E-2</c:v>
                </c:pt>
                <c:pt idx="506">
                  <c:v>4.1918536938619168E-2</c:v>
                </c:pt>
                <c:pt idx="510">
                  <c:v>1.1309783671303277E-2</c:v>
                </c:pt>
                <c:pt idx="513">
                  <c:v>1.6083333333333331E-2</c:v>
                </c:pt>
                <c:pt idx="516">
                  <c:v>2.128126975208933E-2</c:v>
                </c:pt>
                <c:pt idx="519">
                  <c:v>1.2956399605296662E-2</c:v>
                </c:pt>
                <c:pt idx="522">
                  <c:v>1.3707974950958204E-2</c:v>
                </c:pt>
                <c:pt idx="525">
                  <c:v>4.0131673947842325E-2</c:v>
                </c:pt>
                <c:pt idx="528">
                  <c:v>1.0378344250651093E-2</c:v>
                </c:pt>
                <c:pt idx="531">
                  <c:v>6.1524969518390567E-3</c:v>
                </c:pt>
                <c:pt idx="535">
                  <c:v>2.1224039994685091E-2</c:v>
                </c:pt>
                <c:pt idx="538">
                  <c:v>2.2681143555579434E-2</c:v>
                </c:pt>
                <c:pt idx="541">
                  <c:v>2.2454688835698407E-2</c:v>
                </c:pt>
                <c:pt idx="544">
                  <c:v>2.4949887080975182E-2</c:v>
                </c:pt>
                <c:pt idx="547">
                  <c:v>8.3901484411983487E-3</c:v>
                </c:pt>
                <c:pt idx="551">
                  <c:v>2.9695130634824995E-2</c:v>
                </c:pt>
                <c:pt idx="554">
                  <c:v>2.0439826565143822E-2</c:v>
                </c:pt>
                <c:pt idx="560">
                  <c:v>3.989527490337862E-3</c:v>
                </c:pt>
                <c:pt idx="566">
                  <c:v>8.2934294318013531E-3</c:v>
                </c:pt>
                <c:pt idx="569">
                  <c:v>6.8302555021502662E-3</c:v>
                </c:pt>
                <c:pt idx="572">
                  <c:v>2.2273039103590211E-2</c:v>
                </c:pt>
                <c:pt idx="575">
                  <c:v>7.5392127848475876E-2</c:v>
                </c:pt>
                <c:pt idx="578">
                  <c:v>2.9450900381442383E-2</c:v>
                </c:pt>
                <c:pt idx="581">
                  <c:v>2.0274653979238753E-2</c:v>
                </c:pt>
                <c:pt idx="584">
                  <c:v>2.9295544352091565E-3</c:v>
                </c:pt>
                <c:pt idx="587">
                  <c:v>1.0939597315436244E-2</c:v>
                </c:pt>
                <c:pt idx="590">
                  <c:v>1.9627085377821391E-2</c:v>
                </c:pt>
                <c:pt idx="593">
                  <c:v>9.070958302852962E-3</c:v>
                </c:pt>
                <c:pt idx="596">
                  <c:v>8.5106382978723406E-3</c:v>
                </c:pt>
                <c:pt idx="599">
                  <c:v>2.7592914917579602E-2</c:v>
                </c:pt>
                <c:pt idx="602">
                  <c:v>4.596243759410412E-3</c:v>
                </c:pt>
                <c:pt idx="605">
                  <c:v>3.73223219248789E-3</c:v>
                </c:pt>
                <c:pt idx="608">
                  <c:v>8.3610613428888331E-3</c:v>
                </c:pt>
                <c:pt idx="611">
                  <c:v>1.7041316696606301E-2</c:v>
                </c:pt>
                <c:pt idx="614">
                  <c:v>3.4226190476190479E-2</c:v>
                </c:pt>
                <c:pt idx="617">
                  <c:v>6.2958027981345763E-3</c:v>
                </c:pt>
                <c:pt idx="620">
                  <c:v>7.0016124925740475E-3</c:v>
                </c:pt>
                <c:pt idx="623">
                  <c:v>1.7816527672479151E-2</c:v>
                </c:pt>
                <c:pt idx="626">
                  <c:v>1.1612475116124749E-2</c:v>
                </c:pt>
                <c:pt idx="629">
                  <c:v>2.0997755412352475E-2</c:v>
                </c:pt>
                <c:pt idx="638">
                  <c:v>5.7435035371576661E-3</c:v>
                </c:pt>
                <c:pt idx="641">
                  <c:v>3.0078204534937521E-3</c:v>
                </c:pt>
                <c:pt idx="644">
                  <c:v>7.1811803549319028E-2</c:v>
                </c:pt>
                <c:pt idx="647">
                  <c:v>3.5006554090523563E-2</c:v>
                </c:pt>
                <c:pt idx="650">
                  <c:v>2.4016483162706843E-2</c:v>
                </c:pt>
                <c:pt idx="656">
                  <c:v>1.2290794979079497E-2</c:v>
                </c:pt>
                <c:pt idx="662">
                  <c:v>1.5957446808510641E-2</c:v>
                </c:pt>
                <c:pt idx="665">
                  <c:v>1.4336917562724016E-2</c:v>
                </c:pt>
                <c:pt idx="668">
                  <c:v>3.6182722749886925E-3</c:v>
                </c:pt>
                <c:pt idx="671">
                  <c:v>5.1355792933442893E-3</c:v>
                </c:pt>
                <c:pt idx="674">
                  <c:v>5.3418756967670011E-3</c:v>
                </c:pt>
                <c:pt idx="677">
                  <c:v>6.6295012806991101E-3</c:v>
                </c:pt>
                <c:pt idx="680">
                  <c:v>1.2867647058823529E-2</c:v>
                </c:pt>
                <c:pt idx="683">
                  <c:v>2.0467040444178325E-2</c:v>
                </c:pt>
                <c:pt idx="686">
                  <c:v>9.5434490696336086E-3</c:v>
                </c:pt>
                <c:pt idx="689">
                  <c:v>9.3315143246930406E-3</c:v>
                </c:pt>
                <c:pt idx="692">
                  <c:v>3.5269143349792305E-3</c:v>
                </c:pt>
                <c:pt idx="695">
                  <c:v>9.1916957210776522E-3</c:v>
                </c:pt>
                <c:pt idx="710">
                  <c:v>1.1268052690049199E-2</c:v>
                </c:pt>
                <c:pt idx="713">
                  <c:v>7.0946332532326349E-3</c:v>
                </c:pt>
                <c:pt idx="716">
                  <c:v>2.3605150214592273E-2</c:v>
                </c:pt>
                <c:pt idx="719">
                  <c:v>2.3438027693346842E-2</c:v>
                </c:pt>
                <c:pt idx="722">
                  <c:v>1.5870639317263065E-2</c:v>
                </c:pt>
                <c:pt idx="731">
                  <c:v>3.3003178095587331E-3</c:v>
                </c:pt>
                <c:pt idx="737">
                  <c:v>1.4081790123456794E-2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F-7840-BFB8-FFC74EA72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723900</xdr:colOff>
      <xdr:row>2</xdr:row>
      <xdr:rowOff>139700</xdr:rowOff>
    </xdr:from>
    <xdr:to>
      <xdr:col>24</xdr:col>
      <xdr:colOff>50800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0F691-E7A9-A153-99E0-E71C777DC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24</xdr:col>
      <xdr:colOff>152400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6DE8F-769D-6A4E-8990-7908EE831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24</xdr:col>
      <xdr:colOff>152400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F633EF-7409-7748-9833-BC8902DDE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25400</xdr:colOff>
      <xdr:row>52</xdr:row>
      <xdr:rowOff>114300</xdr:rowOff>
    </xdr:from>
    <xdr:to>
      <xdr:col>24</xdr:col>
      <xdr:colOff>177800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AF4EEA-5DBE-F94F-81DF-41AEE5159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24</xdr:col>
      <xdr:colOff>152400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EAA10-7C1E-F94E-BA7C-7E4E09171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24</xdr:col>
      <xdr:colOff>152400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36FC6E-690C-DD4F-8742-43E2BCAAF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24</xdr:col>
      <xdr:colOff>152400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5FBF5-4644-D04E-9658-2BBFE2A74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152400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D6B30-F7CA-EE4E-8F1C-99B154866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38</xdr:row>
      <xdr:rowOff>44450</xdr:rowOff>
    </xdr:from>
    <xdr:to>
      <xdr:col>20</xdr:col>
      <xdr:colOff>463550</xdr:colOff>
      <xdr:row>52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040F9B-32E2-E45B-D31C-04646500F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55</xdr:row>
      <xdr:rowOff>0</xdr:rowOff>
    </xdr:from>
    <xdr:to>
      <xdr:col>20</xdr:col>
      <xdr:colOff>444500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4D1F95-A454-5743-AF45-AD9EC55C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24</xdr:col>
      <xdr:colOff>152400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7BD0D-8698-C54C-99E8-27C8E4F2A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24</xdr:col>
      <xdr:colOff>152400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17C646-DD0E-1946-B3B2-2EED3BA56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82E1-33F4-A04F-ABCD-D2E6C68B60C3}">
  <sheetPr>
    <tabColor theme="9" tint="0.39997558519241921"/>
  </sheetPr>
  <dimension ref="A1:AA928"/>
  <sheetViews>
    <sheetView tabSelected="1" workbookViewId="0">
      <pane ySplit="2" topLeftCell="A737" activePane="bottomLeft" state="frozen"/>
      <selection pane="bottomLeft" activeCell="O744" sqref="O744"/>
    </sheetView>
  </sheetViews>
  <sheetFormatPr defaultColWidth="11.42578125" defaultRowHeight="15"/>
  <cols>
    <col min="2" max="2" width="10.85546875" style="70"/>
    <col min="14" max="14" width="12.7109375" bestFit="1" customWidth="1"/>
  </cols>
  <sheetData>
    <row r="1" spans="1:27" ht="18">
      <c r="F1" s="28" t="s">
        <v>28</v>
      </c>
      <c r="G1" s="28" t="s">
        <v>29</v>
      </c>
      <c r="I1" s="68" t="s">
        <v>82</v>
      </c>
      <c r="Z1" t="s">
        <v>92</v>
      </c>
    </row>
    <row r="2" spans="1:27">
      <c r="A2" s="29" t="s">
        <v>30</v>
      </c>
      <c r="B2" s="73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39</v>
      </c>
      <c r="I2" s="33" t="s">
        <v>35</v>
      </c>
      <c r="J2" s="33" t="s">
        <v>39</v>
      </c>
      <c r="L2" s="69" t="s">
        <v>83</v>
      </c>
      <c r="M2" s="69" t="s">
        <v>86</v>
      </c>
      <c r="N2" s="69" t="s">
        <v>87</v>
      </c>
      <c r="Z2" s="69" t="s">
        <v>86</v>
      </c>
      <c r="AA2" s="69" t="s">
        <v>87</v>
      </c>
    </row>
    <row r="3" spans="1:27">
      <c r="A3" s="1">
        <v>11</v>
      </c>
      <c r="B3" s="74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2.10353325E-2</v>
      </c>
      <c r="Q3" t="s">
        <v>100</v>
      </c>
    </row>
    <row r="4" spans="1:27">
      <c r="A4" s="1">
        <v>12</v>
      </c>
      <c r="B4" s="74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2.0341964833333333E-2</v>
      </c>
    </row>
    <row r="5" spans="1:27">
      <c r="A5" s="1">
        <v>13</v>
      </c>
      <c r="B5" s="74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3.895134916666667E-2</v>
      </c>
      <c r="I5" s="21">
        <f>AVERAGE(F3:F5)</f>
        <v>4.3436182486310626</v>
      </c>
      <c r="J5" s="21">
        <f>AVERAGE(G3:G5)</f>
        <v>2.6776215500000002E-2</v>
      </c>
      <c r="L5">
        <f>+J5/I5</f>
        <v>6.1644955811756275E-3</v>
      </c>
      <c r="M5">
        <f>+(L5-$L$927)/$L$928</f>
        <v>-0.40073992900705457</v>
      </c>
      <c r="N5">
        <f>+M5</f>
        <v>-0.40073992900705457</v>
      </c>
      <c r="Z5">
        <f>+(I5-$F$927)/$F$928</f>
        <v>-0.27111299803017663</v>
      </c>
      <c r="AA5">
        <f>+Z5</f>
        <v>-0.27111299803017663</v>
      </c>
    </row>
    <row r="6" spans="1:27">
      <c r="A6" s="1">
        <v>11</v>
      </c>
      <c r="B6" s="74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1.1880551999999999E-2</v>
      </c>
    </row>
    <row r="7" spans="1:27">
      <c r="A7" s="1">
        <v>12</v>
      </c>
      <c r="B7" s="74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7.1761561666666661E-3</v>
      </c>
    </row>
    <row r="8" spans="1:27">
      <c r="A8" s="1">
        <v>13</v>
      </c>
      <c r="B8" s="74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0</v>
      </c>
      <c r="I8" s="21">
        <f>AVERAGE(F6:F8)</f>
        <v>3.9763873870031197</v>
      </c>
      <c r="J8" s="21">
        <f>AVERAGE(G6:G8)</f>
        <v>6.3522360555555548E-3</v>
      </c>
      <c r="L8">
        <f>+J8/I8</f>
        <v>1.5974892376728513E-3</v>
      </c>
      <c r="M8">
        <f>+(L8-$L$927)/$L$928</f>
        <v>-0.86103819876506682</v>
      </c>
      <c r="N8">
        <f>+N5+M8</f>
        <v>-1.2617781277721214</v>
      </c>
      <c r="Z8">
        <f>+(I8-$F$927)/$F$928</f>
        <v>-0.38187809846879484</v>
      </c>
      <c r="AA8">
        <f>+AA5+Z8</f>
        <v>-0.65299109649897147</v>
      </c>
    </row>
    <row r="9" spans="1:27">
      <c r="A9" s="1">
        <v>11</v>
      </c>
      <c r="B9" s="74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6.1065102166666663E-3</v>
      </c>
    </row>
    <row r="10" spans="1:27">
      <c r="A10" s="1">
        <v>12</v>
      </c>
      <c r="B10" s="74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0</v>
      </c>
    </row>
    <row r="11" spans="1:27">
      <c r="A11" s="1">
        <v>13</v>
      </c>
      <c r="B11" s="74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0</v>
      </c>
      <c r="I11" s="21">
        <f>AVERAGE(F9:F11)</f>
        <v>3.4663078451070866</v>
      </c>
      <c r="J11" s="21">
        <f>AVERAGE(G9:G11)</f>
        <v>2.0355034055555554E-3</v>
      </c>
      <c r="L11">
        <f>+J11/I11</f>
        <v>5.8722522537310053E-4</v>
      </c>
      <c r="M11">
        <f>+(L11-$L$927)/$L$928</f>
        <v>-0.96286043019724421</v>
      </c>
      <c r="N11">
        <f>+N8+M11</f>
        <v>-2.2246385579693655</v>
      </c>
      <c r="Z11">
        <f>+(I11-$F$927)/$F$928</f>
        <v>-0.53572957881371197</v>
      </c>
      <c r="AA11">
        <f>+AA8+Z11</f>
        <v>-1.1887206753126836</v>
      </c>
    </row>
    <row r="12" spans="1:27">
      <c r="A12" s="1">
        <v>11</v>
      </c>
      <c r="B12" s="74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9.7984571666666648E-3</v>
      </c>
    </row>
    <row r="13" spans="1:27">
      <c r="A13" s="1">
        <v>12</v>
      </c>
      <c r="B13" s="74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0</v>
      </c>
    </row>
    <row r="14" spans="1:27">
      <c r="A14" s="1">
        <v>13</v>
      </c>
      <c r="B14" s="74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6.8825180000000007E-3</v>
      </c>
      <c r="I14" s="21">
        <f>AVERAGE(F12:F14)</f>
        <v>3.3871081085015358</v>
      </c>
      <c r="J14" s="21">
        <f>AVERAGE(G12:G14)</f>
        <v>5.5603250555555555E-3</v>
      </c>
      <c r="L14">
        <f>+J14/I14</f>
        <v>1.6416142849409834E-3</v>
      </c>
      <c r="M14">
        <f>+(L14-$L$927)/$L$928</f>
        <v>-0.85659093476259673</v>
      </c>
      <c r="N14">
        <f>+N11+M14</f>
        <v>-3.0812294927319623</v>
      </c>
      <c r="Z14">
        <f>+(I14-$F$927)/$F$928</f>
        <v>-0.55961800349821955</v>
      </c>
      <c r="AA14">
        <f>+AA11+Z14</f>
        <v>-1.748338678810903</v>
      </c>
    </row>
    <row r="15" spans="1:27">
      <c r="A15" s="1">
        <v>11</v>
      </c>
      <c r="B15" s="74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1.2084138333333333E-2</v>
      </c>
    </row>
    <row r="16" spans="1:27">
      <c r="A16" s="1">
        <v>12</v>
      </c>
      <c r="B16" s="74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1.2229018000000001E-2</v>
      </c>
    </row>
    <row r="17" spans="1:27">
      <c r="A17" s="1">
        <v>13</v>
      </c>
      <c r="B17" s="74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1.1932339666666666E-2</v>
      </c>
      <c r="I17" s="21">
        <f>AVERAGE(F15:F17)</f>
        <v>4.9699267107728504</v>
      </c>
      <c r="J17" s="21">
        <f>AVERAGE(G15:G17)</f>
        <v>1.2081832000000001E-2</v>
      </c>
      <c r="L17">
        <f>+J17/I17</f>
        <v>2.4309879608106354E-3</v>
      </c>
      <c r="M17">
        <f>+(L17-$L$927)/$L$928</f>
        <v>-0.77703174218292448</v>
      </c>
      <c r="N17">
        <f>+N14+M17</f>
        <v>-3.8582612349148868</v>
      </c>
      <c r="Z17">
        <f>+(I17-$F$927)/$F$928</f>
        <v>-8.2204257062277145E-2</v>
      </c>
      <c r="AA17">
        <f>+AA14+Z17</f>
        <v>-1.8305429358731802</v>
      </c>
    </row>
    <row r="18" spans="1:27">
      <c r="A18" s="1">
        <v>11</v>
      </c>
      <c r="B18" s="74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9.6989703333333326E-3</v>
      </c>
    </row>
    <row r="19" spans="1:27">
      <c r="A19" s="1">
        <v>12</v>
      </c>
      <c r="B19" s="74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1.47075925E-2</v>
      </c>
    </row>
    <row r="20" spans="1:27">
      <c r="A20" s="1">
        <v>13</v>
      </c>
      <c r="B20" s="74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1.0958542833333333E-2</v>
      </c>
      <c r="I20" s="21">
        <f>AVERAGE(F18:F20)</f>
        <v>2.4738625495730591</v>
      </c>
      <c r="J20" s="21">
        <f>AVERAGE(G18:G20)</f>
        <v>1.1788368555555555E-2</v>
      </c>
      <c r="L20">
        <f>+J20/I20</f>
        <v>4.7651671502889278E-3</v>
      </c>
      <c r="M20">
        <f>+(L20-$L$927)/$L$928</f>
        <v>-0.54177508576278777</v>
      </c>
      <c r="N20">
        <f>+N17+M20</f>
        <v>-4.4000363206776747</v>
      </c>
      <c r="Z20">
        <f>+(I20-$F$927)/$F$928</f>
        <v>-0.83507343665928069</v>
      </c>
      <c r="AA20">
        <f>+AA17+Z20</f>
        <v>-2.6656163725324609</v>
      </c>
    </row>
    <row r="21" spans="1:27">
      <c r="A21" s="1">
        <v>11</v>
      </c>
      <c r="B21" s="74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6.4108728333333335E-3</v>
      </c>
    </row>
    <row r="22" spans="1:27">
      <c r="A22" s="1">
        <v>12</v>
      </c>
      <c r="B22" s="74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0</v>
      </c>
    </row>
    <row r="23" spans="1:27">
      <c r="A23" s="1">
        <v>13</v>
      </c>
      <c r="B23" s="74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0</v>
      </c>
      <c r="I23" s="21">
        <f>AVERAGE(F21:F23)</f>
        <v>3.2826370251484334</v>
      </c>
      <c r="J23" s="21">
        <f>AVERAGE(G21:G23)</f>
        <v>2.136957611111111E-3</v>
      </c>
      <c r="L23">
        <f>+J23/I23</f>
        <v>6.5098809120221952E-4</v>
      </c>
      <c r="M23">
        <f>+(L23-$L$927)/$L$928</f>
        <v>-0.95643391474961181</v>
      </c>
      <c r="N23">
        <f>+N20+M23</f>
        <v>-5.3564702354272864</v>
      </c>
      <c r="Z23">
        <f>+(I23-$F$927)/$F$928</f>
        <v>-0.59112883564680263</v>
      </c>
      <c r="AA23">
        <f>+AA20+Z23</f>
        <v>-3.2567452081792636</v>
      </c>
    </row>
    <row r="24" spans="1:27">
      <c r="A24" s="1">
        <v>11</v>
      </c>
      <c r="B24" s="74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1.3288883000000003E-2</v>
      </c>
    </row>
    <row r="25" spans="1:27">
      <c r="A25" s="1">
        <v>12</v>
      </c>
      <c r="B25" s="74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1.0015567000000001E-2</v>
      </c>
    </row>
    <row r="26" spans="1:27">
      <c r="A26" s="1">
        <v>13</v>
      </c>
      <c r="B26" s="74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1.0418756E-2</v>
      </c>
      <c r="I26" s="21">
        <f>AVERAGE(F24:F26)</f>
        <v>1.6371818626430468</v>
      </c>
      <c r="J26" s="21">
        <f>AVERAGE(G24:G26)</f>
        <v>1.1241068666666668E-2</v>
      </c>
      <c r="L26">
        <f>+J26/I26</f>
        <v>6.8661087220446126E-3</v>
      </c>
      <c r="M26">
        <f>+(L26-$L$927)/$L$928</f>
        <v>-0.33002592283079357</v>
      </c>
      <c r="N26">
        <f>+N23+M26</f>
        <v>-5.6864961582580804</v>
      </c>
      <c r="Z26">
        <f>+(I26-$F$927)/$F$928</f>
        <v>-1.0874351796566539</v>
      </c>
      <c r="AA26">
        <f>+AA23+Z26</f>
        <v>-4.3441803878359178</v>
      </c>
    </row>
    <row r="27" spans="1:27">
      <c r="A27" s="1">
        <v>11</v>
      </c>
      <c r="B27" s="74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4.95749495E-2</v>
      </c>
    </row>
    <row r="28" spans="1:27">
      <c r="A28" s="1">
        <v>12</v>
      </c>
      <c r="B28" s="74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2.6379945499999998E-2</v>
      </c>
    </row>
    <row r="29" spans="1:27">
      <c r="A29" s="1">
        <v>13</v>
      </c>
      <c r="B29" s="74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9.4161195166666656E-2</v>
      </c>
      <c r="I29" s="21">
        <f>AVERAGE(F27:F29)</f>
        <v>3.736656357471503</v>
      </c>
      <c r="J29" s="21">
        <f>AVERAGE(G27:G29)</f>
        <v>5.6705363388888881E-2</v>
      </c>
      <c r="L29">
        <f>+J29/I29</f>
        <v>1.5175429037113787E-2</v>
      </c>
      <c r="M29">
        <f>+(L29-$L$927)/$L$928</f>
        <v>0.50745173238041952</v>
      </c>
      <c r="N29">
        <f>+N26+M29</f>
        <v>-5.1790444258776613</v>
      </c>
      <c r="Z29">
        <f>+(I29-$F$927)/$F$928</f>
        <v>-0.45418637737163298</v>
      </c>
      <c r="AA29">
        <f>+AA26+Z29</f>
        <v>-4.7983667652075503</v>
      </c>
    </row>
    <row r="30" spans="1:27">
      <c r="A30" s="1">
        <v>11</v>
      </c>
      <c r="B30" s="74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2.6214413666666669E-2</v>
      </c>
    </row>
    <row r="31" spans="1:27">
      <c r="A31" s="1">
        <v>12</v>
      </c>
      <c r="B31" s="74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3.3271269500000006E-2</v>
      </c>
    </row>
    <row r="32" spans="1:27">
      <c r="A32" s="1">
        <v>13</v>
      </c>
      <c r="B32" s="74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5.327001E-2</v>
      </c>
      <c r="I32" s="21">
        <f>AVERAGE(F30:F32)</f>
        <v>9.1378453037807379</v>
      </c>
      <c r="J32" s="21">
        <f>AVERAGE(G30:G32)</f>
        <v>3.7585231055555557E-2</v>
      </c>
      <c r="L32">
        <f>+J32/I32</f>
        <v>4.1131393458811189E-3</v>
      </c>
      <c r="M32">
        <f>+(L32-$L$927)/$L$928</f>
        <v>-0.60749149770296473</v>
      </c>
      <c r="N32">
        <f>+N29+M32</f>
        <v>-5.786535923580626</v>
      </c>
      <c r="Z32">
        <f>+(I32-$F$927)/$F$928</f>
        <v>1.1749338808598835</v>
      </c>
      <c r="AA32">
        <f>+AA29+Z32</f>
        <v>-3.6234328843476669</v>
      </c>
    </row>
    <row r="33" spans="1:27">
      <c r="A33" s="1">
        <v>11</v>
      </c>
      <c r="B33" s="74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4.9131714166666667E-2</v>
      </c>
    </row>
    <row r="34" spans="1:27">
      <c r="A34" s="1">
        <v>12</v>
      </c>
      <c r="B34" s="74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4.3510970166666663E-2</v>
      </c>
    </row>
    <row r="35" spans="1:27">
      <c r="A35" s="1">
        <v>13</v>
      </c>
      <c r="B35" s="74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4.8509213833333335E-2</v>
      </c>
      <c r="I35" s="21">
        <f>AVERAGE(F33:F35)</f>
        <v>3.5199391851087971</v>
      </c>
      <c r="J35" s="21">
        <f>AVERAGE(G33:G35)</f>
        <v>4.7050632722222228E-2</v>
      </c>
      <c r="L35">
        <f>+J35/I35</f>
        <v>1.3366887962516873E-2</v>
      </c>
      <c r="M35">
        <f>+(L35-$L$927)/$L$928</f>
        <v>0.32517295612963515</v>
      </c>
      <c r="N35">
        <f>+N32+M35</f>
        <v>-5.4613629674509907</v>
      </c>
      <c r="Z35">
        <f>+(I35-$F$927)/$F$928</f>
        <v>-0.51955315852154793</v>
      </c>
      <c r="AA35">
        <f>+AA32+Z35</f>
        <v>-4.1429860428692145</v>
      </c>
    </row>
    <row r="36" spans="1:27">
      <c r="A36" s="1">
        <v>11</v>
      </c>
      <c r="B36" s="74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0.10645119900000001</v>
      </c>
    </row>
    <row r="37" spans="1:27">
      <c r="A37" s="1">
        <v>12</v>
      </c>
      <c r="B37" s="74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7.8495006666666672E-2</v>
      </c>
    </row>
    <row r="38" spans="1:27">
      <c r="A38" s="1">
        <v>13</v>
      </c>
      <c r="B38" s="74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0.12728297233333336</v>
      </c>
      <c r="I38" s="21">
        <f>AVERAGE(F36:F38)</f>
        <v>6.3006138651251291</v>
      </c>
      <c r="J38" s="21">
        <f>AVERAGE(G36:G38)</f>
        <v>0.10407639266666668</v>
      </c>
      <c r="L38">
        <f>+J38/I38</f>
        <v>1.6518452788028416E-2</v>
      </c>
      <c r="M38">
        <f>+(L38-$L$927)/$L$928</f>
        <v>0.64281206742120311</v>
      </c>
      <c r="N38">
        <f>+N35+M38</f>
        <v>-4.8185509000297877</v>
      </c>
      <c r="Z38">
        <f>+(I38-$F$927)/$F$928</f>
        <v>0.31916096494223928</v>
      </c>
      <c r="AA38">
        <f>+AA35+Z38</f>
        <v>-3.8238250779269753</v>
      </c>
    </row>
    <row r="39" spans="1:27">
      <c r="A39" s="1">
        <v>11</v>
      </c>
      <c r="B39" s="74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0</v>
      </c>
    </row>
    <row r="40" spans="1:27">
      <c r="A40" s="1">
        <v>12</v>
      </c>
      <c r="B40" s="74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0</v>
      </c>
    </row>
    <row r="41" spans="1:27">
      <c r="A41" s="1">
        <v>13</v>
      </c>
      <c r="B41" s="74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1.3631373499999998E-2</v>
      </c>
      <c r="I41" s="21">
        <f>AVERAGE(F39:F41)</f>
        <v>3.9984268788627837</v>
      </c>
      <c r="J41" s="21">
        <f>AVERAGE(G39:G41)</f>
        <v>4.5437911666666659E-3</v>
      </c>
      <c r="L41">
        <f>+J41/I41</f>
        <v>1.1363947133025958E-3</v>
      </c>
      <c r="M41">
        <f>+(L41-$L$927)/$L$928</f>
        <v>-0.90751087600679314</v>
      </c>
      <c r="N41">
        <f>+N38+M41</f>
        <v>-5.7260617760365804</v>
      </c>
      <c r="Z41">
        <f>+(I41-$F$927)/$F$928</f>
        <v>-0.37523049124256697</v>
      </c>
      <c r="AA41">
        <f>+AA38+Z41</f>
        <v>-4.1990555691695421</v>
      </c>
    </row>
    <row r="42" spans="1:27">
      <c r="A42" s="1">
        <v>11</v>
      </c>
      <c r="B42" s="74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0</v>
      </c>
    </row>
    <row r="43" spans="1:27">
      <c r="A43" s="1">
        <v>12</v>
      </c>
      <c r="B43" s="74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0</v>
      </c>
    </row>
    <row r="44" spans="1:27">
      <c r="A44" s="1">
        <v>13</v>
      </c>
      <c r="B44" s="74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0</v>
      </c>
      <c r="I44" s="21">
        <f>AVERAGE(F42:F44)</f>
        <v>1.1461411668887538</v>
      </c>
      <c r="J44" s="21">
        <f>AVERAGE(G42:G44)</f>
        <v>0</v>
      </c>
      <c r="L44">
        <f>+J44/I44</f>
        <v>0</v>
      </c>
      <c r="M44">
        <f>+(L44-$L$927)/$L$928</f>
        <v>-1.0220455363405794</v>
      </c>
      <c r="N44">
        <f>+N41+M44</f>
        <v>-6.7481073123771598</v>
      </c>
      <c r="Z44">
        <f>+(I44-$F$927)/$F$928</f>
        <v>-1.2355441151191049</v>
      </c>
      <c r="AA44">
        <f>+AA41+Z44</f>
        <v>-5.4345996842886475</v>
      </c>
    </row>
    <row r="45" spans="1:27">
      <c r="A45" s="1">
        <v>11</v>
      </c>
      <c r="B45" s="74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1.9002820666666666E-2</v>
      </c>
    </row>
    <row r="46" spans="1:27">
      <c r="A46" s="1">
        <v>12</v>
      </c>
      <c r="B46" s="74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9.8851543333333333E-3</v>
      </c>
    </row>
    <row r="47" spans="1:27">
      <c r="A47" s="1">
        <v>13</v>
      </c>
      <c r="B47" s="74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8.7520108333333339E-3</v>
      </c>
      <c r="I47" s="21">
        <f>AVERAGE(F45:F47)</f>
        <v>4.2553168118899842</v>
      </c>
      <c r="J47" s="21">
        <f>AVERAGE(G45:G47)</f>
        <v>1.2546661944444445E-2</v>
      </c>
      <c r="L47">
        <f>+J47/I47</f>
        <v>2.9484671762598771E-3</v>
      </c>
      <c r="M47">
        <f>+(L47-$L$927)/$L$928</f>
        <v>-0.72487617908722479</v>
      </c>
      <c r="N47">
        <f>+N44+M47</f>
        <v>-7.4729834914643849</v>
      </c>
      <c r="Z47">
        <f>+(I47-$F$927)/$F$928</f>
        <v>-0.29774670050861674</v>
      </c>
      <c r="AA47">
        <f>+AA44+Z47</f>
        <v>-5.732346384797264</v>
      </c>
    </row>
    <row r="48" spans="1:27">
      <c r="A48" s="1">
        <v>11</v>
      </c>
      <c r="B48" s="74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0</v>
      </c>
    </row>
    <row r="49" spans="1:27">
      <c r="A49" s="1">
        <v>12</v>
      </c>
      <c r="B49" s="74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0</v>
      </c>
    </row>
    <row r="50" spans="1:27">
      <c r="A50" s="1">
        <v>13</v>
      </c>
      <c r="B50" s="74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0</v>
      </c>
      <c r="I50" s="21">
        <f>AVERAGE(F48:F50)</f>
        <v>3.1257342077279611</v>
      </c>
      <c r="J50" s="21">
        <f>AVERAGE(G48:G50)</f>
        <v>0</v>
      </c>
      <c r="L50">
        <f>+J50/I50</f>
        <v>0</v>
      </c>
      <c r="M50">
        <f>+(L50-$L$927)/$L$928</f>
        <v>-1.0220455363405794</v>
      </c>
      <c r="N50">
        <f>+N47+M50</f>
        <v>-8.4950290278049643</v>
      </c>
      <c r="Z50">
        <f>+(I50-$F$927)/$F$928</f>
        <v>-0.63845425991435389</v>
      </c>
      <c r="AA50">
        <f>+AA47+Z50</f>
        <v>-6.3708006447116183</v>
      </c>
    </row>
    <row r="51" spans="1:27">
      <c r="A51" s="5">
        <v>11</v>
      </c>
      <c r="B51" s="74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1.5925126833333331E-2</v>
      </c>
    </row>
    <row r="52" spans="1:27">
      <c r="A52" s="5">
        <v>12</v>
      </c>
      <c r="B52" s="74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1.3872699833333335E-2</v>
      </c>
    </row>
    <row r="53" spans="1:27">
      <c r="A53" s="5">
        <v>13</v>
      </c>
      <c r="B53" s="74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7.8549520000000001E-3</v>
      </c>
      <c r="I53" s="21">
        <f>AVERAGE(F51:F53)</f>
        <v>3.1678240591031659</v>
      </c>
      <c r="J53" s="21">
        <f>AVERAGE(G51:G53)</f>
        <v>1.2550926222222222E-2</v>
      </c>
      <c r="L53">
        <f>+J53/I53</f>
        <v>3.9620023044384224E-3</v>
      </c>
      <c r="M53">
        <f>+(L53-$L$927)/$L$928</f>
        <v>-0.62272425926270925</v>
      </c>
      <c r="N53">
        <f>+N50+M53</f>
        <v>-9.1177532870676732</v>
      </c>
      <c r="Z53">
        <f>+(I53-$F$927)/$F$928</f>
        <v>-0.62575901258586419</v>
      </c>
      <c r="AA53">
        <f>+AA50+Z53</f>
        <v>-6.9965596572974826</v>
      </c>
    </row>
    <row r="54" spans="1:27">
      <c r="A54" s="1">
        <v>11</v>
      </c>
      <c r="B54" s="74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1.9648177833333332E-2</v>
      </c>
    </row>
    <row r="55" spans="1:27">
      <c r="A55" s="1">
        <v>12</v>
      </c>
      <c r="B55" s="74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1.9920010666666665E-2</v>
      </c>
    </row>
    <row r="56" spans="1:27">
      <c r="A56" s="1">
        <v>13</v>
      </c>
      <c r="B56" s="74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2.5159475833333333E-2</v>
      </c>
      <c r="I56" s="21">
        <f>AVERAGE(F54:F56)</f>
        <v>3.2428774202097359</v>
      </c>
      <c r="J56" s="21">
        <f>AVERAGE(G54:G56)</f>
        <v>2.1575888111111108E-2</v>
      </c>
      <c r="L56">
        <f>+J56/I56</f>
        <v>6.6533159645965493E-3</v>
      </c>
      <c r="M56">
        <f>+(L56-$L$927)/$L$928</f>
        <v>-0.3514728249595207</v>
      </c>
      <c r="N56">
        <f>+N53+M56</f>
        <v>-9.4692261120271937</v>
      </c>
      <c r="Z56">
        <f>+(I56-$F$927)/$F$928</f>
        <v>-0.60312122815682123</v>
      </c>
      <c r="AA56">
        <f>+AA53+Z56</f>
        <v>-7.5996808854543039</v>
      </c>
    </row>
    <row r="57" spans="1:27">
      <c r="A57" s="1">
        <v>11</v>
      </c>
      <c r="B57" s="74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</v>
      </c>
    </row>
    <row r="58" spans="1:27">
      <c r="A58" s="1">
        <v>12</v>
      </c>
      <c r="B58" s="74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</v>
      </c>
    </row>
    <row r="59" spans="1:27">
      <c r="A59" s="1">
        <v>13</v>
      </c>
      <c r="B59" s="74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0</v>
      </c>
      <c r="I59" s="21">
        <f>AVERAGE(F57:F59)</f>
        <v>1.0415669659472375</v>
      </c>
      <c r="J59" s="21">
        <f>AVERAGE(G57:G59)</f>
        <v>0</v>
      </c>
      <c r="L59">
        <f>+J59/I59</f>
        <v>0</v>
      </c>
      <c r="M59">
        <f>+(L59-$L$927)/$L$928</f>
        <v>-1.0220455363405794</v>
      </c>
      <c r="N59">
        <f>+N56+M59</f>
        <v>-10.491271648367773</v>
      </c>
      <c r="Z59">
        <f>+(I59-$F$927)/$F$928</f>
        <v>-1.2670860498552727</v>
      </c>
      <c r="AA59">
        <f>+AA56+Z59</f>
        <v>-8.8667669353095775</v>
      </c>
    </row>
    <row r="60" spans="1:27">
      <c r="A60" s="1">
        <v>11</v>
      </c>
      <c r="B60" s="74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</v>
      </c>
    </row>
    <row r="61" spans="1:27">
      <c r="A61" s="1">
        <v>12</v>
      </c>
      <c r="B61" s="74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</v>
      </c>
    </row>
    <row r="62" spans="1:27">
      <c r="A62" s="1">
        <v>13</v>
      </c>
      <c r="B62" s="74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</v>
      </c>
      <c r="I62" s="21">
        <f>AVERAGE(F60:F62)</f>
        <v>1.0519999372377684</v>
      </c>
      <c r="J62" s="21">
        <f>AVERAGE(G60:G62)</f>
        <v>0</v>
      </c>
      <c r="L62">
        <f>+J62/I62</f>
        <v>0</v>
      </c>
      <c r="M62">
        <f>+(L62-$L$927)/$L$928</f>
        <v>-1.0220455363405794</v>
      </c>
      <c r="N62">
        <f>+N59+M62</f>
        <v>-11.513317184708352</v>
      </c>
      <c r="Z62">
        <f>+(I62-$F$927)/$F$928</f>
        <v>-1.2639392306915835</v>
      </c>
      <c r="AA62">
        <f>+AA59+Z62</f>
        <v>-10.130706166001161</v>
      </c>
    </row>
    <row r="63" spans="1:27">
      <c r="A63" s="1">
        <v>11</v>
      </c>
      <c r="B63" s="74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2.1784576333333333E-2</v>
      </c>
    </row>
    <row r="64" spans="1:27">
      <c r="A64" s="1">
        <v>12</v>
      </c>
      <c r="B64" s="74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2.0474054833333331E-2</v>
      </c>
    </row>
    <row r="65" spans="1:27">
      <c r="A65" s="1">
        <v>13</v>
      </c>
      <c r="B65" s="74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2.7031799166666665E-2</v>
      </c>
      <c r="I65" s="21">
        <f>AVERAGE(F63:F65)</f>
        <v>2.0816760914865617</v>
      </c>
      <c r="J65" s="21">
        <f>AVERAGE(G63:G65)</f>
        <v>2.3096810111111112E-2</v>
      </c>
      <c r="L65">
        <f>+J65/I65</f>
        <v>1.1095294895094497E-2</v>
      </c>
      <c r="M65">
        <f>+(L65-$L$927)/$L$928</f>
        <v>9.6224213806045858E-2</v>
      </c>
      <c r="N65">
        <f>+N62+M65</f>
        <v>-11.417092970902306</v>
      </c>
      <c r="Z65">
        <f>+(I65-$F$927)/$F$928</f>
        <v>-0.95336570716193869</v>
      </c>
      <c r="AA65">
        <f>+AA62+Z65</f>
        <v>-11.084071873163101</v>
      </c>
    </row>
    <row r="66" spans="1:27">
      <c r="A66" s="1">
        <v>11</v>
      </c>
      <c r="B66" s="74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8.7279515833333349E-2</v>
      </c>
    </row>
    <row r="67" spans="1:27">
      <c r="A67" s="1">
        <v>12</v>
      </c>
      <c r="B67" s="74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7.176659366666667E-2</v>
      </c>
    </row>
    <row r="68" spans="1:27">
      <c r="A68" s="1">
        <v>13</v>
      </c>
      <c r="B68" s="74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9.8025561500000011E-2</v>
      </c>
      <c r="I68" s="21">
        <f>AVERAGE(F66:F68)</f>
        <v>6.5725514687452025</v>
      </c>
      <c r="J68" s="21">
        <f>AVERAGE(G66:G68)</f>
        <v>8.5690557000000014E-2</v>
      </c>
      <c r="L68">
        <f>+J68/I68</f>
        <v>1.3037639554058846E-2</v>
      </c>
      <c r="M68">
        <f>+(L68-$L$927)/$L$928</f>
        <v>0.29198875156871656</v>
      </c>
      <c r="N68">
        <f>+N65+M68</f>
        <v>-11.12510421933359</v>
      </c>
      <c r="Z68">
        <f>+(I68-$F$927)/$F$928</f>
        <v>0.40118347210431876</v>
      </c>
      <c r="AA68">
        <f>+AA65+Z68</f>
        <v>-10.682888401058783</v>
      </c>
    </row>
    <row r="69" spans="1:27">
      <c r="A69" s="1">
        <v>11</v>
      </c>
      <c r="B69" s="74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6.6547885499999987E-2</v>
      </c>
    </row>
    <row r="70" spans="1:27">
      <c r="A70" s="1">
        <v>12</v>
      </c>
      <c r="B70" s="74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0.10584476533333335</v>
      </c>
    </row>
    <row r="71" spans="1:27">
      <c r="A71" s="1">
        <v>13</v>
      </c>
      <c r="B71" s="74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0.16346976166666669</v>
      </c>
      <c r="I71" s="21">
        <f>AVERAGE(F69:F71)</f>
        <v>5.1939496956832594</v>
      </c>
      <c r="J71" s="21">
        <f>AVERAGE(G69:G71)</f>
        <v>0.11195413750000001</v>
      </c>
      <c r="L71">
        <f>+J71/I71</f>
        <v>2.1554721177420366E-2</v>
      </c>
      <c r="M71">
        <f>+(L71-$L$927)/$L$928</f>
        <v>1.1504062004952764</v>
      </c>
      <c r="N71">
        <f>+N68+M71</f>
        <v>-9.9746980188383141</v>
      </c>
      <c r="Z71">
        <f>+(I71-$F$927)/$F$928</f>
        <v>-1.4633878270691453E-2</v>
      </c>
      <c r="AA71">
        <f>+AA68+Z71</f>
        <v>-10.697522279329474</v>
      </c>
    </row>
    <row r="72" spans="1:27">
      <c r="A72" s="1">
        <v>11</v>
      </c>
      <c r="B72" s="74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5.1231735500000007E-2</v>
      </c>
    </row>
    <row r="73" spans="1:27">
      <c r="A73" s="1">
        <v>12</v>
      </c>
      <c r="B73" s="74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0.10258748883333334</v>
      </c>
    </row>
    <row r="74" spans="1:27">
      <c r="A74" s="1">
        <v>13</v>
      </c>
      <c r="B74" s="74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0.15274017483333333</v>
      </c>
      <c r="I74" s="21">
        <f>AVERAGE(F72:F74)</f>
        <v>5.904270321687398</v>
      </c>
      <c r="J74" s="21">
        <f>AVERAGE(G72:G74)</f>
        <v>0.10218646638888888</v>
      </c>
      <c r="L74">
        <f>+J74/I74</f>
        <v>1.7307213393252079E-2</v>
      </c>
      <c r="M74">
        <f>+(L74-$L$927)/$L$928</f>
        <v>0.72230946999307533</v>
      </c>
      <c r="N74">
        <f>+N71+M74</f>
        <v>-9.2523885488452393</v>
      </c>
      <c r="Z74">
        <f>+(I74-$F$927)/$F$928</f>
        <v>0.19961482385141749</v>
      </c>
      <c r="AA74">
        <f>+AA71+Z74</f>
        <v>-10.497907455478057</v>
      </c>
    </row>
    <row r="75" spans="1:27">
      <c r="A75" s="1">
        <v>11</v>
      </c>
      <c r="B75" s="74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6">
        <v>2.0210610840586684E-2</v>
      </c>
    </row>
    <row r="76" spans="1:27">
      <c r="A76" s="1">
        <v>12</v>
      </c>
      <c r="B76" s="74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6">
        <v>9.3934403919215589E-3</v>
      </c>
    </row>
    <row r="77" spans="1:27">
      <c r="A77" s="1">
        <v>13</v>
      </c>
      <c r="B77" s="74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6">
        <v>1.2260733703165289E-2</v>
      </c>
      <c r="I77" s="21">
        <f>AVERAGE(F75:F77)</f>
        <v>2.5662165226420637</v>
      </c>
      <c r="J77" s="21">
        <f>AVERAGE(G75:G77)</f>
        <v>1.3954928311891176E-2</v>
      </c>
      <c r="L77">
        <f>+J77/I77</f>
        <v>5.4379387665713401E-3</v>
      </c>
      <c r="M77">
        <f>+(L77-$L$927)/$L$928</f>
        <v>-0.47396795180562701</v>
      </c>
      <c r="N77">
        <f>+N74+M77</f>
        <v>-9.7263565006508657</v>
      </c>
      <c r="Z77">
        <f>+(I77-$F$927)/$F$928</f>
        <v>-0.80721739793327141</v>
      </c>
      <c r="AA77">
        <f>+AA74+Z77</f>
        <v>-11.305124853411328</v>
      </c>
    </row>
    <row r="78" spans="1:27">
      <c r="A78" s="1">
        <v>11</v>
      </c>
      <c r="B78" s="74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6">
        <v>2.0982329927399283E-2</v>
      </c>
    </row>
    <row r="79" spans="1:27">
      <c r="A79" s="1">
        <v>12</v>
      </c>
      <c r="B79" s="74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6">
        <v>7.7892262103749846E-3</v>
      </c>
    </row>
    <row r="80" spans="1:27">
      <c r="A80" s="1">
        <v>13</v>
      </c>
      <c r="B80" s="74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6">
        <v>1.1283591621568818E-2</v>
      </c>
      <c r="I80" s="21">
        <f>AVERAGE(F78:F80)</f>
        <v>2.3465076796477864</v>
      </c>
      <c r="J80" s="21">
        <f>AVERAGE(G78:G80)</f>
        <v>1.3351715919781029E-2</v>
      </c>
      <c r="L80">
        <f>+J80/I80</f>
        <v>5.6900371712336082E-3</v>
      </c>
      <c r="M80">
        <f>+(L80-$L$927)/$L$928</f>
        <v>-0.44855952213705835</v>
      </c>
      <c r="N80">
        <f>+N77+M80</f>
        <v>-10.174916022787924</v>
      </c>
      <c r="Z80">
        <f>+(I80-$F$927)/$F$928</f>
        <v>-0.87348653433872314</v>
      </c>
      <c r="AA80">
        <f>+AA77+Z80</f>
        <v>-12.178611387750051</v>
      </c>
    </row>
    <row r="81" spans="1:27">
      <c r="A81" s="1">
        <v>11</v>
      </c>
      <c r="B81" s="74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6">
        <v>1.9231491404322256E-2</v>
      </c>
    </row>
    <row r="82" spans="1:27">
      <c r="A82" s="1">
        <v>12</v>
      </c>
      <c r="B82" s="74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6">
        <v>5.548161677260929E-3</v>
      </c>
    </row>
    <row r="83" spans="1:27">
      <c r="A83" s="1">
        <v>13</v>
      </c>
      <c r="B83" s="74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6">
        <v>1.8236532099566997E-2</v>
      </c>
      <c r="I83" s="21">
        <f>AVERAGE(F81:F83)</f>
        <v>3.6882212667442942</v>
      </c>
      <c r="J83" s="21">
        <f>AVERAGE(G81:G83)</f>
        <v>1.4338728393716726E-2</v>
      </c>
      <c r="L83">
        <f>+J83/I83</f>
        <v>3.8877082899025635E-3</v>
      </c>
      <c r="M83">
        <f>+(L83-$L$927)/$L$928</f>
        <v>-0.63021218543843771</v>
      </c>
      <c r="N83">
        <f>+N80+M83</f>
        <v>-10.805128208226362</v>
      </c>
      <c r="Z83">
        <f>+(I83-$F$927)/$F$928</f>
        <v>-0.46879549182723745</v>
      </c>
      <c r="AA83">
        <f>+AA80+Z83</f>
        <v>-12.647406879577288</v>
      </c>
    </row>
    <row r="84" spans="1:27">
      <c r="A84" s="1">
        <v>11</v>
      </c>
      <c r="B84" s="74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6">
        <v>1.5420953373766123E-2</v>
      </c>
    </row>
    <row r="85" spans="1:27">
      <c r="A85" s="1">
        <v>12</v>
      </c>
      <c r="B85" s="74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6">
        <v>5.1673498518995577E-3</v>
      </c>
    </row>
    <row r="86" spans="1:27">
      <c r="A86" s="1">
        <v>13</v>
      </c>
      <c r="B86" s="74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6">
        <v>8.3201479236301792E-3</v>
      </c>
      <c r="I86" s="21">
        <f>AVERAGE(F84:F86)</f>
        <v>4.1539263973359724</v>
      </c>
      <c r="J86" s="21">
        <f>AVERAGE(G84:G86)</f>
        <v>9.6361503830986201E-3</v>
      </c>
      <c r="L86">
        <f>+J86/I86</f>
        <v>2.3197691681004625E-3</v>
      </c>
      <c r="M86">
        <f>+(L86-$L$927)/$L$928</f>
        <v>-0.78824123347734698</v>
      </c>
      <c r="N86">
        <f>+N83+M86</f>
        <v>-11.593369441703709</v>
      </c>
      <c r="Z86">
        <f>+(I86-$F$927)/$F$928</f>
        <v>-0.32832833354948676</v>
      </c>
      <c r="AA86">
        <f>+AA83+Z86</f>
        <v>-12.975735213126775</v>
      </c>
    </row>
    <row r="87" spans="1:27">
      <c r="A87" s="1">
        <v>11</v>
      </c>
      <c r="B87" s="74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6">
        <v>1.8908416499635577E-2</v>
      </c>
    </row>
    <row r="88" spans="1:27">
      <c r="A88" s="1">
        <v>12</v>
      </c>
      <c r="B88" s="74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6">
        <v>1.1300629295788232E-2</v>
      </c>
    </row>
    <row r="89" spans="1:27">
      <c r="A89" s="1">
        <v>13</v>
      </c>
      <c r="B89" s="74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6">
        <v>6.752415424031862E-3</v>
      </c>
      <c r="I89" s="21">
        <f>AVERAGE(F87:F89)</f>
        <v>2.8247363168547728</v>
      </c>
      <c r="J89" s="21">
        <f>AVERAGE(G87:G89)</f>
        <v>1.2320487073151891E-2</v>
      </c>
      <c r="L89">
        <f>+J89/I89</f>
        <v>4.3616414741572216E-3</v>
      </c>
      <c r="M89">
        <f>+(L89-$L$927)/$L$928</f>
        <v>-0.58244552862096366</v>
      </c>
      <c r="N89">
        <f>+N86+M89</f>
        <v>-12.175814970324673</v>
      </c>
      <c r="Z89">
        <f>+(I89-$F$927)/$F$928</f>
        <v>-0.72924200435005748</v>
      </c>
      <c r="AA89">
        <f>+AA86+Z89</f>
        <v>-13.704977217476833</v>
      </c>
    </row>
    <row r="90" spans="1:27">
      <c r="A90" s="1">
        <v>11</v>
      </c>
      <c r="B90" s="70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6">
        <v>1.3728401146138793E-2</v>
      </c>
    </row>
    <row r="91" spans="1:27">
      <c r="A91" s="1">
        <v>12</v>
      </c>
      <c r="B91" s="70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6">
        <v>1.5273507075767148E-2</v>
      </c>
    </row>
    <row r="92" spans="1:27">
      <c r="A92" s="1">
        <v>13</v>
      </c>
      <c r="B92" s="70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6">
        <v>1.7291749888675708E-2</v>
      </c>
      <c r="I92" s="21">
        <f>AVERAGE(F90:F92)</f>
        <v>2.5546582578791779</v>
      </c>
      <c r="J92" s="21">
        <f>AVERAGE(G90:G92)</f>
        <v>1.5431219370193884E-2</v>
      </c>
      <c r="L92">
        <f>+J92/I92</f>
        <v>6.0404241242836719E-3</v>
      </c>
      <c r="M92">
        <f>+(L92-$L$927)/$L$928</f>
        <v>-0.413244811338775</v>
      </c>
      <c r="N92">
        <f>+N89+M92</f>
        <v>-12.589059781663448</v>
      </c>
      <c r="Z92">
        <f>+(I92-$F$927)/$F$928</f>
        <v>-0.81070363095759246</v>
      </c>
      <c r="AA92">
        <f>+AA89+Z92</f>
        <v>-14.515680848434425</v>
      </c>
    </row>
    <row r="93" spans="1:27">
      <c r="A93" s="1">
        <v>11</v>
      </c>
      <c r="B93" s="70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6">
        <v>1.6874717009786641E-2</v>
      </c>
    </row>
    <row r="94" spans="1:27">
      <c r="A94" s="1">
        <v>12</v>
      </c>
      <c r="B94" s="70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6">
        <v>1.2713299044310051E-2</v>
      </c>
    </row>
    <row r="95" spans="1:27">
      <c r="A95" s="1">
        <v>13</v>
      </c>
      <c r="B95" s="70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1.8316802245219713E-2</v>
      </c>
      <c r="I95" s="21">
        <f>AVERAGE(F93:F95)</f>
        <v>2.1749932778823258</v>
      </c>
      <c r="J95" s="21">
        <f>AVERAGE(G93:G95)</f>
        <v>1.5968272766438803E-2</v>
      </c>
      <c r="L95">
        <f>+J95/I95</f>
        <v>7.341757295905877E-3</v>
      </c>
      <c r="M95">
        <f>+(L95-$L$927)/$L$928</f>
        <v>-0.28208637576345047</v>
      </c>
      <c r="N95">
        <f>+N92+M95</f>
        <v>-12.871146157426898</v>
      </c>
      <c r="Z95">
        <f>+(I95-$F$927)/$F$928</f>
        <v>-0.92521914159837182</v>
      </c>
      <c r="AA95">
        <f>+AA92+Z95</f>
        <v>-15.440899990032797</v>
      </c>
    </row>
    <row r="96" spans="1:27">
      <c r="A96" s="1">
        <v>11</v>
      </c>
      <c r="B96" s="70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14"/>
    </row>
    <row r="97" spans="1:27">
      <c r="A97" s="1">
        <v>12</v>
      </c>
      <c r="B97" s="70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14"/>
    </row>
    <row r="98" spans="1:27">
      <c r="A98" s="1">
        <v>13</v>
      </c>
      <c r="B98" s="70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14"/>
      <c r="I98" s="21">
        <f>AVERAGE(F96:F98)</f>
        <v>3.4494796312748774</v>
      </c>
      <c r="J98" s="21" t="e">
        <f>AVERAGE(G96:G98)</f>
        <v>#DIV/0!</v>
      </c>
      <c r="Z98">
        <f>+(I98-$F$927)/$F$928</f>
        <v>-0.54080534719293838</v>
      </c>
      <c r="AA98">
        <f>+AA95+Z98</f>
        <v>-15.981705337225735</v>
      </c>
    </row>
    <row r="99" spans="1:27">
      <c r="A99" s="1">
        <v>11</v>
      </c>
      <c r="B99" s="70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14"/>
    </row>
    <row r="100" spans="1:27">
      <c r="A100" s="1">
        <v>12</v>
      </c>
      <c r="B100" s="70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14"/>
    </row>
    <row r="101" spans="1:27">
      <c r="A101" s="1">
        <v>13</v>
      </c>
      <c r="B101" s="70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14"/>
      <c r="I101" s="21">
        <f>AVERAGE(F99:F101)</f>
        <v>6.4463063558178026</v>
      </c>
      <c r="J101" s="21" t="e">
        <f>AVERAGE(G99:G101)</f>
        <v>#DIV/0!</v>
      </c>
      <c r="Z101">
        <f>+(I101-$F$927)/$F$928</f>
        <v>0.36310510213481584</v>
      </c>
      <c r="AA101">
        <f>+AA98+Z101</f>
        <v>-15.61860023509092</v>
      </c>
    </row>
    <row r="102" spans="1:27">
      <c r="A102" s="1">
        <v>11</v>
      </c>
      <c r="B102" s="70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14"/>
    </row>
    <row r="103" spans="1:27">
      <c r="A103" s="1">
        <v>12</v>
      </c>
      <c r="B103" s="70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14"/>
    </row>
    <row r="104" spans="1:27">
      <c r="A104" s="1">
        <v>13</v>
      </c>
      <c r="B104" s="70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14"/>
      <c r="I104" s="21">
        <f>AVERAGE(F102:F104)</f>
        <v>7.2469507265443438</v>
      </c>
      <c r="J104" s="21" t="e">
        <f>AVERAGE(G102:G104)</f>
        <v>#DIV/0!</v>
      </c>
      <c r="Z104">
        <f>+(I104-$F$927)/$F$928</f>
        <v>0.60459748037885497</v>
      </c>
      <c r="AA104">
        <f>+AA101+Z104</f>
        <v>-15.014002754712065</v>
      </c>
    </row>
    <row r="105" spans="1:27">
      <c r="A105" s="1">
        <v>11</v>
      </c>
      <c r="B105" s="70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14"/>
    </row>
    <row r="106" spans="1:27">
      <c r="A106" s="1">
        <v>12</v>
      </c>
      <c r="B106" s="70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14"/>
    </row>
    <row r="107" spans="1:27">
      <c r="A107" s="1">
        <v>13</v>
      </c>
      <c r="B107" s="70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14"/>
      <c r="I107" s="21">
        <f>AVERAGE(F105:F107)</f>
        <v>7.8241637346353476</v>
      </c>
      <c r="J107" s="21" t="e">
        <f>AVERAGE(G105:G107)</f>
        <v>#DIV/0!</v>
      </c>
      <c r="Z107">
        <f>+(I107-$F$927)/$F$928</f>
        <v>0.77869792643682345</v>
      </c>
      <c r="AA107">
        <f>+AA104+Z107</f>
        <v>-14.235304828275241</v>
      </c>
    </row>
    <row r="108" spans="1:27">
      <c r="A108" s="1">
        <v>11</v>
      </c>
      <c r="B108" s="70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14"/>
    </row>
    <row r="109" spans="1:27">
      <c r="A109" s="1">
        <v>12</v>
      </c>
      <c r="B109" s="70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14"/>
    </row>
    <row r="110" spans="1:27">
      <c r="A110" s="1">
        <v>13</v>
      </c>
      <c r="B110" s="70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14"/>
      <c r="I110" s="21">
        <f>AVERAGE(F108:F110)</f>
        <v>5.3863247610326406</v>
      </c>
      <c r="J110" s="21" t="e">
        <f>AVERAGE(G108:G110)</f>
        <v>#DIV/0!</v>
      </c>
      <c r="Z110">
        <f>+(I110-$F$927)/$F$928</f>
        <v>4.339077505187823E-2</v>
      </c>
      <c r="AA110">
        <f>+AA107+Z110</f>
        <v>-14.191914053223364</v>
      </c>
    </row>
    <row r="111" spans="1:27">
      <c r="A111" s="1">
        <v>11</v>
      </c>
      <c r="B111" s="70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2.4065684090239289E-2</v>
      </c>
    </row>
    <row r="112" spans="1:27">
      <c r="A112" s="1">
        <v>12</v>
      </c>
      <c r="B112" s="70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1.8738156482626792E-2</v>
      </c>
    </row>
    <row r="113" spans="1:27">
      <c r="A113" s="1">
        <v>13</v>
      </c>
      <c r="B113" s="70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3.5890277107961881E-2</v>
      </c>
      <c r="I113" s="21">
        <f>AVERAGE(F111:F113)</f>
        <v>3.522187213638885</v>
      </c>
      <c r="J113" s="21">
        <f>AVERAGE(G111:G113)</f>
        <v>2.6231372560275985E-2</v>
      </c>
      <c r="L113">
        <f>+J113/I113</f>
        <v>7.4474668634026157E-3</v>
      </c>
      <c r="M113">
        <f>+(L113-$L$927)/$L$928</f>
        <v>-0.27143214685377542</v>
      </c>
      <c r="N113">
        <f>+N95+M113</f>
        <v>-13.142578304280674</v>
      </c>
      <c r="Z113">
        <f>+(I113-$F$927)/$F$928</f>
        <v>-0.51887510247576729</v>
      </c>
      <c r="AA113">
        <f>+AA110+Z113</f>
        <v>-14.710789155699132</v>
      </c>
    </row>
    <row r="114" spans="1:27">
      <c r="A114" s="1">
        <v>11</v>
      </c>
      <c r="B114" s="70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7.0203385539314034E-3</v>
      </c>
    </row>
    <row r="115" spans="1:27">
      <c r="A115" s="1">
        <v>12</v>
      </c>
      <c r="B115" s="70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9.778128253999499E-3</v>
      </c>
    </row>
    <row r="116" spans="1:27">
      <c r="A116" s="1">
        <v>13</v>
      </c>
      <c r="B116" s="70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7.1090984747071142E-3</v>
      </c>
      <c r="I116" s="21">
        <f>AVERAGE(F114:F116)</f>
        <v>1.6391637974175726</v>
      </c>
      <c r="J116" s="21">
        <f>AVERAGE(G114:G116)</f>
        <v>7.9691884275460059E-3</v>
      </c>
      <c r="L116">
        <f>+J116/I116</f>
        <v>4.8617401385395997E-3</v>
      </c>
      <c r="M116">
        <f>+(L116-$L$927)/$L$928</f>
        <v>-0.53204171207032835</v>
      </c>
      <c r="N116">
        <f>+N113+M116</f>
        <v>-13.674620016351001</v>
      </c>
      <c r="Z116">
        <f>+(I116-$F$927)/$F$928</f>
        <v>-1.0868373834818172</v>
      </c>
      <c r="AA116">
        <f>+AA113+Z116</f>
        <v>-15.79762653918095</v>
      </c>
    </row>
    <row r="117" spans="1:27">
      <c r="A117" s="1">
        <v>11</v>
      </c>
      <c r="B117" s="70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1.9809355685359936E-2</v>
      </c>
    </row>
    <row r="118" spans="1:27">
      <c r="A118" s="1">
        <v>12</v>
      </c>
      <c r="B118" s="70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1.1251156926795881E-2</v>
      </c>
    </row>
    <row r="119" spans="1:27">
      <c r="A119" s="1">
        <v>13</v>
      </c>
      <c r="B119" s="70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1.508866709882156E-2</v>
      </c>
      <c r="I119" s="21">
        <f>AVERAGE(F117:F119)</f>
        <v>2.6098651465827802</v>
      </c>
      <c r="J119" s="21">
        <f>AVERAGE(G117:G119)</f>
        <v>1.5383059903659126E-2</v>
      </c>
      <c r="L119">
        <f>+J119/I119</f>
        <v>5.8941972246347261E-3</v>
      </c>
      <c r="M119">
        <f>+(L119-$L$927)/$L$928</f>
        <v>-0.42798269078057682</v>
      </c>
      <c r="N119">
        <f>+N116+M119</f>
        <v>-14.102602707131577</v>
      </c>
      <c r="Z119">
        <f>+(I119-$F$927)/$F$928</f>
        <v>-0.79405198968471513</v>
      </c>
      <c r="AA119">
        <f>+AA116+Z119</f>
        <v>-16.591678528865664</v>
      </c>
    </row>
    <row r="120" spans="1:27">
      <c r="A120" s="1">
        <v>11</v>
      </c>
      <c r="B120" s="70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1.9661543632823034E-2</v>
      </c>
    </row>
    <row r="121" spans="1:27">
      <c r="A121" s="1">
        <v>12</v>
      </c>
      <c r="B121" s="70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2.024114019018974E-2</v>
      </c>
    </row>
    <row r="122" spans="1:27">
      <c r="A122" s="1">
        <v>13</v>
      </c>
      <c r="B122" s="70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2.1411969489907031E-2</v>
      </c>
      <c r="I122" s="21">
        <f>AVERAGE(F120:F122)</f>
        <v>4.4444379299631862</v>
      </c>
      <c r="J122" s="21">
        <f>AVERAGE(G120:G122)</f>
        <v>2.0438217770973269E-2</v>
      </c>
      <c r="L122">
        <f>+J122/I122</f>
        <v>4.5986057389134378E-3</v>
      </c>
      <c r="M122">
        <f>+(L122-$L$927)/$L$928</f>
        <v>-0.55856243478271228</v>
      </c>
      <c r="N122">
        <f>+N119+M122</f>
        <v>-14.661165141914289</v>
      </c>
      <c r="Z122">
        <f>+(I122-$F$927)/$F$928</f>
        <v>-0.24070351098587642</v>
      </c>
      <c r="AA122">
        <f>+AA119+Z122</f>
        <v>-16.832382039851542</v>
      </c>
    </row>
    <row r="123" spans="1:27">
      <c r="A123" s="1">
        <v>11</v>
      </c>
      <c r="B123" s="70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2.4915708282294474E-2</v>
      </c>
    </row>
    <row r="124" spans="1:27">
      <c r="A124" s="1">
        <v>12</v>
      </c>
      <c r="B124" s="70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3.0754029368429383E-2</v>
      </c>
    </row>
    <row r="125" spans="1:27">
      <c r="A125" s="1">
        <v>13</v>
      </c>
      <c r="B125" s="70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3.0161946502775615E-2</v>
      </c>
      <c r="I125" s="21">
        <f>AVERAGE(F123:F125)</f>
        <v>3.8453174849234446</v>
      </c>
      <c r="J125" s="21">
        <f>AVERAGE(G123:G125)</f>
        <v>2.8610561384499827E-2</v>
      </c>
      <c r="L125">
        <f>+J125/I125</f>
        <v>7.4403638962647128E-3</v>
      </c>
      <c r="M125">
        <f>+(L125-$L$927)/$L$928</f>
        <v>-0.27214803889285172</v>
      </c>
      <c r="N125">
        <f>+N122+M125</f>
        <v>-14.93331318080714</v>
      </c>
      <c r="Z125">
        <f>+(I125-$F$927)/$F$928</f>
        <v>-0.42141173353415007</v>
      </c>
      <c r="AA125">
        <f>+AA122+Z125</f>
        <v>-17.253793773385691</v>
      </c>
    </row>
    <row r="126" spans="1:27">
      <c r="A126" s="1">
        <v>11</v>
      </c>
      <c r="B126" s="70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3.9297493581565861E-2</v>
      </c>
    </row>
    <row r="127" spans="1:27">
      <c r="A127" s="1">
        <v>12</v>
      </c>
      <c r="B127" s="70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3.7384948327449229E-2</v>
      </c>
    </row>
    <row r="128" spans="1:27">
      <c r="A128" s="1">
        <v>13</v>
      </c>
      <c r="B128" s="70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5.1379796073410249E-2</v>
      </c>
      <c r="I128" s="21">
        <f>AVERAGE(F126:F128)</f>
        <v>5.6311639857649434</v>
      </c>
      <c r="J128" s="21">
        <f>AVERAGE(G126:G128)</f>
        <v>4.2687412660808444E-2</v>
      </c>
      <c r="L128">
        <f>+J128/I128</f>
        <v>7.5805664279566774E-3</v>
      </c>
      <c r="M128">
        <f>+(L128-$L$927)/$L$928</f>
        <v>-0.25801734191115944</v>
      </c>
      <c r="N128">
        <f>+N125+M128</f>
        <v>-15.1913305227183</v>
      </c>
      <c r="Z128">
        <f>+(I128-$F$927)/$F$928</f>
        <v>0.11723980069902817</v>
      </c>
      <c r="AA128">
        <f>+AA125+Z128</f>
        <v>-17.136553972686663</v>
      </c>
    </row>
    <row r="129" spans="1:27">
      <c r="A129" s="1">
        <v>11</v>
      </c>
      <c r="B129" s="70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3.6542256227410197E-2</v>
      </c>
    </row>
    <row r="130" spans="1:27">
      <c r="A130" s="1">
        <v>12</v>
      </c>
      <c r="B130" s="70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3.1120217994200824E-2</v>
      </c>
    </row>
    <row r="131" spans="1:27">
      <c r="A131" s="1">
        <v>13</v>
      </c>
      <c r="B131" s="70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5.07740699040439E-2</v>
      </c>
      <c r="I131" s="21">
        <f>AVERAGE(F129:F131)</f>
        <v>9.9240777034895604</v>
      </c>
      <c r="J131" s="21">
        <f>AVERAGE(G129:G131)</f>
        <v>3.9478848041884972E-2</v>
      </c>
      <c r="L131">
        <f>+J131/I131</f>
        <v>3.9780873569745627E-3</v>
      </c>
      <c r="M131">
        <f>+(L131-$L$927)/$L$928</f>
        <v>-0.62110308309292239</v>
      </c>
      <c r="N131">
        <f>+N128+M131</f>
        <v>-15.812433605811222</v>
      </c>
      <c r="Z131">
        <f>+(I131-$F$927)/$F$928</f>
        <v>1.4120792839879985</v>
      </c>
      <c r="AA131">
        <f>+AA128+Z131</f>
        <v>-15.724474688698665</v>
      </c>
    </row>
    <row r="132" spans="1:27">
      <c r="A132" s="1">
        <v>11</v>
      </c>
      <c r="B132" s="70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1.4615482509872945E-2</v>
      </c>
    </row>
    <row r="133" spans="1:27">
      <c r="A133" s="1">
        <v>12</v>
      </c>
      <c r="B133" s="70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1.0558607053162868E-2</v>
      </c>
    </row>
    <row r="134" spans="1:27">
      <c r="A134" s="1">
        <v>13</v>
      </c>
      <c r="B134" s="70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1.1741001767732781E-2</v>
      </c>
      <c r="I134" s="21">
        <f>AVERAGE(F132:F134)</f>
        <v>3.899478827564264</v>
      </c>
      <c r="J134" s="21">
        <f>AVERAGE(G132:G134)</f>
        <v>1.2305030443589529E-2</v>
      </c>
      <c r="L134">
        <f>+J134/I134</f>
        <v>3.1555577008416879E-3</v>
      </c>
      <c r="M134">
        <f>+(L134-$L$927)/$L$928</f>
        <v>-0.7040039921492981</v>
      </c>
      <c r="N134">
        <f>+N131+M134</f>
        <v>-16.516437597960522</v>
      </c>
      <c r="Z134">
        <f>+(I134-$F$927)/$F$928</f>
        <v>-0.40507545250671617</v>
      </c>
      <c r="AA134">
        <f>+AA131+Z134</f>
        <v>-16.129550141205382</v>
      </c>
    </row>
    <row r="135" spans="1:27">
      <c r="A135" s="1">
        <v>11</v>
      </c>
      <c r="B135" s="70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2.4567000643532459E-2</v>
      </c>
    </row>
    <row r="136" spans="1:27">
      <c r="A136" s="1">
        <v>12</v>
      </c>
      <c r="B136" s="70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2.4312217254127928E-2</v>
      </c>
    </row>
    <row r="137" spans="1:27">
      <c r="A137" s="1">
        <v>13</v>
      </c>
      <c r="B137" s="70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3.1536014447632141E-2</v>
      </c>
      <c r="I137" s="21">
        <f>AVERAGE(F135:F137)</f>
        <v>3.2011788828747592</v>
      </c>
      <c r="J137" s="21">
        <f>AVERAGE(G135:G137)</f>
        <v>2.6805077448430841E-2</v>
      </c>
      <c r="L137">
        <f>+J137/I137</f>
        <v>8.3735018970133406E-3</v>
      </c>
      <c r="M137">
        <f>+(L137-$L$927)/$L$928</f>
        <v>-0.17809916422879513</v>
      </c>
      <c r="N137">
        <f>+N134+M137</f>
        <v>-16.694536762189315</v>
      </c>
      <c r="Z137">
        <f>+(I137-$F$927)/$F$928</f>
        <v>-0.61569844635568716</v>
      </c>
      <c r="AA137">
        <f>+AA134+Z137</f>
        <v>-16.745248587561068</v>
      </c>
    </row>
    <row r="138" spans="1:27">
      <c r="A138" s="1">
        <v>11</v>
      </c>
      <c r="B138" s="70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0.14489569947508035</v>
      </c>
    </row>
    <row r="139" spans="1:27">
      <c r="A139" s="1">
        <v>12</v>
      </c>
      <c r="B139" s="70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0.15003230225962186</v>
      </c>
    </row>
    <row r="140" spans="1:27">
      <c r="A140" s="1">
        <v>13</v>
      </c>
      <c r="B140" s="70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0.17411166722348972</v>
      </c>
      <c r="I140" s="21">
        <f>AVERAGE(F138:F140)</f>
        <v>6.3806909515822534</v>
      </c>
      <c r="J140" s="21">
        <f>AVERAGE(G138:G140)</f>
        <v>0.15634655631939731</v>
      </c>
      <c r="L140">
        <f>+J140/I140</f>
        <v>2.4503076156764374E-2</v>
      </c>
      <c r="M140">
        <f>+(L140-$L$927)/$L$928</f>
        <v>1.4475642496745094</v>
      </c>
      <c r="N140">
        <f>+N137+M140</f>
        <v>-15.246972512514805</v>
      </c>
      <c r="Z140">
        <f>+(I140-$F$927)/$F$928</f>
        <v>0.3433140181059508</v>
      </c>
      <c r="AA140">
        <f>+AA137+Z140</f>
        <v>-16.401934569455118</v>
      </c>
    </row>
    <row r="141" spans="1:27">
      <c r="A141" s="1">
        <v>11</v>
      </c>
      <c r="B141" s="70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4.9228154826732692E-2</v>
      </c>
    </row>
    <row r="142" spans="1:27">
      <c r="A142" s="1">
        <v>12</v>
      </c>
      <c r="B142" s="70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4.3439947379466243E-2</v>
      </c>
    </row>
    <row r="143" spans="1:27">
      <c r="A143" s="1">
        <v>13</v>
      </c>
      <c r="B143" s="70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0.15122868772861633</v>
      </c>
      <c r="I143" s="21">
        <f>AVERAGE(F141:F143)</f>
        <v>6.3236060605238791</v>
      </c>
      <c r="J143" s="21">
        <f>AVERAGE(G141:G143)</f>
        <v>8.1298929978271761E-2</v>
      </c>
      <c r="L143">
        <f>+J143/I143</f>
        <v>1.2856419138091685E-2</v>
      </c>
      <c r="M143">
        <f>+(L143-$L$927)/$L$928</f>
        <v>0.27372395453527648</v>
      </c>
      <c r="N143">
        <f>+N140+M143</f>
        <v>-14.973248557979529</v>
      </c>
      <c r="Z143">
        <f>+(I143-$F$927)/$F$928</f>
        <v>0.32609592901730955</v>
      </c>
      <c r="AA143">
        <f>+AA140+Z143</f>
        <v>-16.075838640437809</v>
      </c>
    </row>
    <row r="144" spans="1:27">
      <c r="A144" s="1">
        <v>11</v>
      </c>
      <c r="B144" s="70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7.8561217128649219E-2</v>
      </c>
    </row>
    <row r="145" spans="1:27">
      <c r="A145" s="1">
        <v>12</v>
      </c>
      <c r="B145" s="70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7.2287376548971313E-2</v>
      </c>
    </row>
    <row r="146" spans="1:27">
      <c r="A146" s="1">
        <v>13</v>
      </c>
      <c r="B146" s="70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0.11979716761760784</v>
      </c>
      <c r="I146" s="21">
        <f>AVERAGE(F144:F146)</f>
        <v>6.8328743028596763</v>
      </c>
      <c r="J146" s="21">
        <f>AVERAGE(G144:G146)</f>
        <v>9.0215253765076123E-2</v>
      </c>
      <c r="L146">
        <f>+J146/I146</f>
        <v>1.3203119180360082E-2</v>
      </c>
      <c r="M146">
        <f>+(L146-$L$927)/$L$928</f>
        <v>0.30866706991067033</v>
      </c>
      <c r="N146">
        <f>+N143+M146</f>
        <v>-14.664581488068858</v>
      </c>
      <c r="Z146">
        <f>+(I146-$F$927)/$F$928</f>
        <v>0.47970270313879831</v>
      </c>
      <c r="AA146">
        <f>+AA143+Z146</f>
        <v>-15.59613593729901</v>
      </c>
    </row>
    <row r="147" spans="1:27">
      <c r="A147" s="1">
        <v>11</v>
      </c>
      <c r="B147" s="70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3.6916700543619195E-2</v>
      </c>
    </row>
    <row r="148" spans="1:27">
      <c r="A148" s="1">
        <v>12</v>
      </c>
      <c r="B148" s="70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2.3725839338018338E-2</v>
      </c>
    </row>
    <row r="149" spans="1:27">
      <c r="A149" s="1">
        <v>13</v>
      </c>
      <c r="B149" s="70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4.017307436404341E-2</v>
      </c>
      <c r="I149" s="21">
        <f>AVERAGE(F147:F149)</f>
        <v>3.5559999999999996</v>
      </c>
      <c r="J149" s="21">
        <f>AVERAGE(G147:G149)</f>
        <v>3.3605204748560318E-2</v>
      </c>
      <c r="L149">
        <f>+J149/I149</f>
        <v>9.4502825502138128E-3</v>
      </c>
      <c r="M149">
        <f>+(L149-$L$927)/$L$928</f>
        <v>-6.9572870569886786E-2</v>
      </c>
      <c r="N149">
        <f>+N146+M149</f>
        <v>-14.734154358638746</v>
      </c>
      <c r="Z149">
        <f>+(I149-$F$927)/$F$928</f>
        <v>-0.50867640441211459</v>
      </c>
      <c r="AA149">
        <f>+AA146+Z149</f>
        <v>-16.104812341711124</v>
      </c>
    </row>
    <row r="150" spans="1:27">
      <c r="A150" s="1">
        <v>11</v>
      </c>
      <c r="B150" s="70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4.3447615135408457E-2</v>
      </c>
    </row>
    <row r="151" spans="1:27">
      <c r="A151" s="1">
        <v>12</v>
      </c>
      <c r="B151" s="70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3.4302199117123275E-2</v>
      </c>
    </row>
    <row r="152" spans="1:27">
      <c r="A152" s="1">
        <v>13</v>
      </c>
      <c r="B152" s="70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3.8601675026404297E-2</v>
      </c>
      <c r="I152" s="21">
        <f>AVERAGE(F150:F152)</f>
        <v>4.5434666666666672</v>
      </c>
      <c r="J152" s="21">
        <f>AVERAGE(G150:G152)</f>
        <v>3.8783829759645345E-2</v>
      </c>
      <c r="L152">
        <f>+J152/I152</f>
        <v>8.5361757012953413E-3</v>
      </c>
      <c r="M152">
        <f>+(L152-$L$927)/$L$928</f>
        <v>-0.16170363836041443</v>
      </c>
      <c r="N152">
        <f>+N149+M152</f>
        <v>-14.89585799699916</v>
      </c>
      <c r="Z152">
        <f>+(I152-$F$927)/$F$928</f>
        <v>-0.21083421318599915</v>
      </c>
      <c r="AA152">
        <f>+AA149+Z152</f>
        <v>-16.315646554897125</v>
      </c>
    </row>
    <row r="153" spans="1:27">
      <c r="A153" s="1">
        <v>11</v>
      </c>
      <c r="B153" s="70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2.0643451948078498E-2</v>
      </c>
    </row>
    <row r="154" spans="1:27">
      <c r="A154" s="1">
        <v>12</v>
      </c>
      <c r="B154" s="70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1.9868902264510095E-2</v>
      </c>
    </row>
    <row r="155" spans="1:27">
      <c r="A155" s="1">
        <v>13</v>
      </c>
      <c r="B155" s="70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1.5835596477880087E-2</v>
      </c>
      <c r="I155" s="21">
        <f>AVERAGE(F153:F155)</f>
        <v>4.2573333333333325</v>
      </c>
      <c r="J155" s="21">
        <f>AVERAGE(G153:G155)</f>
        <v>1.8782650230156225E-2</v>
      </c>
      <c r="L155">
        <f>+J155/I155</f>
        <v>4.411834535739797E-3</v>
      </c>
      <c r="M155">
        <f>+(L155-$L$927)/$L$928</f>
        <v>-0.57738668314044761</v>
      </c>
      <c r="N155">
        <f>+N152+M155</f>
        <v>-15.473244680139608</v>
      </c>
      <c r="Z155">
        <f>+(I155-$F$927)/$F$928</f>
        <v>-0.29713847221533296</v>
      </c>
      <c r="AA155">
        <f>+AA152+Z155</f>
        <v>-16.612785027112459</v>
      </c>
    </row>
    <row r="156" spans="1:27">
      <c r="A156" s="1">
        <v>11</v>
      </c>
      <c r="B156" s="70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1.5760368466281663E-2</v>
      </c>
    </row>
    <row r="157" spans="1:27">
      <c r="A157" s="1">
        <v>12</v>
      </c>
      <c r="B157" s="70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1.6129202502105075E-2</v>
      </c>
    </row>
    <row r="158" spans="1:27">
      <c r="A158" s="1">
        <v>13</v>
      </c>
      <c r="B158" s="70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1.4365564827511087E-2</v>
      </c>
      <c r="I158" s="21">
        <f>AVERAGE(F156:F158)</f>
        <v>9.587133333333334</v>
      </c>
      <c r="J158" s="21">
        <f>AVERAGE(G156:G158)</f>
        <v>1.5418378598632607E-2</v>
      </c>
      <c r="L158">
        <f>+J158/I158</f>
        <v>1.6082365877842463E-3</v>
      </c>
      <c r="M158">
        <f>+(L158-$L$927)/$L$928</f>
        <v>-0.85995499758497729</v>
      </c>
      <c r="N158">
        <f>+N155+M158</f>
        <v>-16.333199677724586</v>
      </c>
      <c r="Z158">
        <f>+(I158-$F$927)/$F$928</f>
        <v>1.3104492716379104</v>
      </c>
      <c r="AA158">
        <f>+AA155+Z158</f>
        <v>-15.302335755474548</v>
      </c>
    </row>
    <row r="159" spans="1:27">
      <c r="A159" s="1">
        <v>11</v>
      </c>
      <c r="B159" s="70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2.678906065631825E-2</v>
      </c>
    </row>
    <row r="160" spans="1:27">
      <c r="A160" s="1">
        <v>12</v>
      </c>
      <c r="B160" s="70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2.4359852773418299E-2</v>
      </c>
    </row>
    <row r="161" spans="1:27">
      <c r="A161" s="1">
        <v>13</v>
      </c>
      <c r="B161" s="70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2.2943820413453317E-2</v>
      </c>
      <c r="I161" s="21">
        <f>AVERAGE(F159:F161)</f>
        <v>8.7356999999999996</v>
      </c>
      <c r="J161" s="21">
        <f>AVERAGE(G159:G161)</f>
        <v>2.4697577947729959E-2</v>
      </c>
      <c r="L161">
        <f>+J161/I161</f>
        <v>2.8272007907471594E-3</v>
      </c>
      <c r="M161">
        <f>+(L161-$L$927)/$L$928</f>
        <v>-0.73709834460068469</v>
      </c>
      <c r="N161">
        <f>+N158+M161</f>
        <v>-17.070298022325272</v>
      </c>
      <c r="Z161">
        <f>+(I161-$F$927)/$F$928</f>
        <v>1.0536377981539558</v>
      </c>
      <c r="AA161">
        <f>+AA158+Z161</f>
        <v>-14.248697957320593</v>
      </c>
    </row>
    <row r="162" spans="1:27">
      <c r="A162" s="1">
        <v>11</v>
      </c>
      <c r="B162" s="70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5.68193513745609E-2</v>
      </c>
    </row>
    <row r="163" spans="1:27">
      <c r="A163" s="1">
        <v>12</v>
      </c>
      <c r="B163" s="70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3.3875499731458363E-2</v>
      </c>
    </row>
    <row r="164" spans="1:27">
      <c r="A164" s="1">
        <v>13</v>
      </c>
      <c r="B164" s="70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5.0367866786962569E-2</v>
      </c>
      <c r="I164" s="21">
        <f>AVERAGE(F162:F164)</f>
        <v>6.6494666666666662</v>
      </c>
      <c r="J164" s="21">
        <f>AVERAGE(G162:G164)</f>
        <v>4.7020905964327279E-2</v>
      </c>
      <c r="L164">
        <f>+J164/I164</f>
        <v>7.0713800551914863E-3</v>
      </c>
      <c r="M164">
        <f>+(L164-$L$927)/$L$928</f>
        <v>-0.30933708809491756</v>
      </c>
      <c r="N164">
        <f>+N161+M164</f>
        <v>-17.379635110420189</v>
      </c>
      <c r="Z164">
        <f>+(I164-$F$927)/$F$928</f>
        <v>0.42438282845813907</v>
      </c>
      <c r="AA164">
        <f>+AA161+Z164</f>
        <v>-13.824315128862454</v>
      </c>
    </row>
    <row r="165" spans="1:27">
      <c r="A165" s="1">
        <v>11</v>
      </c>
      <c r="B165" s="70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2.4833100487574544E-2</v>
      </c>
    </row>
    <row r="166" spans="1:27">
      <c r="A166" s="1">
        <v>12</v>
      </c>
      <c r="B166" s="70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1.8351640154420257E-2</v>
      </c>
    </row>
    <row r="167" spans="1:27">
      <c r="A167" s="1">
        <v>13</v>
      </c>
      <c r="B167" s="70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3.2097076233406047E-2</v>
      </c>
      <c r="I167" s="21">
        <f>AVERAGE(F165:F167)</f>
        <v>2.5074999999999998</v>
      </c>
      <c r="J167" s="21">
        <f>AVERAGE(G165:G167)</f>
        <v>2.5093938958466951E-2</v>
      </c>
      <c r="L167">
        <f>+J167/I167</f>
        <v>1.0007552924612943E-2</v>
      </c>
      <c r="M167">
        <f>+(L167-$L$927)/$L$928</f>
        <v>-1.3406846301441773E-2</v>
      </c>
      <c r="N167">
        <f>+N164+M167</f>
        <v>-17.393041956721632</v>
      </c>
      <c r="Z167">
        <f>+(I167-$F$927)/$F$928</f>
        <v>-0.82492762386314933</v>
      </c>
      <c r="AA167">
        <f>+AA164+Z167</f>
        <v>-14.649242752725602</v>
      </c>
    </row>
    <row r="168" spans="1:27">
      <c r="A168" s="1">
        <v>11</v>
      </c>
      <c r="B168" s="70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1.6191275147653016E-2</v>
      </c>
    </row>
    <row r="169" spans="1:27">
      <c r="A169" s="1">
        <v>12</v>
      </c>
      <c r="B169" s="70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1.2692177126340727E-2</v>
      </c>
    </row>
    <row r="170" spans="1:27">
      <c r="A170" s="1">
        <v>13</v>
      </c>
      <c r="B170" s="70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1.0542508534415494E-2</v>
      </c>
      <c r="I170" s="21">
        <f>AVERAGE(F168:F170)</f>
        <v>3.6103999999999998</v>
      </c>
      <c r="J170" s="21">
        <f>AVERAGE(G168:G170)</f>
        <v>1.3141986936136413E-2</v>
      </c>
      <c r="L170">
        <f>+J170/I170</f>
        <v>3.6400362663794629E-3</v>
      </c>
      <c r="M170">
        <f>+(L170-$L$927)/$L$928</f>
        <v>-0.6551744901344525</v>
      </c>
      <c r="N170">
        <f>+N167+M170</f>
        <v>-18.048216446856085</v>
      </c>
      <c r="Z170">
        <f>+(I170-$F$927)/$F$928</f>
        <v>-0.49226813894894217</v>
      </c>
      <c r="AA170">
        <f>+AA167+Z170</f>
        <v>-15.141510891674544</v>
      </c>
    </row>
    <row r="171" spans="1:27">
      <c r="A171" s="1">
        <v>11</v>
      </c>
      <c r="B171" s="70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7.8933593964726476E-2</v>
      </c>
    </row>
    <row r="172" spans="1:27">
      <c r="A172" s="1">
        <v>12</v>
      </c>
      <c r="B172" s="70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8.9545748068955627E-2</v>
      </c>
    </row>
    <row r="173" spans="1:27">
      <c r="A173" s="1">
        <v>13</v>
      </c>
      <c r="B173" s="70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0.112320005607152</v>
      </c>
      <c r="I173" s="21">
        <f>AVERAGE(F171:F173)</f>
        <v>8.4931999999999999</v>
      </c>
      <c r="J173" s="21">
        <f>AVERAGE(G171:G173)</f>
        <v>9.359978254694469E-2</v>
      </c>
      <c r="L173">
        <f>+J173/I173</f>
        <v>1.1020555567624064E-2</v>
      </c>
      <c r="M173">
        <f>+(L173-$L$927)/$L$928</f>
        <v>8.8691405543920201E-2</v>
      </c>
      <c r="N173">
        <f>+N170+M173</f>
        <v>-17.959525041312165</v>
      </c>
      <c r="Z173">
        <f>+(I173-$F$927)/$F$928</f>
        <v>0.98049433538154196</v>
      </c>
      <c r="AA173">
        <f>+AA170+Z173</f>
        <v>-14.161016556293003</v>
      </c>
    </row>
    <row r="174" spans="1:27">
      <c r="A174" s="1">
        <v>11</v>
      </c>
      <c r="B174" s="70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0.14701362813420379</v>
      </c>
    </row>
    <row r="175" spans="1:27">
      <c r="A175" s="1">
        <v>12</v>
      </c>
      <c r="B175" s="70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6.4155481407246459E-2</v>
      </c>
    </row>
    <row r="176" spans="1:27">
      <c r="A176" s="1">
        <v>13</v>
      </c>
      <c r="B176" s="70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7.8188488680549131E-2</v>
      </c>
      <c r="I176" s="21">
        <f>AVERAGE(F174:F176)</f>
        <v>11.336566666666664</v>
      </c>
      <c r="J176" s="21">
        <f>AVERAGE(G174:G176)</f>
        <v>9.6452532740666452E-2</v>
      </c>
      <c r="L176">
        <f>+J176/I176</f>
        <v>8.5080902866534955E-3</v>
      </c>
      <c r="M176">
        <f>+(L176-$L$927)/$L$928</f>
        <v>-0.16453430396337981</v>
      </c>
      <c r="N176">
        <f>+N173+M176</f>
        <v>-18.124059345275544</v>
      </c>
      <c r="Z176">
        <f>+(I176-$F$927)/$F$928</f>
        <v>1.8381177742749675</v>
      </c>
      <c r="AA176">
        <f>+AA173+Z176</f>
        <v>-12.322898782018035</v>
      </c>
    </row>
    <row r="177" spans="1:27">
      <c r="A177" s="1">
        <v>11</v>
      </c>
      <c r="B177" s="70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</row>
    <row r="178" spans="1:27">
      <c r="A178" s="1">
        <v>12</v>
      </c>
      <c r="B178" s="70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</row>
    <row r="179" spans="1:27">
      <c r="A179" s="1">
        <v>13</v>
      </c>
      <c r="B179" s="70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I179" s="21">
        <f>AVERAGE(F177:F179)</f>
        <v>11.211766666666668</v>
      </c>
      <c r="J179" s="21" t="e">
        <f>AVERAGE(G177:G179)</f>
        <v>#DIV/0!</v>
      </c>
      <c r="Z179">
        <f>+(I179-$F$927)/$F$928</f>
        <v>1.8004752829182786</v>
      </c>
      <c r="AA179">
        <f>+AA176+Z179</f>
        <v>-10.522423499099755</v>
      </c>
    </row>
    <row r="180" spans="1:27">
      <c r="A180" s="1">
        <v>11</v>
      </c>
      <c r="B180" s="70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0.12219155621286505</v>
      </c>
    </row>
    <row r="181" spans="1:27">
      <c r="A181" s="1">
        <v>12</v>
      </c>
      <c r="B181" s="70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0.15231197598264903</v>
      </c>
    </row>
    <row r="182" spans="1:27">
      <c r="A182" s="1">
        <v>13</v>
      </c>
      <c r="B182" s="70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0.18195703333662638</v>
      </c>
      <c r="I182" s="21">
        <f>AVERAGE(F180:F182)</f>
        <v>3.9800000000000004</v>
      </c>
      <c r="J182" s="21">
        <f>AVERAGE(G180:G182)</f>
        <v>0.15215352184404682</v>
      </c>
      <c r="L182">
        <f>+J182/I182</f>
        <v>3.8229528101519299E-2</v>
      </c>
      <c r="M182">
        <f>+(L182-$L$927)/$L$928</f>
        <v>2.8310223850186458</v>
      </c>
      <c r="N182">
        <f>+N176+M182</f>
        <v>-15.293036960256899</v>
      </c>
      <c r="Z182">
        <f>+(I182-$F$927)/$F$928</f>
        <v>-0.38078845300797637</v>
      </c>
      <c r="AA182">
        <f>+AA179+Z182</f>
        <v>-10.903211952107732</v>
      </c>
    </row>
    <row r="183" spans="1:27">
      <c r="A183" s="1">
        <v>11</v>
      </c>
      <c r="B183" s="70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0.12443921283058797</v>
      </c>
    </row>
    <row r="184" spans="1:27">
      <c r="A184" s="1">
        <v>12</v>
      </c>
      <c r="B184" s="70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8.1178926427704551E-2</v>
      </c>
    </row>
    <row r="185" spans="1:27">
      <c r="A185" s="1">
        <v>13</v>
      </c>
      <c r="B185" s="70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0.15122104067342917</v>
      </c>
      <c r="I185" s="21">
        <f>AVERAGE(F183:F185)</f>
        <v>5.8757566666666667</v>
      </c>
      <c r="J185" s="21">
        <f>AVERAGE(G183:G185)</f>
        <v>0.1189463933105739</v>
      </c>
      <c r="L185">
        <f>+J185/I185</f>
        <v>2.0243587346862088E-2</v>
      </c>
      <c r="M185">
        <f>+(L185-$L$927)/$L$928</f>
        <v>1.0182599786084263</v>
      </c>
      <c r="N185">
        <f>+N182+M185</f>
        <v>-14.274776981648472</v>
      </c>
      <c r="Z185">
        <f>+(I185-$F$927)/$F$928</f>
        <v>0.19101446317300799</v>
      </c>
      <c r="AA185">
        <f>+AA182+Z185</f>
        <v>-10.712197488934724</v>
      </c>
    </row>
    <row r="186" spans="1:27">
      <c r="A186" s="1">
        <v>11</v>
      </c>
      <c r="B186" s="70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3.2650781158634123E-2</v>
      </c>
    </row>
    <row r="187" spans="1:27">
      <c r="A187" s="1">
        <v>12</v>
      </c>
      <c r="B187" s="70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2.3180553884585609E-2</v>
      </c>
    </row>
    <row r="188" spans="1:27">
      <c r="A188" s="1">
        <v>13</v>
      </c>
      <c r="B188" s="70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2.8183928706920439E-2</v>
      </c>
      <c r="I188" s="21">
        <f>AVERAGE(F186:F188)</f>
        <v>4.4954200000000002</v>
      </c>
      <c r="J188" s="21">
        <f>AVERAGE(G186:G188)</f>
        <v>2.8005087916713387E-2</v>
      </c>
      <c r="L188">
        <f>+J188/I188</f>
        <v>6.2296933137979066E-3</v>
      </c>
      <c r="M188">
        <f>+(L188-$L$927)/$L$928</f>
        <v>-0.39416879657127968</v>
      </c>
      <c r="N188">
        <f>+N185+M188</f>
        <v>-14.668945778219751</v>
      </c>
      <c r="Z188">
        <f>+(I188-$F$927)/$F$928</f>
        <v>-0.22532617019495557</v>
      </c>
      <c r="AA188">
        <f>+AA185+Z188</f>
        <v>-10.937523659129679</v>
      </c>
    </row>
    <row r="189" spans="1:27">
      <c r="A189" s="1">
        <v>11</v>
      </c>
      <c r="B189" s="70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2.6837301270379713E-2</v>
      </c>
    </row>
    <row r="190" spans="1:27">
      <c r="A190" s="1">
        <v>12</v>
      </c>
      <c r="B190" s="70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1.564341594757087E-2</v>
      </c>
    </row>
    <row r="191" spans="1:27">
      <c r="A191" s="1">
        <v>13</v>
      </c>
      <c r="B191" s="70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1.7101768035714237E-2</v>
      </c>
      <c r="I191" s="21">
        <f>AVERAGE(F189:F191)</f>
        <v>8.2996399999999984</v>
      </c>
      <c r="J191" s="21">
        <f>AVERAGE(G189:G191)</f>
        <v>1.9860828417888273E-2</v>
      </c>
      <c r="L191">
        <f>+J191/I191</f>
        <v>2.3929746853945805E-3</v>
      </c>
      <c r="M191">
        <f>+(L191-$L$927)/$L$928</f>
        <v>-0.78086301448381301</v>
      </c>
      <c r="N191">
        <f>+N188+M191</f>
        <v>-15.449808792703564</v>
      </c>
      <c r="Z191">
        <f>+(I191-$F$927)/$F$928</f>
        <v>0.92211227907544491</v>
      </c>
      <c r="AA191">
        <f>+AA188+Z191</f>
        <v>-10.015411380054234</v>
      </c>
    </row>
    <row r="192" spans="1:27">
      <c r="A192" s="1">
        <v>11</v>
      </c>
      <c r="B192" s="75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1.0398757685069536E-2</v>
      </c>
    </row>
    <row r="193" spans="1:27">
      <c r="A193" s="1">
        <v>12</v>
      </c>
      <c r="B193" s="75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1.3132349591770979E-2</v>
      </c>
    </row>
    <row r="194" spans="1:27">
      <c r="A194" s="1">
        <v>13</v>
      </c>
      <c r="B194" s="75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1.2074158907698099E-2</v>
      </c>
      <c r="I194" s="21">
        <f>AVERAGE(F192:F194)</f>
        <v>6.4998633333333329</v>
      </c>
      <c r="J194" s="21">
        <f>AVERAGE(G192:G194)</f>
        <v>1.1868422061512873E-2</v>
      </c>
      <c r="L194">
        <f>+J194/I194</f>
        <v>1.8259494781448543E-3</v>
      </c>
      <c r="M194">
        <f>+(L194-$L$927)/$L$928</f>
        <v>-0.8380122063559764</v>
      </c>
      <c r="N194">
        <f>+N191+M194</f>
        <v>-16.287820999059541</v>
      </c>
      <c r="Z194">
        <f>+(I194-$F$927)/$F$928</f>
        <v>0.37925909302599192</v>
      </c>
      <c r="AA194">
        <f>+AA191+Z194</f>
        <v>-9.6361522870282421</v>
      </c>
    </row>
    <row r="195" spans="1:27">
      <c r="A195" s="1">
        <v>11</v>
      </c>
      <c r="B195" s="75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2.1226540369461769E-2</v>
      </c>
    </row>
    <row r="196" spans="1:27">
      <c r="A196" s="1">
        <v>12</v>
      </c>
      <c r="B196" s="75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2.1351364075241727E-2</v>
      </c>
    </row>
    <row r="197" spans="1:27">
      <c r="A197" s="1">
        <v>13</v>
      </c>
      <c r="B197" s="75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2.7756648456539388E-2</v>
      </c>
      <c r="I197" s="21">
        <f>AVERAGE(F195:F197)</f>
        <v>6.8056066666666659</v>
      </c>
      <c r="J197" s="21">
        <f>AVERAGE(G195:G197)</f>
        <v>2.344485096708096E-2</v>
      </c>
      <c r="L197">
        <f>+J197/I197</f>
        <v>3.4449318209810779E-3</v>
      </c>
      <c r="M197">
        <f>+(L197-$L$927)/$L$928</f>
        <v>-0.67483862718272603</v>
      </c>
      <c r="N197">
        <f>+N194+M197</f>
        <v>-16.962659626242267</v>
      </c>
      <c r="Z197">
        <f>+(I197-$F$927)/$F$928</f>
        <v>0.47147816980776663</v>
      </c>
      <c r="AA197">
        <f>+AA194+Z197</f>
        <v>-9.1646741172204749</v>
      </c>
    </row>
    <row r="198" spans="1:27">
      <c r="A198" s="1">
        <v>11</v>
      </c>
      <c r="B198" s="75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7.2049119931984276E-3</v>
      </c>
    </row>
    <row r="199" spans="1:27">
      <c r="A199" s="1">
        <v>12</v>
      </c>
      <c r="B199" s="75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5.9410020510767955E-3</v>
      </c>
    </row>
    <row r="200" spans="1:27">
      <c r="A200" s="1">
        <v>13</v>
      </c>
      <c r="B200" s="75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5.4907166253169055E-3</v>
      </c>
      <c r="I200" s="21">
        <f>AVERAGE(F198:F200)</f>
        <v>1.9632033333333332</v>
      </c>
      <c r="J200" s="21">
        <f>AVERAGE(G198:G200)</f>
        <v>6.2122102231973765E-3</v>
      </c>
      <c r="L200">
        <f>+J200/I200</f>
        <v>3.1643233880668041E-3</v>
      </c>
      <c r="M200">
        <f>+(L200-$L$927)/$L$928</f>
        <v>-0.70312051830243105</v>
      </c>
      <c r="N200">
        <f>+N197+M200</f>
        <v>-17.665780144544698</v>
      </c>
      <c r="Z200">
        <f>+(I200-$F$927)/$F$928</f>
        <v>-0.98909975984451959</v>
      </c>
      <c r="AA200">
        <f>+AA197+Z200</f>
        <v>-10.153773877064994</v>
      </c>
    </row>
    <row r="201" spans="1:27">
      <c r="A201" s="1">
        <v>11</v>
      </c>
      <c r="B201" s="75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1.7128703758354746E-2</v>
      </c>
    </row>
    <row r="202" spans="1:27">
      <c r="A202" s="1">
        <v>12</v>
      </c>
      <c r="B202" s="75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1.0267594122518098E-2</v>
      </c>
    </row>
    <row r="203" spans="1:27">
      <c r="A203" s="1">
        <v>13</v>
      </c>
      <c r="B203" s="75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2.4644356904985645E-2</v>
      </c>
      <c r="I203" s="21">
        <f>AVERAGE(F201:F203)</f>
        <v>4.5291933333333327</v>
      </c>
      <c r="J203" s="21">
        <f>AVERAGE(G201:G203)</f>
        <v>1.7346884928619497E-2</v>
      </c>
      <c r="L203">
        <f>+J203/I203</f>
        <v>3.8300164404447665E-3</v>
      </c>
      <c r="M203">
        <f>+(L203-$L$927)/$L$928</f>
        <v>-0.63602681683748163</v>
      </c>
      <c r="N203">
        <f>+N200+M203</f>
        <v>-18.30180696138218</v>
      </c>
      <c r="Z203">
        <f>+(I203-$F$927)/$F$928</f>
        <v>-0.21513937205323627</v>
      </c>
      <c r="AA203">
        <f>+AA200+Z203</f>
        <v>-10.368913249118231</v>
      </c>
    </row>
    <row r="204" spans="1:27">
      <c r="A204" s="1">
        <v>11</v>
      </c>
      <c r="B204" s="75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1.4431488922119555E-2</v>
      </c>
    </row>
    <row r="205" spans="1:27">
      <c r="A205" s="1">
        <v>12</v>
      </c>
      <c r="B205" s="75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7.422550666077765E-3</v>
      </c>
    </row>
    <row r="206" spans="1:27">
      <c r="A206" s="1">
        <v>13</v>
      </c>
      <c r="B206" s="75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1.4850519178791653E-2</v>
      </c>
      <c r="I206" s="21">
        <f>AVERAGE(F204:F206)</f>
        <v>2.2742966666666669</v>
      </c>
      <c r="J206" s="21">
        <f>AVERAGE(G204:G206)</f>
        <v>1.2234852922329656E-2</v>
      </c>
      <c r="L206">
        <f>+J206/I206</f>
        <v>5.3796204785639175E-3</v>
      </c>
      <c r="M206">
        <f>+(L206-$L$927)/$L$928</f>
        <v>-0.47984572053333091</v>
      </c>
      <c r="N206">
        <f>+N203+M206</f>
        <v>-18.78165268191551</v>
      </c>
      <c r="Z206">
        <f>+(I206-$F$927)/$F$928</f>
        <v>-0.89526700254384817</v>
      </c>
      <c r="AA206">
        <f>+AA203+Z206</f>
        <v>-11.264180251662079</v>
      </c>
    </row>
    <row r="207" spans="1:27">
      <c r="A207" s="1">
        <v>11</v>
      </c>
      <c r="B207" s="75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5.2109325081626238E-2</v>
      </c>
    </row>
    <row r="208" spans="1:27">
      <c r="A208" s="1">
        <v>12</v>
      </c>
      <c r="B208" s="75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4.4114828722937496E-2</v>
      </c>
    </row>
    <row r="209" spans="1:27">
      <c r="A209" s="1">
        <v>13</v>
      </c>
      <c r="B209" s="75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5.95589985099296E-2</v>
      </c>
      <c r="I209" s="21">
        <f>AVERAGE(F207:F209)</f>
        <v>6.3977533333333341</v>
      </c>
      <c r="J209" s="21">
        <f>AVERAGE(G207:G209)</f>
        <v>5.192771743816444E-2</v>
      </c>
      <c r="L209">
        <f>+J209/I209</f>
        <v>8.116555098742647E-3</v>
      </c>
      <c r="M209">
        <f>+(L209-$L$927)/$L$928</f>
        <v>-0.20399625255496318</v>
      </c>
      <c r="N209">
        <f>+N206+M209</f>
        <v>-18.985648934470472</v>
      </c>
      <c r="Z209">
        <f>+(I209-$F$927)/$F$928</f>
        <v>0.34846041680458534</v>
      </c>
      <c r="AA209">
        <f>+AA206+Z209</f>
        <v>-10.915719834857494</v>
      </c>
    </row>
    <row r="210" spans="1:27">
      <c r="A210" s="1">
        <v>11</v>
      </c>
      <c r="B210" s="75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0.32685472564041307</v>
      </c>
    </row>
    <row r="211" spans="1:27">
      <c r="A211" s="1">
        <v>12</v>
      </c>
      <c r="B211" s="75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0.55291589598329083</v>
      </c>
    </row>
    <row r="212" spans="1:27">
      <c r="A212" s="1">
        <v>13</v>
      </c>
      <c r="B212" s="75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0.912971669153674</v>
      </c>
      <c r="I212" s="21">
        <f>AVERAGE(F210:F212)</f>
        <v>15.072253333333334</v>
      </c>
      <c r="J212" s="21">
        <f>AVERAGE(G210:G212)</f>
        <v>0.59758076359245926</v>
      </c>
      <c r="L212">
        <f>+J212/I212</f>
        <v>3.9647738820237845E-2</v>
      </c>
      <c r="M212">
        <f>+(L212-$L$927)/$L$928</f>
        <v>2.973960644981239</v>
      </c>
      <c r="N212">
        <f>+N209+M212</f>
        <v>-16.011688289489232</v>
      </c>
      <c r="Z212">
        <f>+(I212-$F$927)/$F$928</f>
        <v>2.9648850263687256</v>
      </c>
      <c r="AA212">
        <f>+AA209+Z212</f>
        <v>-7.9508348084887688</v>
      </c>
    </row>
    <row r="213" spans="1:27">
      <c r="A213" s="1">
        <v>11</v>
      </c>
      <c r="B213" s="75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9.8718647556600786E-2</v>
      </c>
    </row>
    <row r="214" spans="1:27">
      <c r="A214" s="1">
        <v>12</v>
      </c>
      <c r="B214" s="75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9.7426749226591336E-2</v>
      </c>
    </row>
    <row r="215" spans="1:27">
      <c r="A215" s="1">
        <v>13</v>
      </c>
      <c r="B215" s="75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0.10057198766267536</v>
      </c>
      <c r="I215" s="21">
        <f>AVERAGE(F213:F215)</f>
        <v>10.613483333333333</v>
      </c>
      <c r="J215" s="21">
        <f>AVERAGE(G213:G215)</f>
        <v>9.8905794815289161E-2</v>
      </c>
      <c r="L215">
        <f>+J215/I215</f>
        <v>9.3188816252869379E-3</v>
      </c>
      <c r="M215">
        <f>+(L215-$L$927)/$L$928</f>
        <v>-8.2816473455284478E-2</v>
      </c>
      <c r="N215">
        <f>+N212+M215</f>
        <v>-16.094504762944517</v>
      </c>
      <c r="Z215">
        <f>+(I215-$F$927)/$F$928</f>
        <v>1.6200195521181862</v>
      </c>
      <c r="AA215">
        <f>+AA212+Z215</f>
        <v>-6.3308152563705828</v>
      </c>
    </row>
    <row r="216" spans="1:27">
      <c r="A216" s="1">
        <v>11</v>
      </c>
      <c r="B216" s="75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0.3254667363547219</v>
      </c>
    </row>
    <row r="217" spans="1:27">
      <c r="A217" s="1">
        <v>12</v>
      </c>
      <c r="B217" s="75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0.25393561641540929</v>
      </c>
    </row>
    <row r="218" spans="1:27">
      <c r="A218" s="1">
        <v>13</v>
      </c>
      <c r="B218" s="75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0.55248908908077066</v>
      </c>
      <c r="I218" s="21">
        <f>AVERAGE(F216:F218)</f>
        <v>10.224086666666667</v>
      </c>
      <c r="J218" s="21">
        <f>AVERAGE(G216:G218)</f>
        <v>0.37729714728363395</v>
      </c>
      <c r="L218">
        <f>+J218/I218</f>
        <v>3.690277279375246E-2</v>
      </c>
      <c r="M218">
        <f>+(L218-$L$927)/$L$928</f>
        <v>2.6973017096738112</v>
      </c>
      <c r="N218">
        <f>+N215+M218</f>
        <v>-13.397203053270706</v>
      </c>
      <c r="Z218">
        <f>+(I218-$F$927)/$F$928</f>
        <v>1.5025687455530918</v>
      </c>
      <c r="AA218">
        <f>+AA215+Z218</f>
        <v>-4.8282465108174915</v>
      </c>
    </row>
    <row r="219" spans="1:27">
      <c r="A219" s="1">
        <v>11</v>
      </c>
      <c r="B219" s="75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6.8099999999999994E-2</v>
      </c>
    </row>
    <row r="220" spans="1:27">
      <c r="A220" s="1">
        <v>12</v>
      </c>
      <c r="B220" s="75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6.2700000000000006E-2</v>
      </c>
    </row>
    <row r="221" spans="1:27">
      <c r="A221" s="1">
        <v>13</v>
      </c>
      <c r="B221" s="75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7.1400000000000005E-2</v>
      </c>
      <c r="I221" s="21">
        <f>AVERAGE(F219:F221)</f>
        <v>5.7648000000000001</v>
      </c>
      <c r="J221" s="21">
        <f>AVERAGE(G219:G221)</f>
        <v>6.7400000000000002E-2</v>
      </c>
      <c r="L221">
        <f>+J221/I221</f>
        <v>1.1691645850679989E-2</v>
      </c>
      <c r="M221">
        <f>+(L221-$L$927)/$L$928</f>
        <v>0.15632908171695947</v>
      </c>
      <c r="N221">
        <f>+N218+M221</f>
        <v>-13.240873971553746</v>
      </c>
      <c r="Z221">
        <f>+(I221-$F$927)/$F$928</f>
        <v>0.15754743299698959</v>
      </c>
      <c r="AA221">
        <f>+AA218+Z221</f>
        <v>-4.670699077820502</v>
      </c>
    </row>
    <row r="222" spans="1:27">
      <c r="A222" s="1">
        <v>11</v>
      </c>
      <c r="B222" s="75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2.6499999999999999E-2</v>
      </c>
    </row>
    <row r="223" spans="1:27">
      <c r="A223" s="1">
        <v>12</v>
      </c>
      <c r="B223" s="75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2.2700000000000001E-2</v>
      </c>
    </row>
    <row r="224" spans="1:27">
      <c r="A224" s="1">
        <v>13</v>
      </c>
      <c r="B224" s="75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2.8199999999999999E-2</v>
      </c>
      <c r="I224" s="21">
        <f>AVERAGE(F222:F224)</f>
        <v>4.0482666666666667</v>
      </c>
      <c r="J224" s="21">
        <f>AVERAGE(G222:G224)</f>
        <v>2.58E-2</v>
      </c>
      <c r="L224">
        <f>+J224/I224</f>
        <v>6.3730979513866018E-3</v>
      </c>
      <c r="M224">
        <f>+(L224-$L$927)/$L$928</f>
        <v>-0.37971536655770893</v>
      </c>
      <c r="N224">
        <f>+N221+M224</f>
        <v>-13.620589338111456</v>
      </c>
      <c r="Z224">
        <f>+(I224-$F$927)/$F$928</f>
        <v>-0.36019768850517186</v>
      </c>
      <c r="AA224">
        <f>+AA221+Z224</f>
        <v>-5.0308967663256734</v>
      </c>
    </row>
    <row r="225" spans="1:27">
      <c r="A225" s="1">
        <v>11</v>
      </c>
      <c r="B225" s="75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7.7000000000000002E-3</v>
      </c>
    </row>
    <row r="226" spans="1:27">
      <c r="A226" s="1">
        <v>12</v>
      </c>
      <c r="B226" s="75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6.1000000000000004E-3</v>
      </c>
    </row>
    <row r="227" spans="1:27">
      <c r="A227" s="1">
        <v>13</v>
      </c>
      <c r="B227" s="75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6.4999999999999997E-3</v>
      </c>
      <c r="I227" s="21">
        <f>AVERAGE(F225:F227)</f>
        <v>5.0528000000000004</v>
      </c>
      <c r="J227" s="21">
        <f>AVERAGE(G225:G227)</f>
        <v>6.7666666666666665E-3</v>
      </c>
      <c r="L227">
        <f>+J227/I227</f>
        <v>1.3391914713953978E-3</v>
      </c>
      <c r="M227">
        <f>+(L227-$L$927)/$L$928</f>
        <v>-0.88707144810990612</v>
      </c>
      <c r="N227">
        <f>+N224+M227</f>
        <v>-14.507660786221361</v>
      </c>
      <c r="Z227">
        <f>+(I227-$F$927)/$F$928</f>
        <v>-5.7207806153355363E-2</v>
      </c>
      <c r="AA227">
        <f>+AA224+Z227</f>
        <v>-5.088104572479029</v>
      </c>
    </row>
    <row r="228" spans="1:27">
      <c r="A228" s="5">
        <v>11</v>
      </c>
      <c r="B228" s="75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1.84E-2</v>
      </c>
    </row>
    <row r="229" spans="1:27">
      <c r="A229" s="5">
        <v>12</v>
      </c>
      <c r="B229" s="75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1.44E-2</v>
      </c>
    </row>
    <row r="230" spans="1:27">
      <c r="A230" s="5">
        <v>13</v>
      </c>
      <c r="B230" s="75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1.84E-2</v>
      </c>
      <c r="I230" s="21">
        <f>AVERAGE(F228:F230)</f>
        <v>4.2113666666666667</v>
      </c>
      <c r="J230" s="21">
        <f>AVERAGE(G228:G230)</f>
        <v>1.7066666666666664E-2</v>
      </c>
      <c r="L230">
        <f>+J230/I230</f>
        <v>4.0525245169818185E-3</v>
      </c>
      <c r="M230">
        <f>+(L230-$L$927)/$L$928</f>
        <v>-0.61360072960795631</v>
      </c>
      <c r="N230">
        <f>+N227+M230</f>
        <v>-15.121261515829318</v>
      </c>
      <c r="Z230">
        <f>+(I230-$F$927)/$F$928</f>
        <v>-0.31100305436834419</v>
      </c>
      <c r="AA230">
        <f>+AA227+Z230</f>
        <v>-5.399107626847373</v>
      </c>
    </row>
    <row r="231" spans="1:27">
      <c r="A231" s="5">
        <v>11</v>
      </c>
      <c r="B231" s="75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2.1399999999999999E-2</v>
      </c>
    </row>
    <row r="232" spans="1:27">
      <c r="A232" s="5">
        <v>12</v>
      </c>
      <c r="B232" s="75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1.9800000000000002E-2</v>
      </c>
    </row>
    <row r="233" spans="1:27">
      <c r="A233" s="5">
        <v>13</v>
      </c>
      <c r="B233" s="75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1.8700000000000001E-2</v>
      </c>
      <c r="I233" s="21">
        <f>AVERAGE(F231:F233)</f>
        <v>3.5848666666666666</v>
      </c>
      <c r="J233" s="21">
        <f>AVERAGE(G231:G233)</f>
        <v>1.9966666666666667E-2</v>
      </c>
      <c r="L233">
        <f>+J233/I233</f>
        <v>5.5697097056143421E-3</v>
      </c>
      <c r="M233">
        <f>+(L233-$L$927)/$L$928</f>
        <v>-0.46068705603192805</v>
      </c>
      <c r="N233">
        <f>+N230+M233</f>
        <v>-15.581948571861245</v>
      </c>
      <c r="Z233">
        <f>+(I233-$F$927)/$F$928</f>
        <v>-0.49996956746903404</v>
      </c>
      <c r="AA233">
        <f>+AA230+Z233</f>
        <v>-5.8990771943164066</v>
      </c>
    </row>
    <row r="234" spans="1:27">
      <c r="A234" s="5">
        <v>11</v>
      </c>
      <c r="B234" s="75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2.07E-2</v>
      </c>
    </row>
    <row r="235" spans="1:27">
      <c r="A235" s="5">
        <v>12</v>
      </c>
      <c r="B235" s="75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1.8499999999999999E-2</v>
      </c>
    </row>
    <row r="236" spans="1:27">
      <c r="A236" s="5">
        <v>13</v>
      </c>
      <c r="B236" s="75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1.8100000000000002E-2</v>
      </c>
      <c r="I236" s="21">
        <f>AVERAGE(F234:F236)</f>
        <v>4.2099000000000002</v>
      </c>
      <c r="J236" s="21">
        <f>AVERAGE(G234:G236)</f>
        <v>1.9100000000000002E-2</v>
      </c>
      <c r="L236">
        <f>+J236/I236</f>
        <v>4.536924867574052E-3</v>
      </c>
      <c r="M236">
        <f>+(L236-$L$927)/$L$928</f>
        <v>-0.56477911070107989</v>
      </c>
      <c r="N236">
        <f>+N233+M236</f>
        <v>-16.146727682562325</v>
      </c>
      <c r="Z236">
        <f>+(I236-$F$927)/$F$928</f>
        <v>-0.31144543407445913</v>
      </c>
      <c r="AA236">
        <f>+AA233+Z236</f>
        <v>-6.2105226283908657</v>
      </c>
    </row>
    <row r="237" spans="1:27">
      <c r="A237" s="5">
        <v>11</v>
      </c>
      <c r="B237" s="74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3.7699999999999997E-2</v>
      </c>
    </row>
    <row r="238" spans="1:27">
      <c r="A238" s="5">
        <v>12</v>
      </c>
      <c r="B238" s="74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3.0700000000000002E-2</v>
      </c>
    </row>
    <row r="239" spans="1:27">
      <c r="A239" s="5">
        <v>13</v>
      </c>
      <c r="B239" s="74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3.6299999999999999E-2</v>
      </c>
      <c r="I239" s="21">
        <f>AVERAGE(F237:F239)</f>
        <v>3.2113</v>
      </c>
      <c r="J239" s="21">
        <f>AVERAGE(G237:G239)</f>
        <v>3.49E-2</v>
      </c>
      <c r="L239">
        <f>+J239/I239</f>
        <v>1.0867872824089932E-2</v>
      </c>
      <c r="M239">
        <f>+(L239-$L$927)/$L$928</f>
        <v>7.3302856156278157E-2</v>
      </c>
      <c r="N239">
        <f>+N236+M239</f>
        <v>-16.073424826406047</v>
      </c>
      <c r="Z239">
        <f>+(I239-$F$927)/$F$928</f>
        <v>-0.61264568943335596</v>
      </c>
      <c r="AA239">
        <f>+AA236+Z239</f>
        <v>-6.823168317824222</v>
      </c>
    </row>
    <row r="240" spans="1:27">
      <c r="A240" s="5">
        <v>11</v>
      </c>
      <c r="B240" s="74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3.5799999999999998E-2</v>
      </c>
    </row>
    <row r="241" spans="1:27">
      <c r="A241" s="5">
        <v>12</v>
      </c>
      <c r="B241" s="74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2.8500000000000001E-2</v>
      </c>
    </row>
    <row r="242" spans="1:27">
      <c r="A242" s="5">
        <v>13</v>
      </c>
      <c r="B242" s="74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4.1599999999999998E-2</v>
      </c>
      <c r="I242" s="21">
        <f>AVERAGE(F240:F242)</f>
        <v>4.9666000000000006</v>
      </c>
      <c r="J242" s="21">
        <f>AVERAGE(G240:G242)</f>
        <v>3.5299999999999998E-2</v>
      </c>
      <c r="L242">
        <f>+J242/I242</f>
        <v>7.1074779527241965E-3</v>
      </c>
      <c r="M242">
        <f>+(L242-$L$927)/$L$928</f>
        <v>-0.3056988624112929</v>
      </c>
      <c r="N242">
        <f>+N239+M242</f>
        <v>-16.379123688817341</v>
      </c>
      <c r="Z242">
        <f>+(I242-$F$927)/$F$928</f>
        <v>-8.3207667971838095E-2</v>
      </c>
      <c r="AA242">
        <f>+AA239+Z242</f>
        <v>-6.9063759857960605</v>
      </c>
    </row>
    <row r="243" spans="1:27">
      <c r="A243" s="5">
        <v>11</v>
      </c>
      <c r="B243" s="74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9.3299999999999994E-2</v>
      </c>
    </row>
    <row r="244" spans="1:27">
      <c r="A244" s="5">
        <v>12</v>
      </c>
      <c r="B244" s="74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0.11990000000000001</v>
      </c>
    </row>
    <row r="245" spans="1:27">
      <c r="A245" s="5">
        <v>13</v>
      </c>
      <c r="B245" s="74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0.14630000000000001</v>
      </c>
      <c r="I245" s="21">
        <f>AVERAGE(F243:F245)</f>
        <v>9.6408333333333331</v>
      </c>
      <c r="J245" s="21">
        <f>AVERAGE(G243:G245)</f>
        <v>0.11983333333333335</v>
      </c>
      <c r="L245">
        <f>+J245/I245</f>
        <v>1.2429769210822027E-2</v>
      </c>
      <c r="M245">
        <f>+(L245-$L$927)/$L$928</f>
        <v>0.23072287055517804</v>
      </c>
      <c r="N245">
        <f>+N242+M245</f>
        <v>-16.148400818262164</v>
      </c>
      <c r="Z245">
        <f>+(I245-$F$927)/$F$928</f>
        <v>1.326646401332255</v>
      </c>
      <c r="AA245">
        <f>+AA242+Z245</f>
        <v>-5.5797295844638057</v>
      </c>
    </row>
    <row r="246" spans="1:27">
      <c r="A246" s="5">
        <v>11</v>
      </c>
      <c r="B246" s="74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0.21049999999999999</v>
      </c>
    </row>
    <row r="247" spans="1:27">
      <c r="A247" s="5">
        <v>12</v>
      </c>
      <c r="B247" s="74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0.2397</v>
      </c>
    </row>
    <row r="248" spans="1:27">
      <c r="A248" s="5">
        <v>13</v>
      </c>
      <c r="B248" s="74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0.20100000000000001</v>
      </c>
      <c r="I248" s="21">
        <f>AVERAGE(F246:F248)</f>
        <v>9.3822666666666663</v>
      </c>
      <c r="J248" s="21">
        <f>AVERAGE(G246:G248)</f>
        <v>0.21706666666666666</v>
      </c>
      <c r="L248">
        <f>+J248/I248</f>
        <v>2.3135844927309676E-2</v>
      </c>
      <c r="M248">
        <f>+(L248-$L$927)/$L$928</f>
        <v>1.3097640974648599</v>
      </c>
      <c r="N248">
        <f>+N245+M248</f>
        <v>-14.838636720797304</v>
      </c>
      <c r="Z248">
        <f>+(I248-$F$927)/$F$928</f>
        <v>1.2486568699610363</v>
      </c>
      <c r="AA248">
        <f>+AA245+Z248</f>
        <v>-4.3310727145027696</v>
      </c>
    </row>
    <row r="249" spans="1:27">
      <c r="A249" s="5">
        <v>11</v>
      </c>
      <c r="B249" s="74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0.1663</v>
      </c>
    </row>
    <row r="250" spans="1:27">
      <c r="A250" s="5">
        <v>12</v>
      </c>
      <c r="B250" s="74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0.15720000000000001</v>
      </c>
    </row>
    <row r="251" spans="1:27">
      <c r="A251" s="5">
        <v>13</v>
      </c>
      <c r="B251" s="74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0.37640000000000001</v>
      </c>
      <c r="I251" s="21">
        <f>AVERAGE(F249:F251)</f>
        <v>9.8842999999999996</v>
      </c>
      <c r="J251" s="21">
        <f>AVERAGE(G249:G251)</f>
        <v>0.23329999999999998</v>
      </c>
      <c r="L251">
        <f>+J251/I251</f>
        <v>2.3603087724977993E-2</v>
      </c>
      <c r="M251">
        <f>+(L251-$L$927)/$L$928</f>
        <v>1.3568564453065897</v>
      </c>
      <c r="N251">
        <f>+N248+M251</f>
        <v>-13.481780275490713</v>
      </c>
      <c r="Z251">
        <f>+(I251-$F$927)/$F$928</f>
        <v>1.4000814325473354</v>
      </c>
      <c r="AA251">
        <f>+AA248+Z251</f>
        <v>-2.9309912819554342</v>
      </c>
    </row>
    <row r="252" spans="1:27">
      <c r="A252" s="5">
        <v>11</v>
      </c>
      <c r="B252" s="74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3.5099999999999999E-2</v>
      </c>
    </row>
    <row r="253" spans="1:27">
      <c r="A253" s="5">
        <v>12</v>
      </c>
      <c r="B253" s="74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3.5499999999999997E-2</v>
      </c>
    </row>
    <row r="254" spans="1:27">
      <c r="A254" s="5">
        <v>13</v>
      </c>
      <c r="B254" s="74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7.46E-2</v>
      </c>
      <c r="I254" s="21">
        <f>AVERAGE(F252:F254)</f>
        <v>3.7456999999999998</v>
      </c>
      <c r="J254" s="21">
        <f>AVERAGE(G252:G254)</f>
        <v>4.8399999999999999E-2</v>
      </c>
      <c r="L254">
        <f>+J254/I254</f>
        <v>1.2921483300851643E-2</v>
      </c>
      <c r="M254">
        <f>+(L254-$L$927)/$L$928</f>
        <v>0.28028162476585744</v>
      </c>
      <c r="N254">
        <f>+N251+M254</f>
        <v>-13.201498650724856</v>
      </c>
      <c r="Z254">
        <f>+(I254-$F$927)/$F$928</f>
        <v>-0.45145861105983864</v>
      </c>
      <c r="AA254">
        <f>+AA251+Z254</f>
        <v>-3.3824498930152727</v>
      </c>
    </row>
    <row r="255" spans="1:27">
      <c r="A255" s="5">
        <v>11</v>
      </c>
      <c r="B255" s="74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0.19700000000000001</v>
      </c>
    </row>
    <row r="256" spans="1:27">
      <c r="A256" s="5">
        <v>12</v>
      </c>
      <c r="B256" s="74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0.05</v>
      </c>
    </row>
    <row r="257" spans="1:27">
      <c r="A257" s="5">
        <v>13</v>
      </c>
      <c r="B257" s="74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8.5000000000000006E-2</v>
      </c>
      <c r="I257" s="21">
        <f>AVERAGE(F255:F257)</f>
        <v>4.7063333333333333</v>
      </c>
      <c r="J257" s="21">
        <f>AVERAGE(G255:G257)</f>
        <v>0.11066666666666668</v>
      </c>
      <c r="L257">
        <f>+J257/I257</f>
        <v>2.3514413202068138E-2</v>
      </c>
      <c r="M257">
        <f>+(L257-$L$927)/$L$928</f>
        <v>1.3479191401230548</v>
      </c>
      <c r="N257">
        <f>+N254+M257</f>
        <v>-11.853579510601801</v>
      </c>
      <c r="Z257">
        <f>+(I257-$F$927)/$F$928</f>
        <v>-0.16170995763878088</v>
      </c>
      <c r="AA257">
        <f>+AA254+Z257</f>
        <v>-3.5441598506540535</v>
      </c>
    </row>
    <row r="258" spans="1:27">
      <c r="A258" s="5">
        <v>11</v>
      </c>
      <c r="B258" s="74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3.6999999999999998E-2</v>
      </c>
    </row>
    <row r="259" spans="1:27">
      <c r="A259" s="5">
        <v>12</v>
      </c>
      <c r="B259" s="74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2.5999999999999999E-2</v>
      </c>
    </row>
    <row r="260" spans="1:27">
      <c r="A260" s="5">
        <v>13</v>
      </c>
      <c r="B260" s="74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3.4000000000000002E-2</v>
      </c>
      <c r="I260" s="21">
        <f>AVERAGE(F258:F260)</f>
        <v>3.7926666666666669</v>
      </c>
      <c r="J260" s="21">
        <f>AVERAGE(G258:G260)</f>
        <v>3.2333333333333332E-2</v>
      </c>
      <c r="L260">
        <f>+J260/I260</f>
        <v>8.5252241167164695E-3</v>
      </c>
      <c r="M260">
        <f>+(L260-$L$927)/$L$928</f>
        <v>-0.16280742387188735</v>
      </c>
      <c r="N260">
        <f>+N257+M260</f>
        <v>-12.016386934473688</v>
      </c>
      <c r="Z260">
        <f>+(I260-$F$927)/$F$928</f>
        <v>-0.4372924063799305</v>
      </c>
      <c r="AA260">
        <f>+AA257+Z260</f>
        <v>-3.9814522570339839</v>
      </c>
    </row>
    <row r="261" spans="1:27">
      <c r="A261" s="5">
        <v>11</v>
      </c>
      <c r="B261" s="75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1.2999999999999999E-2</v>
      </c>
    </row>
    <row r="262" spans="1:27">
      <c r="A262" s="5">
        <v>12</v>
      </c>
      <c r="B262" s="75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0.01</v>
      </c>
    </row>
    <row r="263" spans="1:27">
      <c r="A263" s="5">
        <v>13</v>
      </c>
      <c r="B263" s="75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0.01</v>
      </c>
      <c r="I263" s="21">
        <f>AVERAGE(F261:F263)</f>
        <v>3.8180000000000001</v>
      </c>
      <c r="J263" s="21">
        <f>AVERAGE(G261:G263)</f>
        <v>1.1000000000000001E-2</v>
      </c>
      <c r="L263">
        <f>+J263/I263</f>
        <v>2.8810895756940808E-3</v>
      </c>
      <c r="M263">
        <f>+(L263-$L$927)/$L$928</f>
        <v>-0.73166701549694513</v>
      </c>
      <c r="N263">
        <f>+N260+M263</f>
        <v>-12.748053949970634</v>
      </c>
      <c r="Z263">
        <f>+(I263-$F$927)/$F$928</f>
        <v>-0.42965130236521787</v>
      </c>
      <c r="AA263">
        <f>+AA260+Z263</f>
        <v>-4.4111035593992014</v>
      </c>
    </row>
    <row r="264" spans="1:27">
      <c r="A264" s="10">
        <v>11</v>
      </c>
      <c r="B264" s="75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8.0000000000000002E-3</v>
      </c>
    </row>
    <row r="265" spans="1:27">
      <c r="A265" s="10">
        <v>12</v>
      </c>
      <c r="B265" s="75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0.01</v>
      </c>
    </row>
    <row r="266" spans="1:27">
      <c r="A266" s="10">
        <v>13</v>
      </c>
      <c r="B266" s="75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0.01</v>
      </c>
      <c r="I266" s="21">
        <f>AVERAGE(F264:F266)</f>
        <v>3.5136666666666669</v>
      </c>
      <c r="J266" s="21">
        <f>AVERAGE(G264:G266)</f>
        <v>9.3333333333333341E-3</v>
      </c>
      <c r="L266">
        <f>+J266/I266</f>
        <v>2.6562944692154443E-3</v>
      </c>
      <c r="M266">
        <f>+(L266-$L$927)/$L$928</f>
        <v>-0.75432360731652726</v>
      </c>
      <c r="N266">
        <f>+N263+M266</f>
        <v>-13.502377557287161</v>
      </c>
      <c r="Z266">
        <f>+(I266-$F$927)/$F$928</f>
        <v>-0.52144509138406847</v>
      </c>
      <c r="AA266">
        <f>+AA263+Z266</f>
        <v>-4.9325486507832697</v>
      </c>
    </row>
    <row r="267" spans="1:27">
      <c r="A267" s="10">
        <v>11</v>
      </c>
      <c r="B267" s="75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1.4999999999999999E-2</v>
      </c>
    </row>
    <row r="268" spans="1:27">
      <c r="A268" s="10">
        <v>12</v>
      </c>
      <c r="B268" s="75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1.2999999999999999E-2</v>
      </c>
    </row>
    <row r="269" spans="1:27">
      <c r="A269" s="10">
        <v>13</v>
      </c>
      <c r="B269" s="75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8.9999999999999993E-3</v>
      </c>
      <c r="I269" s="21">
        <f>AVERAGE(F267:F269)</f>
        <v>3.3679999999999999</v>
      </c>
      <c r="J269" s="21">
        <f>AVERAGE(G267:G269)</f>
        <v>1.2333333333333333E-2</v>
      </c>
      <c r="L269">
        <f>+J269/I269</f>
        <v>3.6619160728424385E-3</v>
      </c>
      <c r="M269">
        <f>+(L269-$L$927)/$L$928</f>
        <v>-0.65296927378482439</v>
      </c>
      <c r="N269">
        <f>+N266+M269</f>
        <v>-14.155346831071986</v>
      </c>
      <c r="Z269">
        <f>+(I269-$F$927)/$F$928</f>
        <v>-0.56538143946866637</v>
      </c>
      <c r="AA269">
        <f>+AA266+Z269</f>
        <v>-5.4979300902519359</v>
      </c>
    </row>
    <row r="270" spans="1:27">
      <c r="A270" s="10">
        <v>11</v>
      </c>
      <c r="B270" s="75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0.02</v>
      </c>
    </row>
    <row r="271" spans="1:27">
      <c r="A271" s="10">
        <v>12</v>
      </c>
      <c r="B271" s="75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4.2999999999999997E-2</v>
      </c>
    </row>
    <row r="272" spans="1:27">
      <c r="A272" s="10">
        <v>13</v>
      </c>
      <c r="B272" s="75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2.5000000000000001E-2</v>
      </c>
      <c r="I272" s="21">
        <f>AVERAGE(F270:F272)</f>
        <v>3.1379999999999999</v>
      </c>
      <c r="J272" s="21">
        <f>AVERAGE(G270:G272)</f>
        <v>2.9333333333333333E-2</v>
      </c>
      <c r="L272">
        <f>+J272/I272</f>
        <v>9.3477799022732098E-3</v>
      </c>
      <c r="M272">
        <f>+(L272-$L$927)/$L$928</f>
        <v>-7.9903881289807743E-2</v>
      </c>
      <c r="N272">
        <f>+N269+M272</f>
        <v>-14.235250712361793</v>
      </c>
      <c r="Z272">
        <f>+(I272-$F$927)/$F$928</f>
        <v>-0.63475462065487331</v>
      </c>
      <c r="AA272">
        <f>+AA269+Z272</f>
        <v>-6.1326847109068092</v>
      </c>
    </row>
    <row r="273" spans="1:27">
      <c r="A273" s="10">
        <v>11</v>
      </c>
      <c r="B273" s="75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2.1000000000000001E-2</v>
      </c>
    </row>
    <row r="274" spans="1:27">
      <c r="A274" s="10">
        <v>12</v>
      </c>
      <c r="B274" s="75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1.2999999999999999E-2</v>
      </c>
    </row>
    <row r="275" spans="1:27">
      <c r="A275" s="10">
        <v>13</v>
      </c>
      <c r="B275" s="75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8.9999999999999993E-3</v>
      </c>
      <c r="I275" s="21">
        <f>AVERAGE(F273:F275)</f>
        <v>3.3476666666666666</v>
      </c>
      <c r="J275" s="21">
        <f>AVERAGE(G273:G275)</f>
        <v>1.4333333333333335E-2</v>
      </c>
      <c r="L275">
        <f>+J275/I275</f>
        <v>4.281589166583691E-3</v>
      </c>
      <c r="M275">
        <f>+(L275-$L$927)/$L$928</f>
        <v>-0.59051382016574194</v>
      </c>
      <c r="N275">
        <f>+N272+M275</f>
        <v>-14.825764532527534</v>
      </c>
      <c r="Z275">
        <f>+(I275-$F$927)/$F$928</f>
        <v>-0.57151443084889619</v>
      </c>
      <c r="AA275">
        <f>+AA272+Z275</f>
        <v>-6.704199141755705</v>
      </c>
    </row>
    <row r="276" spans="1:27">
      <c r="A276" s="10">
        <v>11</v>
      </c>
      <c r="B276" s="75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0.06</v>
      </c>
    </row>
    <row r="277" spans="1:27">
      <c r="A277" s="10">
        <v>12</v>
      </c>
      <c r="B277" s="75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0.05</v>
      </c>
    </row>
    <row r="278" spans="1:27">
      <c r="A278" s="10">
        <v>13</v>
      </c>
      <c r="B278" s="75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0.04</v>
      </c>
      <c r="I278" s="21">
        <f>AVERAGE(F276:F278)</f>
        <v>8.6986666666666661</v>
      </c>
      <c r="J278" s="21">
        <f>AVERAGE(G276:G278)</f>
        <v>4.9999999999999996E-2</v>
      </c>
      <c r="L278">
        <f>+J278/I278</f>
        <v>5.7480073574494176E-3</v>
      </c>
      <c r="M278">
        <f>+(L278-$L$927)/$L$928</f>
        <v>-0.44271683780388504</v>
      </c>
      <c r="N278">
        <f>+N275+M278</f>
        <v>-15.26848137033142</v>
      </c>
      <c r="Z278">
        <f>+(I278-$F$927)/$F$928</f>
        <v>1.0424677105745535</v>
      </c>
      <c r="AA278">
        <f>+AA275+Z278</f>
        <v>-5.6617314311811517</v>
      </c>
    </row>
    <row r="279" spans="1:27">
      <c r="A279" s="10">
        <v>11</v>
      </c>
      <c r="B279" s="75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3.7999999999999999E-2</v>
      </c>
    </row>
    <row r="280" spans="1:27">
      <c r="A280" s="10">
        <v>12</v>
      </c>
      <c r="B280" s="75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4.5999999999999999E-2</v>
      </c>
    </row>
    <row r="281" spans="1:27">
      <c r="A281" s="10">
        <v>13</v>
      </c>
      <c r="B281" s="75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5.2999999999999999E-2</v>
      </c>
      <c r="I281" s="21">
        <f>AVERAGE(F279:F281)</f>
        <v>5.1043333333333329</v>
      </c>
      <c r="J281" s="21">
        <f>AVERAGE(G279:G281)</f>
        <v>4.5666666666666661E-2</v>
      </c>
      <c r="L281">
        <f>+J281/I281</f>
        <v>8.9466466401097108E-3</v>
      </c>
      <c r="M281">
        <f>+(L281-$L$927)/$L$928</f>
        <v>-0.12033319813954761</v>
      </c>
      <c r="N281">
        <f>+N278+M281</f>
        <v>-15.388814568470968</v>
      </c>
      <c r="Z281">
        <f>+(I281-$F$927)/$F$928</f>
        <v>-4.1664191933953286E-2</v>
      </c>
      <c r="AA281">
        <f>+AA278+Z281</f>
        <v>-5.7033956231151048</v>
      </c>
    </row>
    <row r="282" spans="1:27">
      <c r="A282" s="10">
        <v>11</v>
      </c>
      <c r="B282" s="75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9.0999999999999998E-2</v>
      </c>
    </row>
    <row r="283" spans="1:27">
      <c r="A283" s="10">
        <v>12</v>
      </c>
      <c r="B283" s="75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0.107</v>
      </c>
    </row>
    <row r="284" spans="1:27">
      <c r="A284" s="10">
        <v>13</v>
      </c>
      <c r="B284" s="75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0.27200000000000002</v>
      </c>
      <c r="I284" s="21">
        <f>AVERAGE(F282:F284)</f>
        <v>9.1116666666666664</v>
      </c>
      <c r="J284" s="21">
        <f>AVERAGE(G282:G284)</f>
        <v>0.15666666666666668</v>
      </c>
      <c r="L284">
        <f>+J284/I284</f>
        <v>1.7194073532101704E-2</v>
      </c>
      <c r="M284">
        <f>+(L284-$L$927)/$L$928</f>
        <v>0.71090635854299644</v>
      </c>
      <c r="N284">
        <f>+N281+M284</f>
        <v>-14.677908209927972</v>
      </c>
      <c r="Z284">
        <f>+(I284-$F$927)/$F$928</f>
        <v>1.1670378141828295</v>
      </c>
      <c r="AA284">
        <f>+AA281+Z284</f>
        <v>-4.5363578089322756</v>
      </c>
    </row>
    <row r="285" spans="1:27">
      <c r="A285" s="10">
        <v>11</v>
      </c>
      <c r="B285" s="75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0.35499999999999998</v>
      </c>
    </row>
    <row r="286" spans="1:27">
      <c r="A286" s="10">
        <v>12</v>
      </c>
      <c r="B286" s="75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0.27200000000000002</v>
      </c>
    </row>
    <row r="287" spans="1:27">
      <c r="A287" s="10">
        <v>13</v>
      </c>
      <c r="B287" s="75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0.26600000000000001</v>
      </c>
      <c r="I287" s="21">
        <f>AVERAGE(F285:F287)</f>
        <v>15.113666666666665</v>
      </c>
      <c r="J287" s="21">
        <f>AVERAGE(G285:G287)</f>
        <v>0.29766666666666669</v>
      </c>
      <c r="L287">
        <f>+J287/I287</f>
        <v>1.9695198606118087E-2</v>
      </c>
      <c r="M287">
        <f>+(L287-$L$927)/$L$928</f>
        <v>0.9629891141660446</v>
      </c>
      <c r="N287">
        <f>+N284+M287</f>
        <v>-13.714919095761928</v>
      </c>
      <c r="Z287">
        <f>+(I287-$F$927)/$F$928</f>
        <v>2.977376220615934</v>
      </c>
      <c r="AA287">
        <f>+AA284+Z287</f>
        <v>-1.5589815883163416</v>
      </c>
    </row>
    <row r="288" spans="1:27">
      <c r="A288" s="10">
        <v>11</v>
      </c>
      <c r="B288" s="75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0.14699999999999999</v>
      </c>
    </row>
    <row r="289" spans="1:27">
      <c r="A289" s="10">
        <v>12</v>
      </c>
      <c r="B289" s="75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0.11</v>
      </c>
    </row>
    <row r="290" spans="1:27">
      <c r="A290" s="10">
        <v>13</v>
      </c>
      <c r="B290" s="75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0.46800000000000003</v>
      </c>
      <c r="I290" s="21">
        <f>AVERAGE(F288:F290)</f>
        <v>9.1173333333333328</v>
      </c>
      <c r="J290" s="21">
        <f>AVERAGE(G288:G290)</f>
        <v>0.2416666666666667</v>
      </c>
      <c r="L290">
        <f>+J290/I290</f>
        <v>2.6506288388417669E-2</v>
      </c>
      <c r="M290">
        <f>+(L290-$L$927)/$L$928</f>
        <v>1.6494634928187371</v>
      </c>
      <c r="N290">
        <f>+N287+M290</f>
        <v>-12.065455602943191</v>
      </c>
      <c r="Z290">
        <f>+(I290-$F$927)/$F$928</f>
        <v>1.1687470085019098</v>
      </c>
      <c r="AA290">
        <f>+AA287+Z290</f>
        <v>-0.39023457981443177</v>
      </c>
    </row>
    <row r="291" spans="1:27">
      <c r="A291" s="10">
        <v>11</v>
      </c>
      <c r="B291" s="75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0.126</v>
      </c>
    </row>
    <row r="292" spans="1:27">
      <c r="A292" s="10">
        <v>12</v>
      </c>
      <c r="B292" s="75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6.5000000000000002E-2</v>
      </c>
    </row>
    <row r="293" spans="1:27">
      <c r="A293" s="10">
        <v>13</v>
      </c>
      <c r="B293" s="75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0.18099999999999999</v>
      </c>
      <c r="I293" s="21">
        <f>AVERAGE(F291:F293)</f>
        <v>4.8120000000000003</v>
      </c>
      <c r="J293" s="21">
        <f>AVERAGE(G291:G293)</f>
        <v>0.124</v>
      </c>
      <c r="L293">
        <f>+J293/I293</f>
        <v>2.5768911055694097E-2</v>
      </c>
      <c r="M293">
        <f>+(L293-$L$927)/$L$928</f>
        <v>1.57514489440157</v>
      </c>
      <c r="N293">
        <f>+N290+M293</f>
        <v>-10.490310708541621</v>
      </c>
      <c r="Z293">
        <f>+(I293-$F$927)/$F$928</f>
        <v>-0.12983851063004512</v>
      </c>
      <c r="AA293">
        <f>+AA290+Z293</f>
        <v>-0.52007309044447692</v>
      </c>
    </row>
    <row r="294" spans="1:27">
      <c r="A294" s="10">
        <v>11</v>
      </c>
      <c r="B294" s="75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1.2999999999999999E-2</v>
      </c>
    </row>
    <row r="295" spans="1:27">
      <c r="A295" s="10">
        <v>12</v>
      </c>
      <c r="B295" s="75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7.0000000000000001E-3</v>
      </c>
    </row>
    <row r="296" spans="1:27">
      <c r="A296" s="10">
        <v>13</v>
      </c>
      <c r="B296" s="75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8.9999999999999993E-3</v>
      </c>
      <c r="I296" s="21">
        <f>AVERAGE(F294:F296)</f>
        <v>2.238</v>
      </c>
      <c r="J296" s="21">
        <f>AVERAGE(G294:G296)</f>
        <v>9.6666666666666654E-3</v>
      </c>
      <c r="L296">
        <f>+J296/I296</f>
        <v>4.3193327375632999E-3</v>
      </c>
      <c r="M296">
        <f>+(L296-$L$927)/$L$928</f>
        <v>-0.58670973076675992</v>
      </c>
      <c r="N296">
        <f>+N293+M296</f>
        <v>-11.077020439308381</v>
      </c>
      <c r="Z296">
        <f>+(I296-$F$927)/$F$928</f>
        <v>-0.90621489486177009</v>
      </c>
      <c r="AA296">
        <f>+AA293+Z296</f>
        <v>-1.4262879853062471</v>
      </c>
    </row>
    <row r="297" spans="1:27">
      <c r="A297" s="10">
        <v>11</v>
      </c>
      <c r="B297" s="75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1.2999999999999999E-2</v>
      </c>
    </row>
    <row r="298" spans="1:27">
      <c r="A298" s="10">
        <v>12</v>
      </c>
      <c r="B298" s="75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1.4E-2</v>
      </c>
    </row>
    <row r="299" spans="1:27">
      <c r="A299" s="10">
        <v>13</v>
      </c>
      <c r="B299" s="75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8.0000000000000002E-3</v>
      </c>
      <c r="I299" s="21">
        <f>AVERAGE(F297:F299)</f>
        <v>5.8593333333333328</v>
      </c>
      <c r="J299" s="21">
        <f>AVERAGE(G297:G299)</f>
        <v>1.1666666666666667E-2</v>
      </c>
      <c r="L299">
        <f>+J299/I299</f>
        <v>1.9911252702241441E-3</v>
      </c>
      <c r="M299">
        <f>+(L299-$L$927)/$L$928</f>
        <v>-0.82136451078003958</v>
      </c>
      <c r="N299">
        <f>+N296+M299</f>
        <v>-11.89838495008842</v>
      </c>
      <c r="Z299">
        <f>+(I299-$F$927)/$F$928</f>
        <v>0.18606081587294343</v>
      </c>
      <c r="AA299">
        <f>+AA296+Z299</f>
        <v>-1.2402271694333038</v>
      </c>
    </row>
    <row r="300" spans="1:27">
      <c r="A300" s="10">
        <v>11</v>
      </c>
      <c r="B300" s="75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0.01</v>
      </c>
    </row>
    <row r="301" spans="1:27">
      <c r="A301" s="10">
        <v>12</v>
      </c>
      <c r="B301" s="75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8.9999999999999993E-3</v>
      </c>
    </row>
    <row r="302" spans="1:27">
      <c r="A302" s="10">
        <v>13</v>
      </c>
      <c r="B302" s="75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1.0999999999999999E-2</v>
      </c>
      <c r="I302" s="21">
        <f>AVERAGE(F300:F302)</f>
        <v>2.4083333333333332</v>
      </c>
      <c r="J302" s="21">
        <f>AVERAGE(G300:G302)</f>
        <v>0.01</v>
      </c>
      <c r="L302">
        <f>+J302/I302</f>
        <v>4.1522491349480972E-3</v>
      </c>
      <c r="M302">
        <f>+(L302-$L$927)/$L$928</f>
        <v>-0.603549710264079</v>
      </c>
      <c r="N302">
        <f>+N299+M302</f>
        <v>-12.5019346603525</v>
      </c>
      <c r="Z302">
        <f>+(I302-$F$927)/$F$928</f>
        <v>-0.85483852444705744</v>
      </c>
      <c r="AA302">
        <f>+AA299+Z302</f>
        <v>-2.0950656938803611</v>
      </c>
    </row>
    <row r="303" spans="1:27">
      <c r="A303" s="10">
        <v>11</v>
      </c>
      <c r="B303" s="75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0.01</v>
      </c>
    </row>
    <row r="304" spans="1:27">
      <c r="A304" s="10">
        <v>12</v>
      </c>
      <c r="B304" s="75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1.0999999999999999E-2</v>
      </c>
    </row>
    <row r="305" spans="1:27">
      <c r="A305" s="10">
        <v>13</v>
      </c>
      <c r="B305" s="75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0.01</v>
      </c>
      <c r="I305" s="21">
        <f>AVERAGE(F303:F305)</f>
        <v>2.4493333333333331</v>
      </c>
      <c r="J305" s="21">
        <f>AVERAGE(G303:G305)</f>
        <v>1.0333333333333333E-2</v>
      </c>
      <c r="L305">
        <f>+J305/I305</f>
        <v>4.2188350571584106E-3</v>
      </c>
      <c r="M305">
        <f>+(L305-$L$927)/$L$928</f>
        <v>-0.59683866533039898</v>
      </c>
      <c r="N305">
        <f>+N302+M305</f>
        <v>-13.098773325682899</v>
      </c>
      <c r="Z305">
        <f>+(I305-$F$927)/$F$928</f>
        <v>-0.84247200084429874</v>
      </c>
      <c r="AA305">
        <f>+AA302+Z305</f>
        <v>-2.9375376947246599</v>
      </c>
    </row>
    <row r="306" spans="1:27">
      <c r="A306" s="10">
        <v>11</v>
      </c>
      <c r="B306" s="75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1.0999999999999999E-2</v>
      </c>
    </row>
    <row r="307" spans="1:27">
      <c r="A307" s="10">
        <v>12</v>
      </c>
      <c r="B307" s="75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1.6E-2</v>
      </c>
    </row>
    <row r="308" spans="1:27">
      <c r="A308" s="10">
        <v>13</v>
      </c>
      <c r="B308" s="75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1.4999999999999999E-2</v>
      </c>
      <c r="I308" s="21">
        <f>AVERAGE(F306:F308)</f>
        <v>2.3610000000000002</v>
      </c>
      <c r="J308" s="21">
        <f>AVERAGE(G306:G308)</f>
        <v>1.3999999999999999E-2</v>
      </c>
      <c r="L308">
        <f>+J308/I308</f>
        <v>5.9296908089792452E-3</v>
      </c>
      <c r="M308">
        <f>+(L308-$L$927)/$L$928</f>
        <v>-0.42440537246033083</v>
      </c>
      <c r="N308">
        <f>+N305+M308</f>
        <v>-13.52317869814323</v>
      </c>
      <c r="Z308">
        <f>+(I308-$F$927)/$F$928</f>
        <v>-0.86911532405349412</v>
      </c>
      <c r="AA308">
        <f>+AA305+Z308</f>
        <v>-3.806653018778154</v>
      </c>
    </row>
    <row r="309" spans="1:27">
      <c r="A309" s="10">
        <v>11</v>
      </c>
      <c r="B309" s="75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7.0000000000000001E-3</v>
      </c>
    </row>
    <row r="310" spans="1:27">
      <c r="A310" s="10">
        <v>12</v>
      </c>
      <c r="B310" s="75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8.9999999999999993E-3</v>
      </c>
    </row>
    <row r="311" spans="1:27">
      <c r="A311" s="10">
        <v>13</v>
      </c>
      <c r="B311" s="75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5.0000000000000001E-3</v>
      </c>
      <c r="I311" s="21">
        <f>AVERAGE(F309:F311)</f>
        <v>1.7116666666666667</v>
      </c>
      <c r="J311" s="21">
        <f>AVERAGE(G309:G311)</f>
        <v>7.0000000000000001E-3</v>
      </c>
      <c r="L311">
        <f>+J311/I311</f>
        <v>4.089581304771178E-3</v>
      </c>
      <c r="M311">
        <f>+(L311-$L$927)/$L$928</f>
        <v>-0.60986585953787242</v>
      </c>
      <c r="N311">
        <f>+N308+M311</f>
        <v>-14.133044557681103</v>
      </c>
      <c r="Z311">
        <f>+(I311-$F$927)/$F$928</f>
        <v>-1.0649688848516552</v>
      </c>
      <c r="AA311">
        <f>+AA308+Z311</f>
        <v>-4.8716219036298094</v>
      </c>
    </row>
    <row r="312" spans="1:27">
      <c r="A312" s="10">
        <v>11</v>
      </c>
      <c r="B312" s="75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2.1000000000000001E-2</v>
      </c>
    </row>
    <row r="313" spans="1:27">
      <c r="A313" s="10">
        <v>12</v>
      </c>
      <c r="B313" s="75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1.9E-2</v>
      </c>
    </row>
    <row r="314" spans="1:27">
      <c r="A314" s="10">
        <v>13</v>
      </c>
      <c r="B314" s="75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2.1000000000000001E-2</v>
      </c>
      <c r="I314" s="21">
        <f>AVERAGE(F312:F314)</f>
        <v>2.0786666666666669</v>
      </c>
      <c r="J314" s="21">
        <f>AVERAGE(G312:G314)</f>
        <v>2.0333333333333332E-2</v>
      </c>
      <c r="L314">
        <f>+J314/I314</f>
        <v>9.7819114817190491E-3</v>
      </c>
      <c r="M314">
        <f>+(L314-$L$927)/$L$928</f>
        <v>-3.6148738459642907E-2</v>
      </c>
      <c r="N314">
        <f>+N311+M314</f>
        <v>-14.169193296140746</v>
      </c>
      <c r="Z314">
        <f>+(I314-$F$927)/$F$928</f>
        <v>-0.95427341748062067</v>
      </c>
      <c r="AA314">
        <f>+AA311+Z314</f>
        <v>-5.8258953211104298</v>
      </c>
    </row>
    <row r="315" spans="1:27">
      <c r="A315" s="10">
        <v>11</v>
      </c>
      <c r="B315" s="75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4.1000000000000002E-2</v>
      </c>
    </row>
    <row r="316" spans="1:27">
      <c r="A316" s="10">
        <v>12</v>
      </c>
      <c r="B316" s="75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2.7E-2</v>
      </c>
    </row>
    <row r="317" spans="1:27">
      <c r="A317" s="10">
        <v>13</v>
      </c>
      <c r="B317" s="75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4.4999999999999998E-2</v>
      </c>
      <c r="I317" s="21">
        <f>AVERAGE(F315:F317)</f>
        <v>4.4799999999999995</v>
      </c>
      <c r="J317" s="21">
        <f>AVERAGE(G315:G317)</f>
        <v>3.7666666666666668E-2</v>
      </c>
      <c r="L317">
        <f>+J317/I317</f>
        <v>8.4077380952380966E-3</v>
      </c>
      <c r="M317">
        <f>+(L317-$L$927)/$L$928</f>
        <v>-0.17464857501987782</v>
      </c>
      <c r="N317">
        <f>+N314+M317</f>
        <v>-14.343841871160624</v>
      </c>
      <c r="Z317">
        <f>+(I317-$F$927)/$F$928</f>
        <v>-0.22997718955970062</v>
      </c>
      <c r="AA317">
        <f>+AA314+Z317</f>
        <v>-6.0558725106701301</v>
      </c>
    </row>
    <row r="318" spans="1:27">
      <c r="A318" s="10">
        <v>11</v>
      </c>
      <c r="B318" s="75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1.7000000000000001E-2</v>
      </c>
    </row>
    <row r="319" spans="1:27">
      <c r="A319" s="10">
        <v>12</v>
      </c>
      <c r="B319" s="75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2.1000000000000001E-2</v>
      </c>
    </row>
    <row r="320" spans="1:27">
      <c r="A320" s="10">
        <v>13</v>
      </c>
      <c r="B320" s="75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5.7000000000000002E-2</v>
      </c>
      <c r="I320" s="21">
        <f>AVERAGE(F318:F320)</f>
        <v>4.9279999999999999</v>
      </c>
      <c r="J320" s="21">
        <f>AVERAGE(G318:G320)</f>
        <v>3.1666666666666669E-2</v>
      </c>
      <c r="L320">
        <f>+J320/I320</f>
        <v>6.4258658008658018E-3</v>
      </c>
      <c r="M320">
        <f>+(L320-$L$927)/$L$928</f>
        <v>-0.37439701401180508</v>
      </c>
      <c r="N320">
        <f>+N317+M320</f>
        <v>-14.718238885172429</v>
      </c>
      <c r="Z320">
        <f>+(I320-$F$927)/$F$928</f>
        <v>-9.4850297510045187E-2</v>
      </c>
      <c r="AA320">
        <f>+AA317+Z320</f>
        <v>-6.1507228081801752</v>
      </c>
    </row>
    <row r="321" spans="1:27">
      <c r="A321" s="10">
        <v>11</v>
      </c>
      <c r="B321" s="75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3.2000000000000001E-2</v>
      </c>
    </row>
    <row r="322" spans="1:27">
      <c r="A322" s="10">
        <v>12</v>
      </c>
      <c r="B322" s="75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3.3000000000000002E-2</v>
      </c>
    </row>
    <row r="323" spans="1:27">
      <c r="A323" s="10">
        <v>13</v>
      </c>
      <c r="B323" s="75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0.35899999999999999</v>
      </c>
      <c r="I323" s="21">
        <f>AVERAGE(F321:F323)</f>
        <v>10.154999999999999</v>
      </c>
      <c r="J323" s="21">
        <f>AVERAGE(G321:G323)</f>
        <v>0.14133333333333334</v>
      </c>
      <c r="L323">
        <f>+J323/I323</f>
        <v>1.3917610372558675E-2</v>
      </c>
      <c r="M323">
        <f>+(L323-$L$927)/$L$928</f>
        <v>0.38067902583760471</v>
      </c>
      <c r="N323">
        <f>+N320+M323</f>
        <v>-14.337559859334824</v>
      </c>
      <c r="Z323">
        <f>+(I323-$F$927)/$F$928</f>
        <v>1.4817306505782319</v>
      </c>
      <c r="AA323">
        <f>+AA320+Z323</f>
        <v>-4.6689921576019433</v>
      </c>
    </row>
    <row r="324" spans="1:27">
      <c r="A324" s="10">
        <v>11</v>
      </c>
      <c r="B324" s="75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0.14299999999999999</v>
      </c>
    </row>
    <row r="325" spans="1:27">
      <c r="A325" s="10">
        <v>12</v>
      </c>
      <c r="B325" s="75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0.32700000000000001</v>
      </c>
    </row>
    <row r="326" spans="1:27">
      <c r="A326" s="10">
        <v>13</v>
      </c>
      <c r="B326" s="75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0.50600000000000001</v>
      </c>
      <c r="I326" s="21">
        <f>AVERAGE(F324:F326)</f>
        <v>17.096999999999998</v>
      </c>
      <c r="J326" s="21">
        <f>AVERAGE(G324:G326)</f>
        <v>0.32533333333333331</v>
      </c>
      <c r="L326">
        <f>+J326/I326</f>
        <v>1.9028679495428049E-2</v>
      </c>
      <c r="M326">
        <f>+(L326-$L$927)/$L$928</f>
        <v>0.89581215614676424</v>
      </c>
      <c r="N326">
        <f>+N323+M326</f>
        <v>-13.44174770318806</v>
      </c>
      <c r="Z326">
        <f>+(I326-$F$927)/$F$928</f>
        <v>3.5755942322940957</v>
      </c>
      <c r="AA326">
        <f>+AA323+Z326</f>
        <v>-1.0933979253078476</v>
      </c>
    </row>
    <row r="327" spans="1:27">
      <c r="A327" s="10">
        <v>11</v>
      </c>
      <c r="B327" s="75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4.9000000000000002E-2</v>
      </c>
    </row>
    <row r="328" spans="1:27">
      <c r="A328" s="10">
        <v>12</v>
      </c>
      <c r="B328" s="75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4.9000000000000002E-2</v>
      </c>
    </row>
    <row r="329" spans="1:27">
      <c r="A329" s="10">
        <v>13</v>
      </c>
      <c r="B329" s="75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0.113</v>
      </c>
      <c r="I329" s="21">
        <f>AVERAGE(F327:F329)</f>
        <v>6.5926666666666662</v>
      </c>
      <c r="J329" s="21">
        <f>AVERAGE(G327:G329)</f>
        <v>7.0333333333333345E-2</v>
      </c>
      <c r="L329">
        <f>+J329/I329</f>
        <v>1.0668419455961172E-2</v>
      </c>
      <c r="M329">
        <f>+(L329-$L$927)/$L$928</f>
        <v>5.32004009937872E-2</v>
      </c>
      <c r="N329">
        <f>+N326+M329</f>
        <v>-13.388547302194272</v>
      </c>
      <c r="Z329">
        <f>+(I329-$F$927)/$F$928</f>
        <v>0.40725066893041495</v>
      </c>
      <c r="AA329">
        <f>+AA326+Z329</f>
        <v>-0.68614725637743268</v>
      </c>
    </row>
    <row r="330" spans="1:27">
      <c r="A330" s="10">
        <v>11</v>
      </c>
      <c r="B330" s="75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0.02</v>
      </c>
    </row>
    <row r="331" spans="1:27">
      <c r="A331" s="10">
        <v>12</v>
      </c>
      <c r="B331" s="75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8.0000000000000002E-3</v>
      </c>
    </row>
    <row r="332" spans="1:27">
      <c r="A332" s="10">
        <v>13</v>
      </c>
      <c r="B332" s="75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1.2999999999999999E-2</v>
      </c>
      <c r="I332" s="21">
        <f>AVERAGE(F330:F332)</f>
        <v>2.1003333333333334</v>
      </c>
      <c r="J332" s="21">
        <f>AVERAGE(G330:G332)</f>
        <v>1.3666666666666667E-2</v>
      </c>
      <c r="L332">
        <f>+J332/I332</f>
        <v>6.5069036660847486E-3</v>
      </c>
      <c r="M332">
        <f>+(L332-$L$927)/$L$928</f>
        <v>-0.36622939033459451</v>
      </c>
      <c r="N332">
        <f>+N329+M332</f>
        <v>-13.754776692528866</v>
      </c>
      <c r="Z332">
        <f>+(I332-$F$927)/$F$928</f>
        <v>-0.94773826273119532</v>
      </c>
      <c r="AA332">
        <f>+AA329+Z332</f>
        <v>-1.6338855191086279</v>
      </c>
    </row>
    <row r="333" spans="1:27">
      <c r="A333" s="10">
        <v>11</v>
      </c>
      <c r="B333" s="75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1.7000000000000001E-2</v>
      </c>
    </row>
    <row r="334" spans="1:27">
      <c r="A334" s="10">
        <v>12</v>
      </c>
      <c r="B334" s="75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1.2E-2</v>
      </c>
    </row>
    <row r="335" spans="1:27">
      <c r="A335" s="10">
        <v>13</v>
      </c>
      <c r="B335" s="75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1.2E-2</v>
      </c>
      <c r="I335" s="21">
        <f>AVERAGE(F333:F335)</f>
        <v>4.6689999999999996</v>
      </c>
      <c r="J335" s="21">
        <f>AVERAGE(G333:G335)</f>
        <v>1.3666666666666667E-2</v>
      </c>
      <c r="L335">
        <f>+J335/I335</f>
        <v>2.9271078746341121E-3</v>
      </c>
      <c r="M335">
        <f>+(L335-$L$927)/$L$928</f>
        <v>-0.72702893492816345</v>
      </c>
      <c r="N335">
        <f>+N332+M335</f>
        <v>-14.48180562745703</v>
      </c>
      <c r="Z335">
        <f>+(I335-$F$927)/$F$928</f>
        <v>-0.17297053197625226</v>
      </c>
      <c r="AA335">
        <f>+AA332+Z335</f>
        <v>-1.8068560510848801</v>
      </c>
    </row>
    <row r="336" spans="1:27">
      <c r="A336" s="10">
        <v>11</v>
      </c>
      <c r="B336" s="75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1.6E-2</v>
      </c>
    </row>
    <row r="337" spans="1:27">
      <c r="A337" s="10">
        <v>12</v>
      </c>
      <c r="B337" s="75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1.2999999999999999E-2</v>
      </c>
    </row>
    <row r="338" spans="1:27">
      <c r="A338" s="10">
        <v>13</v>
      </c>
      <c r="B338" s="75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1.2E-2</v>
      </c>
      <c r="I338" s="21">
        <f>AVERAGE(F336:F338)</f>
        <v>4.085</v>
      </c>
      <c r="J338" s="21">
        <f>AVERAGE(G336:G338)</f>
        <v>1.3666666666666666E-2</v>
      </c>
      <c r="L338">
        <f>+J338/I338</f>
        <v>3.3455732354141163E-3</v>
      </c>
      <c r="M338">
        <f>+(L338-$L$927)/$L$928</f>
        <v>-0.68485275494655984</v>
      </c>
      <c r="N338">
        <f>+N335+M338</f>
        <v>-15.16665838240359</v>
      </c>
      <c r="Z338">
        <f>+(I338-$F$927)/$F$928</f>
        <v>-0.34911808768383851</v>
      </c>
      <c r="AA338">
        <f>+AA335+Z338</f>
        <v>-2.1559741387687188</v>
      </c>
    </row>
    <row r="339" spans="1:27">
      <c r="A339" s="5">
        <v>11</v>
      </c>
      <c r="B339" s="75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2.1000000000000001E-2</v>
      </c>
    </row>
    <row r="340" spans="1:27">
      <c r="A340" s="5">
        <v>12</v>
      </c>
      <c r="B340" s="75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1.9E-2</v>
      </c>
    </row>
    <row r="341" spans="1:27">
      <c r="A341" s="5">
        <v>13</v>
      </c>
      <c r="B341" s="75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1.9E-2</v>
      </c>
      <c r="I341" s="21">
        <f>AVERAGE(F339:F341)</f>
        <v>3.6169999999999995</v>
      </c>
      <c r="J341" s="21">
        <f>AVERAGE(G339:G341)</f>
        <v>1.9666666666666666E-2</v>
      </c>
      <c r="L341">
        <f>+J341/I341</f>
        <v>5.4372868860012909E-3</v>
      </c>
      <c r="M341">
        <f>+(L341-$L$927)/$L$928</f>
        <v>-0.47403365337814823</v>
      </c>
      <c r="N341">
        <f>+N338+M341</f>
        <v>-15.640692035781738</v>
      </c>
      <c r="Z341">
        <f>+(I341-$F$927)/$F$928</f>
        <v>-0.49027743027142501</v>
      </c>
      <c r="AA341">
        <f>+AA338+Z341</f>
        <v>-2.6462515690401438</v>
      </c>
    </row>
    <row r="342" spans="1:27">
      <c r="A342" s="5">
        <v>11</v>
      </c>
      <c r="B342" s="75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1.6E-2</v>
      </c>
    </row>
    <row r="343" spans="1:27">
      <c r="A343" s="5">
        <v>12</v>
      </c>
      <c r="B343" s="75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1.7999999999999999E-2</v>
      </c>
    </row>
    <row r="344" spans="1:27">
      <c r="A344" s="5">
        <v>13</v>
      </c>
      <c r="B344" s="75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1.6E-2</v>
      </c>
      <c r="I344" s="21">
        <f>AVERAGE(F342:F344)</f>
        <v>5.4849999999999994</v>
      </c>
      <c r="J344" s="21">
        <f>AVERAGE(G342:G344)</f>
        <v>1.6666666666666666E-2</v>
      </c>
      <c r="L344">
        <f>+J344/I344</f>
        <v>3.038590094196293E-3</v>
      </c>
      <c r="M344">
        <f>+(L344-$L$927)/$L$928</f>
        <v>-0.7157928934354123</v>
      </c>
      <c r="N344">
        <f>+N341+M344</f>
        <v>-16.356484929217149</v>
      </c>
      <c r="Z344">
        <f>+(I344-$F$927)/$F$928</f>
        <v>7.315344997133412E-2</v>
      </c>
      <c r="AA344">
        <f>+AA341+Z344</f>
        <v>-2.5730981190688098</v>
      </c>
    </row>
    <row r="345" spans="1:27">
      <c r="A345" s="5">
        <v>11</v>
      </c>
      <c r="B345" s="75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1.0999999999999999E-2</v>
      </c>
    </row>
    <row r="346" spans="1:27">
      <c r="A346" s="5">
        <v>12</v>
      </c>
      <c r="B346" s="75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6.0000000000000001E-3</v>
      </c>
    </row>
    <row r="347" spans="1:27">
      <c r="A347" s="5">
        <v>13</v>
      </c>
      <c r="B347" s="75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0.01</v>
      </c>
      <c r="I347" s="21">
        <f>AVERAGE(F345:F347)</f>
        <v>0.96566666666666656</v>
      </c>
      <c r="J347" s="21">
        <f>AVERAGE(G345:G347)</f>
        <v>9.0000000000000011E-3</v>
      </c>
      <c r="L347">
        <f>+J347/I347</f>
        <v>9.3199861926130494E-3</v>
      </c>
      <c r="M347">
        <f>+(L347-$L$927)/$L$928</f>
        <v>-8.2705146605527927E-2</v>
      </c>
      <c r="N347">
        <f>+N344+M347</f>
        <v>-16.439190075822676</v>
      </c>
      <c r="Z347">
        <f>+(I347-$F$927)/$F$928</f>
        <v>-1.289979289916483</v>
      </c>
      <c r="AA347">
        <f>+AA344+Z347</f>
        <v>-3.8630774089852928</v>
      </c>
    </row>
    <row r="348" spans="1:27">
      <c r="A348" s="5">
        <v>11</v>
      </c>
      <c r="B348" s="75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7.0000000000000001E-3</v>
      </c>
    </row>
    <row r="349" spans="1:27">
      <c r="A349" s="5">
        <v>12</v>
      </c>
      <c r="B349" s="75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8.0000000000000002E-3</v>
      </c>
    </row>
    <row r="350" spans="1:27">
      <c r="A350" s="5">
        <v>13</v>
      </c>
      <c r="B350" s="75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8.9999999999999993E-3</v>
      </c>
      <c r="I350" s="21">
        <f>AVERAGE(F348:F350)</f>
        <v>1.389</v>
      </c>
      <c r="J350" s="21">
        <f>AVERAGE(G348:G350)</f>
        <v>8.0000000000000002E-3</v>
      </c>
      <c r="L350">
        <f>+J350/I350</f>
        <v>5.7595392368610509E-3</v>
      </c>
      <c r="M350">
        <f>+(L350-$L$927)/$L$928</f>
        <v>-0.44155456568491058</v>
      </c>
      <c r="N350">
        <f>+N347+M350</f>
        <v>-16.880744641507587</v>
      </c>
      <c r="Z350">
        <f>+(I350-$F$927)/$F$928</f>
        <v>-1.1622924201969427</v>
      </c>
      <c r="AA350">
        <f>+AA347+Z350</f>
        <v>-5.0253698291822353</v>
      </c>
    </row>
    <row r="351" spans="1:27">
      <c r="A351" s="10">
        <v>11</v>
      </c>
      <c r="B351" s="75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1.7000000000000001E-2</v>
      </c>
    </row>
    <row r="352" spans="1:27">
      <c r="A352" s="10">
        <v>12</v>
      </c>
      <c r="B352" s="75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2.4E-2</v>
      </c>
    </row>
    <row r="353" spans="1:27">
      <c r="A353" s="10">
        <v>13</v>
      </c>
      <c r="B353" s="75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3.5999999999999997E-2</v>
      </c>
      <c r="I353" s="21">
        <f>AVERAGE(F351:F353)</f>
        <v>3.4943333333333335</v>
      </c>
      <c r="J353" s="21">
        <f>AVERAGE(G351:G353)</f>
        <v>2.5666666666666667E-2</v>
      </c>
      <c r="L353">
        <f>+J353/I353</f>
        <v>7.3452256033578172E-3</v>
      </c>
      <c r="M353">
        <f>+(L353-$L$927)/$L$928</f>
        <v>-0.2817368128771654</v>
      </c>
      <c r="N353">
        <f>+N350+M353</f>
        <v>-17.162481454384753</v>
      </c>
      <c r="Z353">
        <f>+(I353-$F$927)/$F$928</f>
        <v>-0.52727646023740182</v>
      </c>
      <c r="AA353">
        <f>+AA350+Z353</f>
        <v>-5.5526462894196369</v>
      </c>
    </row>
    <row r="354" spans="1:27">
      <c r="A354" s="10">
        <v>11</v>
      </c>
      <c r="B354" s="75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7.0000000000000007E-2</v>
      </c>
    </row>
    <row r="355" spans="1:27">
      <c r="A355" s="10">
        <v>12</v>
      </c>
      <c r="B355" s="75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6.7000000000000004E-2</v>
      </c>
    </row>
    <row r="356" spans="1:27">
      <c r="A356" s="10">
        <v>13</v>
      </c>
      <c r="B356" s="75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0.121</v>
      </c>
      <c r="I356" s="21">
        <f>AVERAGE(F354:F356)</f>
        <v>7.1093333333333328</v>
      </c>
      <c r="J356" s="21">
        <f>AVERAGE(G354:G356)</f>
        <v>8.6000000000000007E-2</v>
      </c>
      <c r="L356">
        <f>+J356/I356</f>
        <v>1.2096774193548388E-2</v>
      </c>
      <c r="M356">
        <f>+(L356-$L$927)/$L$928</f>
        <v>0.19716105374116075</v>
      </c>
      <c r="N356">
        <f>+N353+M356</f>
        <v>-16.965320400643591</v>
      </c>
      <c r="Z356">
        <f>+(I356-$F$927)/$F$928</f>
        <v>0.56308897449363349</v>
      </c>
      <c r="AA356">
        <f>+AA353+Z356</f>
        <v>-4.9895573149260031</v>
      </c>
    </row>
    <row r="357" spans="1:27">
      <c r="A357" s="10">
        <v>11</v>
      </c>
      <c r="B357" s="75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9.9000000000000005E-2</v>
      </c>
    </row>
    <row r="358" spans="1:27">
      <c r="A358" s="10">
        <v>12</v>
      </c>
      <c r="B358" s="75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6.8000000000000005E-2</v>
      </c>
    </row>
    <row r="359" spans="1:27">
      <c r="A359" s="10">
        <v>13</v>
      </c>
      <c r="B359" s="75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0.64400000000000002</v>
      </c>
      <c r="I359" s="21">
        <f>AVERAGE(F357:F359)</f>
        <v>9.8573333333333331</v>
      </c>
      <c r="J359" s="21">
        <f>AVERAGE(G357:G359)</f>
        <v>0.27033333333333337</v>
      </c>
      <c r="L359">
        <f>+J359/I359</f>
        <v>2.7424590829162727E-2</v>
      </c>
      <c r="M359">
        <f>+(L359-$L$927)/$L$928</f>
        <v>1.7420171248474843</v>
      </c>
      <c r="N359">
        <f>+N356+M359</f>
        <v>-15.223303275796107</v>
      </c>
      <c r="Z359">
        <f>+(I359-$F$927)/$F$928</f>
        <v>1.3919476784053584</v>
      </c>
      <c r="AA359">
        <f>+AA356+Z359</f>
        <v>-3.5976096365206445</v>
      </c>
    </row>
    <row r="360" spans="1:27">
      <c r="A360" s="10">
        <v>11</v>
      </c>
      <c r="B360" s="75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4.7E-2</v>
      </c>
    </row>
    <row r="361" spans="1:27">
      <c r="A361" s="10">
        <v>12</v>
      </c>
      <c r="B361" s="75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5.2999999999999999E-2</v>
      </c>
    </row>
    <row r="362" spans="1:27">
      <c r="A362" s="10">
        <v>13</v>
      </c>
      <c r="B362" s="75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0.32500000000000001</v>
      </c>
      <c r="I362" s="21">
        <f>AVERAGE(F360:F362)</f>
        <v>9.9670000000000005</v>
      </c>
      <c r="J362" s="21">
        <f>AVERAGE(G360:G362)</f>
        <v>0.14166666666666669</v>
      </c>
      <c r="L362">
        <f>+J362/I362</f>
        <v>1.4213571452459786E-2</v>
      </c>
      <c r="M362">
        <f>+(L362-$L$927)/$L$928</f>
        <v>0.41050827562351788</v>
      </c>
      <c r="N362">
        <f>+N359+M362</f>
        <v>-14.812795000172589</v>
      </c>
      <c r="Z362">
        <f>+(I362-$F$927)/$F$928</f>
        <v>1.4250256155216805</v>
      </c>
      <c r="AA362">
        <f>+AA359+Z362</f>
        <v>-2.172584020998964</v>
      </c>
    </row>
    <row r="363" spans="1:27">
      <c r="A363" s="10">
        <v>11</v>
      </c>
      <c r="B363" s="75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5.7000000000000002E-2</v>
      </c>
    </row>
    <row r="364" spans="1:27">
      <c r="A364" s="10">
        <v>12</v>
      </c>
      <c r="B364" s="75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5.0999999999999997E-2</v>
      </c>
    </row>
    <row r="365" spans="1:27">
      <c r="A365" s="10">
        <v>13</v>
      </c>
      <c r="B365" s="75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6.5000000000000002E-2</v>
      </c>
      <c r="I365" s="21">
        <f>AVERAGE(F363:F365)</f>
        <v>4.9780000000000006</v>
      </c>
      <c r="J365" s="21">
        <f>AVERAGE(G363:G365)</f>
        <v>5.7666666666666665E-2</v>
      </c>
      <c r="L365">
        <f>+J365/I365</f>
        <v>1.1584304272130707E-2</v>
      </c>
      <c r="M365">
        <f>+(L365-$L$927)/$L$928</f>
        <v>0.14551036609384244</v>
      </c>
      <c r="N365">
        <f>+N362+M365</f>
        <v>-14.667284634078745</v>
      </c>
      <c r="Z365">
        <f>+(I365-$F$927)/$F$928</f>
        <v>-7.9769171165217381E-2</v>
      </c>
      <c r="AA365">
        <f>+AA362+Z365</f>
        <v>-2.2523531921641813</v>
      </c>
    </row>
    <row r="366" spans="1:27">
      <c r="A366" s="10">
        <v>11</v>
      </c>
      <c r="B366" s="75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3.3000000000000002E-2</v>
      </c>
    </row>
    <row r="367" spans="1:27">
      <c r="A367" s="10">
        <v>12</v>
      </c>
      <c r="B367" s="75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0.04</v>
      </c>
    </row>
    <row r="368" spans="1:27">
      <c r="A368" s="10">
        <v>13</v>
      </c>
      <c r="B368" s="75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4.1000000000000002E-2</v>
      </c>
      <c r="I368" s="21">
        <f>AVERAGE(F366:F368)</f>
        <v>2.9256666666666669</v>
      </c>
      <c r="J368" s="21">
        <f>AVERAGE(G366:G368)</f>
        <v>3.8000000000000006E-2</v>
      </c>
      <c r="L368">
        <f>+J368/I368</f>
        <v>1.2988492651247581E-2</v>
      </c>
      <c r="M368">
        <f>+(L368-$L$927)/$L$928</f>
        <v>0.28703534607144288</v>
      </c>
      <c r="N368">
        <f>+N365+M368</f>
        <v>-14.380249288007303</v>
      </c>
      <c r="Z368">
        <f>+(I368-$F$927)/$F$928</f>
        <v>-0.69879913719924103</v>
      </c>
      <c r="AA368">
        <f>+AA365+Z368</f>
        <v>-2.9511523293634223</v>
      </c>
    </row>
    <row r="369" spans="1:27">
      <c r="A369" s="10">
        <v>11</v>
      </c>
      <c r="B369" s="75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2.3E-2</v>
      </c>
    </row>
    <row r="370" spans="1:27">
      <c r="A370" s="10">
        <v>12</v>
      </c>
      <c r="B370" s="75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1.9E-2</v>
      </c>
    </row>
    <row r="371" spans="1:27">
      <c r="A371" s="10">
        <v>13</v>
      </c>
      <c r="B371" s="75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1.0999999999999999E-2</v>
      </c>
      <c r="I371" s="21">
        <f>AVERAGE(F369:F371)</f>
        <v>3.3103333333333338</v>
      </c>
      <c r="J371" s="21">
        <f>AVERAGE(G369:G371)</f>
        <v>1.7666666666666664E-2</v>
      </c>
      <c r="L371">
        <f>+J371/I371</f>
        <v>5.3368240861947419E-3</v>
      </c>
      <c r="M371">
        <f>+(L371-$L$927)/$L$928</f>
        <v>-0.48415907240494399</v>
      </c>
      <c r="N371">
        <f>+N368+M371</f>
        <v>-14.864408360412247</v>
      </c>
      <c r="Z371">
        <f>+(I371-$F$927)/$F$928</f>
        <v>-0.58277500518636727</v>
      </c>
      <c r="AA371">
        <f>+AA368+Z371</f>
        <v>-3.5339273345497895</v>
      </c>
    </row>
    <row r="372" spans="1:27">
      <c r="A372" s="10">
        <v>11</v>
      </c>
      <c r="B372" s="70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1.6945874999999999E-2</v>
      </c>
    </row>
    <row r="373" spans="1:27">
      <c r="A373" s="10">
        <v>11</v>
      </c>
      <c r="B373" s="70">
        <v>40197</v>
      </c>
      <c r="C373" s="10">
        <v>2010</v>
      </c>
      <c r="D373" s="4" t="s">
        <v>25</v>
      </c>
      <c r="E373" s="10">
        <v>1</v>
      </c>
      <c r="F373" s="20">
        <v>6.298</v>
      </c>
      <c r="G373" s="21">
        <v>2.053E-2</v>
      </c>
    </row>
    <row r="374" spans="1:27">
      <c r="A374" s="10">
        <v>12</v>
      </c>
      <c r="B374" s="70">
        <v>40197</v>
      </c>
      <c r="C374" s="10">
        <v>2010</v>
      </c>
      <c r="D374" s="4" t="s">
        <v>25</v>
      </c>
      <c r="E374" s="10">
        <v>1</v>
      </c>
      <c r="F374" s="20">
        <v>5.3440000000000003</v>
      </c>
      <c r="G374" s="21">
        <v>1.57675E-2</v>
      </c>
      <c r="I374" s="21"/>
      <c r="J374" s="21"/>
    </row>
    <row r="375" spans="1:27">
      <c r="A375" s="10">
        <v>13</v>
      </c>
      <c r="B375" s="70">
        <v>40197</v>
      </c>
      <c r="C375" s="10">
        <v>2010</v>
      </c>
      <c r="D375" s="4" t="s">
        <v>25</v>
      </c>
      <c r="E375" s="10">
        <v>1</v>
      </c>
      <c r="F375" s="20">
        <v>4.0140000000000002</v>
      </c>
      <c r="G375" s="21">
        <v>1.1636374999999999E-2</v>
      </c>
      <c r="I375" s="21">
        <f>AVERAGE(F372:F375)</f>
        <v>5.4885000000000002</v>
      </c>
      <c r="J375" s="21">
        <f>AVERAGE(G372:G375)</f>
        <v>1.62199375E-2</v>
      </c>
      <c r="L375">
        <f>+J375/I375</f>
        <v>2.9552587227840029E-3</v>
      </c>
      <c r="M375">
        <f>+(L375-$L$927)/$L$928</f>
        <v>-0.72419167442948906</v>
      </c>
      <c r="N375">
        <f>+N371+M375</f>
        <v>-15.588600034841736</v>
      </c>
      <c r="Z375">
        <f>+(I375-$F$927)/$F$928</f>
        <v>7.4209128815472272E-2</v>
      </c>
      <c r="AA375">
        <f>+AA371+Z375</f>
        <v>-3.4597182057343172</v>
      </c>
    </row>
    <row r="376" spans="1:27">
      <c r="A376" s="10">
        <v>11</v>
      </c>
      <c r="B376" s="70">
        <v>40225</v>
      </c>
      <c r="C376" s="10">
        <v>2010</v>
      </c>
      <c r="D376" s="4" t="s">
        <v>14</v>
      </c>
      <c r="E376" s="10">
        <v>2</v>
      </c>
      <c r="F376" s="20">
        <v>8.09</v>
      </c>
      <c r="G376" s="21">
        <v>0.17936537499999997</v>
      </c>
    </row>
    <row r="377" spans="1:27">
      <c r="A377" s="10">
        <v>12</v>
      </c>
      <c r="B377" s="70">
        <v>40225</v>
      </c>
      <c r="C377" s="10">
        <v>2010</v>
      </c>
      <c r="D377" s="4" t="s">
        <v>14</v>
      </c>
      <c r="E377" s="10">
        <v>2</v>
      </c>
      <c r="F377" s="20">
        <v>5.6180000000000003</v>
      </c>
      <c r="G377" s="21">
        <v>0.18171524999999997</v>
      </c>
      <c r="I377" s="21"/>
      <c r="J377" s="21"/>
    </row>
    <row r="378" spans="1:27">
      <c r="A378" s="10">
        <v>13</v>
      </c>
      <c r="B378" s="70">
        <v>40225</v>
      </c>
      <c r="C378" s="10">
        <v>2010</v>
      </c>
      <c r="D378" s="4" t="s">
        <v>14</v>
      </c>
      <c r="E378" s="10">
        <v>2</v>
      </c>
      <c r="F378" s="20">
        <v>11.273</v>
      </c>
      <c r="G378" s="21">
        <v>0.143069375</v>
      </c>
      <c r="I378" s="21">
        <f>AVERAGE(F376:F378)</f>
        <v>8.327</v>
      </c>
      <c r="J378" s="21">
        <f>AVERAGE(G376:G378)</f>
        <v>0.16804999999999995</v>
      </c>
      <c r="L378">
        <f>+J378/I378</f>
        <v>2.0181337816740717E-2</v>
      </c>
      <c r="M378">
        <f>+(L378-$L$927)/$L$928</f>
        <v>1.0119859888538729</v>
      </c>
      <c r="N378">
        <f>+N375+M378</f>
        <v>-14.576614045987863</v>
      </c>
      <c r="Z378">
        <f>+(I378-$F$927)/$F$928</f>
        <v>0.93036467141133505</v>
      </c>
      <c r="AA378">
        <f>+AA375+Z378</f>
        <v>-2.5293535343229823</v>
      </c>
    </row>
    <row r="379" spans="1:27">
      <c r="A379" s="10">
        <v>11</v>
      </c>
      <c r="B379" s="70">
        <v>40255</v>
      </c>
      <c r="C379" s="10">
        <v>2010</v>
      </c>
      <c r="D379" s="4" t="s">
        <v>15</v>
      </c>
      <c r="E379" s="10">
        <v>3</v>
      </c>
      <c r="F379" s="20">
        <v>9.875</v>
      </c>
      <c r="G379" s="21">
        <v>9.9562374999999967E-2</v>
      </c>
    </row>
    <row r="380" spans="1:27">
      <c r="A380" s="10">
        <v>12</v>
      </c>
      <c r="B380" s="70">
        <v>40255</v>
      </c>
      <c r="C380" s="10">
        <v>2010</v>
      </c>
      <c r="D380" s="4" t="s">
        <v>15</v>
      </c>
      <c r="E380" s="10">
        <v>3</v>
      </c>
      <c r="F380" s="20">
        <v>7.36</v>
      </c>
      <c r="G380" s="21">
        <v>8.3432124999999982E-2</v>
      </c>
    </row>
    <row r="381" spans="1:27">
      <c r="A381" s="10">
        <v>13</v>
      </c>
      <c r="B381" s="70">
        <v>40255</v>
      </c>
      <c r="C381" s="10">
        <v>2010</v>
      </c>
      <c r="D381" s="4" t="s">
        <v>15</v>
      </c>
      <c r="E381" s="10">
        <v>3</v>
      </c>
      <c r="F381" s="20">
        <v>7.2409999999999997</v>
      </c>
      <c r="G381" s="21">
        <v>0.11737262499999998</v>
      </c>
      <c r="I381" s="21">
        <f>AVERAGE(F379:F381)</f>
        <v>8.158666666666667</v>
      </c>
      <c r="J381" s="21">
        <f>AVERAGE(G379:G381)</f>
        <v>0.10012237499999999</v>
      </c>
      <c r="L381">
        <f>+J381/I381</f>
        <v>1.2271904110148715E-2</v>
      </c>
      <c r="M381">
        <f>+(L381-$L$927)/$L$928</f>
        <v>0.214812003078833</v>
      </c>
      <c r="N381">
        <f>+N378+M381</f>
        <v>-14.36180204290903</v>
      </c>
      <c r="Z381">
        <f>+(I381-$F$927)/$F$928</f>
        <v>0.87959154605041556</v>
      </c>
      <c r="AA381">
        <f>+AA378+Z381</f>
        <v>-1.6497619882725667</v>
      </c>
    </row>
    <row r="382" spans="1:27">
      <c r="A382" s="10">
        <v>11</v>
      </c>
      <c r="B382" s="70">
        <v>40281</v>
      </c>
      <c r="C382" s="10">
        <v>2010</v>
      </c>
      <c r="D382" s="4" t="s">
        <v>16</v>
      </c>
      <c r="E382" s="10">
        <v>4</v>
      </c>
      <c r="F382" s="20">
        <v>7.1959999999999997</v>
      </c>
      <c r="G382" s="21">
        <v>2.4237999999999996E-2</v>
      </c>
    </row>
    <row r="383" spans="1:27">
      <c r="A383" s="10">
        <v>12</v>
      </c>
      <c r="B383" s="70">
        <v>40281</v>
      </c>
      <c r="C383" s="10">
        <v>2010</v>
      </c>
      <c r="D383" s="4" t="s">
        <v>16</v>
      </c>
      <c r="E383" s="10">
        <v>4</v>
      </c>
      <c r="F383" s="20">
        <v>2.206</v>
      </c>
      <c r="G383" s="21">
        <v>1.6498874999999996E-2</v>
      </c>
    </row>
    <row r="384" spans="1:27">
      <c r="A384" s="10">
        <v>13</v>
      </c>
      <c r="B384" s="70">
        <v>40281</v>
      </c>
      <c r="C384" s="10">
        <v>2010</v>
      </c>
      <c r="D384" s="4" t="s">
        <v>16</v>
      </c>
      <c r="E384" s="10">
        <v>4</v>
      </c>
      <c r="F384" s="20">
        <v>3.1669999999999998</v>
      </c>
      <c r="G384" s="21">
        <v>4.5620624999999991E-2</v>
      </c>
      <c r="I384" s="21">
        <f>AVERAGE(F382:F384)</f>
        <v>4.1896666666666667</v>
      </c>
      <c r="J384" s="21">
        <f>AVERAGE(G382:G384)</f>
        <v>2.8785833333333326E-2</v>
      </c>
      <c r="L384">
        <f>+J384/I384</f>
        <v>6.8706738801813973E-3</v>
      </c>
      <c r="M384">
        <f>+(L384-$L$927)/$L$928</f>
        <v>-0.3295658108376226</v>
      </c>
      <c r="N384">
        <f>+N381+M384</f>
        <v>-14.691367853746653</v>
      </c>
      <c r="Z384">
        <f>+(I384-$F$927)/$F$928</f>
        <v>-0.31754826320199941</v>
      </c>
      <c r="AA384">
        <f>+AA381+Z384</f>
        <v>-1.9673102514745662</v>
      </c>
    </row>
    <row r="385" spans="1:27">
      <c r="A385" s="10">
        <v>11</v>
      </c>
      <c r="B385" s="75">
        <v>40317</v>
      </c>
      <c r="C385" s="10">
        <v>2010</v>
      </c>
      <c r="D385" s="4" t="s">
        <v>17</v>
      </c>
      <c r="E385" s="10">
        <v>5</v>
      </c>
      <c r="F385" s="22">
        <v>2.11</v>
      </c>
      <c r="G385" s="21">
        <v>7.9616375000000003E-2</v>
      </c>
    </row>
    <row r="386" spans="1:27">
      <c r="A386" s="10">
        <v>12</v>
      </c>
      <c r="B386" s="75">
        <v>40317</v>
      </c>
      <c r="C386" s="10">
        <v>2010</v>
      </c>
      <c r="D386" s="4" t="s">
        <v>17</v>
      </c>
      <c r="E386" s="10">
        <v>5</v>
      </c>
      <c r="F386" s="22">
        <v>1.224</v>
      </c>
      <c r="G386" s="21">
        <v>4.297999999999999E-2</v>
      </c>
    </row>
    <row r="387" spans="1:27">
      <c r="A387" s="10">
        <v>13</v>
      </c>
      <c r="B387" s="75">
        <v>40317</v>
      </c>
      <c r="C387" s="10">
        <v>2010</v>
      </c>
      <c r="D387" s="4" t="s">
        <v>17</v>
      </c>
      <c r="E387" s="10">
        <v>5</v>
      </c>
      <c r="F387" s="22">
        <v>2.8039999999999998</v>
      </c>
      <c r="G387" s="21">
        <v>7.2252374999999994E-2</v>
      </c>
      <c r="I387" s="21">
        <f>AVERAGE(F385:F387)</f>
        <v>2.0459999999999998</v>
      </c>
      <c r="J387" s="21">
        <f>AVERAGE(G385:G387)</f>
        <v>6.4949583333333324E-2</v>
      </c>
      <c r="L387">
        <f>+J387/I387</f>
        <v>3.1744664385793417E-2</v>
      </c>
      <c r="M387">
        <f>+(L387-$L$927)/$L$928</f>
        <v>2.1774275959043963</v>
      </c>
      <c r="N387">
        <f>+N384+M387</f>
        <v>-12.513940257842258</v>
      </c>
      <c r="Z387">
        <f>+(I387-$F$927)/$F$928</f>
        <v>-0.96412642002590809</v>
      </c>
      <c r="AA387">
        <f>+AA384+Z387</f>
        <v>-2.9314366715004745</v>
      </c>
    </row>
    <row r="388" spans="1:27">
      <c r="A388" s="10">
        <v>11</v>
      </c>
      <c r="B388" s="75">
        <v>40345</v>
      </c>
      <c r="C388" s="10">
        <v>2010</v>
      </c>
      <c r="D388" s="4" t="s">
        <v>18</v>
      </c>
      <c r="E388" s="10">
        <v>6</v>
      </c>
      <c r="F388" s="22">
        <v>7.0090000000000003</v>
      </c>
      <c r="G388" s="21">
        <v>4.7002374999999992E-2</v>
      </c>
    </row>
    <row r="389" spans="1:27">
      <c r="A389" s="10">
        <v>12</v>
      </c>
      <c r="B389" s="75">
        <v>40345</v>
      </c>
      <c r="C389" s="10">
        <v>2010</v>
      </c>
      <c r="D389" s="4" t="s">
        <v>18</v>
      </c>
      <c r="E389" s="10">
        <v>6</v>
      </c>
      <c r="F389" s="22">
        <v>7.4489999999999998</v>
      </c>
      <c r="G389" s="21">
        <v>6.9584124999999997E-2</v>
      </c>
      <c r="I389" s="21"/>
      <c r="J389" s="21"/>
    </row>
    <row r="390" spans="1:27">
      <c r="A390" s="10">
        <v>13</v>
      </c>
      <c r="B390" s="75">
        <v>40345</v>
      </c>
      <c r="C390" s="10">
        <v>2010</v>
      </c>
      <c r="D390" s="4" t="s">
        <v>18</v>
      </c>
      <c r="E390" s="10">
        <v>6</v>
      </c>
      <c r="F390" s="22">
        <v>9.2870000000000008</v>
      </c>
      <c r="G390" s="21">
        <v>0.11963925</v>
      </c>
      <c r="I390" s="21">
        <f>AVERAGE(F388:F390)</f>
        <v>7.915</v>
      </c>
      <c r="J390" s="21">
        <f>AVERAGE(G388:G390)</f>
        <v>7.8741916666666661E-2</v>
      </c>
      <c r="L390">
        <f>+J390/I390</f>
        <v>9.9484417772162555E-3</v>
      </c>
      <c r="M390">
        <f>+(L390-$L$927)/$L$928</f>
        <v>-1.9364525538917418E-2</v>
      </c>
      <c r="N390">
        <f>+N387+M390</f>
        <v>-12.533304783381174</v>
      </c>
      <c r="Z390">
        <f>+(I390-$F$927)/$F$928</f>
        <v>0.80609619032995572</v>
      </c>
      <c r="AA390">
        <f>+AA387+Z390</f>
        <v>-2.125340481170519</v>
      </c>
    </row>
    <row r="391" spans="1:27">
      <c r="A391" s="10">
        <v>11</v>
      </c>
      <c r="B391" s="75">
        <v>40374</v>
      </c>
      <c r="C391" s="10">
        <v>2010</v>
      </c>
      <c r="D391" s="4" t="s">
        <v>19</v>
      </c>
      <c r="E391" s="10">
        <v>7</v>
      </c>
      <c r="F391" s="22">
        <v>9.1110000000000007</v>
      </c>
      <c r="G391" s="21">
        <v>0.17845837499999997</v>
      </c>
    </row>
    <row r="392" spans="1:27">
      <c r="A392" s="10">
        <v>12</v>
      </c>
      <c r="B392" s="75">
        <v>40374</v>
      </c>
      <c r="C392" s="10">
        <v>2010</v>
      </c>
      <c r="D392" s="4" t="s">
        <v>19</v>
      </c>
      <c r="E392" s="10">
        <v>7</v>
      </c>
      <c r="F392" s="22">
        <v>9.8789999999999996</v>
      </c>
      <c r="G392" s="21">
        <v>0.23227674999999998</v>
      </c>
    </row>
    <row r="393" spans="1:27">
      <c r="A393" s="10">
        <v>13</v>
      </c>
      <c r="B393" s="75">
        <v>40374</v>
      </c>
      <c r="C393" s="10">
        <v>2010</v>
      </c>
      <c r="D393" s="4" t="s">
        <v>19</v>
      </c>
      <c r="E393" s="10">
        <v>7</v>
      </c>
      <c r="F393" s="22">
        <v>11.994</v>
      </c>
      <c r="G393" s="21">
        <v>0.43335612499999998</v>
      </c>
      <c r="I393" s="21">
        <f>AVERAGE(F391:F393)</f>
        <v>10.328000000000001</v>
      </c>
      <c r="J393" s="21">
        <f>AVERAGE(G391:G393)</f>
        <v>0.28136374999999997</v>
      </c>
      <c r="L393">
        <f>+J393/I393</f>
        <v>2.7242810805577066E-2</v>
      </c>
      <c r="M393">
        <f>+(L393-$L$927)/$L$928</f>
        <v>1.7236959262242137</v>
      </c>
      <c r="N393">
        <f>+N390+M393</f>
        <v>-10.809608857156961</v>
      </c>
      <c r="Z393">
        <f>+(I393-$F$927)/$F$928</f>
        <v>1.533911347731336</v>
      </c>
      <c r="AA393">
        <f>+AA390+Z393</f>
        <v>-0.59142913343918302</v>
      </c>
    </row>
    <row r="394" spans="1:27">
      <c r="A394" s="10">
        <v>11</v>
      </c>
      <c r="B394" s="75">
        <v>40409</v>
      </c>
      <c r="C394" s="10">
        <v>2010</v>
      </c>
      <c r="D394" s="4" t="s">
        <v>20</v>
      </c>
      <c r="E394" s="10">
        <v>8</v>
      </c>
      <c r="F394" s="22">
        <v>8.5289999999999999</v>
      </c>
      <c r="G394" s="21">
        <v>0.11129262500000001</v>
      </c>
    </row>
    <row r="395" spans="1:27">
      <c r="A395" s="10">
        <v>12</v>
      </c>
      <c r="B395" s="75">
        <v>40409</v>
      </c>
      <c r="C395" s="10">
        <v>2010</v>
      </c>
      <c r="D395" s="4" t="s">
        <v>20</v>
      </c>
      <c r="E395" s="10">
        <v>8</v>
      </c>
      <c r="F395" s="22">
        <v>4.7140000000000004</v>
      </c>
      <c r="G395" s="21">
        <v>8.7749374999999991E-2</v>
      </c>
    </row>
    <row r="396" spans="1:27">
      <c r="A396" s="10">
        <v>13</v>
      </c>
      <c r="B396" s="75">
        <v>40409</v>
      </c>
      <c r="C396" s="10">
        <v>2010</v>
      </c>
      <c r="D396" s="4" t="s">
        <v>20</v>
      </c>
      <c r="E396" s="10">
        <v>8</v>
      </c>
      <c r="F396" s="22">
        <v>14.83</v>
      </c>
      <c r="G396" s="21">
        <v>0.90194474999999996</v>
      </c>
      <c r="I396" s="21">
        <f>AVERAGE(F394:F396)</f>
        <v>9.3576666666666668</v>
      </c>
      <c r="J396" s="21">
        <f>AVERAGE(G394:G396)</f>
        <v>0.36699558333333332</v>
      </c>
      <c r="L396">
        <f>+J396/I396</f>
        <v>3.921870658639974E-2</v>
      </c>
      <c r="M396">
        <f>+(L396-$L$927)/$L$928</f>
        <v>2.9307194536947323</v>
      </c>
      <c r="N396">
        <f>+N393+M396</f>
        <v>-7.878889403462229</v>
      </c>
      <c r="Z396">
        <f>+(I396-$F$927)/$F$928</f>
        <v>1.2412369557993814</v>
      </c>
      <c r="AA396">
        <f>+AA393+Z396</f>
        <v>0.64980782236019841</v>
      </c>
    </row>
    <row r="397" spans="1:27">
      <c r="A397" s="10">
        <v>11</v>
      </c>
      <c r="B397" s="75">
        <v>40434</v>
      </c>
      <c r="C397" s="10">
        <v>2010</v>
      </c>
      <c r="D397" s="4" t="s">
        <v>26</v>
      </c>
      <c r="E397" s="10">
        <v>9</v>
      </c>
      <c r="F397" s="22">
        <v>7.556</v>
      </c>
      <c r="G397" s="21">
        <v>0.13528137500000004</v>
      </c>
    </row>
    <row r="398" spans="1:27">
      <c r="A398" s="10">
        <v>11</v>
      </c>
      <c r="B398" s="75">
        <v>40434</v>
      </c>
      <c r="C398" s="10">
        <v>2010</v>
      </c>
      <c r="D398" s="4" t="s">
        <v>26</v>
      </c>
      <c r="E398" s="10">
        <v>9</v>
      </c>
      <c r="F398" s="22">
        <v>7.556</v>
      </c>
      <c r="G398" s="21">
        <v>0.131326625</v>
      </c>
    </row>
    <row r="399" spans="1:27">
      <c r="A399" s="10">
        <v>12</v>
      </c>
      <c r="B399" s="75">
        <v>40434</v>
      </c>
      <c r="C399" s="10">
        <v>2010</v>
      </c>
      <c r="D399" s="4" t="s">
        <v>26</v>
      </c>
      <c r="E399" s="10">
        <v>9</v>
      </c>
      <c r="F399" s="22">
        <v>7.0720000000000001</v>
      </c>
      <c r="G399" s="21">
        <v>0.1995895</v>
      </c>
      <c r="I399" s="21"/>
      <c r="J399" s="21"/>
    </row>
    <row r="400" spans="1:27">
      <c r="A400" s="10">
        <v>13</v>
      </c>
      <c r="B400" s="75">
        <v>40434</v>
      </c>
      <c r="C400" s="10">
        <v>2010</v>
      </c>
      <c r="D400" s="4" t="s">
        <v>26</v>
      </c>
      <c r="E400" s="10">
        <v>9</v>
      </c>
      <c r="F400" s="22">
        <v>6.4009999999999998</v>
      </c>
      <c r="G400" s="21">
        <v>0.16332174999999999</v>
      </c>
      <c r="I400" s="21">
        <f>AVERAGE(F397:F400)</f>
        <v>7.1462500000000002</v>
      </c>
      <c r="J400" s="21">
        <f>AVERAGE(G397:G400)</f>
        <v>0.15737981249999999</v>
      </c>
      <c r="L400">
        <f>+J400/I400</f>
        <v>2.2022712961343359E-2</v>
      </c>
      <c r="M400">
        <f>+(L400-$L$927)/$L$928</f>
        <v>1.1975740369724863</v>
      </c>
      <c r="N400">
        <f>+N396+M400</f>
        <v>-6.6813153664897431</v>
      </c>
      <c r="Z400">
        <f>+(I400-$F$927)/$F$928</f>
        <v>0.57422387277823139</v>
      </c>
      <c r="AA400">
        <f>+AA396+Z400</f>
        <v>1.2240316951384298</v>
      </c>
    </row>
    <row r="401" spans="1:27">
      <c r="A401" s="10">
        <v>11</v>
      </c>
      <c r="B401" s="75">
        <v>40463</v>
      </c>
      <c r="C401" s="10">
        <v>2010</v>
      </c>
      <c r="D401" s="4" t="s">
        <v>22</v>
      </c>
      <c r="E401" s="10">
        <v>10</v>
      </c>
      <c r="F401" s="20">
        <v>4.1390000000000002</v>
      </c>
      <c r="G401" s="21">
        <v>0.10521699999999998</v>
      </c>
    </row>
    <row r="402" spans="1:27">
      <c r="A402" s="10">
        <v>12</v>
      </c>
      <c r="B402" s="75">
        <v>40463</v>
      </c>
      <c r="C402" s="10">
        <v>2010</v>
      </c>
      <c r="D402" s="4" t="s">
        <v>22</v>
      </c>
      <c r="E402" s="10">
        <v>10</v>
      </c>
      <c r="F402" s="20">
        <v>4.9029999999999996</v>
      </c>
      <c r="G402" s="21">
        <v>0.16496725000000001</v>
      </c>
    </row>
    <row r="403" spans="1:27">
      <c r="A403" s="10">
        <v>13</v>
      </c>
      <c r="B403" s="75">
        <v>40463</v>
      </c>
      <c r="C403" s="10">
        <v>2010</v>
      </c>
      <c r="D403" s="4" t="s">
        <v>22</v>
      </c>
      <c r="E403" s="10">
        <v>10</v>
      </c>
      <c r="F403" s="20">
        <v>4.6959999999999997</v>
      </c>
      <c r="G403" s="21">
        <v>0.13354262499999997</v>
      </c>
      <c r="I403" s="21">
        <f>AVERAGE(F401:F403)</f>
        <v>4.5793333333333335</v>
      </c>
      <c r="J403" s="21">
        <f>AVERAGE(G401:G403)</f>
        <v>0.134575625</v>
      </c>
      <c r="L403">
        <f>+J403/I403</f>
        <v>2.9387601907118942E-2</v>
      </c>
      <c r="M403">
        <f>+(L403-$L$927)/$L$928</f>
        <v>1.9398645843730256</v>
      </c>
      <c r="N403">
        <f>+N400+M403</f>
        <v>-4.7414507821167176</v>
      </c>
      <c r="Z403">
        <f>+(I403-$F$927)/$F$928</f>
        <v>-0.20001601855464293</v>
      </c>
      <c r="AA403">
        <f>+AA400+Z403</f>
        <v>1.0240156765837869</v>
      </c>
    </row>
    <row r="404" spans="1:27">
      <c r="A404" s="10">
        <v>11</v>
      </c>
      <c r="B404" s="75">
        <v>40500</v>
      </c>
      <c r="C404" s="10">
        <v>2010</v>
      </c>
      <c r="D404" s="4" t="s">
        <v>23</v>
      </c>
      <c r="E404" s="10">
        <v>11</v>
      </c>
      <c r="F404" s="20">
        <v>1.873</v>
      </c>
      <c r="G404" s="21">
        <v>1.4732374999999999E-2</v>
      </c>
    </row>
    <row r="405" spans="1:27">
      <c r="A405" s="10">
        <v>12</v>
      </c>
      <c r="B405" s="75">
        <v>40500</v>
      </c>
      <c r="C405" s="10">
        <v>2010</v>
      </c>
      <c r="D405" s="4" t="s">
        <v>23</v>
      </c>
      <c r="E405" s="10">
        <v>11</v>
      </c>
      <c r="F405" s="20">
        <v>2.181</v>
      </c>
      <c r="G405" s="21">
        <v>2.0206750000000002E-2</v>
      </c>
    </row>
    <row r="406" spans="1:27">
      <c r="A406" s="10">
        <v>13</v>
      </c>
      <c r="B406" s="75">
        <v>40500</v>
      </c>
      <c r="C406" s="10">
        <v>2010</v>
      </c>
      <c r="D406" s="4" t="s">
        <v>23</v>
      </c>
      <c r="E406" s="10">
        <v>11</v>
      </c>
      <c r="F406" s="20">
        <v>2.2469999999999999</v>
      </c>
      <c r="G406" s="21">
        <v>1.7799124999999999E-2</v>
      </c>
      <c r="I406" s="21"/>
      <c r="J406" s="21"/>
    </row>
    <row r="407" spans="1:27">
      <c r="A407" s="10">
        <v>13</v>
      </c>
      <c r="B407" s="75">
        <v>40500</v>
      </c>
      <c r="C407" s="10">
        <v>2010</v>
      </c>
      <c r="D407" s="4" t="s">
        <v>23</v>
      </c>
      <c r="E407" s="10">
        <v>11</v>
      </c>
      <c r="F407" s="20">
        <v>2.2469999999999999</v>
      </c>
      <c r="G407" s="21">
        <v>1.4313500000000002E-2</v>
      </c>
      <c r="I407" s="21">
        <f>AVERAGE(F404:F407)</f>
        <v>2.137</v>
      </c>
      <c r="J407" s="21">
        <f>AVERAGE(G404:G407)</f>
        <v>1.6762937500000002E-2</v>
      </c>
      <c r="L407">
        <f>+J407/I407</f>
        <v>7.8441448291998138E-3</v>
      </c>
      <c r="M407">
        <f>+(L407-$L$927)/$L$928</f>
        <v>-0.23145186927712191</v>
      </c>
      <c r="N407">
        <f>+N403+M407</f>
        <v>-4.9729026513938397</v>
      </c>
      <c r="Z407">
        <f>+(I407-$F$927)/$F$928</f>
        <v>-0.93667877007832179</v>
      </c>
      <c r="AA407">
        <f>+AA403+Z407</f>
        <v>8.7336906505465106E-2</v>
      </c>
    </row>
    <row r="408" spans="1:27">
      <c r="A408" s="10">
        <v>11</v>
      </c>
      <c r="B408" s="75">
        <v>40521</v>
      </c>
      <c r="C408" s="10">
        <v>2010</v>
      </c>
      <c r="D408" s="4" t="s">
        <v>24</v>
      </c>
      <c r="E408" s="10">
        <v>12</v>
      </c>
      <c r="F408" s="20">
        <v>3.871</v>
      </c>
      <c r="G408" s="21">
        <v>5.2029625000000003E-2</v>
      </c>
    </row>
    <row r="409" spans="1:27">
      <c r="A409" s="10">
        <v>12</v>
      </c>
      <c r="B409" s="75">
        <v>40521</v>
      </c>
      <c r="C409" s="10">
        <v>2010</v>
      </c>
      <c r="D409" s="4" t="s">
        <v>24</v>
      </c>
      <c r="E409" s="10">
        <v>12</v>
      </c>
      <c r="F409" s="20">
        <v>2.9849999999999999</v>
      </c>
      <c r="G409" s="21">
        <v>3.9146374999999997E-2</v>
      </c>
    </row>
    <row r="410" spans="1:27">
      <c r="A410" s="10">
        <v>13</v>
      </c>
      <c r="B410" s="75">
        <v>40521</v>
      </c>
      <c r="C410" s="10">
        <v>2010</v>
      </c>
      <c r="D410" s="4" t="s">
        <v>24</v>
      </c>
      <c r="E410" s="10">
        <v>12</v>
      </c>
      <c r="F410" s="20">
        <v>3.0150000000000001</v>
      </c>
      <c r="G410" s="21">
        <v>3.4752249999999998E-2</v>
      </c>
      <c r="I410" s="21">
        <f>AVERAGE(F408:F410)</f>
        <v>3.2903333333333333</v>
      </c>
      <c r="J410" s="21">
        <f>AVERAGE(G408:G410)</f>
        <v>4.1976083333333337E-2</v>
      </c>
      <c r="L410">
        <f>+J410/I410</f>
        <v>1.2757395400668626E-2</v>
      </c>
      <c r="M410">
        <f>+(L410-$L$927)/$L$928</f>
        <v>0.26374357536071058</v>
      </c>
      <c r="N410">
        <f>+N407+M410</f>
        <v>-4.7091590760331288</v>
      </c>
      <c r="Z410">
        <f>+(I410-$F$927)/$F$928</f>
        <v>-0.58880745572429849</v>
      </c>
      <c r="AA410">
        <f>+AA407+Z410</f>
        <v>-0.50147054921883338</v>
      </c>
    </row>
    <row r="411" spans="1:27">
      <c r="A411" s="10">
        <v>11</v>
      </c>
      <c r="B411" s="75">
        <v>40563</v>
      </c>
      <c r="C411" s="10">
        <v>2011</v>
      </c>
      <c r="D411" s="4" t="s">
        <v>25</v>
      </c>
      <c r="E411" s="10">
        <v>1</v>
      </c>
      <c r="F411" s="20">
        <v>4.7370000000000001</v>
      </c>
      <c r="G411" s="21">
        <v>1.8862749999999998E-2</v>
      </c>
    </row>
    <row r="412" spans="1:27">
      <c r="A412" s="10">
        <v>12</v>
      </c>
      <c r="B412" s="75">
        <v>40563</v>
      </c>
      <c r="C412" s="10">
        <v>2011</v>
      </c>
      <c r="D412" s="4" t="s">
        <v>25</v>
      </c>
      <c r="E412" s="10">
        <v>1</v>
      </c>
      <c r="F412" s="20">
        <v>4.4649999999999999</v>
      </c>
      <c r="G412" s="21">
        <v>1.5601124999999997E-2</v>
      </c>
    </row>
    <row r="413" spans="1:27">
      <c r="A413" s="10">
        <v>13</v>
      </c>
      <c r="B413" s="75">
        <v>40563</v>
      </c>
      <c r="C413" s="10">
        <v>2011</v>
      </c>
      <c r="D413" s="4" t="s">
        <v>25</v>
      </c>
      <c r="E413" s="10">
        <v>1</v>
      </c>
      <c r="F413" s="20">
        <v>2.9350000000000001</v>
      </c>
      <c r="G413" s="21">
        <v>1.2249749999999998E-2</v>
      </c>
      <c r="I413" s="21">
        <f>AVERAGE(F411:F413)</f>
        <v>4.0456666666666665</v>
      </c>
      <c r="J413" s="21">
        <f>AVERAGE(G411:G413)</f>
        <v>1.5571208333333329E-2</v>
      </c>
      <c r="L413">
        <f>+J413/I413</f>
        <v>3.8488609211502012E-3</v>
      </c>
      <c r="M413">
        <f>+(L413-$L$927)/$L$928</f>
        <v>-0.63412752412562889</v>
      </c>
      <c r="N413">
        <f>+N410+M413</f>
        <v>-5.3432866001587573</v>
      </c>
      <c r="Z413">
        <f>+(I413-$F$927)/$F$928</f>
        <v>-0.36098190707510291</v>
      </c>
      <c r="AA413">
        <f>+AA410+Z413</f>
        <v>-0.8624524562939363</v>
      </c>
    </row>
    <row r="414" spans="1:27">
      <c r="A414" s="10">
        <v>11</v>
      </c>
      <c r="B414" s="75">
        <v>40598</v>
      </c>
      <c r="C414" s="10">
        <v>2011</v>
      </c>
      <c r="D414" s="4" t="s">
        <v>14</v>
      </c>
      <c r="E414" s="10">
        <v>2</v>
      </c>
      <c r="F414" s="20">
        <v>4.5720000000000001</v>
      </c>
      <c r="G414" s="21">
        <v>2.0020499999999997E-2</v>
      </c>
    </row>
    <row r="415" spans="1:27">
      <c r="A415" s="10">
        <v>12</v>
      </c>
      <c r="B415" s="75">
        <v>40598</v>
      </c>
      <c r="C415" s="10">
        <v>2011</v>
      </c>
      <c r="D415" s="4" t="s">
        <v>14</v>
      </c>
      <c r="E415" s="10">
        <v>2</v>
      </c>
      <c r="F415" s="20">
        <v>4.8120000000000003</v>
      </c>
      <c r="G415" s="21">
        <v>2.1537125000000001E-2</v>
      </c>
    </row>
    <row r="416" spans="1:27">
      <c r="A416" s="10">
        <v>13</v>
      </c>
      <c r="B416" s="75">
        <v>40598</v>
      </c>
      <c r="C416" s="10">
        <v>2011</v>
      </c>
      <c r="D416" s="4" t="s">
        <v>14</v>
      </c>
      <c r="E416" s="10">
        <v>2</v>
      </c>
      <c r="F416" s="20">
        <v>3.6349999999999998</v>
      </c>
      <c r="G416" s="21">
        <v>1.8725124999999995E-2</v>
      </c>
      <c r="I416" s="21">
        <f>AVERAGE(F414:F416)</f>
        <v>4.339666666666667</v>
      </c>
      <c r="J416" s="21">
        <f>AVERAGE(G414:G416)</f>
        <v>2.0094249999999998E-2</v>
      </c>
      <c r="L416">
        <f>+J416/I416</f>
        <v>4.6303671556955214E-3</v>
      </c>
      <c r="M416">
        <f>+(L416-$L$927)/$L$928</f>
        <v>-0.55536127321422557</v>
      </c>
      <c r="N416">
        <f>+N413+M416</f>
        <v>-5.8986478733729832</v>
      </c>
      <c r="Z416">
        <f>+(I416-$F$927)/$F$928</f>
        <v>-0.27230488416751653</v>
      </c>
      <c r="AA416">
        <f>+AA413+Z416</f>
        <v>-1.1347573404614528</v>
      </c>
    </row>
    <row r="417" spans="1:27">
      <c r="A417" s="10">
        <v>11</v>
      </c>
      <c r="B417" s="75">
        <v>40617</v>
      </c>
      <c r="C417" s="10">
        <v>2011</v>
      </c>
      <c r="D417" s="4" t="s">
        <v>15</v>
      </c>
      <c r="E417" s="10">
        <v>3</v>
      </c>
      <c r="F417" s="20">
        <v>4.766</v>
      </c>
      <c r="G417" s="21">
        <v>2.4880249999999996E-2</v>
      </c>
    </row>
    <row r="418" spans="1:27">
      <c r="A418" s="10">
        <v>12</v>
      </c>
      <c r="B418" s="75">
        <v>40617</v>
      </c>
      <c r="C418" s="10">
        <v>2011</v>
      </c>
      <c r="D418" s="4" t="s">
        <v>15</v>
      </c>
      <c r="E418" s="10">
        <v>3</v>
      </c>
      <c r="F418" s="20">
        <v>3.7519999999999998</v>
      </c>
      <c r="G418" s="21">
        <v>2.0319375000000001E-2</v>
      </c>
      <c r="I418" s="21"/>
      <c r="J418" s="21"/>
    </row>
    <row r="419" spans="1:27">
      <c r="A419" s="10">
        <v>13</v>
      </c>
      <c r="B419" s="75">
        <v>40617</v>
      </c>
      <c r="C419" s="10">
        <v>2011</v>
      </c>
      <c r="D419" s="4" t="s">
        <v>15</v>
      </c>
      <c r="E419" s="10">
        <v>3</v>
      </c>
      <c r="F419" s="20">
        <v>4.41</v>
      </c>
      <c r="G419" s="21">
        <v>2.4913624999999995E-2</v>
      </c>
      <c r="I419" s="21">
        <f>AVERAGE(F417:F419)</f>
        <v>4.3093333333333339</v>
      </c>
      <c r="J419" s="21">
        <f>AVERAGE(G417:G419)</f>
        <v>2.3371083333333331E-2</v>
      </c>
      <c r="L419">
        <f>+J419/I419</f>
        <v>5.4233640160891074E-3</v>
      </c>
      <c r="M419">
        <f>+(L419-$L$927)/$L$928</f>
        <v>-0.4754369080374638</v>
      </c>
      <c r="N419">
        <f>+N416+M419</f>
        <v>-6.3740847814104473</v>
      </c>
      <c r="Z419">
        <f>+(I419-$F$927)/$F$928</f>
        <v>-0.28145410081671185</v>
      </c>
      <c r="AA419">
        <f>+AA416+Z419</f>
        <v>-1.4162114412781648</v>
      </c>
    </row>
    <row r="420" spans="1:27">
      <c r="A420" s="10">
        <v>11</v>
      </c>
      <c r="B420" s="75">
        <v>40647</v>
      </c>
      <c r="C420" s="10">
        <v>2011</v>
      </c>
      <c r="D420" s="4" t="s">
        <v>16</v>
      </c>
      <c r="E420" s="10">
        <v>4</v>
      </c>
      <c r="F420" s="20">
        <v>4.5590000000000002</v>
      </c>
      <c r="G420" s="21">
        <v>1.4323124999999999E-2</v>
      </c>
    </row>
    <row r="421" spans="1:27">
      <c r="A421" s="10">
        <v>11</v>
      </c>
      <c r="B421" s="75">
        <v>40647</v>
      </c>
      <c r="C421" s="10">
        <v>2011</v>
      </c>
      <c r="D421" s="4" t="s">
        <v>16</v>
      </c>
      <c r="E421" s="10">
        <v>4</v>
      </c>
      <c r="F421" s="20">
        <v>4.5590000000000002</v>
      </c>
      <c r="G421" s="21">
        <v>1.4383249999999998E-2</v>
      </c>
      <c r="H421" t="s">
        <v>41</v>
      </c>
    </row>
    <row r="422" spans="1:27">
      <c r="A422" s="10">
        <v>12</v>
      </c>
      <c r="B422" s="75">
        <v>40647</v>
      </c>
      <c r="C422" s="10">
        <v>2011</v>
      </c>
      <c r="D422" s="4" t="s">
        <v>16</v>
      </c>
      <c r="E422" s="10">
        <v>4</v>
      </c>
      <c r="F422" s="20">
        <v>3.8530000000000002</v>
      </c>
      <c r="G422" s="21">
        <v>1.1424999999999998E-2</v>
      </c>
    </row>
    <row r="423" spans="1:27">
      <c r="A423" s="10">
        <v>13</v>
      </c>
      <c r="B423" s="75">
        <v>40647</v>
      </c>
      <c r="C423" s="10">
        <v>2011</v>
      </c>
      <c r="D423" s="4" t="s">
        <v>16</v>
      </c>
      <c r="E423" s="10">
        <v>4</v>
      </c>
      <c r="F423" s="20">
        <v>2.294</v>
      </c>
      <c r="G423" s="21">
        <v>8.0346250000000018E-3</v>
      </c>
      <c r="I423" s="21">
        <f>AVERAGE(F420:F423)</f>
        <v>3.8162500000000001</v>
      </c>
      <c r="J423" s="21">
        <f>AVERAGE(G420:G423)</f>
        <v>1.20415E-2</v>
      </c>
      <c r="L423">
        <f>+J423/I423</f>
        <v>3.15532263347527E-3</v>
      </c>
      <c r="M423">
        <f>+(L423-$L$927)/$L$928</f>
        <v>-0.70402768405903082</v>
      </c>
      <c r="N423">
        <f>+N419+M423</f>
        <v>-7.078112465469478</v>
      </c>
      <c r="Z423">
        <f>+(I423-$F$927)/$F$928</f>
        <v>-0.43017914178728683</v>
      </c>
      <c r="AA423">
        <f>+AA419+Z423</f>
        <v>-1.8463905830654517</v>
      </c>
    </row>
    <row r="424" spans="1:27">
      <c r="A424" s="10">
        <v>11</v>
      </c>
      <c r="B424" s="75">
        <v>40682</v>
      </c>
      <c r="C424" s="10">
        <v>2011</v>
      </c>
      <c r="D424" s="4" t="s">
        <v>17</v>
      </c>
      <c r="E424" s="10">
        <v>5</v>
      </c>
      <c r="F424" s="20">
        <v>2.02</v>
      </c>
      <c r="G424" s="21">
        <v>3.1000375E-2</v>
      </c>
    </row>
    <row r="425" spans="1:27">
      <c r="A425" s="10">
        <v>12</v>
      </c>
      <c r="B425" s="75">
        <v>40682</v>
      </c>
      <c r="C425" s="10">
        <v>2011</v>
      </c>
      <c r="D425" s="4" t="s">
        <v>17</v>
      </c>
      <c r="E425" s="10">
        <v>5</v>
      </c>
      <c r="F425" s="20">
        <v>1.5920000000000001</v>
      </c>
      <c r="G425" s="21">
        <v>2.2930749999999996E-2</v>
      </c>
    </row>
    <row r="426" spans="1:27">
      <c r="A426" s="10">
        <v>13</v>
      </c>
      <c r="B426" s="75">
        <v>40682</v>
      </c>
      <c r="C426" s="10">
        <v>2011</v>
      </c>
      <c r="D426" s="4" t="s">
        <v>17</v>
      </c>
      <c r="E426" s="10">
        <v>5</v>
      </c>
      <c r="F426" s="20">
        <v>2.5779999999999998</v>
      </c>
      <c r="G426" s="21">
        <v>3.9002124999999999E-2</v>
      </c>
      <c r="I426" s="21">
        <f>AVERAGE(F424:F426)</f>
        <v>2.063333333333333</v>
      </c>
      <c r="J426" s="21">
        <f>AVERAGE(G424:G426)</f>
        <v>3.0977749999999998E-2</v>
      </c>
      <c r="L426">
        <f>+J426/I426</f>
        <v>1.5013449111470114E-2</v>
      </c>
      <c r="M426">
        <f>+(L426-$L$927)/$L$928</f>
        <v>0.49112614097514706</v>
      </c>
      <c r="N426">
        <f>+N423+M426</f>
        <v>-6.5869863244943314</v>
      </c>
      <c r="Z426">
        <f>+(I426-$F$927)/$F$928</f>
        <v>-0.95889829622636791</v>
      </c>
      <c r="AA426">
        <f>+AA423+Z426</f>
        <v>-2.8052888792918198</v>
      </c>
    </row>
    <row r="427" spans="1:27">
      <c r="A427" s="10">
        <v>11</v>
      </c>
      <c r="B427" s="75">
        <v>40709</v>
      </c>
      <c r="C427" s="10">
        <v>2011</v>
      </c>
      <c r="D427" s="4" t="s">
        <v>18</v>
      </c>
      <c r="E427" s="10">
        <v>6</v>
      </c>
      <c r="F427" s="20">
        <v>4.0220000000000002</v>
      </c>
      <c r="G427" s="21">
        <v>6.4036250000000003E-2</v>
      </c>
    </row>
    <row r="428" spans="1:27">
      <c r="A428" s="10">
        <v>12</v>
      </c>
      <c r="B428" s="75">
        <v>40709</v>
      </c>
      <c r="C428" s="10">
        <v>2011</v>
      </c>
      <c r="D428" s="4" t="s">
        <v>18</v>
      </c>
      <c r="E428" s="10">
        <v>6</v>
      </c>
      <c r="F428" s="20">
        <v>4.2</v>
      </c>
      <c r="G428" s="21">
        <v>6.4282875000000003E-2</v>
      </c>
    </row>
    <row r="429" spans="1:27">
      <c r="A429" s="10">
        <v>13</v>
      </c>
      <c r="B429" s="75">
        <v>40709</v>
      </c>
      <c r="C429" s="10">
        <v>2011</v>
      </c>
      <c r="D429" s="4" t="s">
        <v>18</v>
      </c>
      <c r="E429" s="10">
        <v>6</v>
      </c>
      <c r="F429" s="20">
        <v>7.6539999999999999</v>
      </c>
      <c r="G429" s="21">
        <v>9.1840874999999988E-2</v>
      </c>
      <c r="I429" s="21">
        <f>AVERAGE(F427:F429)</f>
        <v>5.2920000000000007</v>
      </c>
      <c r="J429" s="21">
        <f>AVERAGE(G427:G429)</f>
        <v>7.3386666666666669E-2</v>
      </c>
      <c r="L429">
        <f>+J429/I429</f>
        <v>1.3867472915091961E-2</v>
      </c>
      <c r="M429">
        <f>+(L429-$L$927)/$L$928</f>
        <v>0.37562578457052687</v>
      </c>
      <c r="N429">
        <f>+N426+M429</f>
        <v>-6.2113605399238043</v>
      </c>
      <c r="Z429">
        <f>+(I429-$F$927)/$F$928</f>
        <v>1.4940302280299968E-2</v>
      </c>
      <c r="AA429">
        <f>+AA426+Z429</f>
        <v>-2.7903485770115197</v>
      </c>
    </row>
    <row r="430" spans="1:27">
      <c r="A430" s="10">
        <v>11</v>
      </c>
      <c r="B430" s="75">
        <v>40736</v>
      </c>
      <c r="C430" s="10">
        <v>2011</v>
      </c>
      <c r="D430" s="4" t="s">
        <v>19</v>
      </c>
      <c r="E430" s="10">
        <v>7</v>
      </c>
      <c r="F430" s="20">
        <v>7.407</v>
      </c>
      <c r="G430" s="21">
        <v>0.20515887499999999</v>
      </c>
    </row>
    <row r="431" spans="1:27">
      <c r="A431" s="10">
        <v>12</v>
      </c>
      <c r="B431" s="75">
        <v>40736</v>
      </c>
      <c r="C431" s="10">
        <v>2011</v>
      </c>
      <c r="D431" s="4" t="s">
        <v>19</v>
      </c>
      <c r="E431" s="10">
        <v>7</v>
      </c>
      <c r="F431" s="20">
        <v>8.0679999999999996</v>
      </c>
      <c r="G431" s="21">
        <v>0.20078225</v>
      </c>
    </row>
    <row r="432" spans="1:27">
      <c r="A432" s="10">
        <v>13</v>
      </c>
      <c r="B432" s="75">
        <v>40736</v>
      </c>
      <c r="C432" s="10">
        <v>2011</v>
      </c>
      <c r="D432" s="4" t="s">
        <v>19</v>
      </c>
      <c r="E432" s="10">
        <v>7</v>
      </c>
      <c r="F432" s="20">
        <v>8.9009999999999998</v>
      </c>
      <c r="G432" s="21">
        <v>0.68417237500000005</v>
      </c>
      <c r="I432" s="21">
        <f>AVERAGE(F430:F432)</f>
        <v>8.125333333333332</v>
      </c>
      <c r="J432" s="21">
        <f>AVERAGE(G430:G432)</f>
        <v>0.36337116666666675</v>
      </c>
      <c r="L432">
        <f>+J432/I432</f>
        <v>4.4720770429931098E-2</v>
      </c>
      <c r="M432">
        <f>+(L432-$L$927)/$L$928</f>
        <v>3.4852600601203343</v>
      </c>
      <c r="N432">
        <f>+N429+M432</f>
        <v>-2.72610047980347</v>
      </c>
      <c r="Z432">
        <f>+(I432-$F$927)/$F$928</f>
        <v>0.86953746182053004</v>
      </c>
      <c r="AA432">
        <f>+AA429+Z432</f>
        <v>-1.9208111151909897</v>
      </c>
    </row>
    <row r="433" spans="1:27">
      <c r="A433" s="10">
        <v>11</v>
      </c>
      <c r="B433" s="75">
        <v>40772</v>
      </c>
      <c r="C433" s="10">
        <v>2011</v>
      </c>
      <c r="D433" s="4" t="s">
        <v>20</v>
      </c>
      <c r="E433" s="10">
        <v>8</v>
      </c>
      <c r="F433" s="20">
        <v>14.526999999999999</v>
      </c>
      <c r="G433" s="21">
        <v>0.18949312500000004</v>
      </c>
    </row>
    <row r="434" spans="1:27">
      <c r="A434" s="10">
        <v>12</v>
      </c>
      <c r="B434" s="75">
        <v>40772</v>
      </c>
      <c r="C434" s="10">
        <v>2011</v>
      </c>
      <c r="D434" s="4" t="s">
        <v>20</v>
      </c>
      <c r="E434" s="10">
        <v>8</v>
      </c>
      <c r="F434" s="20">
        <v>11.542999999999999</v>
      </c>
      <c r="G434" s="21">
        <v>0.19088712499999999</v>
      </c>
    </row>
    <row r="435" spans="1:27">
      <c r="A435" s="10">
        <v>13</v>
      </c>
      <c r="B435" s="75">
        <v>40772</v>
      </c>
      <c r="C435" s="10">
        <v>2011</v>
      </c>
      <c r="D435" s="4" t="s">
        <v>20</v>
      </c>
      <c r="E435" s="10">
        <v>8</v>
      </c>
      <c r="F435" s="20">
        <v>10.285</v>
      </c>
      <c r="G435" s="21">
        <v>0.27433174999999999</v>
      </c>
      <c r="I435" s="21">
        <f>AVERAGE(F433:F435)</f>
        <v>12.118333333333334</v>
      </c>
      <c r="J435" s="21">
        <f>AVERAGE(G433:G435)</f>
        <v>0.21823733333333331</v>
      </c>
      <c r="L435">
        <f>+J435/I435</f>
        <v>1.8008857103562093E-2</v>
      </c>
      <c r="M435">
        <f>+(L435-$L$927)/$L$928</f>
        <v>0.79302655719435677</v>
      </c>
      <c r="N435">
        <f>+N432+M435</f>
        <v>-1.9330739226091134</v>
      </c>
      <c r="Z435">
        <f>+(I435-$F$927)/$F$928</f>
        <v>2.0739162117184629</v>
      </c>
      <c r="AA435">
        <f>+AA432+Z435</f>
        <v>0.15310509652747317</v>
      </c>
    </row>
    <row r="436" spans="1:27">
      <c r="A436" s="10">
        <v>11</v>
      </c>
      <c r="B436" s="75">
        <v>40798</v>
      </c>
      <c r="C436" s="10">
        <v>2011</v>
      </c>
      <c r="D436" s="4" t="s">
        <v>26</v>
      </c>
      <c r="E436" s="10">
        <v>9</v>
      </c>
      <c r="F436" s="20">
        <v>6.1180000000000003</v>
      </c>
      <c r="G436" s="21">
        <v>0.23636000000000001</v>
      </c>
    </row>
    <row r="437" spans="1:27">
      <c r="A437" s="10">
        <v>12</v>
      </c>
      <c r="B437" s="75">
        <v>40798</v>
      </c>
      <c r="C437" s="10">
        <v>2011</v>
      </c>
      <c r="D437" s="4" t="s">
        <v>26</v>
      </c>
      <c r="E437" s="10">
        <v>9</v>
      </c>
      <c r="F437" s="20">
        <v>5.444</v>
      </c>
      <c r="G437" s="21">
        <v>0.20802087499999997</v>
      </c>
    </row>
    <row r="438" spans="1:27">
      <c r="A438" s="10">
        <v>13</v>
      </c>
      <c r="B438" s="75">
        <v>40798</v>
      </c>
      <c r="C438" s="10">
        <v>2011</v>
      </c>
      <c r="D438" s="4" t="s">
        <v>26</v>
      </c>
      <c r="E438" s="10">
        <v>9</v>
      </c>
      <c r="F438" s="20">
        <v>7.492</v>
      </c>
      <c r="G438" s="21">
        <v>1.1851122499999998</v>
      </c>
      <c r="I438" s="21">
        <f>AVERAGE(F436:F438)</f>
        <v>6.3513333333333337</v>
      </c>
      <c r="J438" s="21">
        <f>AVERAGE(G436:G438)</f>
        <v>0.54316437499999992</v>
      </c>
      <c r="L438">
        <f>+J438/I438</f>
        <v>8.5519739949616855E-2</v>
      </c>
      <c r="M438">
        <f>+(L438-$L$927)/$L$928</f>
        <v>7.5972961873611142</v>
      </c>
      <c r="N438">
        <f>+N435+M438</f>
        <v>5.6642222647520004</v>
      </c>
      <c r="Z438">
        <f>+(I438-$F$927)/$F$928</f>
        <v>0.33445909910604732</v>
      </c>
      <c r="AA438">
        <f>+AA435+Z438</f>
        <v>0.48756419563352049</v>
      </c>
    </row>
    <row r="439" spans="1:27">
      <c r="A439" s="10">
        <v>11</v>
      </c>
      <c r="B439" s="75">
        <v>40829</v>
      </c>
      <c r="C439" s="10">
        <v>2011</v>
      </c>
      <c r="D439" s="4" t="s">
        <v>22</v>
      </c>
      <c r="E439" s="10">
        <v>10</v>
      </c>
      <c r="F439" s="22">
        <v>4.2300000000000004</v>
      </c>
      <c r="G439" s="21">
        <v>0.11098650000000002</v>
      </c>
    </row>
    <row r="440" spans="1:27">
      <c r="A440" s="10">
        <v>12</v>
      </c>
      <c r="B440" s="75">
        <v>40829</v>
      </c>
      <c r="C440" s="10">
        <v>2011</v>
      </c>
      <c r="D440" s="4" t="s">
        <v>22</v>
      </c>
      <c r="E440" s="10">
        <v>10</v>
      </c>
      <c r="F440" s="22">
        <v>4.702</v>
      </c>
      <c r="G440" s="21">
        <v>0.12009349999999999</v>
      </c>
    </row>
    <row r="441" spans="1:27">
      <c r="A441" s="10">
        <v>13</v>
      </c>
      <c r="B441" s="75">
        <v>40829</v>
      </c>
      <c r="C441" s="10">
        <v>2011</v>
      </c>
      <c r="D441" s="4" t="s">
        <v>22</v>
      </c>
      <c r="E441" s="10">
        <v>10</v>
      </c>
      <c r="F441" s="22">
        <v>2.5640000000000001</v>
      </c>
      <c r="G441" s="21">
        <v>8.9766499999999985E-2</v>
      </c>
      <c r="I441" s="21">
        <f>AVERAGE(F439:F441)</f>
        <v>3.8320000000000003</v>
      </c>
      <c r="J441" s="21">
        <f>AVERAGE(G439:G441)</f>
        <v>0.10694883333333333</v>
      </c>
      <c r="L441">
        <f>+J441/I441</f>
        <v>2.7909403270702848E-2</v>
      </c>
      <c r="M441">
        <f>+(L441-$L$927)/$L$928</f>
        <v>1.7908802774716426</v>
      </c>
      <c r="N441">
        <f>+N438+M441</f>
        <v>7.455102542223643</v>
      </c>
      <c r="Z441">
        <f>+(I441-$F$927)/$F$928</f>
        <v>-0.42542858698866609</v>
      </c>
      <c r="AA441">
        <f>+AA438+Z441</f>
        <v>6.2135608644854401E-2</v>
      </c>
    </row>
    <row r="442" spans="1:27">
      <c r="A442" s="10">
        <v>11</v>
      </c>
      <c r="B442" s="76">
        <v>40877</v>
      </c>
      <c r="C442" s="10">
        <v>2011</v>
      </c>
      <c r="D442" s="4" t="s">
        <v>23</v>
      </c>
      <c r="E442" s="10">
        <v>11</v>
      </c>
      <c r="F442" s="22">
        <v>5.2469999999999999</v>
      </c>
      <c r="G442" s="21">
        <v>3.3162749999999998E-2</v>
      </c>
    </row>
    <row r="443" spans="1:27">
      <c r="A443" s="10">
        <v>12</v>
      </c>
      <c r="B443" s="76">
        <v>40877</v>
      </c>
      <c r="C443" s="10">
        <v>2011</v>
      </c>
      <c r="D443" s="4" t="s">
        <v>23</v>
      </c>
      <c r="E443" s="10">
        <v>11</v>
      </c>
      <c r="F443" s="22">
        <v>3.9009999999999998</v>
      </c>
      <c r="G443" s="21">
        <v>3.0106250000000005E-2</v>
      </c>
    </row>
    <row r="444" spans="1:27">
      <c r="A444" s="10">
        <v>12</v>
      </c>
      <c r="B444" s="76">
        <v>40877</v>
      </c>
      <c r="C444" s="10">
        <v>2011</v>
      </c>
      <c r="D444" s="4" t="s">
        <v>23</v>
      </c>
      <c r="E444" s="10">
        <v>11</v>
      </c>
      <c r="F444" s="22">
        <v>3.9009999999999998</v>
      </c>
      <c r="G444" s="21">
        <v>2.6059499999999999E-2</v>
      </c>
      <c r="H444" t="s">
        <v>41</v>
      </c>
      <c r="I444" s="21"/>
      <c r="J444" s="21"/>
    </row>
    <row r="445" spans="1:27">
      <c r="A445" s="10">
        <v>13</v>
      </c>
      <c r="B445" s="76">
        <v>40877</v>
      </c>
      <c r="C445" s="10">
        <v>2011</v>
      </c>
      <c r="D445" s="4" t="s">
        <v>23</v>
      </c>
      <c r="E445" s="10">
        <v>11</v>
      </c>
      <c r="F445" s="22">
        <v>4.9690000000000003</v>
      </c>
      <c r="G445" s="21">
        <v>2.864425E-2</v>
      </c>
      <c r="I445" s="21">
        <f>AVERAGE(F442:F445)</f>
        <v>4.5045000000000002</v>
      </c>
      <c r="J445" s="21">
        <f>AVERAGE(G442:G445)</f>
        <v>2.94931875E-2</v>
      </c>
      <c r="L445">
        <f>+J445/I445</f>
        <v>6.5474941724941726E-3</v>
      </c>
      <c r="M445">
        <f>+(L445-$L$927)/$L$928</f>
        <v>-0.36213836473410682</v>
      </c>
      <c r="N445">
        <f>+N441+M445</f>
        <v>7.0929641774895362</v>
      </c>
      <c r="Z445">
        <f>+(I445-$F$927)/$F$928</f>
        <v>-0.22258743765073488</v>
      </c>
      <c r="AA445">
        <f>+AA441+Z445</f>
        <v>-0.16045182900588048</v>
      </c>
    </row>
    <row r="446" spans="1:27">
      <c r="A446" s="10">
        <v>11</v>
      </c>
      <c r="B446" s="76">
        <v>40891</v>
      </c>
      <c r="C446" s="10">
        <v>2011</v>
      </c>
      <c r="D446" s="4" t="s">
        <v>24</v>
      </c>
      <c r="E446" s="10">
        <v>12</v>
      </c>
      <c r="F446" s="22">
        <v>5.8280000000000003</v>
      </c>
      <c r="G446" s="21">
        <v>3.2710375E-2</v>
      </c>
    </row>
    <row r="447" spans="1:27">
      <c r="A447" s="10">
        <v>12</v>
      </c>
      <c r="B447" s="76">
        <v>40891</v>
      </c>
      <c r="C447" s="10">
        <v>2011</v>
      </c>
      <c r="D447" s="4" t="s">
        <v>24</v>
      </c>
      <c r="E447" s="10">
        <v>12</v>
      </c>
      <c r="F447" s="22">
        <v>3.7679999999999998</v>
      </c>
      <c r="G447" s="21">
        <v>2.3183499999999999E-2</v>
      </c>
    </row>
    <row r="448" spans="1:27">
      <c r="A448" s="10">
        <v>13</v>
      </c>
      <c r="B448" s="76">
        <v>40891</v>
      </c>
      <c r="C448" s="10">
        <v>2011</v>
      </c>
      <c r="D448" s="4" t="s">
        <v>24</v>
      </c>
      <c r="E448" s="10">
        <v>12</v>
      </c>
      <c r="F448" s="22">
        <v>2.89</v>
      </c>
      <c r="G448" s="21">
        <v>2.5758625000000004E-2</v>
      </c>
      <c r="I448" s="21">
        <f>AVERAGE(F446:F448)</f>
        <v>4.1619999999999999</v>
      </c>
      <c r="J448" s="21">
        <f>AVERAGE(G446:G448)</f>
        <v>2.7217500000000002E-2</v>
      </c>
      <c r="L448">
        <f>+J448/I448</f>
        <v>6.5395242671792411E-3</v>
      </c>
      <c r="M448">
        <f>+(L448-$L$927)/$L$928</f>
        <v>-0.36294163351690967</v>
      </c>
      <c r="N448">
        <f>+N445+M448</f>
        <v>6.7300225439726269</v>
      </c>
      <c r="Z448">
        <f>+(I448-$F$927)/$F$928</f>
        <v>-0.32589315311280403</v>
      </c>
      <c r="AA448">
        <f>+AA445+Z448</f>
        <v>-0.48634498211868449</v>
      </c>
    </row>
    <row r="449" spans="1:27">
      <c r="A449" s="10">
        <v>11</v>
      </c>
      <c r="B449" s="75">
        <v>40919</v>
      </c>
      <c r="C449" s="10">
        <v>2012</v>
      </c>
      <c r="D449" s="4" t="s">
        <v>25</v>
      </c>
      <c r="E449" s="10">
        <v>1</v>
      </c>
      <c r="F449" s="24">
        <v>3.1659999999999999</v>
      </c>
      <c r="G449" s="21">
        <v>2.054775E-2</v>
      </c>
    </row>
    <row r="450" spans="1:27">
      <c r="A450" s="10">
        <v>12</v>
      </c>
      <c r="B450" s="75">
        <v>40919</v>
      </c>
      <c r="C450" s="10">
        <v>2012</v>
      </c>
      <c r="D450" s="4" t="s">
        <v>25</v>
      </c>
      <c r="E450" s="10">
        <v>1</v>
      </c>
      <c r="F450" s="24">
        <v>1.8680000000000001</v>
      </c>
      <c r="G450" s="21">
        <v>1.578075E-2</v>
      </c>
    </row>
    <row r="451" spans="1:27">
      <c r="A451" s="10">
        <v>13</v>
      </c>
      <c r="B451" s="75">
        <v>40919</v>
      </c>
      <c r="C451" s="10">
        <v>2012</v>
      </c>
      <c r="D451" s="4" t="s">
        <v>25</v>
      </c>
      <c r="E451" s="10">
        <v>1</v>
      </c>
      <c r="F451" s="24">
        <v>1.752</v>
      </c>
      <c r="G451" s="21">
        <v>1.5032E-2</v>
      </c>
      <c r="I451" s="21">
        <f>AVERAGE(F449:F451)</f>
        <v>2.262</v>
      </c>
      <c r="J451" s="21">
        <f>AVERAGE(G449:G451)</f>
        <v>1.7120166666666669E-2</v>
      </c>
      <c r="L451">
        <f>+J451/I451</f>
        <v>7.568597111700561E-3</v>
      </c>
      <c r="M451">
        <f>+(L451-$L$927)/$L$928</f>
        <v>-0.2592237023031731</v>
      </c>
      <c r="N451">
        <f>+N448+M451</f>
        <v>6.4707988416694535</v>
      </c>
      <c r="Z451">
        <f>+(I451-$F$927)/$F$928</f>
        <v>-0.89897595421625276</v>
      </c>
      <c r="AA451">
        <f>+AA448+Z451</f>
        <v>-1.3853209363349372</v>
      </c>
    </row>
    <row r="452" spans="1:27">
      <c r="A452" s="10">
        <v>11</v>
      </c>
      <c r="B452" s="75">
        <v>40960</v>
      </c>
      <c r="C452" s="10">
        <v>2012</v>
      </c>
      <c r="D452" s="4" t="s">
        <v>14</v>
      </c>
      <c r="E452" s="10">
        <v>2</v>
      </c>
      <c r="F452" s="24">
        <v>10.074</v>
      </c>
      <c r="G452" s="21">
        <v>4.4061125E-2</v>
      </c>
    </row>
    <row r="453" spans="1:27">
      <c r="A453" s="10">
        <v>12</v>
      </c>
      <c r="B453" s="75">
        <v>40960</v>
      </c>
      <c r="C453" s="10">
        <v>2012</v>
      </c>
      <c r="D453" s="4" t="s">
        <v>14</v>
      </c>
      <c r="E453" s="10">
        <v>2</v>
      </c>
      <c r="F453" s="24">
        <v>3.7719999999999998</v>
      </c>
      <c r="G453" s="21">
        <v>2.9816999999999996E-2</v>
      </c>
    </row>
    <row r="454" spans="1:27">
      <c r="A454" s="10">
        <v>13</v>
      </c>
      <c r="B454" s="75">
        <v>40960</v>
      </c>
      <c r="C454" s="10">
        <v>2012</v>
      </c>
      <c r="D454" s="4" t="s">
        <v>14</v>
      </c>
      <c r="E454" s="10">
        <v>2</v>
      </c>
      <c r="F454" s="24">
        <v>2.944</v>
      </c>
      <c r="G454" s="21">
        <v>2.7293874999999999E-2</v>
      </c>
      <c r="I454" s="21">
        <f>AVERAGE(F452:F454)</f>
        <v>5.5966666666666667</v>
      </c>
      <c r="J454" s="21">
        <f>AVERAGE(G452:G454)</f>
        <v>3.3723999999999997E-2</v>
      </c>
      <c r="L454">
        <f>+J454/I454</f>
        <v>6.0257296009529476E-3</v>
      </c>
      <c r="M454">
        <f>+(L454-$L$927)/$L$928</f>
        <v>-0.41472583920589712</v>
      </c>
      <c r="N454">
        <f>+N451+M454</f>
        <v>6.0560730024635561</v>
      </c>
      <c r="Z454">
        <f>+(I454-$F$927)/$F$928</f>
        <v>0.10683463214144927</v>
      </c>
      <c r="AA454">
        <f>+AA451+Z454</f>
        <v>-1.278486304193488</v>
      </c>
    </row>
    <row r="455" spans="1:27">
      <c r="A455" s="10">
        <v>11</v>
      </c>
      <c r="B455" s="75">
        <v>40982</v>
      </c>
      <c r="C455" s="10">
        <v>2012</v>
      </c>
      <c r="D455" s="4" t="s">
        <v>15</v>
      </c>
      <c r="E455" s="10">
        <v>3</v>
      </c>
      <c r="F455" s="24">
        <v>4.5389999999999997</v>
      </c>
      <c r="G455" s="21">
        <v>3.5856374999999996E-2</v>
      </c>
    </row>
    <row r="456" spans="1:27">
      <c r="A456" s="10">
        <v>12</v>
      </c>
      <c r="B456" s="75">
        <v>40982</v>
      </c>
      <c r="C456" s="10">
        <v>2012</v>
      </c>
      <c r="D456" s="4" t="s">
        <v>15</v>
      </c>
      <c r="E456" s="10">
        <v>3</v>
      </c>
      <c r="F456" s="24">
        <v>4.1820000000000004</v>
      </c>
      <c r="G456" s="21">
        <v>3.7710750000000001E-2</v>
      </c>
    </row>
    <row r="457" spans="1:27">
      <c r="A457" s="10">
        <v>13</v>
      </c>
      <c r="B457" s="75">
        <v>40982</v>
      </c>
      <c r="C457" s="10">
        <v>2012</v>
      </c>
      <c r="D457" s="4" t="s">
        <v>15</v>
      </c>
      <c r="E457" s="10">
        <v>3</v>
      </c>
      <c r="F457" s="24">
        <v>4.2619999999999996</v>
      </c>
      <c r="G457" s="21">
        <v>5.1222999999999984E-2</v>
      </c>
      <c r="I457" s="21">
        <f>AVERAGE(F455:F457)</f>
        <v>4.3276666666666666</v>
      </c>
      <c r="J457" s="21">
        <f>AVERAGE(G455:G457)</f>
        <v>4.1596708333333322E-2</v>
      </c>
      <c r="L457">
        <f>+J457/I457</f>
        <v>9.6118096741893214E-3</v>
      </c>
      <c r="M457">
        <f>+(L457-$L$927)/$L$928</f>
        <v>-5.3292916023581188E-2</v>
      </c>
      <c r="N457">
        <f>+N454+M457</f>
        <v>6.0027800864399747</v>
      </c>
      <c r="Z457">
        <f>+(I457-$F$927)/$F$928</f>
        <v>-0.27592435449027525</v>
      </c>
      <c r="AA457">
        <f>+AA454+Z457</f>
        <v>-1.5544106586837632</v>
      </c>
    </row>
    <row r="458" spans="1:27">
      <c r="A458" s="10">
        <v>11</v>
      </c>
      <c r="B458" s="75">
        <v>41016</v>
      </c>
      <c r="C458" s="10">
        <v>2012</v>
      </c>
      <c r="D458" s="4" t="s">
        <v>16</v>
      </c>
      <c r="E458" s="10">
        <v>4</v>
      </c>
      <c r="F458" s="20">
        <v>2.2309999999999999</v>
      </c>
      <c r="G458" s="21">
        <v>2.6317E-2</v>
      </c>
    </row>
    <row r="459" spans="1:27">
      <c r="A459" s="10">
        <v>12</v>
      </c>
      <c r="B459" s="75">
        <v>41016</v>
      </c>
      <c r="C459" s="10">
        <v>2012</v>
      </c>
      <c r="D459" s="4" t="s">
        <v>16</v>
      </c>
      <c r="E459" s="10">
        <v>4</v>
      </c>
      <c r="F459" s="20">
        <v>3.3519999999999999</v>
      </c>
      <c r="G459" s="21">
        <v>2.3852499999999999E-2</v>
      </c>
    </row>
    <row r="460" spans="1:27">
      <c r="A460" s="10">
        <v>13</v>
      </c>
      <c r="B460" s="75">
        <v>41016</v>
      </c>
      <c r="C460" s="10">
        <v>2012</v>
      </c>
      <c r="D460" s="4" t="s">
        <v>16</v>
      </c>
      <c r="E460" s="10">
        <v>4</v>
      </c>
      <c r="F460" s="20">
        <v>3.3849999999999998</v>
      </c>
      <c r="G460" s="21">
        <v>3.0394250000000001E-2</v>
      </c>
      <c r="I460" s="21">
        <f>AVERAGE(F458:F460)</f>
        <v>2.9893333333333332</v>
      </c>
      <c r="J460" s="21">
        <f>AVERAGE(G458:G460)</f>
        <v>2.6854583333333334E-2</v>
      </c>
      <c r="L460">
        <f>+J460/I460</f>
        <v>8.9834690008920616E-3</v>
      </c>
      <c r="M460">
        <f>+(L460-$L$927)/$L$928</f>
        <v>-0.11662195543881564</v>
      </c>
      <c r="N460">
        <f>+N457+M460</f>
        <v>5.8861581310011593</v>
      </c>
      <c r="Z460">
        <f>+(I460-$F$927)/$F$928</f>
        <v>-0.67959583632016074</v>
      </c>
      <c r="AA460">
        <f>+AA457+Z460</f>
        <v>-2.234006495003924</v>
      </c>
    </row>
    <row r="461" spans="1:27">
      <c r="A461" s="10">
        <v>11</v>
      </c>
      <c r="B461" s="75">
        <v>41051</v>
      </c>
      <c r="C461" s="10">
        <v>2012</v>
      </c>
      <c r="D461" s="4" t="s">
        <v>17</v>
      </c>
      <c r="E461" s="10">
        <v>5</v>
      </c>
      <c r="F461" s="20">
        <v>4.1159999999999997</v>
      </c>
      <c r="G461" s="21">
        <v>4.5687499999999999E-2</v>
      </c>
    </row>
    <row r="462" spans="1:27">
      <c r="A462" s="10">
        <v>12</v>
      </c>
      <c r="B462" s="75">
        <v>41051</v>
      </c>
      <c r="C462" s="10">
        <v>2012</v>
      </c>
      <c r="D462" s="4" t="s">
        <v>17</v>
      </c>
      <c r="E462" s="10">
        <v>5</v>
      </c>
      <c r="F462" s="20">
        <v>3.0649999999999999</v>
      </c>
      <c r="G462" s="21">
        <v>2.8921624999999999E-2</v>
      </c>
    </row>
    <row r="463" spans="1:27">
      <c r="A463" s="10">
        <v>13</v>
      </c>
      <c r="B463" s="75">
        <v>41051</v>
      </c>
      <c r="C463" s="10">
        <v>2012</v>
      </c>
      <c r="D463" s="4" t="s">
        <v>17</v>
      </c>
      <c r="E463" s="10">
        <v>5</v>
      </c>
      <c r="F463" s="20">
        <v>3.484</v>
      </c>
      <c r="G463" s="21">
        <v>4.0535249999999995E-2</v>
      </c>
      <c r="I463" s="21">
        <f>AVERAGE(F461:F463)</f>
        <v>3.5549999999999997</v>
      </c>
      <c r="J463" s="21">
        <f>AVERAGE(G461:G463)</f>
        <v>3.8381458333333333E-2</v>
      </c>
      <c r="L463">
        <f>+J463/I463</f>
        <v>1.079647210501641E-2</v>
      </c>
      <c r="M463">
        <f>+(L463-$L$927)/$L$928</f>
        <v>6.6106538705181059E-2</v>
      </c>
      <c r="N463">
        <f>+N460+M463</f>
        <v>5.9522646697063406</v>
      </c>
      <c r="Z463">
        <f>+(I463-$F$927)/$F$928</f>
        <v>-0.50897802693901117</v>
      </c>
      <c r="AA463">
        <f>+AA460+Z463</f>
        <v>-2.742984521942935</v>
      </c>
    </row>
    <row r="464" spans="1:27">
      <c r="A464" s="10">
        <v>11</v>
      </c>
      <c r="B464" s="75">
        <v>41080</v>
      </c>
      <c r="C464" s="10">
        <v>2012</v>
      </c>
      <c r="D464" s="4" t="s">
        <v>18</v>
      </c>
      <c r="E464" s="10">
        <v>6</v>
      </c>
      <c r="F464" s="20">
        <v>6.0650000000000004</v>
      </c>
      <c r="G464" s="21">
        <v>7.1689875E-2</v>
      </c>
    </row>
    <row r="465" spans="1:27">
      <c r="A465" s="10">
        <v>12</v>
      </c>
      <c r="B465" s="75">
        <v>41080</v>
      </c>
      <c r="C465" s="10">
        <v>2012</v>
      </c>
      <c r="D465" s="4" t="s">
        <v>18</v>
      </c>
      <c r="E465" s="10">
        <v>6</v>
      </c>
      <c r="F465" s="20">
        <v>7.391</v>
      </c>
      <c r="G465" s="21">
        <v>8.343062499999998E-2</v>
      </c>
    </row>
    <row r="466" spans="1:27">
      <c r="A466" s="10">
        <v>13</v>
      </c>
      <c r="B466" s="75">
        <v>41080</v>
      </c>
      <c r="C466" s="10">
        <v>2012</v>
      </c>
      <c r="D466" s="4" t="s">
        <v>18</v>
      </c>
      <c r="E466" s="10">
        <v>6</v>
      </c>
      <c r="F466" s="20">
        <v>3.9510000000000001</v>
      </c>
      <c r="G466" s="21">
        <v>7.5459249999999992E-2</v>
      </c>
      <c r="I466" s="21">
        <f>AVERAGE(F464:F466)</f>
        <v>5.8023333333333333</v>
      </c>
      <c r="J466" s="21">
        <f>AVERAGE(G464:G466)</f>
        <v>7.6859916666666653E-2</v>
      </c>
      <c r="L466">
        <f>+J466/I466</f>
        <v>1.3246380766358359E-2</v>
      </c>
      <c r="M466">
        <f>+(L466-$L$927)/$L$928</f>
        <v>0.31302730759904657</v>
      </c>
      <c r="N466">
        <f>+N463+M466</f>
        <v>6.2652919773053872</v>
      </c>
      <c r="Z466">
        <f>+(I466-$F$927)/$F$928</f>
        <v>0.16886833183984012</v>
      </c>
      <c r="AA466">
        <f>+AA463+Z466</f>
        <v>-2.5741161901030947</v>
      </c>
    </row>
    <row r="467" spans="1:27">
      <c r="A467" s="10">
        <v>11</v>
      </c>
      <c r="B467" s="75">
        <v>41106</v>
      </c>
      <c r="C467" s="10">
        <v>2012</v>
      </c>
      <c r="D467" s="4" t="s">
        <v>19</v>
      </c>
      <c r="E467" s="10">
        <v>7</v>
      </c>
      <c r="F467" s="20">
        <v>11.896000000000001</v>
      </c>
      <c r="G467" s="21">
        <v>0.19622737500000001</v>
      </c>
    </row>
    <row r="468" spans="1:27">
      <c r="A468" s="10">
        <v>12</v>
      </c>
      <c r="B468" s="75">
        <v>41106</v>
      </c>
      <c r="C468" s="10">
        <v>2012</v>
      </c>
      <c r="D468" s="4" t="s">
        <v>19</v>
      </c>
      <c r="E468" s="10">
        <v>7</v>
      </c>
      <c r="F468" s="20">
        <v>14.032999999999999</v>
      </c>
      <c r="G468" s="21">
        <v>0.24178537499999997</v>
      </c>
    </row>
    <row r="469" spans="1:27">
      <c r="A469" s="10">
        <v>13</v>
      </c>
      <c r="B469" s="75">
        <v>41106</v>
      </c>
      <c r="C469" s="10">
        <v>2012</v>
      </c>
      <c r="D469" s="4" t="s">
        <v>19</v>
      </c>
      <c r="E469" s="10">
        <v>7</v>
      </c>
      <c r="F469" s="20">
        <v>17.782</v>
      </c>
      <c r="G469" s="21">
        <v>0.5912488749999999</v>
      </c>
      <c r="I469" s="21">
        <f>AVERAGE(F467:F469)</f>
        <v>14.570333333333332</v>
      </c>
      <c r="J469" s="21">
        <f>AVERAGE(G467:G469)</f>
        <v>0.34308720833333323</v>
      </c>
      <c r="L469">
        <f>+J469/I469</f>
        <v>2.3546970442222776E-2</v>
      </c>
      <c r="M469">
        <f>+(L469-$L$927)/$L$928</f>
        <v>1.3512005109345047</v>
      </c>
      <c r="N469">
        <f>+N466+M469</f>
        <v>7.6164924882398921</v>
      </c>
      <c r="Z469">
        <f>+(I469-$F$927)/$F$928</f>
        <v>2.8134946476688074</v>
      </c>
      <c r="AA469">
        <f>+AA466+Z469</f>
        <v>0.23937845756571274</v>
      </c>
    </row>
    <row r="470" spans="1:27">
      <c r="A470" s="10">
        <v>11</v>
      </c>
      <c r="B470" s="75">
        <v>41137</v>
      </c>
      <c r="C470" s="10">
        <v>2012</v>
      </c>
      <c r="D470" s="4" t="s">
        <v>20</v>
      </c>
      <c r="E470" s="10">
        <v>8</v>
      </c>
      <c r="F470" s="20">
        <v>7.7460000000000004</v>
      </c>
      <c r="G470" s="21">
        <v>0.28584049999999994</v>
      </c>
    </row>
    <row r="471" spans="1:27">
      <c r="A471" s="10">
        <v>12</v>
      </c>
      <c r="B471" s="75">
        <v>41137</v>
      </c>
      <c r="C471" s="10">
        <v>2012</v>
      </c>
      <c r="D471" s="4" t="s">
        <v>20</v>
      </c>
      <c r="E471" s="10">
        <v>8</v>
      </c>
      <c r="F471" s="20">
        <v>9.8290000000000006</v>
      </c>
      <c r="G471" s="21">
        <v>0.28289587500000002</v>
      </c>
    </row>
    <row r="472" spans="1:27">
      <c r="A472" s="10">
        <v>13</v>
      </c>
      <c r="B472" s="75">
        <v>41137</v>
      </c>
      <c r="C472" s="10">
        <v>2012</v>
      </c>
      <c r="D472" s="4" t="s">
        <v>20</v>
      </c>
      <c r="E472" s="10">
        <v>8</v>
      </c>
      <c r="F472" s="20">
        <v>11.077</v>
      </c>
      <c r="G472" s="21">
        <v>0.90864149999999988</v>
      </c>
      <c r="I472" s="21">
        <f>AVERAGE(F470:F472)</f>
        <v>9.5506666666666664</v>
      </c>
      <c r="J472" s="21">
        <f>AVERAGE(G470:G472)</f>
        <v>0.49245929166666658</v>
      </c>
      <c r="L472">
        <f>+J472/I472</f>
        <v>5.1562818476895145E-2</v>
      </c>
      <c r="M472">
        <f>+(L472-$L$927)/$L$928</f>
        <v>4.174854652450863</v>
      </c>
      <c r="N472">
        <f>+N469+M472</f>
        <v>11.791347140690755</v>
      </c>
      <c r="Z472">
        <f>+(I472-$F$927)/$F$928</f>
        <v>1.2994501034904158</v>
      </c>
      <c r="AA472">
        <f>+AA469+Z472</f>
        <v>1.5388285610561285</v>
      </c>
    </row>
    <row r="473" spans="1:27">
      <c r="A473" s="10">
        <v>11</v>
      </c>
      <c r="B473" s="75">
        <v>41163</v>
      </c>
      <c r="C473" s="10">
        <v>2012</v>
      </c>
      <c r="D473" s="4" t="s">
        <v>26</v>
      </c>
      <c r="E473" s="10">
        <v>9</v>
      </c>
      <c r="F473" s="20">
        <v>17.579999999999998</v>
      </c>
      <c r="G473" s="21">
        <v>0.23478850000000001</v>
      </c>
    </row>
    <row r="474" spans="1:27">
      <c r="A474" s="10">
        <v>12</v>
      </c>
      <c r="B474" s="75">
        <v>41163</v>
      </c>
      <c r="C474" s="10">
        <v>2012</v>
      </c>
      <c r="D474" s="4" t="s">
        <v>26</v>
      </c>
      <c r="E474" s="10">
        <v>9</v>
      </c>
      <c r="F474" s="20">
        <v>11.577999999999999</v>
      </c>
      <c r="G474" s="21">
        <v>0.15051662499999999</v>
      </c>
    </row>
    <row r="475" spans="1:27">
      <c r="A475" s="10">
        <v>13</v>
      </c>
      <c r="B475" s="75">
        <v>41163</v>
      </c>
      <c r="C475" s="10">
        <v>2012</v>
      </c>
      <c r="D475" s="4" t="s">
        <v>26</v>
      </c>
      <c r="E475" s="10">
        <v>9</v>
      </c>
      <c r="F475" s="20">
        <v>11.763</v>
      </c>
      <c r="G475" s="21">
        <v>0.24326074999999997</v>
      </c>
      <c r="I475" s="21">
        <f>AVERAGE(F473:F475)</f>
        <v>13.640333333333333</v>
      </c>
      <c r="J475" s="21">
        <f>AVERAGE(G473:G475)</f>
        <v>0.20952195833333334</v>
      </c>
      <c r="L475">
        <f>+J475/I475</f>
        <v>1.5360472007037952E-2</v>
      </c>
      <c r="M475">
        <f>+(L475-$L$927)/$L$928</f>
        <v>0.52610179600648632</v>
      </c>
      <c r="N475">
        <f>+N472+M475</f>
        <v>12.317448936697241</v>
      </c>
      <c r="Z475">
        <f>+(I475-$F$927)/$F$928</f>
        <v>2.5329856976550142</v>
      </c>
      <c r="AA475">
        <f>+AA472+Z475</f>
        <v>4.071814258711143</v>
      </c>
    </row>
    <row r="476" spans="1:27">
      <c r="A476" s="10">
        <v>11</v>
      </c>
      <c r="B476" s="75">
        <v>41199</v>
      </c>
      <c r="C476" s="10">
        <v>2012</v>
      </c>
      <c r="D476" s="4" t="s">
        <v>22</v>
      </c>
      <c r="E476" s="10">
        <v>10</v>
      </c>
      <c r="F476" s="20">
        <v>4.9379999999999997</v>
      </c>
      <c r="G476" s="21">
        <v>7.5927499999999981E-2</v>
      </c>
    </row>
    <row r="477" spans="1:27">
      <c r="A477" s="10">
        <v>11</v>
      </c>
      <c r="B477" s="75">
        <v>41199</v>
      </c>
      <c r="C477" s="10">
        <v>2012</v>
      </c>
      <c r="D477" s="4" t="s">
        <v>22</v>
      </c>
      <c r="E477" s="10">
        <v>10</v>
      </c>
      <c r="F477" s="20">
        <v>4.9379999999999997</v>
      </c>
      <c r="G477" s="21">
        <v>9.0154874999999995E-2</v>
      </c>
      <c r="H477" t="s">
        <v>41</v>
      </c>
    </row>
    <row r="478" spans="1:27">
      <c r="A478" s="10">
        <v>12</v>
      </c>
      <c r="B478" s="75">
        <v>41199</v>
      </c>
      <c r="C478" s="10">
        <v>2012</v>
      </c>
      <c r="D478" s="4" t="s">
        <v>22</v>
      </c>
      <c r="E478" s="10">
        <v>10</v>
      </c>
      <c r="F478" s="20">
        <v>7.0069999999999997</v>
      </c>
      <c r="G478" s="21">
        <v>8.6302749999999998E-2</v>
      </c>
    </row>
    <row r="479" spans="1:27">
      <c r="A479" s="10">
        <v>13</v>
      </c>
      <c r="B479" s="75">
        <v>41199</v>
      </c>
      <c r="C479" s="10">
        <v>2012</v>
      </c>
      <c r="D479" s="4" t="s">
        <v>22</v>
      </c>
      <c r="E479" s="10">
        <v>10</v>
      </c>
      <c r="F479" s="20">
        <v>3.952</v>
      </c>
      <c r="G479" s="21">
        <v>7.9515374999999999E-2</v>
      </c>
      <c r="I479" s="21">
        <f>AVERAGE(F476:F479)</f>
        <v>5.2087500000000002</v>
      </c>
      <c r="J479" s="21">
        <f>AVERAGE(G476:G479)</f>
        <v>8.2975124999999997E-2</v>
      </c>
      <c r="L479">
        <f>+J479/I479</f>
        <v>1.5929949604031678E-2</v>
      </c>
      <c r="M479">
        <f>+(L479-$L$927)/$L$928</f>
        <v>0.58349815871026911</v>
      </c>
      <c r="N479">
        <f>+N475+M479</f>
        <v>12.90094709540751</v>
      </c>
      <c r="Z479">
        <f>+(I479-$F$927)/$F$928</f>
        <v>-1.0169773083838134E-2</v>
      </c>
      <c r="AA479">
        <f>+AA475+Z479</f>
        <v>4.0616444856273048</v>
      </c>
    </row>
    <row r="480" spans="1:27">
      <c r="A480" s="10">
        <v>11</v>
      </c>
      <c r="B480" s="75">
        <v>41225</v>
      </c>
      <c r="C480" s="10">
        <v>2012</v>
      </c>
      <c r="D480" s="4" t="s">
        <v>23</v>
      </c>
      <c r="E480" s="10">
        <v>11</v>
      </c>
      <c r="F480" s="20">
        <v>3.0910000000000002</v>
      </c>
      <c r="G480" s="21">
        <v>2.2144E-2</v>
      </c>
    </row>
    <row r="481" spans="1:27">
      <c r="A481" s="10">
        <v>12</v>
      </c>
      <c r="B481" s="75">
        <v>41225</v>
      </c>
      <c r="C481" s="10">
        <v>2012</v>
      </c>
      <c r="D481" s="4" t="s">
        <v>23</v>
      </c>
      <c r="E481" s="10">
        <v>11</v>
      </c>
      <c r="F481" s="20">
        <v>2.972</v>
      </c>
      <c r="G481" s="21">
        <v>1.803975E-2</v>
      </c>
    </row>
    <row r="482" spans="1:27">
      <c r="A482" s="10">
        <v>13</v>
      </c>
      <c r="B482" s="75">
        <v>41225</v>
      </c>
      <c r="C482" s="10">
        <v>2012</v>
      </c>
      <c r="D482" s="4" t="s">
        <v>23</v>
      </c>
      <c r="E482" s="10">
        <v>11</v>
      </c>
      <c r="F482" s="20">
        <v>3.5569999999999999</v>
      </c>
      <c r="G482" s="21">
        <v>2.2598875000000001E-2</v>
      </c>
      <c r="I482" s="21">
        <f>AVERAGE(F480:F482)</f>
        <v>3.206666666666667</v>
      </c>
      <c r="J482" s="21">
        <f>AVERAGE(G480:G482)</f>
        <v>2.0927541666666671E-2</v>
      </c>
      <c r="L482">
        <f>+J482/I482</f>
        <v>6.5262603950103958E-3</v>
      </c>
      <c r="M482">
        <f>+(L482-$L$927)/$L$928</f>
        <v>-0.36427846927985896</v>
      </c>
      <c r="N482">
        <f>+N479+M482</f>
        <v>12.536668626127652</v>
      </c>
      <c r="Z482">
        <f>+(I482-$F$927)/$F$928</f>
        <v>-0.61404320714130989</v>
      </c>
      <c r="AA482">
        <f>+AA479+Z482</f>
        <v>3.4476012784859948</v>
      </c>
    </row>
    <row r="483" spans="1:27">
      <c r="A483" s="10">
        <v>11</v>
      </c>
      <c r="B483" s="75">
        <v>41255</v>
      </c>
      <c r="C483" s="10">
        <v>2012</v>
      </c>
      <c r="D483" s="4" t="s">
        <v>24</v>
      </c>
      <c r="E483" s="10">
        <v>12</v>
      </c>
      <c r="F483" s="20">
        <v>4.9489999999999998</v>
      </c>
      <c r="G483" s="21">
        <v>2.8817625000000003E-2</v>
      </c>
    </row>
    <row r="484" spans="1:27">
      <c r="A484" s="10">
        <v>12</v>
      </c>
      <c r="B484" s="75">
        <v>41255</v>
      </c>
      <c r="C484" s="10">
        <v>2012</v>
      </c>
      <c r="D484" s="4" t="s">
        <v>24</v>
      </c>
      <c r="E484" s="10">
        <v>12</v>
      </c>
      <c r="F484" s="20">
        <v>3.1360000000000001</v>
      </c>
      <c r="G484" s="21">
        <v>1.0439250000000001E-2</v>
      </c>
    </row>
    <row r="485" spans="1:27">
      <c r="A485" s="10">
        <v>12</v>
      </c>
      <c r="B485" s="75">
        <v>41255</v>
      </c>
      <c r="C485" s="10">
        <v>2012</v>
      </c>
      <c r="D485" s="4" t="s">
        <v>24</v>
      </c>
      <c r="E485" s="10">
        <v>12</v>
      </c>
      <c r="F485" s="20">
        <v>3.1360000000000001</v>
      </c>
      <c r="G485" s="21">
        <v>1.878175E-2</v>
      </c>
      <c r="H485" t="s">
        <v>41</v>
      </c>
    </row>
    <row r="486" spans="1:27">
      <c r="A486" s="10">
        <v>13</v>
      </c>
      <c r="B486" s="75">
        <v>41255</v>
      </c>
      <c r="C486" s="10">
        <v>2012</v>
      </c>
      <c r="D486" s="4" t="s">
        <v>24</v>
      </c>
      <c r="E486" s="10">
        <v>12</v>
      </c>
      <c r="F486" s="20">
        <v>3.4969999999999999</v>
      </c>
      <c r="G486" s="21">
        <v>0</v>
      </c>
      <c r="I486" s="21">
        <f>AVERAGE(F483:F486)</f>
        <v>3.6795</v>
      </c>
      <c r="J486" s="21">
        <f>AVERAGE(G483:G486)</f>
        <v>1.4509656250000001E-2</v>
      </c>
      <c r="L486">
        <f>+J486/I486</f>
        <v>3.9433771572224491E-3</v>
      </c>
      <c r="M486">
        <f>+(L486-$L$927)/$L$928</f>
        <v>-0.62460144584680433</v>
      </c>
      <c r="N486">
        <f>+N482+M486</f>
        <v>11.912067180280847</v>
      </c>
      <c r="Z486">
        <f>+(I486-$F$927)/$F$928</f>
        <v>-0.47142602234039033</v>
      </c>
      <c r="AA486">
        <f>+AA482+Z486</f>
        <v>2.9761752561456047</v>
      </c>
    </row>
    <row r="487" spans="1:27">
      <c r="A487" s="10">
        <v>11</v>
      </c>
      <c r="B487" s="75">
        <v>41297</v>
      </c>
      <c r="C487" s="10">
        <v>2013</v>
      </c>
      <c r="D487" s="4" t="s">
        <v>25</v>
      </c>
      <c r="E487" s="10">
        <v>1</v>
      </c>
      <c r="F487" s="20">
        <v>4.6619999999999999</v>
      </c>
      <c r="G487" s="21">
        <v>2.4773999999999997E-2</v>
      </c>
    </row>
    <row r="488" spans="1:27">
      <c r="A488" s="10">
        <v>12</v>
      </c>
      <c r="B488" s="75">
        <v>41297</v>
      </c>
      <c r="C488" s="10">
        <v>2013</v>
      </c>
      <c r="D488" s="4" t="s">
        <v>25</v>
      </c>
      <c r="E488" s="10">
        <v>1</v>
      </c>
      <c r="F488" s="20">
        <v>2.7789999999999999</v>
      </c>
      <c r="G488" s="21">
        <v>0</v>
      </c>
    </row>
    <row r="489" spans="1:27">
      <c r="A489" s="10">
        <v>13</v>
      </c>
      <c r="B489" s="75">
        <v>41297</v>
      </c>
      <c r="C489" s="10">
        <v>2013</v>
      </c>
      <c r="D489" s="4" t="s">
        <v>25</v>
      </c>
      <c r="E489" s="10">
        <v>1</v>
      </c>
      <c r="F489" s="20">
        <v>5.9459999999999997</v>
      </c>
      <c r="G489" s="21">
        <v>0</v>
      </c>
      <c r="I489" s="21">
        <f>AVERAGE(F487:F489)</f>
        <v>4.4623333333333335</v>
      </c>
      <c r="J489" s="21">
        <f>AVERAGE(G487:G489)</f>
        <v>8.2579999999999997E-3</v>
      </c>
      <c r="L489">
        <f>+J489/I489</f>
        <v>1.8506013296481661E-3</v>
      </c>
      <c r="M489">
        <f>+(L489-$L$927)/$L$928</f>
        <v>-0.83552760183830388</v>
      </c>
      <c r="N489">
        <f>+N486+M489</f>
        <v>11.076539578442542</v>
      </c>
      <c r="Z489">
        <f>+(I489-$F$927)/$F$928</f>
        <v>-0.23530585420153952</v>
      </c>
      <c r="AA489">
        <f>+AA486+Z489</f>
        <v>2.7408694019440651</v>
      </c>
    </row>
    <row r="490" spans="1:27">
      <c r="A490" s="10">
        <v>11</v>
      </c>
      <c r="B490" s="75">
        <v>41319</v>
      </c>
      <c r="C490" s="10">
        <v>2013</v>
      </c>
      <c r="D490" s="4" t="s">
        <v>14</v>
      </c>
      <c r="E490" s="10">
        <v>2</v>
      </c>
      <c r="F490" s="25">
        <v>7.484</v>
      </c>
      <c r="G490" s="21">
        <v>2.0886375000000002E-2</v>
      </c>
    </row>
    <row r="491" spans="1:27">
      <c r="A491" s="10">
        <v>12</v>
      </c>
      <c r="B491" s="75">
        <v>41319</v>
      </c>
      <c r="C491" s="10">
        <v>2013</v>
      </c>
      <c r="D491" s="4" t="s">
        <v>14</v>
      </c>
      <c r="E491" s="10">
        <v>2</v>
      </c>
      <c r="F491" s="25">
        <v>4.5819999999999999</v>
      </c>
      <c r="G491" s="21">
        <v>1.8578500000000001E-2</v>
      </c>
    </row>
    <row r="492" spans="1:27">
      <c r="A492" s="10">
        <v>13</v>
      </c>
      <c r="B492" s="75">
        <v>41319</v>
      </c>
      <c r="C492" s="10">
        <v>2013</v>
      </c>
      <c r="D492" s="4" t="s">
        <v>14</v>
      </c>
      <c r="E492" s="10">
        <v>2</v>
      </c>
      <c r="F492" s="25">
        <v>1.8879999999999999</v>
      </c>
      <c r="G492" s="21">
        <v>0</v>
      </c>
      <c r="I492" s="21">
        <f>AVERAGE(F490:F492)</f>
        <v>4.6513333333333327</v>
      </c>
      <c r="J492" s="21">
        <f>AVERAGE(G490:G492)</f>
        <v>1.3154958333333334E-2</v>
      </c>
      <c r="L492">
        <f>+J492/I492</f>
        <v>2.8282123405475139E-3</v>
      </c>
      <c r="M492">
        <f>+(L492-$L$927)/$L$928</f>
        <v>-0.73699639277757412</v>
      </c>
      <c r="N492">
        <f>+N489+M492</f>
        <v>10.339543185664969</v>
      </c>
      <c r="Z492">
        <f>+(I492-$F$927)/$F$928</f>
        <v>-0.17829919661809143</v>
      </c>
      <c r="AA492">
        <f>+AA489+Z492</f>
        <v>2.5625702053259736</v>
      </c>
    </row>
    <row r="493" spans="1:27">
      <c r="A493" s="10">
        <v>11</v>
      </c>
      <c r="B493" s="75">
        <v>41346</v>
      </c>
      <c r="C493" s="10">
        <v>2013</v>
      </c>
      <c r="D493" s="4" t="s">
        <v>15</v>
      </c>
      <c r="E493" s="10">
        <v>3</v>
      </c>
      <c r="F493" s="25">
        <v>13.848000000000001</v>
      </c>
      <c r="G493" s="21">
        <v>6.5586999999999993E-2</v>
      </c>
    </row>
    <row r="494" spans="1:27">
      <c r="A494" s="10">
        <v>12</v>
      </c>
      <c r="B494" s="75">
        <v>41346</v>
      </c>
      <c r="C494" s="10">
        <v>2013</v>
      </c>
      <c r="D494" s="4" t="s">
        <v>15</v>
      </c>
      <c r="E494" s="10">
        <v>3</v>
      </c>
      <c r="F494" s="25">
        <v>9.6890000000000001</v>
      </c>
      <c r="G494" s="21">
        <v>3.9624749999999993E-2</v>
      </c>
    </row>
    <row r="495" spans="1:27">
      <c r="A495" s="10">
        <v>13</v>
      </c>
      <c r="B495" s="75">
        <v>41346</v>
      </c>
      <c r="C495" s="10">
        <v>2013</v>
      </c>
      <c r="D495" s="4" t="s">
        <v>15</v>
      </c>
      <c r="E495" s="10">
        <v>3</v>
      </c>
      <c r="F495" s="25">
        <v>5.9370000000000003</v>
      </c>
      <c r="G495" s="21">
        <v>4.4920000000000002E-2</v>
      </c>
      <c r="I495" s="21">
        <f>AVERAGE(F493:F495)</f>
        <v>9.8246666666666673</v>
      </c>
      <c r="J495" s="21">
        <f>AVERAGE(G493:G495)</f>
        <v>5.0043916666666667E-2</v>
      </c>
      <c r="L495">
        <f>+J495/I495</f>
        <v>5.0937012282011264E-3</v>
      </c>
      <c r="M495">
        <f>+(L495-$L$927)/$L$928</f>
        <v>-0.50866287696661072</v>
      </c>
      <c r="N495">
        <f>+N492+M495</f>
        <v>9.830880308698358</v>
      </c>
      <c r="Z495">
        <f>+(I495-$F$927)/$F$928</f>
        <v>1.3820946758600714</v>
      </c>
      <c r="AA495">
        <f>+AA492+Z495</f>
        <v>3.944664881186045</v>
      </c>
    </row>
    <row r="496" spans="1:27">
      <c r="A496" s="10">
        <v>11</v>
      </c>
      <c r="B496" s="75">
        <v>41380</v>
      </c>
      <c r="C496" s="10">
        <v>2013</v>
      </c>
      <c r="D496" s="4" t="s">
        <v>16</v>
      </c>
      <c r="E496" s="10">
        <v>4</v>
      </c>
      <c r="F496" s="26">
        <v>1.5489999999999999</v>
      </c>
      <c r="G496" s="21">
        <v>1.0700749999999998E-2</v>
      </c>
    </row>
    <row r="497" spans="1:27">
      <c r="A497" s="10">
        <v>12</v>
      </c>
      <c r="B497" s="75">
        <v>41380</v>
      </c>
      <c r="C497" s="10">
        <v>2013</v>
      </c>
      <c r="D497" s="4" t="s">
        <v>16</v>
      </c>
      <c r="E497" s="10">
        <v>4</v>
      </c>
      <c r="F497" s="26">
        <v>2.6190000000000002</v>
      </c>
      <c r="G497" s="21">
        <v>1.6683124999999997E-2</v>
      </c>
    </row>
    <row r="498" spans="1:27">
      <c r="A498" s="10">
        <v>13</v>
      </c>
      <c r="B498" s="75">
        <v>41380</v>
      </c>
      <c r="C498" s="10">
        <v>2013</v>
      </c>
      <c r="D498" s="4" t="s">
        <v>16</v>
      </c>
      <c r="E498" s="10">
        <v>4</v>
      </c>
      <c r="F498" s="26">
        <v>2.4119999999999999</v>
      </c>
      <c r="G498" s="21">
        <v>3.545874999999999E-2</v>
      </c>
      <c r="I498" s="21">
        <f>AVERAGE(F496:F498)</f>
        <v>2.1933333333333334</v>
      </c>
      <c r="J498" s="21">
        <f>AVERAGE(G496:G498)</f>
        <v>2.0947541666666663E-2</v>
      </c>
      <c r="L498">
        <f>+J498/I498</f>
        <v>9.5505509118541023E-3</v>
      </c>
      <c r="M498">
        <f>+(L498-$L$927)/$L$928</f>
        <v>-5.9467048527367464E-2</v>
      </c>
      <c r="N498">
        <f>+N495+M498</f>
        <v>9.7714132601709913</v>
      </c>
      <c r="Z498">
        <f>+(I498-$F$927)/$F$928</f>
        <v>-0.91968736772981607</v>
      </c>
      <c r="AA498">
        <f>+AA495+Z498</f>
        <v>3.0249775134562289</v>
      </c>
    </row>
    <row r="499" spans="1:27">
      <c r="A499" s="10">
        <v>11</v>
      </c>
      <c r="B499" s="75">
        <v>41407</v>
      </c>
      <c r="C499" s="10">
        <v>2013</v>
      </c>
      <c r="D499" s="4" t="s">
        <v>17</v>
      </c>
      <c r="E499" s="10">
        <v>5</v>
      </c>
      <c r="F499" s="26">
        <v>2.3940000000000001</v>
      </c>
      <c r="G499" s="21">
        <v>2.2493249999999999E-2</v>
      </c>
    </row>
    <row r="500" spans="1:27">
      <c r="A500" s="10">
        <v>12</v>
      </c>
      <c r="B500" s="75">
        <v>41407</v>
      </c>
      <c r="C500" s="10">
        <v>2013</v>
      </c>
      <c r="D500" s="4" t="s">
        <v>17</v>
      </c>
      <c r="E500" s="10">
        <v>5</v>
      </c>
      <c r="F500" s="26">
        <v>2.3199999999999998</v>
      </c>
      <c r="G500" s="21">
        <v>1.4611874999999998E-2</v>
      </c>
    </row>
    <row r="501" spans="1:27">
      <c r="A501" s="10">
        <v>13</v>
      </c>
      <c r="B501" s="75">
        <v>41407</v>
      </c>
      <c r="C501" s="10">
        <v>2013</v>
      </c>
      <c r="D501" s="4" t="s">
        <v>17</v>
      </c>
      <c r="E501" s="10">
        <v>5</v>
      </c>
      <c r="F501" s="26">
        <v>5.3440000000000003</v>
      </c>
      <c r="G501" s="21">
        <v>2.3553624999999998E-2</v>
      </c>
      <c r="I501" s="21">
        <f>AVERAGE(F499:F501)</f>
        <v>3.3526666666666665</v>
      </c>
      <c r="J501" s="21">
        <f>AVERAGE(G499:G501)</f>
        <v>2.0219583333333332E-2</v>
      </c>
      <c r="L501">
        <f>+J501/I501</f>
        <v>6.0308958043348579E-3</v>
      </c>
      <c r="M501">
        <f>+(L501-$L$927)/$L$928</f>
        <v>-0.41420514921795909</v>
      </c>
      <c r="N501">
        <f>+N498+M501</f>
        <v>9.3572081109530316</v>
      </c>
      <c r="Z501">
        <f>+(I501-$F$927)/$F$928</f>
        <v>-0.5700063182144135</v>
      </c>
      <c r="AA501">
        <f>+AA498+Z501</f>
        <v>2.4549711952418152</v>
      </c>
    </row>
    <row r="502" spans="1:27">
      <c r="A502" s="10">
        <v>11</v>
      </c>
      <c r="B502" s="75">
        <v>41437</v>
      </c>
      <c r="C502" s="10">
        <v>2013</v>
      </c>
      <c r="D502" s="4" t="s">
        <v>18</v>
      </c>
      <c r="E502" s="10">
        <v>6</v>
      </c>
      <c r="F502" s="26">
        <v>5.2050000000000001</v>
      </c>
      <c r="G502" s="21">
        <v>5.219675E-2</v>
      </c>
    </row>
    <row r="503" spans="1:27">
      <c r="A503" s="10">
        <v>12</v>
      </c>
      <c r="B503" s="75">
        <v>41437</v>
      </c>
      <c r="C503" s="10">
        <v>2013</v>
      </c>
      <c r="D503" s="4" t="s">
        <v>18</v>
      </c>
      <c r="E503" s="10">
        <v>6</v>
      </c>
      <c r="F503" s="26">
        <v>8.9550000000000001</v>
      </c>
      <c r="G503" s="21">
        <v>7.2931124999999999E-2</v>
      </c>
    </row>
    <row r="504" spans="1:27">
      <c r="A504" s="10">
        <v>13</v>
      </c>
      <c r="B504" s="75">
        <v>41437</v>
      </c>
      <c r="C504" s="10">
        <v>2013</v>
      </c>
      <c r="D504" s="4" t="s">
        <v>18</v>
      </c>
      <c r="E504" s="10">
        <v>6</v>
      </c>
      <c r="F504" s="26">
        <v>9.2710000000000008</v>
      </c>
      <c r="G504" s="21">
        <v>8.0669999999999992E-2</v>
      </c>
      <c r="I504" s="21">
        <f>AVERAGE(F502:F504)</f>
        <v>7.8103333333333333</v>
      </c>
      <c r="J504" s="21">
        <f>AVERAGE(G502:G504)</f>
        <v>6.8599291666666659E-2</v>
      </c>
      <c r="L504">
        <f>+J504/I504</f>
        <v>8.7831451922666549E-3</v>
      </c>
      <c r="M504">
        <f>+(L504-$L$927)/$L$928</f>
        <v>-0.13681214033592881</v>
      </c>
      <c r="N504">
        <f>+N501+M504</f>
        <v>9.220395970617103</v>
      </c>
      <c r="Z504">
        <f>+(I504-$F$927)/$F$928</f>
        <v>0.77452636584811652</v>
      </c>
      <c r="AA504">
        <f>+AA501+Z504</f>
        <v>3.2294975610899317</v>
      </c>
    </row>
    <row r="505" spans="1:27">
      <c r="A505" s="10">
        <v>11</v>
      </c>
      <c r="B505" s="75">
        <v>41470</v>
      </c>
      <c r="C505" s="10">
        <v>2013</v>
      </c>
      <c r="D505" s="4" t="s">
        <v>19</v>
      </c>
      <c r="E505" s="10">
        <v>7</v>
      </c>
      <c r="F505" s="26">
        <v>8.0090000000000003</v>
      </c>
      <c r="G505" s="21">
        <v>8.5765249999999987E-2</v>
      </c>
    </row>
    <row r="506" spans="1:27">
      <c r="A506" s="10">
        <v>12</v>
      </c>
      <c r="B506" s="75">
        <v>41470</v>
      </c>
      <c r="C506" s="10">
        <v>2013</v>
      </c>
      <c r="D506" s="4" t="s">
        <v>19</v>
      </c>
      <c r="E506" s="10">
        <v>7</v>
      </c>
      <c r="F506" s="26">
        <v>14.608000000000001</v>
      </c>
      <c r="G506" s="21">
        <v>0.10199137499999998</v>
      </c>
    </row>
    <row r="507" spans="1:27">
      <c r="A507" s="10">
        <v>13</v>
      </c>
      <c r="B507" s="75">
        <v>41470</v>
      </c>
      <c r="C507" s="10">
        <v>2013</v>
      </c>
      <c r="D507" s="4" t="s">
        <v>19</v>
      </c>
      <c r="E507" s="10">
        <v>7</v>
      </c>
      <c r="F507" s="26">
        <v>14.583</v>
      </c>
      <c r="G507" s="21">
        <v>0.116158125</v>
      </c>
      <c r="I507" s="21">
        <f>AVERAGE(F505:F507)</f>
        <v>12.4</v>
      </c>
      <c r="J507" s="21">
        <f>AVERAGE(G505:G507)</f>
        <v>0.10130491666666665</v>
      </c>
      <c r="L507">
        <f>+J507/I507</f>
        <v>8.1697513440860195E-3</v>
      </c>
      <c r="M507">
        <f>+(L507-$L$927)/$L$928</f>
        <v>-0.19863472295603629</v>
      </c>
      <c r="N507">
        <f>+N504+M507</f>
        <v>9.0217612476610665</v>
      </c>
      <c r="Z507">
        <f>+(I507-$F$927)/$F$928</f>
        <v>2.1588732234609913</v>
      </c>
      <c r="AA507">
        <f>+AA504+Z507</f>
        <v>5.388370784550923</v>
      </c>
    </row>
    <row r="508" spans="1:27">
      <c r="A508" s="10">
        <v>11</v>
      </c>
      <c r="B508" s="75">
        <v>41498</v>
      </c>
      <c r="C508" s="10">
        <v>2013</v>
      </c>
      <c r="D508" s="4" t="s">
        <v>20</v>
      </c>
      <c r="E508" s="10">
        <v>8</v>
      </c>
      <c r="F508" s="26">
        <v>7.4829999999999997</v>
      </c>
      <c r="G508" s="21">
        <v>0.16374674999999997</v>
      </c>
    </row>
    <row r="509" spans="1:27">
      <c r="A509" s="10">
        <v>11</v>
      </c>
      <c r="B509" s="75">
        <v>41498</v>
      </c>
      <c r="C509" s="10">
        <v>2013</v>
      </c>
      <c r="D509" s="4" t="s">
        <v>20</v>
      </c>
      <c r="E509" s="10">
        <v>8</v>
      </c>
      <c r="F509" s="26">
        <v>7.4829999999999997</v>
      </c>
      <c r="G509" s="21">
        <v>0.18812674999999998</v>
      </c>
      <c r="H509" t="s">
        <v>41</v>
      </c>
    </row>
    <row r="510" spans="1:27">
      <c r="A510" s="10">
        <v>12</v>
      </c>
      <c r="B510" s="75">
        <v>41498</v>
      </c>
      <c r="C510" s="10">
        <v>2013</v>
      </c>
      <c r="D510" s="4" t="s">
        <v>20</v>
      </c>
      <c r="E510" s="10">
        <v>8</v>
      </c>
      <c r="F510" s="26">
        <v>11.888</v>
      </c>
      <c r="G510" s="21">
        <v>0.27216425</v>
      </c>
    </row>
    <row r="511" spans="1:27">
      <c r="A511" s="10">
        <v>13</v>
      </c>
      <c r="B511" s="75">
        <v>41498</v>
      </c>
      <c r="C511" s="10">
        <v>2013</v>
      </c>
      <c r="D511" s="4" t="s">
        <v>20</v>
      </c>
      <c r="E511" s="10">
        <v>8</v>
      </c>
      <c r="F511" s="26">
        <v>14.917999999999999</v>
      </c>
      <c r="G511" s="21">
        <v>0.67615862500000012</v>
      </c>
      <c r="I511" s="21">
        <f>AVERAGE(F508:F511)</f>
        <v>10.443</v>
      </c>
      <c r="J511" s="21">
        <f>AVERAGE(G508:G511)</f>
        <v>0.32504909375000002</v>
      </c>
      <c r="L511">
        <f>+J511/I511</f>
        <v>3.1126026405247538E-2</v>
      </c>
      <c r="M511">
        <f>+(L511-$L$927)/$L$928</f>
        <v>2.1150764690098676</v>
      </c>
      <c r="N511">
        <f>+N507+M511</f>
        <v>11.136837716670934</v>
      </c>
      <c r="Z511">
        <f>+(I511-$F$927)/$F$928</f>
        <v>1.5685979383244391</v>
      </c>
      <c r="AA511">
        <f>+AA507+Z511</f>
        <v>6.9569687228753621</v>
      </c>
    </row>
    <row r="512" spans="1:27">
      <c r="A512" s="10">
        <v>11</v>
      </c>
      <c r="B512" s="75">
        <v>41535</v>
      </c>
      <c r="C512" s="10">
        <v>2013</v>
      </c>
      <c r="D512" s="4" t="s">
        <v>26</v>
      </c>
      <c r="E512" s="10">
        <v>9</v>
      </c>
      <c r="F512" s="26">
        <v>8.3040000000000003</v>
      </c>
      <c r="G512" s="21">
        <v>0.136539875</v>
      </c>
    </row>
    <row r="513" spans="1:27">
      <c r="A513" s="10">
        <v>12</v>
      </c>
      <c r="B513" s="75">
        <v>41535</v>
      </c>
      <c r="C513" s="10">
        <v>2013</v>
      </c>
      <c r="D513" s="4" t="s">
        <v>26</v>
      </c>
      <c r="E513" s="10">
        <v>9</v>
      </c>
      <c r="F513" s="26">
        <v>8.327</v>
      </c>
      <c r="G513" s="21">
        <v>0.25178099999999998</v>
      </c>
    </row>
    <row r="514" spans="1:27">
      <c r="A514" s="10">
        <v>12</v>
      </c>
      <c r="B514" s="75">
        <v>41535</v>
      </c>
      <c r="C514" s="10">
        <v>2013</v>
      </c>
      <c r="D514" s="4" t="s">
        <v>26</v>
      </c>
      <c r="E514" s="10">
        <v>9</v>
      </c>
      <c r="F514" s="26">
        <v>8.327</v>
      </c>
      <c r="G514" s="21">
        <v>0.25293937500000002</v>
      </c>
      <c r="H514" t="s">
        <v>41</v>
      </c>
    </row>
    <row r="515" spans="1:27">
      <c r="A515" s="10">
        <v>13</v>
      </c>
      <c r="B515" s="75">
        <v>41535</v>
      </c>
      <c r="C515" s="10">
        <v>2013</v>
      </c>
      <c r="D515" s="4" t="s">
        <v>26</v>
      </c>
      <c r="E515" s="10">
        <v>9</v>
      </c>
      <c r="F515" s="26">
        <v>10.843999999999999</v>
      </c>
      <c r="G515" s="21">
        <v>0.45869712499999993</v>
      </c>
      <c r="I515" s="21">
        <f>AVERAGE(F512:F515)</f>
        <v>8.9504999999999999</v>
      </c>
      <c r="J515" s="21">
        <f>AVERAGE(G512:G515)</f>
        <v>0.27498934374999995</v>
      </c>
      <c r="L515">
        <f>+J515/I515</f>
        <v>3.0723349952516615E-2</v>
      </c>
      <c r="M515">
        <f>+(L515-$L$927)/$L$928</f>
        <v>2.074491617463071</v>
      </c>
      <c r="N515">
        <f>+N511+M515</f>
        <v>13.211329334134005</v>
      </c>
      <c r="Z515">
        <f>+(I515-$F$927)/$F$928</f>
        <v>1.1184263169313353</v>
      </c>
      <c r="AA515">
        <f>+AA511+Z515</f>
        <v>8.0753950398066969</v>
      </c>
    </row>
    <row r="516" spans="1:27">
      <c r="A516" s="10">
        <v>11</v>
      </c>
      <c r="B516" s="75">
        <v>406810</v>
      </c>
      <c r="C516" s="10">
        <v>2013</v>
      </c>
      <c r="D516" s="4" t="s">
        <v>22</v>
      </c>
      <c r="E516" s="10">
        <v>10</v>
      </c>
      <c r="F516" s="20">
        <v>4.2169999999999996</v>
      </c>
      <c r="G516" s="21">
        <v>3.3778749999999996E-2</v>
      </c>
    </row>
    <row r="517" spans="1:27">
      <c r="A517" s="10">
        <v>12</v>
      </c>
      <c r="B517" s="75">
        <v>406810</v>
      </c>
      <c r="C517" s="10">
        <v>2013</v>
      </c>
      <c r="D517" s="4" t="s">
        <v>22</v>
      </c>
      <c r="E517" s="10">
        <v>10</v>
      </c>
      <c r="F517" s="20">
        <v>3.31</v>
      </c>
      <c r="G517" s="21">
        <v>3.5026250000000002E-2</v>
      </c>
    </row>
    <row r="518" spans="1:27">
      <c r="A518" s="10">
        <v>13</v>
      </c>
      <c r="B518" s="75">
        <v>406810</v>
      </c>
      <c r="C518" s="10">
        <v>2013</v>
      </c>
      <c r="D518" s="4" t="s">
        <v>22</v>
      </c>
      <c r="E518" s="10">
        <v>10</v>
      </c>
      <c r="F518" s="20">
        <v>2.3879999999999999</v>
      </c>
      <c r="G518" s="21">
        <v>3.3435125000000003E-2</v>
      </c>
      <c r="I518" s="21">
        <f>AVERAGE(F516:F518)</f>
        <v>3.3049999999999997</v>
      </c>
      <c r="J518" s="21">
        <f>AVERAGE(G516:G518)</f>
        <v>3.4080041666666672E-2</v>
      </c>
      <c r="L518">
        <f>+J518/I518</f>
        <v>1.0311661623802322E-2</v>
      </c>
      <c r="M518">
        <f>+(L518-$L$927)/$L$928</f>
        <v>1.7243583657862688E-2</v>
      </c>
      <c r="N518">
        <f>+N515+M518</f>
        <v>13.228572917791867</v>
      </c>
      <c r="Z518">
        <f>+(I518-$F$927)/$F$928</f>
        <v>-0.58438365866314912</v>
      </c>
      <c r="AA518">
        <f>+AA515+Z518</f>
        <v>7.4910113811435481</v>
      </c>
    </row>
    <row r="519" spans="1:27">
      <c r="A519" s="10">
        <v>11</v>
      </c>
      <c r="B519" s="75">
        <v>41599</v>
      </c>
      <c r="C519" s="10">
        <v>2013</v>
      </c>
      <c r="D519" s="4" t="s">
        <v>23</v>
      </c>
      <c r="E519" s="10">
        <v>11</v>
      </c>
      <c r="F519" s="20">
        <v>7.8630000000000004</v>
      </c>
      <c r="G519" s="21">
        <v>4.8633875E-2</v>
      </c>
    </row>
    <row r="520" spans="1:27">
      <c r="A520" s="10">
        <v>12</v>
      </c>
      <c r="B520" s="75">
        <v>41599</v>
      </c>
      <c r="C520" s="10">
        <v>2013</v>
      </c>
      <c r="D520" s="4" t="s">
        <v>23</v>
      </c>
      <c r="E520" s="10">
        <v>11</v>
      </c>
      <c r="F520" s="20">
        <v>2.5579999999999998</v>
      </c>
      <c r="G520" s="21">
        <v>1.4688375E-2</v>
      </c>
    </row>
    <row r="521" spans="1:27">
      <c r="A521" s="10">
        <v>13</v>
      </c>
      <c r="B521" s="75">
        <v>41599</v>
      </c>
      <c r="C521" s="10">
        <v>2013</v>
      </c>
      <c r="D521" s="4" t="s">
        <v>23</v>
      </c>
      <c r="E521" s="10">
        <v>11</v>
      </c>
      <c r="F521" s="20">
        <v>3.8180000000000001</v>
      </c>
      <c r="G521" s="21">
        <v>2.4298750000000001E-2</v>
      </c>
      <c r="I521" s="21">
        <f>AVERAGE(F519:F521)</f>
        <v>4.7463333333333333</v>
      </c>
      <c r="J521" s="21">
        <f>AVERAGE(G519:G521)</f>
        <v>2.9207E-2</v>
      </c>
      <c r="L521">
        <f>+J521/I521</f>
        <v>6.1535922466465342E-3</v>
      </c>
      <c r="M521">
        <f>+(L521-$L$927)/$L$928</f>
        <v>-0.40183885150482473</v>
      </c>
      <c r="N521">
        <f>+N518+M521</f>
        <v>12.826734066287042</v>
      </c>
      <c r="Z521">
        <f>+(I521-$F$927)/$F$928</f>
        <v>-0.14964505656291879</v>
      </c>
      <c r="AA521">
        <f>+AA518+Z521</f>
        <v>7.3413663245806298</v>
      </c>
    </row>
    <row r="522" spans="1:27">
      <c r="A522" s="10">
        <v>11</v>
      </c>
      <c r="B522" s="75">
        <v>41627</v>
      </c>
      <c r="C522" s="10">
        <v>2013</v>
      </c>
      <c r="D522" s="4" t="s">
        <v>24</v>
      </c>
      <c r="E522" s="10">
        <v>12</v>
      </c>
      <c r="F522" s="20">
        <v>6.5869999999999997</v>
      </c>
      <c r="G522" s="21">
        <v>2.8375124999999998E-2</v>
      </c>
    </row>
    <row r="523" spans="1:27">
      <c r="A523" s="10">
        <v>12</v>
      </c>
      <c r="B523" s="75">
        <v>41627</v>
      </c>
      <c r="C523" s="10">
        <v>2013</v>
      </c>
      <c r="D523" s="4" t="s">
        <v>24</v>
      </c>
      <c r="E523" s="10">
        <v>12</v>
      </c>
      <c r="F523" s="20">
        <v>4.4809999999999999</v>
      </c>
      <c r="G523" s="21">
        <v>1.9444374999999996E-2</v>
      </c>
    </row>
    <row r="524" spans="1:27">
      <c r="A524" s="10">
        <v>13</v>
      </c>
      <c r="B524" s="75">
        <v>41627</v>
      </c>
      <c r="C524" s="10">
        <v>2013</v>
      </c>
      <c r="D524" s="4" t="s">
        <v>24</v>
      </c>
      <c r="E524" s="10">
        <v>12</v>
      </c>
      <c r="F524" s="20">
        <v>4.6399999999999997</v>
      </c>
      <c r="G524" s="21">
        <v>1.6792125000000001E-2</v>
      </c>
      <c r="I524" s="21">
        <f>AVERAGE(F522:F524)</f>
        <v>5.2359999999999998</v>
      </c>
      <c r="J524" s="21">
        <f>AVERAGE(G522:G524)</f>
        <v>2.1537208333333332E-2</v>
      </c>
      <c r="L524">
        <f>+J524/I524</f>
        <v>4.1132941813088872E-3</v>
      </c>
      <c r="M524">
        <f>+(L524-$L$927)/$L$928</f>
        <v>-0.60747589218938791</v>
      </c>
      <c r="N524">
        <f>+N521+M524</f>
        <v>12.219258174097654</v>
      </c>
      <c r="Z524">
        <f>+(I524-$F$927)/$F$928</f>
        <v>-1.9505592259072273E-3</v>
      </c>
      <c r="AA524">
        <f>+AA521+Z524</f>
        <v>7.3394157653547225</v>
      </c>
    </row>
    <row r="525" spans="1:27">
      <c r="A525" s="10">
        <v>11</v>
      </c>
      <c r="B525" s="75">
        <v>41655</v>
      </c>
      <c r="C525" s="10">
        <v>2014</v>
      </c>
      <c r="D525" s="4" t="s">
        <v>25</v>
      </c>
      <c r="E525" s="10">
        <v>1</v>
      </c>
      <c r="F525" s="20">
        <v>8.5459999999999994</v>
      </c>
      <c r="G525" s="21">
        <v>3.2430124999999997E-2</v>
      </c>
    </row>
    <row r="526" spans="1:27">
      <c r="A526" s="10">
        <v>12</v>
      </c>
      <c r="B526" s="75">
        <v>41655</v>
      </c>
      <c r="C526" s="10">
        <v>2014</v>
      </c>
      <c r="D526" s="4" t="s">
        <v>25</v>
      </c>
      <c r="E526" s="10">
        <v>1</v>
      </c>
      <c r="F526" s="20">
        <v>5.734</v>
      </c>
      <c r="G526" s="21">
        <v>1.7586124999999998E-2</v>
      </c>
    </row>
    <row r="527" spans="1:27">
      <c r="A527" s="10">
        <v>13</v>
      </c>
      <c r="B527" s="75">
        <v>41655</v>
      </c>
      <c r="C527" s="10">
        <v>2014</v>
      </c>
      <c r="D527" s="4" t="s">
        <v>25</v>
      </c>
      <c r="E527" s="10">
        <v>1</v>
      </c>
      <c r="F527" s="20">
        <v>5.601</v>
      </c>
      <c r="G527" s="21">
        <v>1.6049750000000002E-2</v>
      </c>
      <c r="I527" s="21">
        <f>AVERAGE(F525:F527)</f>
        <v>6.6269999999999998</v>
      </c>
      <c r="J527" s="21">
        <f>AVERAGE(G525:G527)</f>
        <v>2.2022E-2</v>
      </c>
      <c r="L527">
        <f>+J527/I527</f>
        <v>3.3230722800663953E-3</v>
      </c>
      <c r="M527">
        <f>+(L527-$L$927)/$L$928</f>
        <v>-0.68712057549145411</v>
      </c>
      <c r="N527">
        <f>+N524+M527</f>
        <v>11.5321375986062</v>
      </c>
      <c r="Z527">
        <f>+(I527-$F$927)/$F$928</f>
        <v>0.41760637568719661</v>
      </c>
      <c r="AA527">
        <f>+AA524+Z527</f>
        <v>7.7570221410419187</v>
      </c>
    </row>
    <row r="528" spans="1:27">
      <c r="A528" s="10">
        <v>11</v>
      </c>
      <c r="B528" s="75">
        <v>41690</v>
      </c>
      <c r="C528" s="10">
        <v>2014</v>
      </c>
      <c r="D528" s="4" t="s">
        <v>14</v>
      </c>
      <c r="E528" s="10">
        <v>2</v>
      </c>
      <c r="F528" s="20">
        <v>10.32</v>
      </c>
      <c r="G528" s="21">
        <v>2.6980750000000005E-2</v>
      </c>
    </row>
    <row r="529" spans="1:27">
      <c r="A529" s="10">
        <v>12</v>
      </c>
      <c r="B529" s="75">
        <v>41690</v>
      </c>
      <c r="C529" s="10">
        <v>2014</v>
      </c>
      <c r="D529" s="4" t="s">
        <v>14</v>
      </c>
      <c r="E529" s="10">
        <v>2</v>
      </c>
      <c r="F529" s="20">
        <v>11.166</v>
      </c>
      <c r="G529" s="21">
        <v>2.6610249999999995E-2</v>
      </c>
    </row>
    <row r="530" spans="1:27">
      <c r="A530" s="10">
        <v>13</v>
      </c>
      <c r="B530" s="75">
        <v>41690</v>
      </c>
      <c r="C530" s="10">
        <v>2014</v>
      </c>
      <c r="D530" s="4" t="s">
        <v>14</v>
      </c>
      <c r="E530" s="10">
        <v>2</v>
      </c>
      <c r="F530" s="20">
        <v>8.5</v>
      </c>
      <c r="G530" s="21">
        <v>2.3735124999999999E-2</v>
      </c>
      <c r="I530" s="21">
        <f>AVERAGE(F528:F530)</f>
        <v>9.995333333333333</v>
      </c>
      <c r="J530" s="21">
        <f>AVERAGE(G528:G530)</f>
        <v>2.5775375E-2</v>
      </c>
      <c r="L530">
        <f>+J530/I530</f>
        <v>2.5787409124257989E-3</v>
      </c>
      <c r="M530">
        <f>+(L530-$L$927)/$L$928</f>
        <v>-0.76214005540503016</v>
      </c>
      <c r="N530">
        <f>+N527+M530</f>
        <v>10.769997543201169</v>
      </c>
      <c r="Z530">
        <f>+(I530-$F$927)/$F$928</f>
        <v>1.4335715871170827</v>
      </c>
      <c r="AA530">
        <f>+AA527+Z530</f>
        <v>9.1905937281590013</v>
      </c>
    </row>
    <row r="531" spans="1:27">
      <c r="A531" s="10">
        <v>11</v>
      </c>
      <c r="B531" s="75">
        <v>41718</v>
      </c>
      <c r="C531" s="10">
        <v>2014</v>
      </c>
      <c r="D531" s="4" t="s">
        <v>15</v>
      </c>
      <c r="E531" s="10">
        <v>3</v>
      </c>
      <c r="F531" s="20">
        <v>6.4219999999999997</v>
      </c>
      <c r="G531" s="21">
        <v>4.5117625000000001E-2</v>
      </c>
    </row>
    <row r="532" spans="1:27">
      <c r="A532" s="10">
        <v>12</v>
      </c>
      <c r="B532" s="75">
        <v>41718</v>
      </c>
      <c r="C532" s="10">
        <v>2014</v>
      </c>
      <c r="D532" s="4" t="s">
        <v>15</v>
      </c>
      <c r="E532" s="10">
        <v>3</v>
      </c>
      <c r="F532" s="20">
        <v>3.379</v>
      </c>
      <c r="G532" s="21">
        <v>5.9036000000000005E-2</v>
      </c>
    </row>
    <row r="533" spans="1:27">
      <c r="A533" s="10">
        <v>13</v>
      </c>
      <c r="B533" s="75">
        <v>41718</v>
      </c>
      <c r="C533" s="10">
        <v>2014</v>
      </c>
      <c r="D533" s="4" t="s">
        <v>15</v>
      </c>
      <c r="E533" s="10">
        <v>3</v>
      </c>
      <c r="F533" s="20">
        <v>2.87</v>
      </c>
      <c r="G533" s="21">
        <v>6.1497749999999983E-2</v>
      </c>
      <c r="I533" s="21">
        <f>AVERAGE(F531:F533)</f>
        <v>4.2236666666666665</v>
      </c>
      <c r="J533" s="21">
        <f>AVERAGE(G531:G533)</f>
        <v>5.5217124999999999E-2</v>
      </c>
      <c r="L533">
        <f>+J533/I533</f>
        <v>1.3073267697892826E-2</v>
      </c>
      <c r="M533">
        <f>+(L533-$L$927)/$L$928</f>
        <v>0.29557963183644415</v>
      </c>
      <c r="N533">
        <f>+N530+M533</f>
        <v>11.065577175037614</v>
      </c>
      <c r="Z533">
        <f>+(I533-$F$927)/$F$928</f>
        <v>-0.30729309728751669</v>
      </c>
      <c r="AA533">
        <f>+AA530+Z533</f>
        <v>8.883300630871485</v>
      </c>
    </row>
    <row r="534" spans="1:27">
      <c r="A534" s="10">
        <v>11</v>
      </c>
      <c r="B534" s="75">
        <v>41750</v>
      </c>
      <c r="C534" s="10">
        <v>2014</v>
      </c>
      <c r="D534" s="4" t="s">
        <v>16</v>
      </c>
      <c r="E534" s="10">
        <v>4</v>
      </c>
      <c r="F534" s="27">
        <v>3.4980000000000002</v>
      </c>
      <c r="G534" s="21">
        <v>3.5640375000000002E-2</v>
      </c>
    </row>
    <row r="535" spans="1:27">
      <c r="A535" s="10">
        <v>12</v>
      </c>
      <c r="B535" s="75">
        <v>41750</v>
      </c>
      <c r="C535" s="10">
        <v>2014</v>
      </c>
      <c r="D535" s="4" t="s">
        <v>16</v>
      </c>
      <c r="E535" s="10">
        <v>4</v>
      </c>
      <c r="F535" s="27">
        <v>3.8290000000000002</v>
      </c>
      <c r="G535" s="21">
        <v>3.619012499999999E-2</v>
      </c>
    </row>
    <row r="536" spans="1:27">
      <c r="A536" s="10">
        <v>13</v>
      </c>
      <c r="B536" s="75">
        <v>41750</v>
      </c>
      <c r="C536" s="10">
        <v>2014</v>
      </c>
      <c r="D536" s="4" t="s">
        <v>16</v>
      </c>
      <c r="E536" s="10">
        <v>4</v>
      </c>
      <c r="F536" s="27">
        <v>2.5150000000000001</v>
      </c>
      <c r="G536" s="21">
        <v>2.3395375E-2</v>
      </c>
      <c r="I536" s="21">
        <f>AVERAGE(F534:F536)</f>
        <v>3.2806666666666668</v>
      </c>
      <c r="J536" s="21">
        <f>AVERAGE(G534:G536)</f>
        <v>3.1741958333333327E-2</v>
      </c>
      <c r="L536">
        <f>+J536/I536</f>
        <v>9.6754597642755517E-3</v>
      </c>
      <c r="M536">
        <f>+(L536-$L$927)/$L$928</f>
        <v>-4.6877766988740438E-2</v>
      </c>
      <c r="N536">
        <f>+N533+M536</f>
        <v>11.018699408048873</v>
      </c>
      <c r="Z536">
        <f>+(I536-$F$927)/$F$928</f>
        <v>-0.59172314015096517</v>
      </c>
      <c r="AA536">
        <f>+AA533+Z536</f>
        <v>8.2915774907205204</v>
      </c>
    </row>
    <row r="537" spans="1:27">
      <c r="A537" s="10">
        <v>11</v>
      </c>
      <c r="B537" s="75">
        <v>41406</v>
      </c>
      <c r="C537" s="10">
        <v>2014</v>
      </c>
      <c r="D537" s="4" t="s">
        <v>17</v>
      </c>
      <c r="E537" s="10">
        <v>5</v>
      </c>
      <c r="F537" s="27">
        <v>3.577</v>
      </c>
      <c r="G537" s="21">
        <v>2.1689750000000001E-2</v>
      </c>
    </row>
    <row r="538" spans="1:27">
      <c r="A538" s="10">
        <v>11</v>
      </c>
      <c r="B538" s="75">
        <v>41406</v>
      </c>
      <c r="C538" s="10">
        <v>2014</v>
      </c>
      <c r="D538" s="4" t="s">
        <v>17</v>
      </c>
      <c r="E538" s="10">
        <v>5</v>
      </c>
      <c r="F538" s="27">
        <v>3.577</v>
      </c>
      <c r="G538" s="21">
        <v>2.1640375E-2</v>
      </c>
      <c r="H538" t="s">
        <v>41</v>
      </c>
    </row>
    <row r="539" spans="1:27">
      <c r="A539" s="10">
        <v>12</v>
      </c>
      <c r="B539" s="75">
        <v>41406</v>
      </c>
      <c r="C539" s="10">
        <v>2014</v>
      </c>
      <c r="D539" s="4" t="s">
        <v>17</v>
      </c>
      <c r="E539" s="10">
        <v>5</v>
      </c>
      <c r="F539" s="27">
        <v>3.3809999999999998</v>
      </c>
      <c r="G539" s="21">
        <v>2.0095249999999995E-2</v>
      </c>
      <c r="I539" s="21"/>
      <c r="J539" s="21"/>
    </row>
    <row r="540" spans="1:27">
      <c r="A540" s="10">
        <v>13</v>
      </c>
      <c r="B540" s="75">
        <v>41406</v>
      </c>
      <c r="C540" s="10">
        <v>2014</v>
      </c>
      <c r="D540" s="4" t="s">
        <v>17</v>
      </c>
      <c r="E540" s="10">
        <v>5</v>
      </c>
      <c r="F540" s="27">
        <v>4.5170000000000003</v>
      </c>
      <c r="G540" s="21">
        <v>2.4426249999999993E-2</v>
      </c>
      <c r="I540" s="21">
        <f>AVERAGE(F537:F540)</f>
        <v>3.7629999999999999</v>
      </c>
      <c r="J540" s="21">
        <f>AVERAGE(G537:G540)</f>
        <v>2.1962906249999997E-2</v>
      </c>
      <c r="L540">
        <f>+J540/I540</f>
        <v>5.83654165559394E-3</v>
      </c>
      <c r="M540">
        <f>+(L540-$L$927)/$L$928</f>
        <v>-0.43379366555821047</v>
      </c>
      <c r="N540">
        <f>+N536+M540</f>
        <v>10.584905742490662</v>
      </c>
      <c r="Z540">
        <f>+(I540-$F$927)/$F$928</f>
        <v>-0.44624054134452829</v>
      </c>
      <c r="AA540">
        <f>+AA536+Z540</f>
        <v>7.8453369493759926</v>
      </c>
    </row>
    <row r="541" spans="1:27">
      <c r="A541" s="10">
        <v>11</v>
      </c>
      <c r="B541" s="75">
        <v>41807</v>
      </c>
      <c r="C541" s="10">
        <v>2014</v>
      </c>
      <c r="D541" s="4" t="s">
        <v>18</v>
      </c>
      <c r="E541" s="10">
        <v>6</v>
      </c>
      <c r="F541" s="27">
        <v>6.2009999999999996</v>
      </c>
      <c r="G541" s="21">
        <v>4.5144124999999993E-2</v>
      </c>
    </row>
    <row r="542" spans="1:27">
      <c r="A542" s="10">
        <v>12</v>
      </c>
      <c r="B542" s="75">
        <v>41807</v>
      </c>
      <c r="C542" s="10">
        <v>2014</v>
      </c>
      <c r="D542" s="4" t="s">
        <v>18</v>
      </c>
      <c r="E542" s="10">
        <v>6</v>
      </c>
      <c r="F542" s="27">
        <v>8.0289999999999999</v>
      </c>
      <c r="G542" s="21">
        <v>8.5293250000000001E-2</v>
      </c>
    </row>
    <row r="543" spans="1:27">
      <c r="A543" s="10">
        <v>13</v>
      </c>
      <c r="B543" s="75">
        <v>41807</v>
      </c>
      <c r="C543" s="10">
        <v>2014</v>
      </c>
      <c r="D543" s="4" t="s">
        <v>18</v>
      </c>
      <c r="E543" s="10">
        <v>6</v>
      </c>
      <c r="F543" s="27">
        <v>4.383</v>
      </c>
      <c r="G543" s="21">
        <v>0.13002312499999999</v>
      </c>
      <c r="I543" s="21">
        <f>AVERAGE(F541:F543)</f>
        <v>6.2043333333333335</v>
      </c>
      <c r="J543" s="21">
        <f>AVERAGE(G541:G543)</f>
        <v>8.6820166666666657E-2</v>
      </c>
      <c r="L543">
        <f>+J543/I543</f>
        <v>1.3993472304303442E-2</v>
      </c>
      <c r="M543">
        <f>+(L543-$L$927)/$L$928</f>
        <v>0.38832497885282091</v>
      </c>
      <c r="N543">
        <f>+N540+M543</f>
        <v>10.973230721343484</v>
      </c>
      <c r="Z543">
        <f>+(I543-$F$927)/$F$928</f>
        <v>0.29012058765225407</v>
      </c>
      <c r="AA543">
        <f>+AA540+Z543</f>
        <v>8.1354575370282465</v>
      </c>
    </row>
    <row r="544" spans="1:27">
      <c r="A544" s="10">
        <v>11</v>
      </c>
      <c r="B544" s="75">
        <v>41837</v>
      </c>
      <c r="C544" s="10">
        <v>2014</v>
      </c>
      <c r="D544" s="4" t="s">
        <v>19</v>
      </c>
      <c r="E544" s="10">
        <v>7</v>
      </c>
      <c r="F544" s="27">
        <v>9.3789999999999996</v>
      </c>
      <c r="G544" s="21">
        <v>9.5732250000000019E-2</v>
      </c>
    </row>
    <row r="545" spans="1:27">
      <c r="A545" s="10">
        <v>12</v>
      </c>
      <c r="B545" s="75">
        <v>41837</v>
      </c>
      <c r="C545" s="10">
        <v>2014</v>
      </c>
      <c r="D545" s="4" t="s">
        <v>19</v>
      </c>
      <c r="E545" s="10">
        <v>7</v>
      </c>
      <c r="F545" s="27">
        <v>11.09</v>
      </c>
      <c r="G545" s="21">
        <v>0.12853674999999998</v>
      </c>
    </row>
    <row r="546" spans="1:27">
      <c r="A546" s="10">
        <v>13</v>
      </c>
      <c r="B546" s="75">
        <v>41837</v>
      </c>
      <c r="C546" s="10">
        <v>2014</v>
      </c>
      <c r="D546" s="4" t="s">
        <v>19</v>
      </c>
      <c r="E546" s="10">
        <v>7</v>
      </c>
      <c r="F546" s="27">
        <v>8.7759999999999998</v>
      </c>
      <c r="G546" s="21">
        <v>0.17665549999999997</v>
      </c>
      <c r="I546" s="21">
        <f>AVERAGE(F544:F546)</f>
        <v>9.7483333333333331</v>
      </c>
      <c r="J546" s="21">
        <f>AVERAGE(G544:G546)</f>
        <v>0.1336415</v>
      </c>
      <c r="L546">
        <f>+J546/I546</f>
        <v>1.3709163959651223E-2</v>
      </c>
      <c r="M546">
        <f>+(L546-$L$927)/$L$928</f>
        <v>0.35967018197316308</v>
      </c>
      <c r="N546">
        <f>+N543+M546</f>
        <v>11.332900903316647</v>
      </c>
      <c r="Z546">
        <f>+(I546-$F$927)/$F$928</f>
        <v>1.3590708229736344</v>
      </c>
      <c r="AA546">
        <f>+AA543+Z546</f>
        <v>9.4945283600018815</v>
      </c>
    </row>
    <row r="547" spans="1:27">
      <c r="A547" s="10">
        <v>11</v>
      </c>
      <c r="B547" s="75">
        <v>41862</v>
      </c>
      <c r="C547" s="10">
        <v>2014</v>
      </c>
      <c r="D547" s="4" t="s">
        <v>20</v>
      </c>
      <c r="E547" s="10">
        <v>8</v>
      </c>
      <c r="F547" s="27">
        <v>5.7380000000000004</v>
      </c>
      <c r="G547" s="21">
        <v>0.146220875</v>
      </c>
    </row>
    <row r="548" spans="1:27">
      <c r="A548" s="10">
        <v>12</v>
      </c>
      <c r="B548" s="75">
        <v>41862</v>
      </c>
      <c r="C548" s="10">
        <v>2014</v>
      </c>
      <c r="D548" s="4" t="s">
        <v>20</v>
      </c>
      <c r="E548" s="10">
        <v>8</v>
      </c>
      <c r="F548" s="27">
        <v>7.4029999999999996</v>
      </c>
      <c r="G548" s="21">
        <v>0.243008</v>
      </c>
    </row>
    <row r="549" spans="1:27">
      <c r="A549" s="10">
        <v>13</v>
      </c>
      <c r="B549" s="75">
        <v>41862</v>
      </c>
      <c r="C549" s="10">
        <v>2014</v>
      </c>
      <c r="D549" s="4" t="s">
        <v>20</v>
      </c>
      <c r="E549" s="10">
        <v>8</v>
      </c>
      <c r="F549" s="27">
        <v>5.2350000000000003</v>
      </c>
      <c r="G549" s="21">
        <v>0.114432125</v>
      </c>
      <c r="I549" s="21">
        <f>AVERAGE(F547:F549)</f>
        <v>6.1253333333333337</v>
      </c>
      <c r="J549" s="21">
        <f>AVERAGE(G547:G549)</f>
        <v>0.16788700000000001</v>
      </c>
      <c r="L549">
        <f>+J549/I549</f>
        <v>2.7408630822812363E-2</v>
      </c>
      <c r="M549">
        <f>+(L549-$L$927)/$L$928</f>
        <v>1.740408551800755</v>
      </c>
      <c r="N549">
        <f>+N546+M549</f>
        <v>13.073309455117402</v>
      </c>
      <c r="Z549">
        <f>+(I549-$F$927)/$F$928</f>
        <v>0.26629240802742654</v>
      </c>
      <c r="AA549">
        <f>+AA546+Z549</f>
        <v>9.7608207680293084</v>
      </c>
    </row>
    <row r="550" spans="1:27">
      <c r="A550" s="10">
        <v>11</v>
      </c>
      <c r="B550" s="75">
        <v>41897</v>
      </c>
      <c r="C550" s="10">
        <v>2014</v>
      </c>
      <c r="D550" s="4" t="s">
        <v>26</v>
      </c>
      <c r="E550" s="10">
        <v>9</v>
      </c>
      <c r="F550" s="27">
        <v>4.7690000000000001</v>
      </c>
      <c r="G550" s="21">
        <v>3.3811749999999995E-2</v>
      </c>
    </row>
    <row r="551" spans="1:27">
      <c r="A551" s="10">
        <v>12</v>
      </c>
      <c r="B551" s="75">
        <v>41897</v>
      </c>
      <c r="C551" s="10">
        <v>2014</v>
      </c>
      <c r="D551" s="4" t="s">
        <v>26</v>
      </c>
      <c r="E551" s="10">
        <v>9</v>
      </c>
      <c r="F551" s="27">
        <v>3.3559999999999999</v>
      </c>
      <c r="G551" s="21">
        <v>3.4215250000000003E-2</v>
      </c>
    </row>
    <row r="552" spans="1:27">
      <c r="A552" s="10">
        <v>13</v>
      </c>
      <c r="B552" s="75">
        <v>41897</v>
      </c>
      <c r="C552" s="10">
        <v>2014</v>
      </c>
      <c r="D552" s="4" t="s">
        <v>26</v>
      </c>
      <c r="E552" s="10">
        <v>9</v>
      </c>
      <c r="F552" s="27">
        <v>6.6619999999999999</v>
      </c>
      <c r="G552" s="21">
        <v>7.3014999999999997E-2</v>
      </c>
      <c r="I552" s="21">
        <f>AVERAGE(F550:F552)</f>
        <v>4.9289999999999994</v>
      </c>
      <c r="J552" s="21">
        <f>AVERAGE(G550:G552)</f>
        <v>4.7014E-2</v>
      </c>
      <c r="L552">
        <f>+J552/I552</f>
        <v>9.5382430513288718E-3</v>
      </c>
      <c r="M552">
        <f>+(L552-$L$927)/$L$928</f>
        <v>-6.0707530032773349E-2</v>
      </c>
      <c r="N552">
        <f>+N549+M552</f>
        <v>13.012601925084628</v>
      </c>
      <c r="Z552">
        <f>+(I552-$F$927)/$F$928</f>
        <v>-9.4548674983148812E-2</v>
      </c>
      <c r="AA552">
        <f>+AA549+Z552</f>
        <v>9.6662720930461603</v>
      </c>
    </row>
    <row r="553" spans="1:27">
      <c r="A553" s="10">
        <v>11</v>
      </c>
      <c r="B553" s="75">
        <v>41928</v>
      </c>
      <c r="C553" s="10">
        <v>2014</v>
      </c>
      <c r="D553" s="4" t="s">
        <v>22</v>
      </c>
      <c r="E553" s="10">
        <v>10</v>
      </c>
      <c r="F553" s="20">
        <v>2.2810000000000001</v>
      </c>
      <c r="G553" s="21">
        <v>3.9878375000000001E-2</v>
      </c>
    </row>
    <row r="554" spans="1:27">
      <c r="A554" s="10">
        <v>12</v>
      </c>
      <c r="B554" s="75">
        <v>41928</v>
      </c>
      <c r="C554" s="10">
        <v>2014</v>
      </c>
      <c r="D554" s="4" t="s">
        <v>22</v>
      </c>
      <c r="E554" s="10">
        <v>10</v>
      </c>
      <c r="F554" s="20">
        <v>3.64</v>
      </c>
      <c r="G554" s="21">
        <v>6.1661374999999997E-2</v>
      </c>
    </row>
    <row r="555" spans="1:27">
      <c r="A555" s="10">
        <v>13</v>
      </c>
      <c r="B555" s="75">
        <v>41928</v>
      </c>
      <c r="C555" s="10">
        <v>2014</v>
      </c>
      <c r="D555" s="4" t="s">
        <v>22</v>
      </c>
      <c r="E555" s="10">
        <v>10</v>
      </c>
      <c r="F555" s="20">
        <v>6.1680000000000001</v>
      </c>
      <c r="G555" s="21">
        <v>0.15976374999999998</v>
      </c>
    </row>
    <row r="556" spans="1:27">
      <c r="A556" s="10">
        <v>13</v>
      </c>
      <c r="B556" s="75">
        <v>41928</v>
      </c>
      <c r="C556" s="10">
        <v>2014</v>
      </c>
      <c r="D556" s="4" t="s">
        <v>22</v>
      </c>
      <c r="E556" s="10">
        <v>10</v>
      </c>
      <c r="F556" s="20">
        <v>6.1680000000000001</v>
      </c>
      <c r="G556" s="21">
        <v>0.17368675</v>
      </c>
      <c r="H556" t="s">
        <v>41</v>
      </c>
      <c r="I556" s="21">
        <f>AVERAGE(F553:F556)</f>
        <v>4.5642500000000004</v>
      </c>
      <c r="J556" s="21">
        <f>AVERAGE(G553:G556)</f>
        <v>0.10874756249999999</v>
      </c>
      <c r="L556">
        <f>+J556/I556</f>
        <v>2.3825943473736098E-2</v>
      </c>
      <c r="M556">
        <f>+(L556-$L$927)/$L$928</f>
        <v>1.3793175736351975</v>
      </c>
      <c r="N556">
        <f>+N552+M556</f>
        <v>14.391919498719826</v>
      </c>
      <c r="Z556">
        <f>+(I556-$F$927)/$F$928</f>
        <v>-0.20456549166866586</v>
      </c>
      <c r="AA556">
        <f>+AA552+Z556</f>
        <v>9.4617066013774949</v>
      </c>
    </row>
    <row r="557" spans="1:27">
      <c r="A557" s="10">
        <v>11</v>
      </c>
      <c r="B557" s="75">
        <v>41955</v>
      </c>
      <c r="C557" s="10">
        <v>2014</v>
      </c>
      <c r="D557" s="4" t="s">
        <v>23</v>
      </c>
      <c r="E557" s="10">
        <v>11</v>
      </c>
      <c r="F557" s="20">
        <v>6.0449999999999999</v>
      </c>
      <c r="G557" s="21">
        <v>3.8491875000000002E-2</v>
      </c>
    </row>
    <row r="558" spans="1:27">
      <c r="A558" s="10">
        <v>12</v>
      </c>
      <c r="B558" s="75">
        <v>41955</v>
      </c>
      <c r="C558" s="10">
        <v>2014</v>
      </c>
      <c r="D558" s="4" t="s">
        <v>23</v>
      </c>
      <c r="E558" s="10">
        <v>11</v>
      </c>
      <c r="F558" s="20">
        <v>4.6319999999999997</v>
      </c>
      <c r="G558" s="21">
        <v>2.6362750000000001E-2</v>
      </c>
    </row>
    <row r="559" spans="1:27">
      <c r="A559" s="10">
        <v>13</v>
      </c>
      <c r="B559" s="75">
        <v>41955</v>
      </c>
      <c r="C559" s="10">
        <v>2014</v>
      </c>
      <c r="D559" s="4" t="s">
        <v>23</v>
      </c>
      <c r="E559" s="10">
        <v>11</v>
      </c>
      <c r="F559" s="20">
        <v>5.8710000000000004</v>
      </c>
      <c r="G559" s="21">
        <v>4.6631499999999992E-2</v>
      </c>
      <c r="I559" s="21">
        <f>AVERAGE(F557:F559)</f>
        <v>5.5160000000000009</v>
      </c>
      <c r="J559" s="21">
        <f>AVERAGE(G557:G559)</f>
        <v>3.7162041666666666E-2</v>
      </c>
      <c r="L559">
        <f>+J559/I559</f>
        <v>6.7371359076625562E-3</v>
      </c>
      <c r="M559">
        <f>+(L559-$L$927)/$L$928</f>
        <v>-0.34302480193030227</v>
      </c>
      <c r="N559">
        <f>+N556+M559</f>
        <v>14.048894696789525</v>
      </c>
      <c r="Z559">
        <f>+(I559-$F$927)/$F$928</f>
        <v>8.2503748305127675E-2</v>
      </c>
      <c r="AA559">
        <f>+AA556+Z559</f>
        <v>9.5442103496826221</v>
      </c>
    </row>
    <row r="560" spans="1:27">
      <c r="A560" s="1">
        <v>11</v>
      </c>
      <c r="B560" s="70">
        <v>41987</v>
      </c>
      <c r="D560" s="4" t="s">
        <v>24</v>
      </c>
      <c r="E560" s="10">
        <v>12</v>
      </c>
    </row>
    <row r="561" spans="1:27">
      <c r="A561" s="1">
        <v>12</v>
      </c>
      <c r="B561" s="70">
        <v>41987</v>
      </c>
      <c r="D561" s="4" t="s">
        <v>24</v>
      </c>
      <c r="E561" s="10">
        <v>12</v>
      </c>
    </row>
    <row r="562" spans="1:27">
      <c r="A562" s="1">
        <v>13</v>
      </c>
      <c r="B562" s="70">
        <v>41987</v>
      </c>
      <c r="D562" s="4" t="s">
        <v>24</v>
      </c>
      <c r="E562" s="10">
        <v>12</v>
      </c>
    </row>
    <row r="563" spans="1:27">
      <c r="A563" s="1">
        <v>11</v>
      </c>
      <c r="B563" s="70">
        <v>42014</v>
      </c>
      <c r="E563" s="3">
        <v>1</v>
      </c>
      <c r="F563" s="79">
        <v>13.555</v>
      </c>
      <c r="G563" s="80">
        <v>1.7999999999999999E-2</v>
      </c>
    </row>
    <row r="564" spans="1:27">
      <c r="A564" s="1">
        <v>12</v>
      </c>
      <c r="B564" s="70">
        <v>42009</v>
      </c>
      <c r="E564" s="3">
        <v>1</v>
      </c>
      <c r="F564" s="79">
        <v>10.689</v>
      </c>
      <c r="G564" s="80">
        <v>1.6E-2</v>
      </c>
    </row>
    <row r="565" spans="1:27">
      <c r="A565" s="1">
        <v>13</v>
      </c>
      <c r="B565" s="70">
        <v>42009</v>
      </c>
      <c r="E565" s="3">
        <v>1</v>
      </c>
      <c r="F565" s="79">
        <v>7.84</v>
      </c>
      <c r="G565" s="80">
        <v>1.2E-2</v>
      </c>
      <c r="I565" s="21">
        <f>AVERAGE(F563:F565)</f>
        <v>10.694666666666668</v>
      </c>
      <c r="J565" s="21">
        <f>AVERAGE(G563:G565)</f>
        <v>1.5333333333333332E-2</v>
      </c>
      <c r="L565">
        <f>+J565/I565</f>
        <v>1.4337364418401692E-3</v>
      </c>
      <c r="M565">
        <f>+(L565-$L$927)/$L$928</f>
        <v>-0.87754247375847727</v>
      </c>
      <c r="N565">
        <f>+N559+M565</f>
        <v>13.171352223031047</v>
      </c>
      <c r="Z565">
        <f>+(I565-$F$927)/$F$928</f>
        <v>1.6445062742600718</v>
      </c>
      <c r="AA565">
        <f>+AA559+Z565</f>
        <v>11.188716623942694</v>
      </c>
    </row>
    <row r="566" spans="1:27">
      <c r="A566" s="1">
        <v>11</v>
      </c>
      <c r="B566" s="71">
        <v>42036</v>
      </c>
      <c r="E566" s="5">
        <v>2</v>
      </c>
    </row>
    <row r="567" spans="1:27">
      <c r="A567" s="1">
        <v>12</v>
      </c>
      <c r="B567" s="71">
        <v>42036</v>
      </c>
      <c r="E567" s="5">
        <v>2</v>
      </c>
    </row>
    <row r="568" spans="1:27">
      <c r="A568" s="1">
        <v>13</v>
      </c>
      <c r="B568" s="71">
        <v>42036</v>
      </c>
      <c r="E568" s="5">
        <v>2</v>
      </c>
      <c r="I568" s="21"/>
      <c r="J568" s="21"/>
    </row>
    <row r="569" spans="1:27">
      <c r="A569" s="1">
        <v>11</v>
      </c>
      <c r="B569" s="71">
        <v>42064</v>
      </c>
      <c r="E569" s="5">
        <v>3</v>
      </c>
      <c r="F569" s="79">
        <v>6.0410000000000004</v>
      </c>
      <c r="G569" s="80">
        <v>2.5999999999999999E-2</v>
      </c>
    </row>
    <row r="570" spans="1:27">
      <c r="A570" s="1">
        <v>12</v>
      </c>
      <c r="B570" s="71">
        <v>42064</v>
      </c>
      <c r="E570" s="5">
        <v>3</v>
      </c>
      <c r="F570" s="79">
        <v>8.9909999999999997</v>
      </c>
      <c r="G570" s="80">
        <v>3.5000000000000003E-2</v>
      </c>
    </row>
    <row r="571" spans="1:27">
      <c r="A571" s="1">
        <v>13</v>
      </c>
      <c r="B571" s="71">
        <v>42064</v>
      </c>
      <c r="E571" s="5">
        <v>3</v>
      </c>
      <c r="F571" s="79">
        <v>5.2249999999999996</v>
      </c>
      <c r="G571" s="80">
        <v>2.5999999999999999E-2</v>
      </c>
      <c r="I571" s="21">
        <f>AVERAGE(F569:F571)</f>
        <v>6.7523333333333326</v>
      </c>
      <c r="J571" s="21">
        <f>AVERAGE(G569:G571)</f>
        <v>2.8999999999999998E-2</v>
      </c>
      <c r="L571">
        <f>+J571/I571</f>
        <v>4.2948116700399861E-3</v>
      </c>
      <c r="M571">
        <f>+(L571-$L$927)/$L$928</f>
        <v>-0.58918115386203496</v>
      </c>
      <c r="N571">
        <f>+N565+M571</f>
        <v>12.582171069169013</v>
      </c>
      <c r="Z571">
        <f>+(I571-$F$927)/$F$928</f>
        <v>0.45540973239156429</v>
      </c>
      <c r="AA571">
        <f>+AA565+Z571</f>
        <v>11.644126356334258</v>
      </c>
    </row>
    <row r="572" spans="1:27">
      <c r="A572" s="1">
        <v>11</v>
      </c>
      <c r="B572" s="71">
        <v>42095</v>
      </c>
      <c r="E572" s="5">
        <v>4</v>
      </c>
      <c r="F572" s="79">
        <v>3.56</v>
      </c>
      <c r="G572" s="80">
        <v>8.9999999999999993E-3</v>
      </c>
    </row>
    <row r="573" spans="1:27">
      <c r="A573" s="1">
        <v>12</v>
      </c>
      <c r="B573" s="71">
        <v>42095</v>
      </c>
      <c r="E573" s="5">
        <v>4</v>
      </c>
      <c r="F573" s="79">
        <v>2.726</v>
      </c>
      <c r="G573" s="80">
        <v>0.01</v>
      </c>
    </row>
    <row r="574" spans="1:27">
      <c r="A574" s="1">
        <v>13</v>
      </c>
      <c r="B574" s="71">
        <v>42095</v>
      </c>
      <c r="E574" s="5">
        <v>4</v>
      </c>
      <c r="F574" s="79">
        <v>1.62</v>
      </c>
      <c r="G574" s="80">
        <v>6.0000000000000001E-3</v>
      </c>
      <c r="I574" s="21">
        <f>AVERAGE(F572:F574)</f>
        <v>2.6353333333333331</v>
      </c>
      <c r="J574" s="21">
        <f>AVERAGE(G572:G574)</f>
        <v>8.3333333333333332E-3</v>
      </c>
      <c r="L574">
        <f>+J574/I574</f>
        <v>3.1621553250695679E-3</v>
      </c>
      <c r="M574">
        <f>+(L574-$L$927)/$L$928</f>
        <v>-0.70333903248246366</v>
      </c>
      <c r="N574">
        <f>+N571+M574</f>
        <v>11.878832036686548</v>
      </c>
      <c r="Z574">
        <f>+(I574-$F$927)/$F$928</f>
        <v>-0.78637021084154013</v>
      </c>
      <c r="AA574">
        <f>+AA571+Z574</f>
        <v>10.857756145492719</v>
      </c>
    </row>
    <row r="575" spans="1:27">
      <c r="A575" s="1">
        <v>11</v>
      </c>
      <c r="B575" s="71">
        <v>42125</v>
      </c>
      <c r="E575" s="5">
        <v>5</v>
      </c>
      <c r="F575" s="79">
        <v>7.9779999999999998</v>
      </c>
      <c r="G575" s="80">
        <v>2.9000000000000001E-2</v>
      </c>
    </row>
    <row r="576" spans="1:27">
      <c r="A576" s="1">
        <v>12</v>
      </c>
      <c r="B576" s="71">
        <v>42125</v>
      </c>
      <c r="E576" s="5">
        <v>5</v>
      </c>
      <c r="F576" s="79">
        <v>6.3070000000000004</v>
      </c>
      <c r="G576" s="80">
        <v>2.3E-2</v>
      </c>
    </row>
    <row r="577" spans="1:27">
      <c r="A577" s="1">
        <v>13</v>
      </c>
      <c r="B577" s="71">
        <v>42125</v>
      </c>
      <c r="E577" s="5">
        <v>5</v>
      </c>
      <c r="F577" s="79">
        <v>7.58</v>
      </c>
      <c r="G577" s="80">
        <v>0.02</v>
      </c>
      <c r="I577" s="21">
        <f>AVERAGE(F575:F577)</f>
        <v>7.288333333333334</v>
      </c>
      <c r="J577" s="21">
        <f>AVERAGE(G575:G577)</f>
        <v>2.4000000000000004E-2</v>
      </c>
      <c r="L577">
        <f>+J577/I577</f>
        <v>3.2929339126457811E-3</v>
      </c>
      <c r="M577">
        <f>+(L577-$L$927)/$L$928</f>
        <v>-0.69015815357513155</v>
      </c>
      <c r="N577">
        <f>+N574+M577</f>
        <v>11.188673883111417</v>
      </c>
      <c r="Z577">
        <f>+(I577-$F$927)/$F$928</f>
        <v>0.61707940680811657</v>
      </c>
      <c r="AA577">
        <f>+AA574+Z577</f>
        <v>11.474835552300835</v>
      </c>
    </row>
    <row r="578" spans="1:27">
      <c r="A578" s="1">
        <v>11</v>
      </c>
      <c r="B578" s="71">
        <v>42156</v>
      </c>
      <c r="E578" s="5">
        <v>6</v>
      </c>
      <c r="F578" s="79">
        <v>7.2409999999999997</v>
      </c>
      <c r="G578" s="80">
        <v>5.1999999999999998E-2</v>
      </c>
    </row>
    <row r="579" spans="1:27">
      <c r="A579" s="1">
        <v>12</v>
      </c>
      <c r="B579" s="71">
        <v>42156</v>
      </c>
      <c r="E579" s="5">
        <v>6</v>
      </c>
      <c r="F579" s="79">
        <v>7.2489999999999997</v>
      </c>
      <c r="G579" s="80">
        <v>5.1999999999999998E-2</v>
      </c>
    </row>
    <row r="580" spans="1:27">
      <c r="A580" s="1">
        <v>13</v>
      </c>
      <c r="B580" s="71">
        <v>42156</v>
      </c>
      <c r="E580" s="5">
        <v>6</v>
      </c>
      <c r="F580" s="79">
        <v>12.542</v>
      </c>
      <c r="G580" s="80">
        <v>0.13</v>
      </c>
      <c r="I580" s="21">
        <f>AVERAGE(F578:F580)</f>
        <v>9.0106666666666655</v>
      </c>
      <c r="J580" s="21">
        <f>AVERAGE(G578:G580)</f>
        <v>7.8E-2</v>
      </c>
      <c r="L580">
        <f>+J580/I580</f>
        <v>8.6564072210713241E-3</v>
      </c>
      <c r="M580">
        <f>+(L580-$L$927)/$L$928</f>
        <v>-0.14958577463071029</v>
      </c>
      <c r="N580">
        <f>+N577+M580</f>
        <v>11.039088108480707</v>
      </c>
      <c r="Z580">
        <f>+(I580-$F$927)/$F$928</f>
        <v>1.1365739389662775</v>
      </c>
      <c r="AA580">
        <f>+AA577+Z580</f>
        <v>12.611409491267112</v>
      </c>
    </row>
    <row r="581" spans="1:27">
      <c r="A581" s="1">
        <v>11</v>
      </c>
      <c r="B581" s="71">
        <v>42186</v>
      </c>
      <c r="E581" s="5">
        <v>7</v>
      </c>
      <c r="F581" s="79">
        <v>11.587</v>
      </c>
      <c r="G581" s="80">
        <v>9.9000000000000005E-2</v>
      </c>
    </row>
    <row r="582" spans="1:27">
      <c r="A582" s="1">
        <v>12</v>
      </c>
      <c r="B582" s="71">
        <v>42186</v>
      </c>
      <c r="E582" s="5">
        <v>7</v>
      </c>
      <c r="F582" s="79">
        <v>9.7639999999999993</v>
      </c>
      <c r="G582" s="80">
        <v>9.0999999999999998E-2</v>
      </c>
    </row>
    <row r="583" spans="1:27">
      <c r="A583" s="1">
        <v>13</v>
      </c>
      <c r="B583" s="71">
        <v>42186</v>
      </c>
      <c r="E583" s="5">
        <v>7</v>
      </c>
      <c r="F583" s="79">
        <v>12.468</v>
      </c>
      <c r="G583" s="80">
        <v>0.114</v>
      </c>
      <c r="I583" s="21">
        <f>AVERAGE(F581:F583)</f>
        <v>11.273000000000001</v>
      </c>
      <c r="J583" s="21">
        <f>AVERAGE(G581:G583)</f>
        <v>0.10133333333333333</v>
      </c>
      <c r="L583">
        <f>+J583/I583</f>
        <v>8.9890298352996827E-3</v>
      </c>
      <c r="M583">
        <f>+(L583-$L$927)/$L$928</f>
        <v>-0.11606149147977597</v>
      </c>
      <c r="N583">
        <f>+N580+M583</f>
        <v>10.92302661700093</v>
      </c>
      <c r="Z583">
        <f>+(I583-$F$927)/$F$928</f>
        <v>1.8189446356485777</v>
      </c>
      <c r="AA583">
        <f>+AA580+Z583</f>
        <v>14.43035412691569</v>
      </c>
    </row>
    <row r="584" spans="1:27">
      <c r="A584" s="1">
        <v>11</v>
      </c>
      <c r="B584" s="71">
        <v>42217</v>
      </c>
      <c r="E584" s="5">
        <v>8</v>
      </c>
      <c r="F584" s="79">
        <v>8.31</v>
      </c>
      <c r="G584" s="80">
        <v>9.7000000000000003E-2</v>
      </c>
    </row>
    <row r="585" spans="1:27">
      <c r="A585" s="1">
        <v>12</v>
      </c>
      <c r="B585" s="71">
        <v>42217</v>
      </c>
      <c r="E585" s="5">
        <v>8</v>
      </c>
      <c r="F585" s="79">
        <v>3.1019999999999999</v>
      </c>
      <c r="G585" s="80">
        <v>4.7E-2</v>
      </c>
    </row>
    <row r="586" spans="1:27">
      <c r="A586" s="1">
        <v>13</v>
      </c>
      <c r="B586" s="71">
        <v>42217</v>
      </c>
      <c r="E586" s="5">
        <v>8</v>
      </c>
      <c r="F586" s="79">
        <v>7.0839999999999996</v>
      </c>
      <c r="G586" s="80">
        <v>0.13500000000000001</v>
      </c>
      <c r="I586" s="21">
        <f>AVERAGE(F584:F586)</f>
        <v>6.1653333333333338</v>
      </c>
      <c r="J586" s="21">
        <f>AVERAGE(G584:G586)</f>
        <v>9.3000000000000013E-2</v>
      </c>
      <c r="L586">
        <f>+J586/I586</f>
        <v>1.5084342560553634E-2</v>
      </c>
      <c r="M586">
        <f>+(L586-$L$927)/$L$928</f>
        <v>0.49827133182795719</v>
      </c>
      <c r="N586">
        <f>+N583+M586</f>
        <v>11.421297948828888</v>
      </c>
      <c r="Z586">
        <f>+(I586-$F$927)/$F$928</f>
        <v>0.27835730910328865</v>
      </c>
      <c r="AA586">
        <f>+AA583+Z586</f>
        <v>14.708711436018978</v>
      </c>
    </row>
    <row r="587" spans="1:27">
      <c r="A587" s="1">
        <v>11</v>
      </c>
      <c r="B587" s="71">
        <v>42248</v>
      </c>
      <c r="E587" s="5">
        <v>9</v>
      </c>
      <c r="F587" s="79">
        <v>3.8239999999999998</v>
      </c>
      <c r="G587" s="80">
        <v>0.128</v>
      </c>
    </row>
    <row r="588" spans="1:27">
      <c r="A588" s="1">
        <v>12</v>
      </c>
      <c r="B588" s="71">
        <v>42248</v>
      </c>
      <c r="E588" s="5">
        <v>9</v>
      </c>
      <c r="F588" s="79">
        <v>4.8499999999999996</v>
      </c>
      <c r="G588" s="80">
        <v>0.14499999999999999</v>
      </c>
    </row>
    <row r="589" spans="1:27">
      <c r="A589" s="1">
        <v>13</v>
      </c>
      <c r="B589" s="71">
        <v>42248</v>
      </c>
      <c r="E589" s="5">
        <v>9</v>
      </c>
      <c r="F589" s="79">
        <v>6.0039999999999996</v>
      </c>
      <c r="G589" s="80">
        <v>0.20699999999999999</v>
      </c>
      <c r="I589" s="21">
        <f>AVERAGE(F587:F589)</f>
        <v>4.8926666666666661</v>
      </c>
      <c r="J589" s="21">
        <f>AVERAGE(G587:G589)</f>
        <v>0.16</v>
      </c>
      <c r="L589">
        <f>+J589/I589</f>
        <v>3.270200299768361E-2</v>
      </c>
      <c r="M589">
        <f>+(L589-$L$927)/$L$928</f>
        <v>2.2739155955877108</v>
      </c>
      <c r="N589">
        <f>+N586+M589</f>
        <v>13.6952135444166</v>
      </c>
      <c r="Z589">
        <f>+(I589-$F$927)/$F$928</f>
        <v>-0.10550762679372352</v>
      </c>
      <c r="AA589">
        <f>+AA586+Z589</f>
        <v>14.603203809225255</v>
      </c>
    </row>
    <row r="590" spans="1:27">
      <c r="A590" s="1">
        <v>11</v>
      </c>
      <c r="B590" s="71">
        <v>42278</v>
      </c>
      <c r="E590" s="5">
        <v>10</v>
      </c>
      <c r="F590" s="79">
        <v>5.8849999999999998</v>
      </c>
      <c r="G590" s="80">
        <v>3.7999999999999999E-2</v>
      </c>
    </row>
    <row r="591" spans="1:27">
      <c r="A591" s="1">
        <v>12</v>
      </c>
      <c r="B591" s="71">
        <v>42278</v>
      </c>
      <c r="E591" s="5">
        <v>10</v>
      </c>
      <c r="F591" s="79">
        <v>3.806</v>
      </c>
      <c r="G591" s="80">
        <v>2.7E-2</v>
      </c>
    </row>
    <row r="592" spans="1:27">
      <c r="A592" s="1">
        <v>13</v>
      </c>
      <c r="B592" s="71">
        <v>42278</v>
      </c>
      <c r="E592" s="5">
        <v>10</v>
      </c>
      <c r="F592" s="79">
        <v>5.2089999999999996</v>
      </c>
      <c r="G592" s="80">
        <v>0.03</v>
      </c>
      <c r="I592" s="21">
        <f>AVERAGE(F590:F592)</f>
        <v>4.9666666666666659</v>
      </c>
      <c r="J592" s="21">
        <f>AVERAGE(G590:G592)</f>
        <v>3.1666666666666669E-2</v>
      </c>
      <c r="L592">
        <f>+J592/I592</f>
        <v>6.3758389261744982E-3</v>
      </c>
      <c r="M592">
        <f>+(L592-$L$927)/$L$928</f>
        <v>-0.37943910989033774</v>
      </c>
      <c r="N592">
        <f>+N589+M592</f>
        <v>13.315774434526261</v>
      </c>
      <c r="Z592">
        <f>+(I592-$F$927)/$F$928</f>
        <v>-8.3187559803378733E-2</v>
      </c>
      <c r="AA592">
        <f>+AA589+Z592</f>
        <v>14.520016249421875</v>
      </c>
    </row>
    <row r="593" spans="1:27">
      <c r="A593" s="1">
        <v>11</v>
      </c>
      <c r="B593" s="71">
        <v>42309</v>
      </c>
      <c r="E593" s="5">
        <v>11</v>
      </c>
      <c r="F593" s="79">
        <v>1.7250000000000001</v>
      </c>
      <c r="G593" s="80">
        <v>8.0000000000000002E-3</v>
      </c>
    </row>
    <row r="594" spans="1:27">
      <c r="A594" s="1">
        <v>12</v>
      </c>
      <c r="B594" s="71">
        <v>42309</v>
      </c>
      <c r="E594" s="5">
        <v>11</v>
      </c>
      <c r="F594" s="79">
        <v>1.4059999999999999</v>
      </c>
      <c r="G594" s="80">
        <v>5.0000000000000001E-3</v>
      </c>
    </row>
    <row r="595" spans="1:27">
      <c r="A595" s="1">
        <v>13</v>
      </c>
      <c r="B595" s="71">
        <v>42309</v>
      </c>
      <c r="E595" s="5">
        <v>11</v>
      </c>
      <c r="F595" s="79">
        <v>0.94499999999999995</v>
      </c>
      <c r="G595" s="80">
        <v>8.0000000000000002E-3</v>
      </c>
      <c r="I595" s="21">
        <f>AVERAGE(F593:F595)</f>
        <v>1.3586666666666669</v>
      </c>
      <c r="J595" s="21">
        <f>AVERAGE(G593:G595)</f>
        <v>7.0000000000000001E-3</v>
      </c>
      <c r="L595">
        <f>+J595/I595</f>
        <v>5.1521099116781151E-3</v>
      </c>
      <c r="M595">
        <f>+(L595-$L$927)/$L$928</f>
        <v>-0.50277599748339086</v>
      </c>
      <c r="N595">
        <f>+N592+M595</f>
        <v>12.81299843704287</v>
      </c>
      <c r="Z595">
        <f>+(I595-$F$927)/$F$928</f>
        <v>-1.171441636846138</v>
      </c>
      <c r="AA595">
        <f>+AA592+Z595</f>
        <v>13.348574612575737</v>
      </c>
    </row>
    <row r="596" spans="1:27">
      <c r="A596" s="1">
        <v>11</v>
      </c>
      <c r="B596" s="72">
        <v>42339</v>
      </c>
      <c r="E596" s="5">
        <v>12</v>
      </c>
      <c r="F596" s="79">
        <v>3.4</v>
      </c>
      <c r="G596" s="80">
        <v>1.9E-2</v>
      </c>
    </row>
    <row r="597" spans="1:27">
      <c r="A597" s="1">
        <v>12</v>
      </c>
      <c r="B597" s="71">
        <v>42339</v>
      </c>
      <c r="E597" s="5">
        <v>12</v>
      </c>
      <c r="F597" s="79">
        <v>4.452</v>
      </c>
      <c r="G597" s="80">
        <v>2.3E-2</v>
      </c>
    </row>
    <row r="598" spans="1:27">
      <c r="A598" s="1">
        <v>13</v>
      </c>
      <c r="B598" s="71">
        <v>42339</v>
      </c>
      <c r="E598" s="5">
        <v>12</v>
      </c>
      <c r="F598" s="79">
        <v>5.8179999999999996</v>
      </c>
      <c r="G598" s="80">
        <v>2.3E-2</v>
      </c>
      <c r="I598" s="21">
        <f>AVERAGE(F596:F598)</f>
        <v>4.5566666666666666</v>
      </c>
      <c r="J598" s="21">
        <f>AVERAGE(G596:G598)</f>
        <v>2.1666666666666667E-2</v>
      </c>
      <c r="L598">
        <f>+J598/I598</f>
        <v>4.754937820043892E-3</v>
      </c>
      <c r="M598">
        <f>+(L598-$L$927)/$L$928</f>
        <v>-0.54280607688879567</v>
      </c>
      <c r="N598">
        <f>+N595+M598</f>
        <v>12.270192360154073</v>
      </c>
      <c r="Z598">
        <f>+(I598-$F$927)/$F$928</f>
        <v>-0.20685279583096483</v>
      </c>
      <c r="AA598">
        <f>+AA595+Z598</f>
        <v>13.141721816744772</v>
      </c>
    </row>
    <row r="599" spans="1:27">
      <c r="A599" s="1">
        <v>11</v>
      </c>
      <c r="B599" s="70">
        <v>42379</v>
      </c>
      <c r="E599" s="3">
        <v>1</v>
      </c>
      <c r="F599" s="81">
        <v>5.2149999999999999</v>
      </c>
      <c r="G599" s="81">
        <v>0.01</v>
      </c>
    </row>
    <row r="600" spans="1:27">
      <c r="A600" s="1">
        <v>12</v>
      </c>
      <c r="B600" s="70">
        <v>42374</v>
      </c>
      <c r="E600" s="3">
        <v>1</v>
      </c>
      <c r="F600" s="81">
        <v>8.0749999999999993</v>
      </c>
      <c r="G600" s="81">
        <v>1.4E-2</v>
      </c>
    </row>
    <row r="601" spans="1:27">
      <c r="A601" s="1">
        <v>13</v>
      </c>
      <c r="B601" s="70">
        <v>42374</v>
      </c>
      <c r="E601" s="3">
        <v>1</v>
      </c>
      <c r="F601" s="81">
        <v>6.2149999999999999</v>
      </c>
      <c r="G601" s="81">
        <v>0.01</v>
      </c>
      <c r="I601" s="21">
        <f>AVERAGE(F599:F601)</f>
        <v>6.501666666666666</v>
      </c>
      <c r="J601" s="21">
        <f>AVERAGE(G599:G601)</f>
        <v>1.1333333333333334E-2</v>
      </c>
      <c r="L601">
        <f>+J601/I601</f>
        <v>1.7431427839015639E-3</v>
      </c>
      <c r="M601">
        <f>+(L601-$L$927)/$L$928</f>
        <v>-0.84635810632145203</v>
      </c>
      <c r="N601">
        <f>+N598+M601</f>
        <v>11.423834253832622</v>
      </c>
      <c r="Z601">
        <f>+(I601-$F$927)/$F$928</f>
        <v>0.37980301898282864</v>
      </c>
      <c r="AA601">
        <f>+AA598+Z601</f>
        <v>13.5215248357276</v>
      </c>
    </row>
    <row r="602" spans="1:27">
      <c r="A602" s="1">
        <v>11</v>
      </c>
      <c r="B602" s="71">
        <v>42401</v>
      </c>
      <c r="E602" s="5">
        <v>2</v>
      </c>
      <c r="F602" s="81">
        <v>5.5350000000000001</v>
      </c>
      <c r="G602" s="81">
        <v>1.4999999999999999E-2</v>
      </c>
    </row>
    <row r="603" spans="1:27">
      <c r="A603" s="1">
        <v>12</v>
      </c>
      <c r="B603" s="71">
        <v>42401</v>
      </c>
      <c r="E603" s="5">
        <v>2</v>
      </c>
      <c r="F603" s="81">
        <v>6.8559999999999999</v>
      </c>
      <c r="G603" s="81">
        <v>1.7999999999999999E-2</v>
      </c>
    </row>
    <row r="604" spans="1:27">
      <c r="A604" s="1">
        <v>13</v>
      </c>
      <c r="B604" s="71">
        <v>42401</v>
      </c>
      <c r="E604" s="5">
        <v>2</v>
      </c>
      <c r="F604" s="81">
        <v>7.1429999999999998</v>
      </c>
      <c r="G604" s="81">
        <v>1.9E-2</v>
      </c>
      <c r="I604" s="21">
        <f>AVERAGE(F602:F604)</f>
        <v>6.511333333333333</v>
      </c>
      <c r="J604" s="21">
        <f>AVERAGE(G602:G604)</f>
        <v>1.7333333333333336E-2</v>
      </c>
      <c r="L604">
        <f>+J604/I604</f>
        <v>2.6620251868536915E-3</v>
      </c>
      <c r="M604">
        <f>+(L604-$L$927)/$L$928</f>
        <v>-0.75374602120979683</v>
      </c>
      <c r="N604">
        <f>+N601+M604</f>
        <v>10.670088232622826</v>
      </c>
      <c r="Z604">
        <f>+(I604-$F$927)/$F$928</f>
        <v>0.38271870340949538</v>
      </c>
      <c r="AA604">
        <f>+AA601+Z604</f>
        <v>13.904243539137095</v>
      </c>
    </row>
    <row r="605" spans="1:27">
      <c r="A605" s="1">
        <v>11</v>
      </c>
      <c r="B605" s="71">
        <v>42430</v>
      </c>
      <c r="E605" s="5">
        <v>3</v>
      </c>
      <c r="F605" s="81">
        <v>5.6139999999999999</v>
      </c>
      <c r="G605" s="81">
        <v>1.4E-2</v>
      </c>
    </row>
    <row r="606" spans="1:27">
      <c r="A606" s="1">
        <v>12</v>
      </c>
      <c r="B606" s="71">
        <v>42430</v>
      </c>
      <c r="E606" s="5">
        <v>3</v>
      </c>
      <c r="F606" s="81">
        <v>4.2729999999999997</v>
      </c>
      <c r="G606" s="81">
        <v>1.0999999999999999E-2</v>
      </c>
    </row>
    <row r="607" spans="1:27">
      <c r="A607" s="1">
        <v>13</v>
      </c>
      <c r="B607" s="71">
        <v>42430</v>
      </c>
      <c r="E607" s="5">
        <v>3</v>
      </c>
      <c r="F607" s="81">
        <v>2.7320000000000002</v>
      </c>
      <c r="G607" s="81">
        <v>1.0999999999999999E-2</v>
      </c>
      <c r="I607" s="21">
        <f>AVERAGE(F605:F607)</f>
        <v>4.2063333333333333</v>
      </c>
      <c r="J607" s="21">
        <f>AVERAGE(G605:G607)</f>
        <v>1.2000000000000002E-2</v>
      </c>
      <c r="L607">
        <f>+J607/I607</f>
        <v>2.8528409541168087E-3</v>
      </c>
      <c r="M607">
        <f>+(L607-$L$927)/$L$928</f>
        <v>-0.73451413035886459</v>
      </c>
      <c r="N607">
        <f>+N604+M607</f>
        <v>9.9355741022639616</v>
      </c>
      <c r="Z607">
        <f>+(I607-$F$927)/$F$928</f>
        <v>-0.31252122108705688</v>
      </c>
      <c r="AA607">
        <f>+AA604+Z607</f>
        <v>13.591722318050039</v>
      </c>
    </row>
    <row r="608" spans="1:27">
      <c r="A608" s="1">
        <v>11</v>
      </c>
      <c r="B608" s="71">
        <v>42461</v>
      </c>
      <c r="E608" s="5">
        <v>4</v>
      </c>
      <c r="F608" s="81">
        <v>4.4889999999999999</v>
      </c>
      <c r="G608" s="81">
        <v>1.2E-2</v>
      </c>
    </row>
    <row r="609" spans="1:27">
      <c r="A609" s="1">
        <v>12</v>
      </c>
      <c r="B609" s="71">
        <v>42461</v>
      </c>
      <c r="E609" s="5">
        <v>4</v>
      </c>
      <c r="F609" s="81">
        <v>4.5019999999999998</v>
      </c>
      <c r="G609" s="81">
        <v>1.0999999999999999E-2</v>
      </c>
    </row>
    <row r="610" spans="1:27">
      <c r="A610" s="1">
        <v>13</v>
      </c>
      <c r="B610" s="71">
        <v>42461</v>
      </c>
      <c r="E610" s="5">
        <v>4</v>
      </c>
      <c r="F610" s="81">
        <v>3.6019999999999999</v>
      </c>
      <c r="G610" s="81">
        <v>8.9999999999999993E-3</v>
      </c>
      <c r="I610" s="21">
        <f>AVERAGE(F608:F610)</f>
        <v>4.1976666666666667</v>
      </c>
      <c r="J610" s="21">
        <f>AVERAGE(G608:G610)</f>
        <v>1.0666666666666666E-2</v>
      </c>
      <c r="L610">
        <f>+J610/I610</f>
        <v>2.5410942587151589E-3</v>
      </c>
      <c r="M610">
        <f>+(L610-$L$927)/$L$928</f>
        <v>-0.7659343767310427</v>
      </c>
      <c r="N610">
        <f>+N607+M610</f>
        <v>9.1696397255329192</v>
      </c>
      <c r="Z610">
        <f>+(I610-$F$927)/$F$928</f>
        <v>-0.31513528298682697</v>
      </c>
      <c r="AA610">
        <f>+AA607+Z610</f>
        <v>13.276587035063212</v>
      </c>
    </row>
    <row r="611" spans="1:27">
      <c r="A611" s="1">
        <v>11</v>
      </c>
      <c r="B611" s="71">
        <v>42491</v>
      </c>
      <c r="E611" s="5">
        <v>5</v>
      </c>
      <c r="F611" s="81">
        <v>7.3659999999999997</v>
      </c>
      <c r="G611" s="81">
        <v>4.2999999999999997E-2</v>
      </c>
    </row>
    <row r="612" spans="1:27">
      <c r="A612" s="1">
        <v>12</v>
      </c>
      <c r="B612" s="71">
        <v>42491</v>
      </c>
      <c r="E612" s="5">
        <v>5</v>
      </c>
      <c r="F612" s="81">
        <v>7.1539999999999999</v>
      </c>
      <c r="G612" s="81">
        <v>4.7E-2</v>
      </c>
    </row>
    <row r="613" spans="1:27">
      <c r="A613" s="1">
        <v>13</v>
      </c>
      <c r="B613" s="71">
        <v>42491</v>
      </c>
      <c r="E613" s="5">
        <v>5</v>
      </c>
      <c r="F613" s="81">
        <v>8.9220000000000006</v>
      </c>
      <c r="G613" s="81">
        <v>7.1999999999999995E-2</v>
      </c>
      <c r="I613" s="21">
        <f>AVERAGE(F611:F613)</f>
        <v>7.8140000000000001</v>
      </c>
      <c r="J613" s="21">
        <f>AVERAGE(G611:G613)</f>
        <v>5.3999999999999992E-2</v>
      </c>
      <c r="L613">
        <f>+J613/I613</f>
        <v>6.9106731507550543E-3</v>
      </c>
      <c r="M613">
        <f>+(L613-$L$927)/$L$928</f>
        <v>-0.32553437456365508</v>
      </c>
      <c r="N613">
        <f>+N610+M613</f>
        <v>8.8441053509692633</v>
      </c>
      <c r="Z613">
        <f>+(I613-$F$927)/$F$928</f>
        <v>0.77563231511340391</v>
      </c>
      <c r="AA613">
        <f>+AA610+Z613</f>
        <v>14.052219350176616</v>
      </c>
    </row>
    <row r="614" spans="1:27">
      <c r="A614" s="1">
        <v>11</v>
      </c>
      <c r="B614" s="71">
        <v>42522</v>
      </c>
      <c r="E614" s="5">
        <v>6</v>
      </c>
      <c r="F614" s="81">
        <v>5.7859999999999996</v>
      </c>
      <c r="G614" s="81">
        <v>3.9E-2</v>
      </c>
    </row>
    <row r="615" spans="1:27">
      <c r="A615" s="1">
        <v>12</v>
      </c>
      <c r="B615" s="71">
        <v>42522</v>
      </c>
      <c r="E615" s="5">
        <v>6</v>
      </c>
      <c r="F615" s="81">
        <v>7.0030000000000001</v>
      </c>
      <c r="G615" s="81">
        <v>4.1000000000000002E-2</v>
      </c>
    </row>
    <row r="616" spans="1:27">
      <c r="A616" s="1">
        <v>13</v>
      </c>
      <c r="B616" s="71">
        <v>42522</v>
      </c>
      <c r="E616" s="5">
        <v>6</v>
      </c>
      <c r="F616" s="81">
        <v>7.8079999999999998</v>
      </c>
      <c r="G616" s="81">
        <v>3.7999999999999999E-2</v>
      </c>
      <c r="I616" s="21">
        <f>AVERAGE(F614:F616)</f>
        <v>6.8656666666666668</v>
      </c>
      <c r="J616" s="21">
        <f>AVERAGE(G614:G616)</f>
        <v>3.9333333333333331E-2</v>
      </c>
      <c r="L616">
        <f>+J616/I616</f>
        <v>5.7289896586881581E-3</v>
      </c>
      <c r="M616">
        <f>+(L616-$L$927)/$L$928</f>
        <v>-0.44463358877293951</v>
      </c>
      <c r="N616">
        <f>+N613+M616</f>
        <v>8.399471762196324</v>
      </c>
      <c r="Z616">
        <f>+(I616-$F$927)/$F$928</f>
        <v>0.48959361877317381</v>
      </c>
      <c r="AA616">
        <f>+AA613+Z616</f>
        <v>14.54181296894979</v>
      </c>
    </row>
    <row r="617" spans="1:27">
      <c r="A617" s="1">
        <v>11</v>
      </c>
      <c r="B617" s="71">
        <v>42552</v>
      </c>
      <c r="E617" s="5">
        <v>7</v>
      </c>
      <c r="F617" s="81">
        <v>8.6720000000000006</v>
      </c>
      <c r="G617" s="81">
        <v>0.123</v>
      </c>
    </row>
    <row r="618" spans="1:27">
      <c r="A618" s="1">
        <v>12</v>
      </c>
      <c r="B618" s="71">
        <v>42552</v>
      </c>
      <c r="E618" s="5">
        <v>7</v>
      </c>
      <c r="F618" s="81">
        <v>8.9190000000000005</v>
      </c>
      <c r="G618" s="81">
        <v>0.129</v>
      </c>
    </row>
    <row r="619" spans="1:27">
      <c r="A619" s="1">
        <v>13</v>
      </c>
      <c r="B619" s="71">
        <v>42552</v>
      </c>
      <c r="E619" s="5">
        <v>7</v>
      </c>
      <c r="F619" s="81">
        <v>18.024999999999999</v>
      </c>
      <c r="G619" s="81">
        <v>0.29099999999999998</v>
      </c>
      <c r="I619" s="21">
        <f>AVERAGE(F617:F619)</f>
        <v>11.872</v>
      </c>
      <c r="J619" s="21">
        <f>AVERAGE(G617:G619)</f>
        <v>0.18099999999999997</v>
      </c>
      <c r="L619">
        <f>+J619/I619</f>
        <v>1.5245956873315361E-2</v>
      </c>
      <c r="M619">
        <f>+(L619-$L$927)/$L$928</f>
        <v>0.51456007393539582</v>
      </c>
      <c r="N619">
        <f>+N616+M619</f>
        <v>8.9140318361317199</v>
      </c>
      <c r="Z619">
        <f>+(I619-$F$927)/$F$928</f>
        <v>1.999616529259612</v>
      </c>
      <c r="AA619">
        <f>+AA616+Z619</f>
        <v>16.541429498209403</v>
      </c>
    </row>
    <row r="620" spans="1:27">
      <c r="A620" s="1">
        <v>11</v>
      </c>
      <c r="B620" s="71">
        <v>42583</v>
      </c>
      <c r="E620" s="5">
        <v>8</v>
      </c>
      <c r="F620" s="81">
        <v>7.4160000000000004</v>
      </c>
      <c r="G620" s="81">
        <v>0.14399999999999999</v>
      </c>
    </row>
    <row r="621" spans="1:27">
      <c r="A621" s="1">
        <v>12</v>
      </c>
      <c r="B621" s="71">
        <v>42583</v>
      </c>
      <c r="E621" s="5">
        <v>8</v>
      </c>
      <c r="F621" s="81">
        <v>7.9630000000000001</v>
      </c>
      <c r="G621" s="81">
        <v>0.19</v>
      </c>
    </row>
    <row r="622" spans="1:27">
      <c r="A622" s="1">
        <v>13</v>
      </c>
      <c r="B622" s="71">
        <v>42583</v>
      </c>
      <c r="E622" s="5">
        <v>8</v>
      </c>
      <c r="F622" s="81">
        <v>14.641</v>
      </c>
      <c r="G622" s="81">
        <v>0.54200000000000004</v>
      </c>
      <c r="I622" s="21">
        <f>AVERAGE(F620:F622)</f>
        <v>10.006666666666668</v>
      </c>
      <c r="J622" s="21">
        <f>AVERAGE(G620:G622)</f>
        <v>0.29199999999999998</v>
      </c>
      <c r="L622">
        <f>+J622/I622</f>
        <v>2.918054630246502E-2</v>
      </c>
      <c r="M622">
        <f>+(L622-$L$927)/$L$928</f>
        <v>1.9189959169358788</v>
      </c>
      <c r="N622">
        <f>+N619+M622</f>
        <v>10.833027753067599</v>
      </c>
      <c r="Z622">
        <f>+(I622-$F$927)/$F$928</f>
        <v>1.436989975755244</v>
      </c>
      <c r="AA622">
        <f>+AA619+Z622</f>
        <v>17.978419473964646</v>
      </c>
    </row>
    <row r="623" spans="1:27">
      <c r="A623" s="1">
        <v>11</v>
      </c>
      <c r="B623" s="71">
        <v>42614</v>
      </c>
      <c r="E623" s="5">
        <v>9</v>
      </c>
      <c r="F623" s="81">
        <v>6.0890000000000004</v>
      </c>
      <c r="G623" s="81">
        <v>0.04</v>
      </c>
    </row>
    <row r="624" spans="1:27">
      <c r="A624" s="1">
        <v>12</v>
      </c>
      <c r="B624" s="71">
        <v>42614</v>
      </c>
      <c r="E624" s="5">
        <v>9</v>
      </c>
      <c r="F624" s="81">
        <v>7.117</v>
      </c>
      <c r="G624" s="81">
        <v>5.2999999999999999E-2</v>
      </c>
    </row>
    <row r="625" spans="1:27">
      <c r="A625" s="1">
        <v>13</v>
      </c>
      <c r="B625" s="71">
        <v>42614</v>
      </c>
      <c r="E625" s="5">
        <v>9</v>
      </c>
      <c r="F625" s="81">
        <v>10.36</v>
      </c>
      <c r="G625" s="81">
        <v>6.4000000000000001E-2</v>
      </c>
      <c r="I625" s="21">
        <f>AVERAGE(F623:F625)</f>
        <v>7.8553333333333333</v>
      </c>
      <c r="J625" s="21">
        <f>AVERAGE(G623:G625)</f>
        <v>5.2333333333333336E-2</v>
      </c>
      <c r="L625">
        <f>+J625/I625</f>
        <v>6.6621403717219731E-3</v>
      </c>
      <c r="M625">
        <f>+(L625-$L$927)/$L$928</f>
        <v>-0.35058343286632787</v>
      </c>
      <c r="N625">
        <f>+N622+M625</f>
        <v>10.482444320201271</v>
      </c>
      <c r="Z625">
        <f>+(I625-$F$927)/$F$928</f>
        <v>0.78809937955846132</v>
      </c>
      <c r="AA625">
        <f>+AA622+Z625</f>
        <v>18.766518853523106</v>
      </c>
    </row>
    <row r="626" spans="1:27">
      <c r="A626" s="1">
        <v>11</v>
      </c>
      <c r="B626" s="71">
        <v>42644</v>
      </c>
      <c r="E626" s="5">
        <v>10</v>
      </c>
      <c r="F626" s="81">
        <v>2.234</v>
      </c>
      <c r="G626" s="81">
        <v>2.3E-2</v>
      </c>
    </row>
    <row r="627" spans="1:27">
      <c r="A627" s="1">
        <v>12</v>
      </c>
      <c r="B627" s="71">
        <v>42644</v>
      </c>
      <c r="E627" s="5">
        <v>10</v>
      </c>
      <c r="F627" s="81">
        <v>3.1469999999999998</v>
      </c>
      <c r="G627" s="81">
        <v>4.5999999999999999E-2</v>
      </c>
    </row>
    <row r="628" spans="1:27">
      <c r="A628" s="1">
        <v>13</v>
      </c>
      <c r="B628" s="71">
        <v>42644</v>
      </c>
      <c r="E628" s="5">
        <v>10</v>
      </c>
      <c r="F628" s="81">
        <v>5.1710000000000003</v>
      </c>
      <c r="G628" s="81">
        <v>0.05</v>
      </c>
      <c r="I628" s="21">
        <f>AVERAGE(F626:F628)</f>
        <v>3.5173333333333332</v>
      </c>
      <c r="J628" s="21">
        <f>AVERAGE(G626:G628)</f>
        <v>3.966666666666667E-2</v>
      </c>
      <c r="L628">
        <f>+J628/I628</f>
        <v>1.1277482941622443E-2</v>
      </c>
      <c r="M628">
        <f>+(L628-$L$927)/$L$928</f>
        <v>0.11458653614148775</v>
      </c>
      <c r="N628">
        <f>+N625+M628</f>
        <v>10.597030856342759</v>
      </c>
      <c r="Z628">
        <f>+(I628-$F$927)/$F$928</f>
        <v>-0.52033914211878118</v>
      </c>
      <c r="AA628">
        <f>+AA625+Z628</f>
        <v>18.246179711404324</v>
      </c>
    </row>
    <row r="629" spans="1:27">
      <c r="A629" s="1">
        <v>11</v>
      </c>
      <c r="B629" s="71">
        <v>42675</v>
      </c>
      <c r="E629" s="5">
        <v>11</v>
      </c>
      <c r="F629" s="81">
        <v>4.2850000000000001</v>
      </c>
      <c r="G629" s="81">
        <v>1.9E-2</v>
      </c>
    </row>
    <row r="630" spans="1:27">
      <c r="A630" s="1">
        <v>12</v>
      </c>
      <c r="B630" s="71">
        <v>42675</v>
      </c>
      <c r="E630" s="5">
        <v>11</v>
      </c>
      <c r="F630" s="81">
        <v>5.68</v>
      </c>
      <c r="G630" s="81">
        <v>0.03</v>
      </c>
    </row>
    <row r="631" spans="1:27">
      <c r="A631" s="1">
        <v>13</v>
      </c>
      <c r="B631" s="71">
        <v>42675</v>
      </c>
      <c r="E631" s="5">
        <v>11</v>
      </c>
      <c r="F631" s="81">
        <v>2.0910000000000002</v>
      </c>
      <c r="G631" s="81">
        <v>8.9999999999999993E-3</v>
      </c>
      <c r="I631" s="21">
        <f>AVERAGE(F629:F631)</f>
        <v>4.0186666666666673</v>
      </c>
      <c r="J631" s="21">
        <f>AVERAGE(G629:G631)</f>
        <v>1.9333333333333334E-2</v>
      </c>
      <c r="L631">
        <f>+J631/I631</f>
        <v>4.8108825481088247E-3</v>
      </c>
      <c r="M631">
        <f>+(L631-$L$927)/$L$928</f>
        <v>-0.53716753391479566</v>
      </c>
      <c r="N631">
        <f>+N628+M631</f>
        <v>10.059863322427963</v>
      </c>
      <c r="Z631">
        <f>+(I631-$F$927)/$F$928</f>
        <v>-0.36912571530130961</v>
      </c>
      <c r="AA631">
        <f>+AA628+Z631</f>
        <v>17.877053996103015</v>
      </c>
    </row>
    <row r="632" spans="1:27">
      <c r="A632" s="1">
        <v>11</v>
      </c>
      <c r="B632" s="72">
        <v>42705</v>
      </c>
      <c r="E632" s="5">
        <v>12</v>
      </c>
      <c r="F632" s="81">
        <v>6.109</v>
      </c>
      <c r="G632" s="81">
        <v>4.7E-2</v>
      </c>
    </row>
    <row r="633" spans="1:27">
      <c r="A633" s="1">
        <v>12</v>
      </c>
      <c r="B633" s="71">
        <v>42705</v>
      </c>
      <c r="E633" s="5">
        <v>12</v>
      </c>
      <c r="F633" s="81">
        <v>3.9180000000000001</v>
      </c>
      <c r="G633" s="81">
        <v>1.6E-2</v>
      </c>
    </row>
    <row r="634" spans="1:27">
      <c r="A634" s="1">
        <v>13</v>
      </c>
      <c r="B634" s="71">
        <v>42705</v>
      </c>
      <c r="E634" s="5">
        <v>12</v>
      </c>
      <c r="F634" s="81">
        <v>3.7839999999999998</v>
      </c>
      <c r="G634" s="81">
        <v>1.2E-2</v>
      </c>
      <c r="I634" s="21">
        <f>AVERAGE(F632:F634)</f>
        <v>4.6036666666666664</v>
      </c>
      <c r="J634" s="21">
        <f>AVERAGE(G632:G634)</f>
        <v>2.4999999999999998E-2</v>
      </c>
      <c r="L634">
        <f>+J634/I634</f>
        <v>5.4304539859532253E-3</v>
      </c>
      <c r="M634">
        <f>+(L634-$L$927)/$L$928</f>
        <v>-0.47472232596430053</v>
      </c>
      <c r="N634">
        <f>+N631+M634</f>
        <v>9.5851409964636627</v>
      </c>
      <c r="Z634">
        <f>+(I634-$F$927)/$F$928</f>
        <v>-0.19267653706682697</v>
      </c>
      <c r="AA634">
        <f>+AA631+Z634</f>
        <v>17.684377459036188</v>
      </c>
    </row>
    <row r="635" spans="1:27">
      <c r="A635" s="1">
        <v>11</v>
      </c>
      <c r="B635" s="70">
        <v>42745</v>
      </c>
      <c r="E635" s="3">
        <v>1</v>
      </c>
    </row>
    <row r="636" spans="1:27">
      <c r="A636" s="1">
        <v>12</v>
      </c>
      <c r="B636" s="70">
        <v>42740</v>
      </c>
      <c r="E636" s="3">
        <v>1</v>
      </c>
    </row>
    <row r="637" spans="1:27">
      <c r="A637" s="1">
        <v>13</v>
      </c>
      <c r="B637" s="70">
        <v>42740</v>
      </c>
      <c r="E637" s="3">
        <v>1</v>
      </c>
    </row>
    <row r="638" spans="1:27">
      <c r="A638" s="1">
        <v>11</v>
      </c>
      <c r="B638" s="71">
        <v>42767</v>
      </c>
      <c r="E638" s="5">
        <v>2</v>
      </c>
    </row>
    <row r="639" spans="1:27">
      <c r="A639" s="1">
        <v>12</v>
      </c>
      <c r="B639" s="71">
        <v>42767</v>
      </c>
      <c r="E639" s="5">
        <v>2</v>
      </c>
    </row>
    <row r="640" spans="1:27">
      <c r="A640" s="1">
        <v>13</v>
      </c>
      <c r="B640" s="71">
        <v>42767</v>
      </c>
      <c r="E640" s="5">
        <v>2</v>
      </c>
    </row>
    <row r="641" spans="1:27">
      <c r="A641" s="1">
        <v>11</v>
      </c>
      <c r="B641" s="71">
        <v>42795</v>
      </c>
      <c r="E641" s="5">
        <v>3</v>
      </c>
      <c r="F641" s="81">
        <v>4.8869999999999996</v>
      </c>
      <c r="G641" s="81">
        <v>2.1000000000000001E-2</v>
      </c>
    </row>
    <row r="642" spans="1:27">
      <c r="A642" s="1">
        <v>12</v>
      </c>
      <c r="B642" s="71">
        <v>42795</v>
      </c>
      <c r="E642" s="5">
        <v>3</v>
      </c>
      <c r="F642" s="81">
        <v>5.0990000000000002</v>
      </c>
      <c r="G642" s="81">
        <v>2.1999999999999999E-2</v>
      </c>
    </row>
    <row r="643" spans="1:27">
      <c r="A643" s="1">
        <v>13</v>
      </c>
      <c r="B643" s="71">
        <v>42795</v>
      </c>
      <c r="E643" s="5">
        <v>3</v>
      </c>
      <c r="F643" s="81">
        <v>4.2910000000000004</v>
      </c>
      <c r="G643" s="81">
        <v>2.4E-2</v>
      </c>
      <c r="I643" s="21">
        <f>AVERAGE(F641:F643)</f>
        <v>4.7590000000000003</v>
      </c>
      <c r="J643" s="21">
        <f>AVERAGE(G641:G643)</f>
        <v>2.2333333333333334E-2</v>
      </c>
      <c r="L643">
        <f>+J643/I643</f>
        <v>4.6928626462141906E-3</v>
      </c>
      <c r="M643">
        <f>+(L643-$L$927)/$L$928</f>
        <v>-0.54906249366592341</v>
      </c>
      <c r="N643">
        <f>+N634+M643</f>
        <v>9.0360785027977393</v>
      </c>
      <c r="Z643">
        <f>+(I643-$F$927)/$F$928</f>
        <v>-0.14582450455556237</v>
      </c>
      <c r="AA643">
        <f>+AA634+Z643</f>
        <v>17.538552954480625</v>
      </c>
    </row>
    <row r="644" spans="1:27">
      <c r="A644" s="1">
        <v>11</v>
      </c>
      <c r="B644" s="71">
        <v>42826</v>
      </c>
      <c r="E644" s="5">
        <v>4</v>
      </c>
      <c r="F644" s="81">
        <v>1.1439999999999999</v>
      </c>
      <c r="G644" s="81">
        <v>9.9989999999999996E-4</v>
      </c>
    </row>
    <row r="645" spans="1:27">
      <c r="A645" s="1">
        <v>12</v>
      </c>
      <c r="B645" s="71">
        <v>42826</v>
      </c>
      <c r="E645" s="5">
        <v>4</v>
      </c>
      <c r="F645" s="81">
        <v>1.2629999999999999</v>
      </c>
      <c r="G645" s="81">
        <v>1.0999999999999999E-2</v>
      </c>
    </row>
    <row r="646" spans="1:27">
      <c r="A646" s="1">
        <v>13</v>
      </c>
      <c r="B646" s="71">
        <v>42826</v>
      </c>
      <c r="E646" s="5">
        <v>4</v>
      </c>
      <c r="F646" s="81">
        <v>1.915</v>
      </c>
      <c r="G646" s="81">
        <v>1.6E-2</v>
      </c>
      <c r="I646" s="21">
        <f>AVERAGE(F644:F646)</f>
        <v>1.4406666666666668</v>
      </c>
      <c r="J646" s="21">
        <f>AVERAGE(G644:G646)</f>
        <v>9.333300000000001E-3</v>
      </c>
      <c r="L646">
        <f>+J646/I646</f>
        <v>6.4784590467376214E-3</v>
      </c>
      <c r="M646">
        <f>+(L646-$L$927)/$L$928</f>
        <v>-0.36909625936971957</v>
      </c>
      <c r="N646">
        <f>+N643+M646</f>
        <v>8.6669822434280199</v>
      </c>
      <c r="Z646">
        <f>+(I646-$F$927)/$F$928</f>
        <v>-1.1467085896406208</v>
      </c>
      <c r="AA646">
        <f>+AA643+Z646</f>
        <v>16.391844364840004</v>
      </c>
    </row>
    <row r="647" spans="1:27">
      <c r="A647" s="1">
        <v>11</v>
      </c>
      <c r="B647" s="71">
        <v>42856</v>
      </c>
      <c r="E647" s="5">
        <v>5</v>
      </c>
      <c r="F647" s="81">
        <v>3.423</v>
      </c>
      <c r="G647" s="81">
        <v>0.02</v>
      </c>
    </row>
    <row r="648" spans="1:27">
      <c r="A648" s="1">
        <v>12</v>
      </c>
      <c r="B648" s="71">
        <v>42856</v>
      </c>
      <c r="E648" s="5">
        <v>5</v>
      </c>
      <c r="F648" s="81">
        <v>4.0819999999999999</v>
      </c>
      <c r="G648" s="81">
        <v>2.3E-2</v>
      </c>
    </row>
    <row r="649" spans="1:27">
      <c r="A649" s="1">
        <v>13</v>
      </c>
      <c r="B649" s="71">
        <v>42856</v>
      </c>
      <c r="E649" s="5">
        <v>5</v>
      </c>
      <c r="F649" s="81">
        <v>4.6100000000000003</v>
      </c>
      <c r="G649" s="81">
        <v>3.9E-2</v>
      </c>
      <c r="I649" s="21">
        <f>AVERAGE(F647:F649)</f>
        <v>4.0383333333333331</v>
      </c>
      <c r="J649" s="21">
        <f>AVERAGE(G647:G649)</f>
        <v>2.7333333333333331E-2</v>
      </c>
      <c r="L649">
        <f>+J649/I649</f>
        <v>6.7684688402806434E-3</v>
      </c>
      <c r="M649">
        <f>+(L649-$L$927)/$L$928</f>
        <v>-0.33986682631437876</v>
      </c>
      <c r="N649">
        <f>+N646+M649</f>
        <v>8.3271154171136406</v>
      </c>
      <c r="Z649">
        <f>+(I649-$F$927)/$F$928</f>
        <v>-0.36319380560567766</v>
      </c>
      <c r="AA649">
        <f>+AA646+Z649</f>
        <v>16.028650559234325</v>
      </c>
    </row>
    <row r="650" spans="1:27">
      <c r="A650" s="1">
        <v>11</v>
      </c>
      <c r="B650" s="71">
        <v>42887</v>
      </c>
      <c r="E650" s="5">
        <v>6</v>
      </c>
      <c r="F650" s="81">
        <v>4.7759999999999998</v>
      </c>
      <c r="G650" s="81">
        <v>4.9000000000000002E-2</v>
      </c>
    </row>
    <row r="651" spans="1:27">
      <c r="A651" s="1">
        <v>12</v>
      </c>
      <c r="B651" s="71">
        <v>42887</v>
      </c>
      <c r="E651" s="5">
        <v>6</v>
      </c>
      <c r="F651" s="81">
        <v>4.5810000000000004</v>
      </c>
      <c r="G651" s="81">
        <v>5.3999999999999999E-2</v>
      </c>
    </row>
    <row r="652" spans="1:27">
      <c r="A652" s="1">
        <v>13</v>
      </c>
      <c r="B652" s="71">
        <v>42887</v>
      </c>
      <c r="E652" s="5">
        <v>6</v>
      </c>
      <c r="F652" s="81">
        <v>3.6120000000000001</v>
      </c>
      <c r="G652" s="81">
        <v>8.5999999999999993E-2</v>
      </c>
      <c r="I652" s="21">
        <f>AVERAGE(F650:F652)</f>
        <v>4.3229999999999995</v>
      </c>
      <c r="J652" s="21">
        <f>AVERAGE(G650:G652)</f>
        <v>6.3E-2</v>
      </c>
      <c r="L652">
        <f>+J652/I652</f>
        <v>1.4573213046495491E-2</v>
      </c>
      <c r="M652">
        <f>+(L652-$L$927)/$L$928</f>
        <v>0.44675574081549341</v>
      </c>
      <c r="N652">
        <f>+N649+M652</f>
        <v>8.7738711579291344</v>
      </c>
      <c r="Z652">
        <f>+(I652-$F$927)/$F$928</f>
        <v>-0.27733192628245928</v>
      </c>
      <c r="AA652">
        <f>+AA649+Z652</f>
        <v>15.751318632951866</v>
      </c>
    </row>
    <row r="653" spans="1:27">
      <c r="A653" s="1">
        <v>11</v>
      </c>
      <c r="B653" s="71">
        <v>42917</v>
      </c>
      <c r="E653" s="5">
        <v>7</v>
      </c>
      <c r="F653" s="81">
        <v>3.9660000000000002</v>
      </c>
      <c r="G653" s="81">
        <v>5.6000000000000001E-2</v>
      </c>
    </row>
    <row r="654" spans="1:27">
      <c r="A654" s="1">
        <v>12</v>
      </c>
      <c r="B654" s="71">
        <v>42917</v>
      </c>
      <c r="E654" s="5">
        <v>7</v>
      </c>
      <c r="F654" s="81">
        <v>3.403</v>
      </c>
      <c r="G654" s="81">
        <v>0.05</v>
      </c>
    </row>
    <row r="655" spans="1:27">
      <c r="A655" s="1">
        <v>13</v>
      </c>
      <c r="B655" s="71">
        <v>42917</v>
      </c>
      <c r="E655" s="5">
        <v>7</v>
      </c>
      <c r="F655" s="81">
        <v>8.1620000000000008</v>
      </c>
      <c r="G655" s="81">
        <v>0.186</v>
      </c>
      <c r="I655" s="21">
        <f>AVERAGE(F653:F655)</f>
        <v>5.1770000000000005</v>
      </c>
      <c r="J655" s="21">
        <f>AVERAGE(G653:G655)</f>
        <v>9.7333333333333341E-2</v>
      </c>
      <c r="L655">
        <f>+J655/I655</f>
        <v>1.8801107462494367E-2</v>
      </c>
      <c r="M655">
        <f>+(L655-$L$927)/$L$928</f>
        <v>0.87287568417235784</v>
      </c>
      <c r="N655">
        <f>+N652+M655</f>
        <v>9.6467468421014928</v>
      </c>
      <c r="Z655">
        <f>+(I655-$F$927)/$F$928</f>
        <v>-1.9746288312803575E-2</v>
      </c>
      <c r="AA655">
        <f>+AA652+Z655</f>
        <v>15.731572344639062</v>
      </c>
    </row>
    <row r="656" spans="1:27">
      <c r="A656" s="1">
        <v>11</v>
      </c>
      <c r="B656" s="71">
        <v>42948</v>
      </c>
      <c r="E656" s="5">
        <v>8</v>
      </c>
    </row>
    <row r="657" spans="1:27">
      <c r="A657" s="1">
        <v>12</v>
      </c>
      <c r="B657" s="71">
        <v>42948</v>
      </c>
      <c r="E657" s="5">
        <v>8</v>
      </c>
    </row>
    <row r="658" spans="1:27">
      <c r="A658" s="1">
        <v>13</v>
      </c>
      <c r="B658" s="71">
        <v>42948</v>
      </c>
      <c r="E658" s="5">
        <v>8</v>
      </c>
      <c r="I658" s="21"/>
      <c r="J658" s="21"/>
    </row>
    <row r="659" spans="1:27">
      <c r="A659" s="1">
        <v>11</v>
      </c>
      <c r="B659" s="71">
        <v>42979</v>
      </c>
      <c r="E659" s="5">
        <v>9</v>
      </c>
      <c r="F659" s="81">
        <v>3.472</v>
      </c>
      <c r="G659" s="81">
        <v>2.5999999999999999E-2</v>
      </c>
    </row>
    <row r="660" spans="1:27">
      <c r="A660" s="1">
        <v>12</v>
      </c>
      <c r="B660" s="71">
        <v>42979</v>
      </c>
      <c r="E660" s="5">
        <v>9</v>
      </c>
      <c r="F660" s="81">
        <v>1.677</v>
      </c>
      <c r="G660" s="81">
        <v>1.4E-2</v>
      </c>
    </row>
    <row r="661" spans="1:27">
      <c r="A661" s="1">
        <v>13</v>
      </c>
      <c r="B661" s="71">
        <v>42979</v>
      </c>
      <c r="E661" s="5">
        <v>9</v>
      </c>
      <c r="F661" s="81">
        <v>2.4990000000000001</v>
      </c>
      <c r="G661" s="81">
        <v>2.5999999999999999E-2</v>
      </c>
      <c r="I661" s="21">
        <f>AVERAGE(F659:F661)</f>
        <v>2.5493333333333332</v>
      </c>
      <c r="J661" s="21">
        <f>AVERAGE(G659:G661)</f>
        <v>2.2000000000000002E-2</v>
      </c>
      <c r="L661">
        <f>+J661/I661</f>
        <v>8.629707112970713E-3</v>
      </c>
      <c r="M661">
        <f>+(L661-$L$927)/$L$928</f>
        <v>-0.15227681831155551</v>
      </c>
      <c r="N661">
        <f>+N655+M661</f>
        <v>9.4944700237899369</v>
      </c>
      <c r="Z661">
        <f>+(I661-$F$927)/$F$928</f>
        <v>-0.81230974815464352</v>
      </c>
      <c r="AA661">
        <f>+AA655+Z661</f>
        <v>14.919262596484419</v>
      </c>
    </row>
    <row r="662" spans="1:27">
      <c r="A662" s="1">
        <v>11</v>
      </c>
      <c r="B662" s="71">
        <v>43009</v>
      </c>
      <c r="E662" s="5">
        <v>10</v>
      </c>
    </row>
    <row r="663" spans="1:27">
      <c r="A663" s="1">
        <v>12</v>
      </c>
      <c r="B663" s="71">
        <v>43009</v>
      </c>
      <c r="E663" s="5">
        <v>10</v>
      </c>
    </row>
    <row r="664" spans="1:27">
      <c r="A664" s="1">
        <v>13</v>
      </c>
      <c r="B664" s="71">
        <v>43009</v>
      </c>
      <c r="E664" s="5">
        <v>10</v>
      </c>
      <c r="I664" s="21"/>
      <c r="J664" s="21"/>
    </row>
    <row r="665" spans="1:27">
      <c r="A665" s="1">
        <v>11</v>
      </c>
      <c r="B665" s="71">
        <v>43040</v>
      </c>
      <c r="E665" s="5">
        <v>11</v>
      </c>
      <c r="F665" s="81">
        <v>2.278</v>
      </c>
      <c r="G665" s="81">
        <v>2.1000000000000001E-2</v>
      </c>
    </row>
    <row r="666" spans="1:27">
      <c r="A666" s="1">
        <v>12</v>
      </c>
      <c r="B666" s="71">
        <v>43040</v>
      </c>
      <c r="E666" s="5">
        <v>11</v>
      </c>
      <c r="F666" s="81">
        <v>0.95399999999999996</v>
      </c>
      <c r="G666" s="81">
        <v>1.0999999999999999E-2</v>
      </c>
    </row>
    <row r="667" spans="1:27">
      <c r="A667" s="1">
        <v>13</v>
      </c>
      <c r="B667" s="71">
        <v>43040</v>
      </c>
      <c r="E667" s="5">
        <v>11</v>
      </c>
      <c r="F667" s="81">
        <v>0.90400000000000003</v>
      </c>
      <c r="G667" s="81">
        <v>7.0000000000000001E-3</v>
      </c>
      <c r="I667" s="21">
        <f>AVERAGE(F665:F667)</f>
        <v>1.3786666666666667</v>
      </c>
      <c r="J667" s="21">
        <f>AVERAGE(G665:G667)</f>
        <v>1.2999999999999999E-2</v>
      </c>
      <c r="L667">
        <f>+J667/I667</f>
        <v>9.4294003868471941E-3</v>
      </c>
      <c r="M667">
        <f>+(L667-$L$927)/$L$928</f>
        <v>-7.1677536721737697E-2</v>
      </c>
      <c r="N667">
        <f>+N661+M667</f>
        <v>9.4227924870681985</v>
      </c>
      <c r="Z667">
        <f>+(I667-$F$927)/$F$928</f>
        <v>-1.165409186308207</v>
      </c>
      <c r="AA667">
        <f>+AA661+Z667</f>
        <v>13.753853410176212</v>
      </c>
    </row>
    <row r="668" spans="1:27">
      <c r="A668" s="1">
        <v>11</v>
      </c>
      <c r="B668" s="72">
        <v>43070</v>
      </c>
      <c r="E668" s="5">
        <v>12</v>
      </c>
      <c r="F668" s="81">
        <v>1.851</v>
      </c>
      <c r="G668" s="81">
        <v>8.0000000000000002E-3</v>
      </c>
    </row>
    <row r="669" spans="1:27">
      <c r="A669" s="1">
        <v>12</v>
      </c>
      <c r="B669" s="71">
        <v>43070</v>
      </c>
      <c r="E669" s="5">
        <v>12</v>
      </c>
      <c r="F669" s="81">
        <v>1.3420000000000001</v>
      </c>
      <c r="G669" s="81">
        <v>4.0000000000000001E-3</v>
      </c>
    </row>
    <row r="670" spans="1:27">
      <c r="A670" s="1">
        <v>13</v>
      </c>
      <c r="B670" s="71">
        <v>43070</v>
      </c>
      <c r="E670" s="5">
        <v>12</v>
      </c>
      <c r="F670" s="81">
        <v>1.829</v>
      </c>
      <c r="G670" s="81">
        <v>7.0000000000000001E-3</v>
      </c>
      <c r="I670" s="21">
        <f>AVERAGE(F668:F670)</f>
        <v>1.6740000000000002</v>
      </c>
      <c r="J670" s="21">
        <f>AVERAGE(G668:G670)</f>
        <v>6.3333333333333332E-3</v>
      </c>
      <c r="L670">
        <f>+J670/I670</f>
        <v>3.7833532457188365E-3</v>
      </c>
      <c r="M670">
        <f>+(L670-$L$927)/$L$928</f>
        <v>-0.64072989499814226</v>
      </c>
      <c r="N670">
        <f>+N667+M670</f>
        <v>8.7820625920700568</v>
      </c>
      <c r="Z670">
        <f>+(I670-$F$927)/$F$928</f>
        <v>-1.0763300000314253</v>
      </c>
      <c r="AA670">
        <f>+AA667+Z670</f>
        <v>12.677523410144786</v>
      </c>
    </row>
    <row r="671" spans="1:27">
      <c r="A671" s="1">
        <v>11</v>
      </c>
      <c r="B671" s="70">
        <v>43110</v>
      </c>
      <c r="E671" s="3">
        <v>1</v>
      </c>
      <c r="F671" s="77">
        <v>16.562000000000001</v>
      </c>
      <c r="G671" s="77">
        <v>3.4000000000000002E-2</v>
      </c>
    </row>
    <row r="672" spans="1:27">
      <c r="A672" s="1">
        <v>12</v>
      </c>
      <c r="B672" s="70">
        <v>43105</v>
      </c>
      <c r="E672" s="3">
        <v>1</v>
      </c>
      <c r="F672" s="77">
        <v>11.834</v>
      </c>
      <c r="G672" s="77">
        <v>2.5999999999999999E-2</v>
      </c>
    </row>
    <row r="673" spans="1:27">
      <c r="A673" s="1">
        <v>13</v>
      </c>
      <c r="B673" s="70">
        <v>43105</v>
      </c>
      <c r="E673" s="3">
        <v>1</v>
      </c>
      <c r="F673" s="77">
        <v>6.98</v>
      </c>
      <c r="G673" s="77">
        <v>8.9999999999999993E-3</v>
      </c>
      <c r="I673">
        <v>11.792000000000002</v>
      </c>
      <c r="J673">
        <v>2.2999999999999996E-2</v>
      </c>
      <c r="L673">
        <v>1.9504748982360916E-3</v>
      </c>
      <c r="M673">
        <f>+(L673-$L$927)/$L$928</f>
        <v>-0.82546157009718713</v>
      </c>
      <c r="N673">
        <f>+N670+M673</f>
        <v>7.9566010219728698</v>
      </c>
      <c r="Z673">
        <f>+(I673-$F$927)/$F$928</f>
        <v>1.9754867271078882</v>
      </c>
      <c r="AA673">
        <f>+AA670+Z673</f>
        <v>14.653010137252675</v>
      </c>
    </row>
    <row r="674" spans="1:27">
      <c r="A674" s="1">
        <v>11</v>
      </c>
      <c r="B674" s="71">
        <v>43132</v>
      </c>
      <c r="E674" s="5">
        <v>2</v>
      </c>
      <c r="F674" s="77">
        <v>4.88</v>
      </c>
      <c r="G674" s="77">
        <v>8.9999999999999993E-3</v>
      </c>
    </row>
    <row r="675" spans="1:27">
      <c r="A675" s="1">
        <v>12</v>
      </c>
      <c r="B675" s="71">
        <v>43132</v>
      </c>
      <c r="E675" s="5">
        <v>2</v>
      </c>
      <c r="F675" s="77">
        <v>4.6459999999999999</v>
      </c>
      <c r="G675" s="77">
        <v>0.01</v>
      </c>
    </row>
    <row r="676" spans="1:27">
      <c r="A676" s="1">
        <v>13</v>
      </c>
      <c r="B676" s="71">
        <v>43132</v>
      </c>
      <c r="E676" s="5">
        <v>2</v>
      </c>
      <c r="F676" s="77">
        <v>5.0780000000000003</v>
      </c>
      <c r="G676" s="77">
        <v>1.2E-2</v>
      </c>
      <c r="I676">
        <v>4.8679999999999994</v>
      </c>
      <c r="J676">
        <v>1.0333333333333333E-2</v>
      </c>
      <c r="L676">
        <v>2.1227061079156398E-3</v>
      </c>
      <c r="M676">
        <f>+(L676-$L$927)/$L$928</f>
        <v>-0.80810277489283855</v>
      </c>
      <c r="N676">
        <f>+N673+M676</f>
        <v>7.1484982470800311</v>
      </c>
      <c r="Z676">
        <f>+(I676-$F$927)/$F$928</f>
        <v>-0.11294764912383846</v>
      </c>
      <c r="AA676">
        <f>+AA673+Z676</f>
        <v>14.540062488128836</v>
      </c>
    </row>
    <row r="677" spans="1:27">
      <c r="A677" s="1">
        <v>11</v>
      </c>
      <c r="B677" s="71">
        <v>43160</v>
      </c>
      <c r="E677" s="5">
        <v>3</v>
      </c>
      <c r="F677" s="77">
        <v>10.882999999999999</v>
      </c>
      <c r="G677" s="77">
        <v>1.4999999999999999E-2</v>
      </c>
    </row>
    <row r="678" spans="1:27">
      <c r="A678" s="1">
        <v>12</v>
      </c>
      <c r="B678" s="71">
        <v>43160</v>
      </c>
      <c r="E678" s="5">
        <v>3</v>
      </c>
      <c r="F678" s="77">
        <v>7.585</v>
      </c>
      <c r="G678" s="77">
        <v>0.01</v>
      </c>
    </row>
    <row r="679" spans="1:27">
      <c r="A679" s="1">
        <v>13</v>
      </c>
      <c r="B679" s="71">
        <v>43160</v>
      </c>
      <c r="E679" s="5">
        <v>3</v>
      </c>
      <c r="F679" s="77">
        <v>3.06</v>
      </c>
      <c r="G679" s="77">
        <v>0.01</v>
      </c>
      <c r="I679">
        <v>7.1759999999999993</v>
      </c>
      <c r="J679">
        <v>1.1666666666666667E-2</v>
      </c>
      <c r="L679">
        <v>1.6257896692679305E-3</v>
      </c>
      <c r="M679">
        <f>+(L679-$L$927)/$L$928</f>
        <v>-0.8581858620882955</v>
      </c>
      <c r="N679">
        <f>+N676+M679</f>
        <v>6.2903123849917355</v>
      </c>
      <c r="Z679">
        <f>+(I679-$F$927)/$F$928</f>
        <v>0.58319714295340352</v>
      </c>
      <c r="AA679">
        <f>+AA676+Z679</f>
        <v>15.12325963108224</v>
      </c>
    </row>
    <row r="680" spans="1:27">
      <c r="A680" s="1">
        <v>11</v>
      </c>
      <c r="B680" s="71">
        <v>43191</v>
      </c>
      <c r="E680" s="5">
        <v>4</v>
      </c>
      <c r="F680" s="78">
        <v>2.5720000000000001</v>
      </c>
      <c r="G680" s="78">
        <v>1.0999999999999999E-2</v>
      </c>
    </row>
    <row r="681" spans="1:27">
      <c r="A681" s="1">
        <v>12</v>
      </c>
      <c r="B681" s="71">
        <v>43191</v>
      </c>
      <c r="E681" s="5">
        <v>4</v>
      </c>
      <c r="F681" s="78">
        <v>1.6890000000000001</v>
      </c>
      <c r="G681" s="78">
        <v>1.2E-2</v>
      </c>
    </row>
    <row r="682" spans="1:27">
      <c r="A682" s="1">
        <v>13</v>
      </c>
      <c r="B682" s="71">
        <v>43191</v>
      </c>
      <c r="E682" s="5">
        <v>4</v>
      </c>
      <c r="F682" s="78">
        <v>2.3759999999999999</v>
      </c>
      <c r="G682" s="78">
        <v>1.7000000000000001E-2</v>
      </c>
      <c r="I682">
        <v>2.2123333333333335</v>
      </c>
      <c r="J682">
        <v>1.3333333333333334E-2</v>
      </c>
      <c r="L682">
        <v>6.0268193460901011E-3</v>
      </c>
      <c r="M682">
        <f>+(L682-$L$927)/$L$928</f>
        <v>-0.41461600625113831</v>
      </c>
      <c r="N682">
        <f>+N679+M682</f>
        <v>5.8756963787405976</v>
      </c>
      <c r="Z682">
        <f>+(I682-$F$927)/$F$928</f>
        <v>-0.91395653971878155</v>
      </c>
      <c r="AA682">
        <f>+AA679+Z682</f>
        <v>14.209303091363457</v>
      </c>
    </row>
    <row r="683" spans="1:27">
      <c r="A683" s="1">
        <v>11</v>
      </c>
      <c r="B683" s="71">
        <v>43221</v>
      </c>
      <c r="E683" s="5">
        <v>5</v>
      </c>
      <c r="F683" s="78">
        <v>6.6710000000000003</v>
      </c>
      <c r="G683" s="78">
        <v>2.4E-2</v>
      </c>
    </row>
    <row r="684" spans="1:27">
      <c r="A684" s="1">
        <v>12</v>
      </c>
      <c r="B684" s="71">
        <v>43221</v>
      </c>
      <c r="E684" s="5">
        <v>5</v>
      </c>
      <c r="F684" s="78">
        <v>6.7629999999999999</v>
      </c>
      <c r="G684" s="78">
        <v>2.8000000000000001E-2</v>
      </c>
    </row>
    <row r="685" spans="1:27">
      <c r="A685" s="1">
        <v>13</v>
      </c>
      <c r="B685" s="71">
        <v>43221</v>
      </c>
      <c r="E685" s="5">
        <v>5</v>
      </c>
      <c r="F685" s="78">
        <v>6.694</v>
      </c>
      <c r="G685" s="78">
        <v>3.2000000000000001E-2</v>
      </c>
      <c r="I685">
        <v>6.7093333333333334</v>
      </c>
      <c r="J685">
        <v>2.8000000000000001E-2</v>
      </c>
      <c r="L685">
        <v>4.1732909379968205E-3</v>
      </c>
      <c r="M685">
        <f>+(L685-$L$927)/$L$928</f>
        <v>-0.60142895438869137</v>
      </c>
      <c r="N685">
        <f>+N682+M685</f>
        <v>5.2742674243519065</v>
      </c>
      <c r="Z685">
        <f>+(I685-$F$927)/$F$928</f>
        <v>0.44243996373501282</v>
      </c>
      <c r="AA685">
        <f>+AA682+Z685</f>
        <v>14.65174305509847</v>
      </c>
    </row>
    <row r="686" spans="1:27">
      <c r="A686" s="1">
        <v>11</v>
      </c>
      <c r="B686" s="71">
        <v>43252</v>
      </c>
      <c r="E686" s="5">
        <v>6</v>
      </c>
      <c r="F686" s="78">
        <v>6.8620000000000001</v>
      </c>
      <c r="G686" s="78">
        <v>9.7000000000000003E-2</v>
      </c>
    </row>
    <row r="687" spans="1:27">
      <c r="A687" s="1">
        <v>12</v>
      </c>
      <c r="B687" s="71">
        <v>43252</v>
      </c>
      <c r="E687" s="5">
        <v>6</v>
      </c>
      <c r="F687" s="78">
        <v>3.9049999999999998</v>
      </c>
      <c r="G687" s="78">
        <v>3.2000000000000001E-2</v>
      </c>
    </row>
    <row r="688" spans="1:27">
      <c r="A688" s="1">
        <v>13</v>
      </c>
      <c r="B688" s="71">
        <v>43252</v>
      </c>
      <c r="E688" s="5">
        <v>6</v>
      </c>
      <c r="F688" s="78">
        <v>7.6040000000000001</v>
      </c>
      <c r="G688" s="78">
        <v>5.5E-2</v>
      </c>
      <c r="I688">
        <v>6.1236666666666659</v>
      </c>
      <c r="J688">
        <v>6.133333333333333E-2</v>
      </c>
      <c r="L688">
        <v>1.0015785749278755E-2</v>
      </c>
      <c r="M688">
        <f>+(L688-$L$927)/$L$928</f>
        <v>-1.2577078470204707E-2</v>
      </c>
      <c r="N688">
        <f>+N685+M688</f>
        <v>5.2616903458817017</v>
      </c>
      <c r="Z688">
        <f>+(I688-$F$927)/$F$928</f>
        <v>0.26578970381593192</v>
      </c>
      <c r="AA688">
        <f>+AA685+Z688</f>
        <v>14.917532758914401</v>
      </c>
    </row>
    <row r="689" spans="1:27">
      <c r="A689" s="1">
        <v>11</v>
      </c>
      <c r="B689" s="71">
        <v>43282</v>
      </c>
      <c r="E689" s="5">
        <v>7</v>
      </c>
      <c r="F689" s="78">
        <v>7.431</v>
      </c>
      <c r="G689" s="78">
        <v>0.16900000000000001</v>
      </c>
    </row>
    <row r="690" spans="1:27">
      <c r="A690" s="1">
        <v>12</v>
      </c>
      <c r="B690" s="71">
        <v>43282</v>
      </c>
      <c r="E690" s="5">
        <v>7</v>
      </c>
      <c r="F690" s="78">
        <v>7.0369999999999999</v>
      </c>
      <c r="G690" s="78">
        <v>0.245</v>
      </c>
    </row>
    <row r="691" spans="1:27">
      <c r="A691" s="1">
        <v>13</v>
      </c>
      <c r="B691" s="71">
        <v>43282</v>
      </c>
      <c r="E691" s="5">
        <v>7</v>
      </c>
      <c r="F691" s="78">
        <v>6.3840000000000003</v>
      </c>
      <c r="G691" s="78">
        <v>0.22600000000000001</v>
      </c>
      <c r="I691">
        <v>6.9506666666666668</v>
      </c>
      <c r="J691">
        <v>0.21333333333333335</v>
      </c>
      <c r="L691">
        <v>3.0692499520429697E-2</v>
      </c>
      <c r="M691">
        <f>+(L691-$L$927)/$L$928</f>
        <v>2.0713822719875394</v>
      </c>
      <c r="N691">
        <f>+N688+M691</f>
        <v>7.3330726178692416</v>
      </c>
      <c r="Z691">
        <f>+(I691-$F$927)/$F$928</f>
        <v>0.51523153355938067</v>
      </c>
      <c r="AA691">
        <f>+AA688+Z691</f>
        <v>15.432764292473781</v>
      </c>
    </row>
    <row r="692" spans="1:27">
      <c r="A692" s="1">
        <v>11</v>
      </c>
      <c r="B692" s="71">
        <v>43313</v>
      </c>
      <c r="E692" s="5">
        <v>8</v>
      </c>
      <c r="F692" s="78">
        <v>5.2140000000000004</v>
      </c>
      <c r="G692" s="78">
        <v>0.111</v>
      </c>
    </row>
    <row r="693" spans="1:27">
      <c r="A693" s="1">
        <v>12</v>
      </c>
      <c r="B693" s="71">
        <v>43313</v>
      </c>
      <c r="E693" s="5">
        <v>8</v>
      </c>
      <c r="F693" s="78">
        <v>6.2210000000000001</v>
      </c>
      <c r="G693" s="78">
        <v>0.11799999999999999</v>
      </c>
    </row>
    <row r="694" spans="1:27">
      <c r="A694" s="1">
        <v>13</v>
      </c>
      <c r="B694" s="71">
        <v>43313</v>
      </c>
      <c r="E694" s="5">
        <v>8</v>
      </c>
      <c r="F694" s="78">
        <v>6.89</v>
      </c>
      <c r="G694" s="78">
        <v>0.13500000000000001</v>
      </c>
      <c r="I694">
        <v>6.1083333333333334</v>
      </c>
      <c r="J694">
        <v>0.12133333333333333</v>
      </c>
      <c r="L694">
        <v>1.9863574351978171E-2</v>
      </c>
      <c r="M694">
        <f>+(L694-$L$927)/$L$928</f>
        <v>0.97995932586694812</v>
      </c>
      <c r="N694">
        <f>+N691+M694</f>
        <v>8.3130319437361901</v>
      </c>
      <c r="Z694">
        <f>+(I694-$F$927)/$F$928</f>
        <v>0.26116482507018507</v>
      </c>
      <c r="AA694">
        <f>+AA691+Z694</f>
        <v>15.693929117543966</v>
      </c>
    </row>
    <row r="695" spans="1:27">
      <c r="A695" s="1">
        <v>11</v>
      </c>
      <c r="B695" s="71">
        <v>43344</v>
      </c>
      <c r="E695" s="5">
        <v>9</v>
      </c>
      <c r="F695" s="78">
        <v>3.496</v>
      </c>
      <c r="G695" s="78">
        <v>5.7000000000000002E-2</v>
      </c>
    </row>
    <row r="696" spans="1:27">
      <c r="A696" s="1">
        <v>12</v>
      </c>
      <c r="B696" s="71">
        <v>43344</v>
      </c>
      <c r="E696" s="5">
        <v>9</v>
      </c>
      <c r="F696" s="78">
        <v>5.05</v>
      </c>
      <c r="G696" s="78">
        <v>8.3000000000000004E-2</v>
      </c>
    </row>
    <row r="697" spans="1:27">
      <c r="A697" s="1">
        <v>13</v>
      </c>
      <c r="B697" s="71">
        <v>43344</v>
      </c>
      <c r="E697" s="5">
        <v>9</v>
      </c>
      <c r="F697" s="78">
        <v>4.2130000000000001</v>
      </c>
      <c r="G697" s="78">
        <v>6.2E-2</v>
      </c>
      <c r="I697">
        <v>4.2530000000000001</v>
      </c>
      <c r="J697">
        <v>6.7333333333333342E-2</v>
      </c>
      <c r="L697">
        <v>1.5831961752488442E-2</v>
      </c>
      <c r="M697">
        <f>+(L697-$L$927)/$L$928</f>
        <v>0.57362218413738009</v>
      </c>
      <c r="N697">
        <f>+N694+M697</f>
        <v>8.8866541278735696</v>
      </c>
      <c r="Z697">
        <f>+(I697-$F$927)/$F$928</f>
        <v>-0.29844550316521773</v>
      </c>
      <c r="AA697">
        <f>+AA694+Z697</f>
        <v>15.395483614378749</v>
      </c>
    </row>
    <row r="698" spans="1:27">
      <c r="A698" s="1">
        <v>11</v>
      </c>
      <c r="B698" s="71">
        <v>43374</v>
      </c>
      <c r="E698" s="5">
        <v>10</v>
      </c>
      <c r="F698" s="78">
        <v>0.52800000000000002</v>
      </c>
      <c r="G698" s="78">
        <v>8.0000000000000002E-3</v>
      </c>
    </row>
    <row r="699" spans="1:27">
      <c r="A699" s="1">
        <v>12</v>
      </c>
      <c r="B699" s="71">
        <v>43374</v>
      </c>
      <c r="E699" s="5">
        <v>10</v>
      </c>
      <c r="F699" s="78">
        <v>0.90700000000000003</v>
      </c>
      <c r="G699" s="78">
        <v>1.2999999999999999E-2</v>
      </c>
    </row>
    <row r="700" spans="1:27">
      <c r="A700" s="1">
        <v>13</v>
      </c>
      <c r="B700" s="71">
        <v>43374</v>
      </c>
      <c r="E700" s="5">
        <v>10</v>
      </c>
      <c r="F700" s="78">
        <v>1.72</v>
      </c>
      <c r="G700" s="78">
        <v>2.8000000000000001E-2</v>
      </c>
      <c r="I700">
        <v>1.0516666666666667</v>
      </c>
      <c r="J700">
        <v>1.6333333333333335E-2</v>
      </c>
      <c r="L700">
        <v>1.5530903328050714E-2</v>
      </c>
      <c r="M700">
        <f>+(L700-$L$927)/$L$928</f>
        <v>0.54327918449125423</v>
      </c>
      <c r="N700">
        <f>+N697+M700</f>
        <v>9.4299333123648239</v>
      </c>
      <c r="Z700">
        <f>+(I700-$F$927)/$F$928</f>
        <v>-1.2640397526033795</v>
      </c>
      <c r="AA700">
        <f>+AA697+Z700</f>
        <v>14.13144386177537</v>
      </c>
    </row>
    <row r="701" spans="1:27">
      <c r="A701" s="1">
        <v>11</v>
      </c>
      <c r="B701" s="71">
        <v>43405</v>
      </c>
      <c r="E701" s="5">
        <v>11</v>
      </c>
      <c r="F701" s="78"/>
      <c r="G701" s="78"/>
    </row>
    <row r="702" spans="1:27">
      <c r="A702" s="1">
        <v>12</v>
      </c>
      <c r="B702" s="71">
        <v>43405</v>
      </c>
      <c r="E702" s="5">
        <v>11</v>
      </c>
    </row>
    <row r="703" spans="1:27">
      <c r="A703" s="1">
        <v>13</v>
      </c>
      <c r="B703" s="71">
        <v>43405</v>
      </c>
      <c r="E703" s="5">
        <v>11</v>
      </c>
    </row>
    <row r="704" spans="1:27">
      <c r="A704" s="1">
        <v>11</v>
      </c>
      <c r="B704" s="72">
        <v>43435</v>
      </c>
      <c r="E704" s="5">
        <v>12</v>
      </c>
    </row>
    <row r="705" spans="1:27">
      <c r="A705" s="1">
        <v>12</v>
      </c>
      <c r="B705" s="71">
        <v>43435</v>
      </c>
      <c r="E705" s="5">
        <v>12</v>
      </c>
    </row>
    <row r="706" spans="1:27">
      <c r="A706" s="1">
        <v>13</v>
      </c>
      <c r="B706" s="71">
        <v>43435</v>
      </c>
      <c r="E706" s="5">
        <v>12</v>
      </c>
    </row>
    <row r="707" spans="1:27">
      <c r="A707" s="1">
        <v>11</v>
      </c>
      <c r="B707" s="70">
        <v>43475</v>
      </c>
      <c r="E707" s="3">
        <v>1</v>
      </c>
    </row>
    <row r="708" spans="1:27">
      <c r="A708" s="1">
        <v>12</v>
      </c>
      <c r="B708" s="70">
        <v>43470</v>
      </c>
      <c r="E708" s="3">
        <v>1</v>
      </c>
    </row>
    <row r="709" spans="1:27">
      <c r="A709" s="1">
        <v>13</v>
      </c>
      <c r="B709" s="70">
        <v>43470</v>
      </c>
      <c r="E709" s="3">
        <v>1</v>
      </c>
    </row>
    <row r="710" spans="1:27">
      <c r="A710" s="1">
        <v>11</v>
      </c>
      <c r="B710" s="71">
        <v>43497</v>
      </c>
      <c r="E710" s="5">
        <v>2</v>
      </c>
    </row>
    <row r="711" spans="1:27">
      <c r="A711" s="1">
        <v>12</v>
      </c>
      <c r="B711" s="71">
        <v>43497</v>
      </c>
      <c r="E711" s="5">
        <v>2</v>
      </c>
    </row>
    <row r="712" spans="1:27">
      <c r="A712" s="1">
        <v>13</v>
      </c>
      <c r="B712" s="71">
        <v>43497</v>
      </c>
      <c r="E712" s="5">
        <v>2</v>
      </c>
    </row>
    <row r="713" spans="1:27">
      <c r="A713" s="1">
        <v>11</v>
      </c>
      <c r="B713" s="71">
        <v>43525</v>
      </c>
      <c r="E713" s="5">
        <v>3</v>
      </c>
      <c r="F713" s="84">
        <v>2.323</v>
      </c>
      <c r="G713" s="84">
        <v>0.01</v>
      </c>
    </row>
    <row r="714" spans="1:27">
      <c r="A714" s="1">
        <v>12</v>
      </c>
      <c r="B714" s="71">
        <v>43525</v>
      </c>
      <c r="E714" s="5">
        <v>3</v>
      </c>
      <c r="F714" s="84">
        <v>2.004</v>
      </c>
      <c r="G714" s="84">
        <v>0.01</v>
      </c>
    </row>
    <row r="715" spans="1:27">
      <c r="A715" s="1">
        <v>13</v>
      </c>
      <c r="B715" s="71">
        <v>43525</v>
      </c>
      <c r="E715" s="5">
        <v>3</v>
      </c>
      <c r="F715" s="84">
        <v>1.974</v>
      </c>
      <c r="G715" s="84">
        <v>1.2999999999999999E-2</v>
      </c>
      <c r="I715" s="21">
        <f>AVERAGE(F713:F715)</f>
        <v>2.1003333333333334</v>
      </c>
      <c r="J715" s="21">
        <f>AVERAGE(G713:G715)</f>
        <v>1.1000000000000001E-2</v>
      </c>
      <c r="L715">
        <f>+J715/I715</f>
        <v>5.2372639263608958E-3</v>
      </c>
      <c r="M715">
        <f>+(L715-$L$927)/$L$928</f>
        <v>-0.49419351638454273</v>
      </c>
      <c r="N715">
        <f>+N700+M715</f>
        <v>8.9357397959802807</v>
      </c>
      <c r="Z715">
        <f>+(I715-$F$927)/$F$928</f>
        <v>-0.94773826273119532</v>
      </c>
      <c r="AA715">
        <f>+AA700+Z715</f>
        <v>13.183705599044174</v>
      </c>
    </row>
    <row r="716" spans="1:27">
      <c r="A716" s="1">
        <v>11</v>
      </c>
      <c r="B716" s="71">
        <v>43556</v>
      </c>
      <c r="E716" s="5">
        <v>4</v>
      </c>
      <c r="F716" s="77">
        <v>3.5760000000000001</v>
      </c>
      <c r="G716" s="77">
        <v>6.0000000000000001E-3</v>
      </c>
    </row>
    <row r="717" spans="1:27">
      <c r="A717" s="1">
        <v>12</v>
      </c>
      <c r="B717" s="71">
        <v>43556</v>
      </c>
      <c r="E717" s="5">
        <v>4</v>
      </c>
      <c r="F717" s="77">
        <v>2.4489999999999998</v>
      </c>
      <c r="G717" s="77">
        <v>9.9989999999999996E-4</v>
      </c>
    </row>
    <row r="718" spans="1:27">
      <c r="A718" s="1">
        <v>13</v>
      </c>
      <c r="B718" s="71">
        <v>43556</v>
      </c>
      <c r="E718" s="5">
        <v>4</v>
      </c>
      <c r="F718" s="77">
        <v>2.714</v>
      </c>
      <c r="G718" s="77">
        <v>9.9989999999999996E-4</v>
      </c>
      <c r="I718" s="21">
        <f>AVERAGE(F716:F718)</f>
        <v>2.9130000000000003</v>
      </c>
      <c r="J718" s="21">
        <f>AVERAGE(G716:G718)</f>
        <v>2.6665999999999999E-3</v>
      </c>
      <c r="L718">
        <f>+J718/I718</f>
        <v>9.1541366289049078E-4</v>
      </c>
      <c r="M718">
        <f>+(L718-$L$927)/$L$928</f>
        <v>-0.92978305771696479</v>
      </c>
      <c r="N718">
        <f>+N715+M718</f>
        <v>8.0059567382633166</v>
      </c>
      <c r="Z718">
        <f>+(I718-$F$927)/$F$928</f>
        <v>-0.70261968920659734</v>
      </c>
      <c r="AA718">
        <f>+AA715+Z718</f>
        <v>12.481085909837576</v>
      </c>
    </row>
    <row r="719" spans="1:27">
      <c r="A719" s="1">
        <v>11</v>
      </c>
      <c r="B719" s="71">
        <v>43586</v>
      </c>
      <c r="E719" s="5">
        <v>5</v>
      </c>
      <c r="F719" s="77">
        <v>2.3780000000000001</v>
      </c>
      <c r="G719" s="77">
        <v>7.0000000000000001E-3</v>
      </c>
    </row>
    <row r="720" spans="1:27">
      <c r="A720" s="1">
        <v>12</v>
      </c>
      <c r="B720" s="71">
        <v>43586</v>
      </c>
      <c r="E720" s="5">
        <v>5</v>
      </c>
      <c r="F720" s="77">
        <v>2.9510000000000001</v>
      </c>
      <c r="G720" s="77">
        <v>1.0999999999999999E-2</v>
      </c>
    </row>
    <row r="721" spans="1:27">
      <c r="A721" s="1">
        <v>13</v>
      </c>
      <c r="B721" s="71">
        <v>43586</v>
      </c>
      <c r="E721" s="5">
        <v>5</v>
      </c>
      <c r="F721" s="77">
        <v>2.593</v>
      </c>
      <c r="G721" s="77">
        <v>8.9999999999999993E-3</v>
      </c>
      <c r="I721" s="21">
        <f>AVERAGE(F719:F721)</f>
        <v>2.6406666666666667</v>
      </c>
      <c r="J721" s="21">
        <f>AVERAGE(G719:G721)</f>
        <v>8.9999999999999993E-3</v>
      </c>
      <c r="L721">
        <f>+J721/I721</f>
        <v>3.4082302448876544E-3</v>
      </c>
      <c r="M721">
        <f>+(L721-$L$927)/$L$928</f>
        <v>-0.67853769626705718</v>
      </c>
      <c r="N721">
        <f>+N718+M721</f>
        <v>7.3274190419962597</v>
      </c>
      <c r="Z721">
        <f>+(I721-$F$927)/$F$928</f>
        <v>-0.78476155736475839</v>
      </c>
      <c r="AA721">
        <f>+AA718+Z721</f>
        <v>11.696324352472818</v>
      </c>
    </row>
    <row r="722" spans="1:27">
      <c r="A722" s="1">
        <v>11</v>
      </c>
      <c r="B722" s="71">
        <v>43617</v>
      </c>
      <c r="E722" s="5">
        <v>6</v>
      </c>
      <c r="F722" s="78">
        <v>4.9560000000000004</v>
      </c>
      <c r="G722" s="78">
        <v>2.4E-2</v>
      </c>
    </row>
    <row r="723" spans="1:27">
      <c r="A723" s="1">
        <v>12</v>
      </c>
      <c r="B723" s="71">
        <v>43617</v>
      </c>
      <c r="E723" s="5">
        <v>6</v>
      </c>
      <c r="F723" s="78">
        <v>4.57</v>
      </c>
      <c r="G723" s="78">
        <v>1.7999999999999999E-2</v>
      </c>
    </row>
    <row r="724" spans="1:27">
      <c r="A724" s="1">
        <v>13</v>
      </c>
      <c r="B724" s="71">
        <v>43617</v>
      </c>
      <c r="E724" s="5">
        <v>6</v>
      </c>
      <c r="F724" s="78">
        <v>5.2789999999999999</v>
      </c>
      <c r="G724" s="78">
        <v>3.5999999999999997E-2</v>
      </c>
      <c r="I724" s="21">
        <f>AVERAGE(F722:F724)</f>
        <v>4.9349999999999996</v>
      </c>
      <c r="J724" s="21">
        <f>AVERAGE(G722:G724)</f>
        <v>2.5999999999999995E-2</v>
      </c>
      <c r="L724">
        <f>+J724/I724</f>
        <v>5.2684903748733527E-3</v>
      </c>
      <c r="M724">
        <f>+(L724-$L$927)/$L$928</f>
        <v>-0.49104627306148058</v>
      </c>
      <c r="N724">
        <f>+N721+M724</f>
        <v>6.8363727689347789</v>
      </c>
      <c r="Z724">
        <f>+(I724-$F$927)/$F$928</f>
        <v>-9.2738939821769423E-2</v>
      </c>
      <c r="AA724">
        <f>+AA721+Z724</f>
        <v>11.603585412651048</v>
      </c>
    </row>
    <row r="725" spans="1:27">
      <c r="A725" s="1">
        <v>11</v>
      </c>
      <c r="B725" s="71">
        <v>43647</v>
      </c>
      <c r="E725" s="5">
        <v>7</v>
      </c>
      <c r="F725" s="78">
        <v>5.9390000000000001</v>
      </c>
      <c r="G725" s="78">
        <v>4.7E-2</v>
      </c>
    </row>
    <row r="726" spans="1:27">
      <c r="A726" s="1">
        <v>12</v>
      </c>
      <c r="B726" s="71">
        <v>43647</v>
      </c>
      <c r="E726" s="5">
        <v>7</v>
      </c>
      <c r="F726" s="78">
        <v>6.3949999999999996</v>
      </c>
      <c r="G726" s="78">
        <v>6.0999999999999999E-2</v>
      </c>
    </row>
    <row r="727" spans="1:27">
      <c r="A727" s="1">
        <v>13</v>
      </c>
      <c r="B727" s="71">
        <v>43647</v>
      </c>
      <c r="E727" s="5">
        <v>7</v>
      </c>
      <c r="F727" s="78">
        <v>7.7030000000000003</v>
      </c>
      <c r="G727" s="78">
        <v>0.112</v>
      </c>
      <c r="I727" s="21">
        <f>AVERAGE(F725:F727)</f>
        <v>6.6789999999999994</v>
      </c>
      <c r="J727" s="21">
        <f>AVERAGE(G725:G727)</f>
        <v>7.3333333333333334E-2</v>
      </c>
      <c r="L727">
        <f>+J727/I727</f>
        <v>1.0979687577980736E-2</v>
      </c>
      <c r="M727">
        <f>+(L727-$L$927)/$L$928</f>
        <v>8.4572413034073146E-2</v>
      </c>
      <c r="N727">
        <f>+N724+M727</f>
        <v>6.9209451819688521</v>
      </c>
      <c r="Z727">
        <f>+(I727-$F$927)/$F$928</f>
        <v>0.43329074708581722</v>
      </c>
      <c r="AA727">
        <f>+AA724+Z727</f>
        <v>12.036876159736865</v>
      </c>
    </row>
    <row r="728" spans="1:27">
      <c r="A728" s="1">
        <v>11</v>
      </c>
      <c r="B728" s="71">
        <v>43678</v>
      </c>
      <c r="E728" s="5">
        <v>8</v>
      </c>
    </row>
    <row r="729" spans="1:27">
      <c r="A729" s="1">
        <v>12</v>
      </c>
      <c r="B729" s="71">
        <v>43678</v>
      </c>
      <c r="E729" s="5">
        <v>8</v>
      </c>
    </row>
    <row r="730" spans="1:27">
      <c r="A730" s="1">
        <v>13</v>
      </c>
      <c r="B730" s="71">
        <v>43678</v>
      </c>
      <c r="E730" s="5">
        <v>8</v>
      </c>
      <c r="I730" s="21"/>
      <c r="J730" s="21"/>
    </row>
    <row r="731" spans="1:27">
      <c r="A731" s="1">
        <v>11</v>
      </c>
      <c r="B731" s="71">
        <v>43709</v>
      </c>
      <c r="E731" s="5">
        <v>9</v>
      </c>
    </row>
    <row r="732" spans="1:27">
      <c r="A732" s="1">
        <v>12</v>
      </c>
      <c r="B732" s="71">
        <v>43709</v>
      </c>
      <c r="E732" s="5">
        <v>9</v>
      </c>
    </row>
    <row r="733" spans="1:27">
      <c r="A733" s="1">
        <v>13</v>
      </c>
      <c r="B733" s="71">
        <v>43709</v>
      </c>
      <c r="E733" s="5">
        <v>9</v>
      </c>
      <c r="I733" s="21"/>
      <c r="J733" s="21"/>
    </row>
    <row r="734" spans="1:27">
      <c r="A734" s="1">
        <v>11</v>
      </c>
      <c r="B734" s="71">
        <v>43739</v>
      </c>
      <c r="E734" s="5">
        <v>10</v>
      </c>
      <c r="F734" s="78">
        <v>3.2589999999999999</v>
      </c>
      <c r="G734" s="78">
        <v>0.05</v>
      </c>
    </row>
    <row r="735" spans="1:27">
      <c r="A735" s="1">
        <v>12</v>
      </c>
      <c r="B735" s="71">
        <v>43739</v>
      </c>
      <c r="E735" s="5">
        <v>10</v>
      </c>
      <c r="F735" s="78">
        <v>2.6760000000000002</v>
      </c>
      <c r="G735" s="78">
        <v>3.5000000000000003E-2</v>
      </c>
    </row>
    <row r="736" spans="1:27">
      <c r="A736" s="1">
        <v>13</v>
      </c>
      <c r="B736" s="71">
        <v>43739</v>
      </c>
      <c r="E736" s="5">
        <v>10</v>
      </c>
      <c r="F736" s="78">
        <v>2.246</v>
      </c>
      <c r="G736" s="78">
        <v>3.3000000000000002E-2</v>
      </c>
      <c r="I736" s="21">
        <f>AVERAGE(F734:F736)</f>
        <v>2.7270000000000003</v>
      </c>
      <c r="J736" s="21">
        <f>AVERAGE(G734:G736)</f>
        <v>3.9333333333333338E-2</v>
      </c>
      <c r="L736">
        <f>+J736/I736</f>
        <v>1.4423664588681091E-2</v>
      </c>
      <c r="M736">
        <f>+(L736-$L$927)/$L$928</f>
        <v>0.4316830890170395</v>
      </c>
      <c r="N736">
        <f>+N727+M736</f>
        <v>7.3526282709858917</v>
      </c>
      <c r="Z736">
        <f>+(I736-$F$927)/$F$928</f>
        <v>-0.75872147920935606</v>
      </c>
      <c r="AA736">
        <f>+AA727+Z736</f>
        <v>11.278154680527509</v>
      </c>
    </row>
    <row r="737" spans="1:27">
      <c r="A737" s="1">
        <v>11</v>
      </c>
      <c r="B737" s="71">
        <v>43770</v>
      </c>
      <c r="E737" s="5">
        <v>11</v>
      </c>
      <c r="G737" s="78"/>
    </row>
    <row r="738" spans="1:27">
      <c r="A738" s="1">
        <v>12</v>
      </c>
      <c r="B738" s="71">
        <v>43770</v>
      </c>
      <c r="E738" s="5">
        <v>11</v>
      </c>
      <c r="G738" s="78"/>
    </row>
    <row r="739" spans="1:27">
      <c r="A739" s="1">
        <v>13</v>
      </c>
      <c r="B739" s="71">
        <v>43770</v>
      </c>
      <c r="E739" s="5">
        <v>11</v>
      </c>
      <c r="G739" s="78"/>
      <c r="I739" s="21"/>
      <c r="J739" s="21"/>
    </row>
    <row r="740" spans="1:27">
      <c r="A740" s="1">
        <v>11</v>
      </c>
      <c r="B740" s="72">
        <v>43800</v>
      </c>
      <c r="E740" s="5">
        <v>12</v>
      </c>
      <c r="F740" s="78">
        <v>1.5329999999999999</v>
      </c>
      <c r="G740" s="78">
        <v>0.01</v>
      </c>
    </row>
    <row r="741" spans="1:27">
      <c r="A741" s="1">
        <v>12</v>
      </c>
      <c r="B741" s="71">
        <v>43800</v>
      </c>
      <c r="E741" s="5">
        <v>12</v>
      </c>
      <c r="F741" s="78">
        <v>1.458</v>
      </c>
      <c r="G741" s="78">
        <v>0.01</v>
      </c>
    </row>
    <row r="742" spans="1:27">
      <c r="A742" s="1">
        <v>13</v>
      </c>
      <c r="B742" s="71">
        <v>43800</v>
      </c>
      <c r="E742" s="5">
        <v>12</v>
      </c>
      <c r="F742" s="78">
        <v>2.1930000000000001</v>
      </c>
      <c r="G742" s="78">
        <v>1.2999999999999999E-2</v>
      </c>
      <c r="I742" s="21">
        <f>AVERAGE(F740:F742)</f>
        <v>1.7279999999999998</v>
      </c>
      <c r="J742" s="21">
        <f>AVERAGE(G740:G742)</f>
        <v>1.1000000000000001E-2</v>
      </c>
      <c r="L742">
        <f>+J742/I742</f>
        <v>6.3657407407407421E-3</v>
      </c>
      <c r="M742">
        <f>+(L742-$L$927)/$L$928</f>
        <v>-0.38045688322657717</v>
      </c>
      <c r="N742">
        <f>+N736+M742</f>
        <v>6.9721713877593148</v>
      </c>
      <c r="Z742">
        <f>+(I742-$F$927)/$F$928</f>
        <v>-1.0600423835790116</v>
      </c>
      <c r="AA742">
        <f>+AA736+Z742</f>
        <v>10.218112296948497</v>
      </c>
    </row>
    <row r="743" spans="1:27">
      <c r="A743" s="1">
        <v>11</v>
      </c>
      <c r="B743" s="86">
        <v>43840</v>
      </c>
      <c r="C743" s="87">
        <v>2020</v>
      </c>
      <c r="D743" s="88" t="s">
        <v>25</v>
      </c>
      <c r="E743" s="89">
        <v>1</v>
      </c>
    </row>
    <row r="744" spans="1:27">
      <c r="A744" s="1">
        <v>12</v>
      </c>
      <c r="B744" s="73">
        <v>43835</v>
      </c>
      <c r="C744">
        <v>2020</v>
      </c>
      <c r="D744" s="4" t="s">
        <v>25</v>
      </c>
      <c r="E744" s="10">
        <v>1</v>
      </c>
    </row>
    <row r="745" spans="1:27">
      <c r="A745" s="1">
        <v>13</v>
      </c>
      <c r="B745" s="73">
        <v>43835</v>
      </c>
      <c r="C745">
        <v>2020</v>
      </c>
      <c r="D745" s="4" t="s">
        <v>25</v>
      </c>
      <c r="E745" s="10">
        <v>1</v>
      </c>
    </row>
    <row r="746" spans="1:27">
      <c r="A746" s="1">
        <v>11</v>
      </c>
      <c r="B746" s="71">
        <v>43862</v>
      </c>
      <c r="C746">
        <v>2020</v>
      </c>
      <c r="D746" s="4" t="s">
        <v>14</v>
      </c>
      <c r="E746" s="10">
        <v>2</v>
      </c>
      <c r="F746" s="92">
        <v>3.319</v>
      </c>
      <c r="G746" s="92">
        <v>1.2999999999999999E-2</v>
      </c>
    </row>
    <row r="747" spans="1:27">
      <c r="A747" s="1">
        <v>12</v>
      </c>
      <c r="B747" s="71">
        <v>43862</v>
      </c>
      <c r="C747">
        <v>2020</v>
      </c>
      <c r="D747" s="4" t="s">
        <v>14</v>
      </c>
      <c r="E747" s="10">
        <v>2</v>
      </c>
      <c r="F747" s="92">
        <v>2.327</v>
      </c>
      <c r="G747" s="92">
        <v>8.9999999999999993E-3</v>
      </c>
    </row>
    <row r="748" spans="1:27">
      <c r="A748" s="1">
        <v>13</v>
      </c>
      <c r="B748" s="71">
        <v>43862</v>
      </c>
      <c r="C748">
        <v>2020</v>
      </c>
      <c r="D748" s="4" t="s">
        <v>14</v>
      </c>
      <c r="E748" s="10">
        <v>2</v>
      </c>
      <c r="F748" s="92">
        <v>2.0640000000000001</v>
      </c>
      <c r="G748" s="92">
        <v>1.0999999999999999E-2</v>
      </c>
      <c r="I748" s="21">
        <f>AVERAGE(F746:F748)</f>
        <v>2.57</v>
      </c>
      <c r="J748" s="21">
        <f>AVERAGE(G746:G748)</f>
        <v>1.1000000000000001E-2</v>
      </c>
      <c r="L748">
        <f>+J748/I748</f>
        <v>4.2801556420233467E-3</v>
      </c>
      <c r="M748">
        <f>+(L748-$L$927)/$L$928</f>
        <v>-0.59065830187326596</v>
      </c>
      <c r="N748">
        <f>+N742+M748</f>
        <v>6.3815130858860485</v>
      </c>
    </row>
    <row r="749" spans="1:27">
      <c r="A749" s="1">
        <v>11</v>
      </c>
      <c r="B749" s="71">
        <v>43891</v>
      </c>
      <c r="C749">
        <v>2020</v>
      </c>
      <c r="D749" s="4" t="s">
        <v>15</v>
      </c>
      <c r="E749" s="10">
        <v>3</v>
      </c>
    </row>
    <row r="750" spans="1:27">
      <c r="A750" s="1">
        <v>12</v>
      </c>
      <c r="B750" s="71">
        <v>43891</v>
      </c>
      <c r="C750">
        <v>2020</v>
      </c>
      <c r="D750" s="4" t="s">
        <v>15</v>
      </c>
      <c r="E750" s="10">
        <v>3</v>
      </c>
    </row>
    <row r="751" spans="1:27">
      <c r="A751" s="1">
        <v>13</v>
      </c>
      <c r="B751" s="71">
        <v>43891</v>
      </c>
      <c r="C751">
        <v>2020</v>
      </c>
      <c r="D751" s="4" t="s">
        <v>15</v>
      </c>
      <c r="E751" s="10">
        <v>3</v>
      </c>
    </row>
    <row r="752" spans="1:27">
      <c r="A752" s="1">
        <v>11</v>
      </c>
      <c r="B752" s="71">
        <v>43922</v>
      </c>
      <c r="C752">
        <v>2020</v>
      </c>
      <c r="D752" s="4" t="s">
        <v>16</v>
      </c>
      <c r="E752" s="10">
        <v>4</v>
      </c>
    </row>
    <row r="753" spans="1:14">
      <c r="A753" s="1">
        <v>12</v>
      </c>
      <c r="B753" s="71">
        <v>43922</v>
      </c>
      <c r="C753">
        <v>2020</v>
      </c>
      <c r="D753" s="4" t="s">
        <v>16</v>
      </c>
      <c r="E753" s="10">
        <v>4</v>
      </c>
    </row>
    <row r="754" spans="1:14">
      <c r="A754" s="1">
        <v>13</v>
      </c>
      <c r="B754" s="71">
        <v>43922</v>
      </c>
      <c r="C754">
        <v>2020</v>
      </c>
      <c r="D754" s="4" t="s">
        <v>16</v>
      </c>
      <c r="E754" s="10">
        <v>4</v>
      </c>
    </row>
    <row r="755" spans="1:14">
      <c r="A755" s="1">
        <v>11</v>
      </c>
      <c r="B755" s="71">
        <v>43952</v>
      </c>
      <c r="C755">
        <v>2020</v>
      </c>
      <c r="D755" s="4" t="s">
        <v>17</v>
      </c>
      <c r="E755" s="10">
        <v>5</v>
      </c>
    </row>
    <row r="756" spans="1:14">
      <c r="A756" s="1">
        <v>12</v>
      </c>
      <c r="B756" s="71">
        <v>43952</v>
      </c>
      <c r="C756">
        <v>2020</v>
      </c>
      <c r="D756" s="4" t="s">
        <v>17</v>
      </c>
      <c r="E756" s="10">
        <v>5</v>
      </c>
    </row>
    <row r="757" spans="1:14">
      <c r="A757" s="1">
        <v>13</v>
      </c>
      <c r="B757" s="71">
        <v>43952</v>
      </c>
      <c r="C757">
        <v>2020</v>
      </c>
      <c r="D757" s="4" t="s">
        <v>17</v>
      </c>
      <c r="E757" s="10">
        <v>5</v>
      </c>
    </row>
    <row r="758" spans="1:14">
      <c r="A758" s="1">
        <v>11</v>
      </c>
      <c r="B758" s="71">
        <v>43983</v>
      </c>
      <c r="C758">
        <v>2020</v>
      </c>
      <c r="D758" s="4" t="s">
        <v>18</v>
      </c>
      <c r="E758" s="10">
        <v>6</v>
      </c>
      <c r="F758" s="92">
        <v>4.7789999999999999</v>
      </c>
      <c r="G758" s="92">
        <v>2.5999999999999999E-2</v>
      </c>
    </row>
    <row r="759" spans="1:14">
      <c r="A759" s="1">
        <v>12</v>
      </c>
      <c r="B759" s="71">
        <v>43983</v>
      </c>
      <c r="C759">
        <v>2020</v>
      </c>
      <c r="D759" s="4" t="s">
        <v>18</v>
      </c>
      <c r="E759" s="10">
        <v>6</v>
      </c>
      <c r="F759" s="92">
        <v>6.1159999999999997</v>
      </c>
      <c r="G759" s="92">
        <v>2.5999999999999999E-2</v>
      </c>
    </row>
    <row r="760" spans="1:14">
      <c r="A760" s="1">
        <v>13</v>
      </c>
      <c r="B760" s="71">
        <v>43983</v>
      </c>
      <c r="C760">
        <v>2020</v>
      </c>
      <c r="D760" s="4" t="s">
        <v>18</v>
      </c>
      <c r="E760" s="10">
        <v>6</v>
      </c>
      <c r="F760" s="92">
        <v>6.056</v>
      </c>
      <c r="G760" s="92">
        <v>4.3999999999999997E-2</v>
      </c>
      <c r="I760" s="21">
        <f>AVERAGE(F758:F760)</f>
        <v>5.6503333333333332</v>
      </c>
      <c r="J760" s="21">
        <f>AVERAGE(G758:G760)</f>
        <v>3.2000000000000001E-2</v>
      </c>
      <c r="L760">
        <f>+J760/I760</f>
        <v>5.6633826912866501E-3</v>
      </c>
      <c r="M760">
        <f>+(L760-$L$927)/$L$928</f>
        <v>-0.45124596705919839</v>
      </c>
      <c r="N760">
        <f>+N748+M760</f>
        <v>5.9302671188268503</v>
      </c>
    </row>
    <row r="761" spans="1:14">
      <c r="A761" s="1">
        <v>11</v>
      </c>
      <c r="B761" s="71">
        <v>44013</v>
      </c>
      <c r="C761">
        <v>2020</v>
      </c>
      <c r="D761" s="4" t="s">
        <v>19</v>
      </c>
      <c r="E761" s="10">
        <v>7</v>
      </c>
      <c r="F761" s="92">
        <v>8.2539999999999996</v>
      </c>
      <c r="G761" s="92">
        <v>0.186</v>
      </c>
    </row>
    <row r="762" spans="1:14">
      <c r="A762" s="1">
        <v>12</v>
      </c>
      <c r="B762" s="71">
        <v>44013</v>
      </c>
      <c r="C762">
        <v>2020</v>
      </c>
      <c r="D762" s="4" t="s">
        <v>19</v>
      </c>
      <c r="E762" s="10">
        <v>7</v>
      </c>
      <c r="F762" s="92">
        <v>8.3879999999999999</v>
      </c>
      <c r="G762" s="92">
        <v>0.11700000000000001</v>
      </c>
    </row>
    <row r="763" spans="1:14">
      <c r="A763" s="1">
        <v>13</v>
      </c>
      <c r="B763" s="71">
        <v>44013</v>
      </c>
      <c r="C763">
        <v>2020</v>
      </c>
      <c r="D763" s="4" t="s">
        <v>19</v>
      </c>
      <c r="E763" s="10">
        <v>7</v>
      </c>
      <c r="F763" s="92">
        <v>9.016</v>
      </c>
      <c r="G763" s="92">
        <v>0.104</v>
      </c>
      <c r="I763" s="21">
        <f t="shared" ref="I763:J763" si="0">AVERAGE(F761:F763)</f>
        <v>8.5526666666666671</v>
      </c>
      <c r="J763" s="21">
        <f t="shared" si="0"/>
        <v>0.13566666666666666</v>
      </c>
      <c r="L763">
        <f t="shared" ref="L763" si="1">+J763/I763</f>
        <v>1.5862499025645019E-2</v>
      </c>
      <c r="M763">
        <f t="shared" ref="M763" si="2">+(L763-$L$927)/$L$928</f>
        <v>0.57669996703056514</v>
      </c>
      <c r="N763">
        <f>+N760+M763</f>
        <v>6.5069670858574158</v>
      </c>
    </row>
    <row r="764" spans="1:14">
      <c r="A764" s="1">
        <v>11</v>
      </c>
      <c r="B764" s="71">
        <v>44044</v>
      </c>
      <c r="C764">
        <v>2020</v>
      </c>
      <c r="D764" s="4" t="s">
        <v>20</v>
      </c>
      <c r="E764" s="10">
        <v>8</v>
      </c>
      <c r="F764" s="92">
        <v>5.327</v>
      </c>
      <c r="G764" s="92">
        <v>3.9E-2</v>
      </c>
    </row>
    <row r="765" spans="1:14">
      <c r="A765" s="1">
        <v>12</v>
      </c>
      <c r="B765" s="71">
        <v>44044</v>
      </c>
      <c r="C765">
        <v>2020</v>
      </c>
      <c r="D765" s="4" t="s">
        <v>20</v>
      </c>
      <c r="E765" s="10">
        <v>8</v>
      </c>
      <c r="F765" s="92">
        <v>4.3920000000000003</v>
      </c>
      <c r="G765" s="92">
        <v>4.4999999999999998E-2</v>
      </c>
    </row>
    <row r="766" spans="1:14">
      <c r="A766" s="1">
        <v>13</v>
      </c>
      <c r="B766" s="71">
        <v>44044</v>
      </c>
      <c r="C766">
        <v>2020</v>
      </c>
      <c r="D766" s="4" t="s">
        <v>20</v>
      </c>
      <c r="E766" s="10">
        <v>8</v>
      </c>
      <c r="F766" s="92">
        <v>5.8490000000000002</v>
      </c>
      <c r="G766" s="92">
        <v>6.4000000000000001E-2</v>
      </c>
      <c r="I766" s="21">
        <f t="shared" ref="I766:J766" si="3">AVERAGE(F764:F766)</f>
        <v>5.1893333333333338</v>
      </c>
      <c r="J766" s="21">
        <f t="shared" si="3"/>
        <v>4.9333333333333333E-2</v>
      </c>
      <c r="L766">
        <f t="shared" ref="L766" si="4">+J766/I766</f>
        <v>9.5066803699897211E-3</v>
      </c>
      <c r="M766">
        <f t="shared" ref="M766" si="5">+(L766-$L$927)/$L$928</f>
        <v>-6.3888661504158992E-2</v>
      </c>
      <c r="N766">
        <f t="shared" ref="N766" si="6">+N763+M766</f>
        <v>6.4430784243532564</v>
      </c>
    </row>
    <row r="767" spans="1:14">
      <c r="A767" s="1">
        <v>11</v>
      </c>
      <c r="B767" s="71">
        <v>44075</v>
      </c>
      <c r="C767">
        <v>2020</v>
      </c>
      <c r="D767" s="4" t="s">
        <v>26</v>
      </c>
      <c r="E767" s="10">
        <v>9</v>
      </c>
      <c r="F767" s="92">
        <v>1.492</v>
      </c>
      <c r="G767" s="92">
        <v>9.9989999999999996E-4</v>
      </c>
    </row>
    <row r="768" spans="1:14">
      <c r="A768" s="1">
        <v>12</v>
      </c>
      <c r="B768" s="71">
        <v>44075</v>
      </c>
      <c r="C768">
        <v>2020</v>
      </c>
      <c r="D768" s="4" t="s">
        <v>26</v>
      </c>
      <c r="E768" s="10">
        <v>9</v>
      </c>
      <c r="F768" s="92">
        <v>3.5049999999999999</v>
      </c>
      <c r="G768" s="92">
        <v>1.6E-2</v>
      </c>
    </row>
    <row r="769" spans="1:14">
      <c r="A769" s="1">
        <v>13</v>
      </c>
      <c r="B769" s="71">
        <v>44075</v>
      </c>
      <c r="C769">
        <v>2020</v>
      </c>
      <c r="D769" s="4" t="s">
        <v>26</v>
      </c>
      <c r="E769" s="10">
        <v>9</v>
      </c>
      <c r="F769" s="92">
        <v>4.734</v>
      </c>
      <c r="G769" s="92">
        <v>0.04</v>
      </c>
      <c r="I769" s="21">
        <f t="shared" ref="I769:J769" si="7">AVERAGE(F767:F769)</f>
        <v>3.2436666666666665</v>
      </c>
      <c r="J769" s="21">
        <f t="shared" si="7"/>
        <v>1.899996666666667E-2</v>
      </c>
      <c r="L769">
        <f t="shared" ref="L769" si="8">+J769/I769</f>
        <v>5.8575583187750503E-3</v>
      </c>
      <c r="M769">
        <f t="shared" ref="M769" si="9">+(L769-$L$927)/$L$928</f>
        <v>-0.4316754434733836</v>
      </c>
      <c r="N769">
        <f t="shared" ref="N769" si="10">+N766+M769</f>
        <v>6.0114029808798728</v>
      </c>
    </row>
    <row r="770" spans="1:14">
      <c r="A770" s="1">
        <v>11</v>
      </c>
      <c r="B770" s="71">
        <v>44105</v>
      </c>
      <c r="C770">
        <v>2020</v>
      </c>
      <c r="D770" s="4" t="s">
        <v>22</v>
      </c>
      <c r="E770" s="10">
        <v>10</v>
      </c>
      <c r="F770" s="92">
        <v>2.2330000000000001</v>
      </c>
      <c r="G770" s="92">
        <v>2.1999999999999999E-2</v>
      </c>
    </row>
    <row r="771" spans="1:14">
      <c r="A771" s="1">
        <v>12</v>
      </c>
      <c r="B771" s="71">
        <v>44105</v>
      </c>
      <c r="C771">
        <v>2020</v>
      </c>
      <c r="D771" s="4" t="s">
        <v>22</v>
      </c>
      <c r="E771" s="10">
        <v>10</v>
      </c>
      <c r="F771" s="92">
        <v>3.4129999999999998</v>
      </c>
      <c r="G771" s="92">
        <v>4.5999999999999999E-2</v>
      </c>
    </row>
    <row r="772" spans="1:14">
      <c r="A772" s="1">
        <v>13</v>
      </c>
      <c r="B772" s="71">
        <v>44105</v>
      </c>
      <c r="C772">
        <v>2020</v>
      </c>
      <c r="D772" s="4" t="s">
        <v>22</v>
      </c>
      <c r="E772" s="10">
        <v>10</v>
      </c>
      <c r="F772" s="92">
        <v>3.637</v>
      </c>
      <c r="G772" s="92">
        <v>3.6999999999999998E-2</v>
      </c>
      <c r="I772" s="21">
        <f t="shared" ref="I772:J772" si="11">AVERAGE(F770:F772)</f>
        <v>3.0943333333333332</v>
      </c>
      <c r="J772" s="21">
        <f t="shared" si="11"/>
        <v>3.5000000000000003E-2</v>
      </c>
      <c r="L772">
        <f t="shared" ref="L772" si="12">+J772/I772</f>
        <v>1.1310998599590651E-2</v>
      </c>
      <c r="M772">
        <f t="shared" ref="M772" si="13">+(L772-$L$927)/$L$928</f>
        <v>0.11796450372292423</v>
      </c>
      <c r="N772">
        <f t="shared" ref="N772" si="14">+N769+M772</f>
        <v>6.1293674846027972</v>
      </c>
    </row>
    <row r="773" spans="1:14">
      <c r="A773" s="1">
        <v>11</v>
      </c>
      <c r="B773" s="71">
        <v>44136</v>
      </c>
      <c r="C773">
        <v>2020</v>
      </c>
      <c r="D773" s="4" t="s">
        <v>23</v>
      </c>
      <c r="E773" s="10">
        <v>11</v>
      </c>
      <c r="F773" s="92">
        <v>1.639</v>
      </c>
      <c r="G773" s="92">
        <v>8.9999999999999993E-3</v>
      </c>
    </row>
    <row r="774" spans="1:14">
      <c r="A774" s="1">
        <v>12</v>
      </c>
      <c r="B774" s="71">
        <v>44136</v>
      </c>
      <c r="C774">
        <v>2020</v>
      </c>
      <c r="D774" s="4" t="s">
        <v>23</v>
      </c>
      <c r="E774" s="10">
        <v>11</v>
      </c>
      <c r="F774" s="92">
        <v>1.468</v>
      </c>
      <c r="G774" s="92">
        <v>6.0000000000000001E-3</v>
      </c>
    </row>
    <row r="775" spans="1:14">
      <c r="A775" s="1">
        <v>13</v>
      </c>
      <c r="B775" s="71">
        <v>44136</v>
      </c>
      <c r="C775">
        <v>2020</v>
      </c>
      <c r="D775" s="4" t="s">
        <v>23</v>
      </c>
      <c r="E775" s="10">
        <v>11</v>
      </c>
      <c r="F775" s="92">
        <v>1.54</v>
      </c>
      <c r="G775" s="92">
        <v>5.0000000000000001E-3</v>
      </c>
      <c r="I775" s="21">
        <f t="shared" ref="I775:J775" si="15">AVERAGE(F773:F775)</f>
        <v>1.5490000000000002</v>
      </c>
      <c r="J775" s="21">
        <f t="shared" si="15"/>
        <v>6.6666666666666671E-3</v>
      </c>
      <c r="L775">
        <f t="shared" ref="L775" si="16">+J775/I775</f>
        <v>4.303851947493006E-3</v>
      </c>
      <c r="M775">
        <f t="shared" ref="M775" si="17">+(L775-$L$927)/$L$928</f>
        <v>-0.58827000468535884</v>
      </c>
      <c r="N775">
        <f t="shared" ref="N775" si="18">+N772+M775</f>
        <v>5.541097479917438</v>
      </c>
    </row>
    <row r="776" spans="1:14">
      <c r="A776" s="1">
        <v>11</v>
      </c>
      <c r="B776" s="72">
        <v>44166</v>
      </c>
      <c r="C776">
        <v>2020</v>
      </c>
      <c r="D776" s="4" t="s">
        <v>24</v>
      </c>
      <c r="E776" s="10">
        <v>12</v>
      </c>
    </row>
    <row r="777" spans="1:14">
      <c r="A777" s="1">
        <v>12</v>
      </c>
      <c r="B777" s="71">
        <v>44166</v>
      </c>
      <c r="C777">
        <v>2020</v>
      </c>
      <c r="D777" s="4" t="s">
        <v>24</v>
      </c>
      <c r="E777" s="10">
        <v>12</v>
      </c>
    </row>
    <row r="778" spans="1:14">
      <c r="A778" s="1">
        <v>13</v>
      </c>
      <c r="B778" s="71">
        <v>44166</v>
      </c>
      <c r="C778">
        <v>2020</v>
      </c>
      <c r="D778" s="4" t="s">
        <v>24</v>
      </c>
      <c r="E778" s="10">
        <v>12</v>
      </c>
      <c r="I778" s="21"/>
      <c r="J778" s="21"/>
    </row>
    <row r="779" spans="1:14">
      <c r="A779" s="91">
        <v>11</v>
      </c>
      <c r="B779" s="86">
        <v>44206</v>
      </c>
      <c r="C779" s="87">
        <v>2021</v>
      </c>
      <c r="D779" s="88" t="s">
        <v>25</v>
      </c>
      <c r="E779" s="89">
        <v>1</v>
      </c>
    </row>
    <row r="780" spans="1:14">
      <c r="A780" s="1">
        <v>12</v>
      </c>
      <c r="B780" s="73">
        <v>44201</v>
      </c>
      <c r="C780">
        <v>2021</v>
      </c>
      <c r="D780" s="4" t="s">
        <v>25</v>
      </c>
      <c r="E780" s="10">
        <v>1</v>
      </c>
    </row>
    <row r="781" spans="1:14">
      <c r="A781" s="1">
        <v>13</v>
      </c>
      <c r="B781" s="73">
        <v>44201</v>
      </c>
      <c r="C781">
        <v>2021</v>
      </c>
      <c r="D781" s="4" t="s">
        <v>25</v>
      </c>
      <c r="E781" s="10">
        <v>1</v>
      </c>
      <c r="I781" s="21"/>
      <c r="J781" s="21"/>
    </row>
    <row r="782" spans="1:14">
      <c r="A782" s="1">
        <v>11</v>
      </c>
      <c r="B782" s="71">
        <v>44228</v>
      </c>
      <c r="C782">
        <v>2021</v>
      </c>
      <c r="D782" s="4" t="s">
        <v>14</v>
      </c>
      <c r="E782" s="10">
        <v>2</v>
      </c>
      <c r="F782" s="92">
        <v>4.2009999999999996</v>
      </c>
      <c r="G782" s="92">
        <v>1.0999999999999999E-2</v>
      </c>
    </row>
    <row r="783" spans="1:14">
      <c r="A783" s="1">
        <v>12</v>
      </c>
      <c r="B783" s="71">
        <v>44228</v>
      </c>
      <c r="C783">
        <v>2021</v>
      </c>
      <c r="D783" s="4" t="s">
        <v>14</v>
      </c>
      <c r="E783" s="10">
        <v>2</v>
      </c>
      <c r="F783" s="92">
        <v>2.609</v>
      </c>
      <c r="G783" s="92">
        <v>1.2E-2</v>
      </c>
    </row>
    <row r="784" spans="1:14">
      <c r="A784" s="1">
        <v>13</v>
      </c>
      <c r="B784" s="71">
        <v>44228</v>
      </c>
      <c r="C784">
        <v>2021</v>
      </c>
      <c r="D784" s="4" t="s">
        <v>14</v>
      </c>
      <c r="E784" s="10">
        <v>2</v>
      </c>
      <c r="F784" s="92">
        <v>3.8620000000000001</v>
      </c>
      <c r="G784" s="92">
        <v>6.0000000000000001E-3</v>
      </c>
      <c r="I784" s="21">
        <f t="shared" ref="I784:J784" si="19">AVERAGE(F782:F784)</f>
        <v>3.5573333333333337</v>
      </c>
      <c r="J784" s="21">
        <f t="shared" si="19"/>
        <v>9.6666666666666654E-3</v>
      </c>
      <c r="L784">
        <f t="shared" ref="L784" si="20">+J784/I784</f>
        <v>2.7173913043478256E-3</v>
      </c>
      <c r="M784">
        <f t="shared" ref="M784" si="21">+(L784-$L$927)/$L$928</f>
        <v>-0.74816579509033343</v>
      </c>
      <c r="N784">
        <f>+N775+M784</f>
        <v>4.7929316848271046</v>
      </c>
    </row>
    <row r="785" spans="1:14">
      <c r="A785" s="1">
        <v>11</v>
      </c>
      <c r="B785" s="71">
        <v>44256</v>
      </c>
      <c r="C785">
        <v>2021</v>
      </c>
      <c r="D785" s="4" t="s">
        <v>15</v>
      </c>
      <c r="E785" s="10">
        <v>3</v>
      </c>
      <c r="F785" s="92">
        <v>4.0389999999999997</v>
      </c>
      <c r="G785" s="92">
        <v>8.0000000000000002E-3</v>
      </c>
    </row>
    <row r="786" spans="1:14">
      <c r="A786" s="1">
        <v>12</v>
      </c>
      <c r="B786" s="71">
        <v>44256</v>
      </c>
      <c r="C786">
        <v>2021</v>
      </c>
      <c r="D786" s="4" t="s">
        <v>15</v>
      </c>
      <c r="E786" s="10">
        <v>3</v>
      </c>
      <c r="F786" s="92">
        <v>2.8650000000000002</v>
      </c>
      <c r="G786" s="92">
        <v>0.01</v>
      </c>
    </row>
    <row r="787" spans="1:14">
      <c r="A787" s="1">
        <v>13</v>
      </c>
      <c r="B787" s="71">
        <v>44256</v>
      </c>
      <c r="C787">
        <v>2021</v>
      </c>
      <c r="D787" s="4" t="s">
        <v>15</v>
      </c>
      <c r="E787" s="10">
        <v>3</v>
      </c>
      <c r="F787" s="92">
        <v>2.6309999999999998</v>
      </c>
      <c r="G787" s="92">
        <v>0.01</v>
      </c>
      <c r="I787" s="21">
        <f t="shared" ref="I787:J787" si="22">AVERAGE(F785:F787)</f>
        <v>3.1783333333333332</v>
      </c>
      <c r="J787" s="21">
        <f t="shared" si="22"/>
        <v>9.3333333333333341E-3</v>
      </c>
      <c r="L787">
        <f t="shared" ref="L787" si="23">+J787/I787</f>
        <v>2.9365495542737286E-3</v>
      </c>
      <c r="M787">
        <f t="shared" ref="M787" si="24">+(L787-$L$927)/$L$928</f>
        <v>-0.7260773293303503</v>
      </c>
      <c r="N787">
        <f t="shared" ref="N787" si="25">+N784+M787</f>
        <v>4.066854355496754</v>
      </c>
    </row>
    <row r="788" spans="1:14">
      <c r="A788" s="1">
        <v>11</v>
      </c>
      <c r="B788" s="71">
        <v>44287</v>
      </c>
      <c r="C788">
        <v>2021</v>
      </c>
      <c r="D788" s="4" t="s">
        <v>16</v>
      </c>
      <c r="E788" s="10">
        <v>4</v>
      </c>
      <c r="F788" s="92">
        <v>4.2439999999999998</v>
      </c>
      <c r="G788" s="92">
        <v>0.01</v>
      </c>
    </row>
    <row r="789" spans="1:14">
      <c r="A789" s="1">
        <v>12</v>
      </c>
      <c r="B789" s="71">
        <v>44287</v>
      </c>
      <c r="C789">
        <v>2021</v>
      </c>
      <c r="D789" s="4" t="s">
        <v>16</v>
      </c>
      <c r="E789" s="10">
        <v>4</v>
      </c>
      <c r="F789" s="92">
        <v>2.375</v>
      </c>
      <c r="G789" s="92">
        <v>1.0999999999999999E-2</v>
      </c>
    </row>
    <row r="790" spans="1:14">
      <c r="A790" s="1">
        <v>13</v>
      </c>
      <c r="B790" s="71">
        <v>44287</v>
      </c>
      <c r="C790">
        <v>2021</v>
      </c>
      <c r="D790" s="4" t="s">
        <v>16</v>
      </c>
      <c r="E790" s="10">
        <v>4</v>
      </c>
      <c r="F790" s="92">
        <v>3.04</v>
      </c>
      <c r="G790" s="92">
        <v>6.0000000000000001E-3</v>
      </c>
      <c r="I790" s="21">
        <f t="shared" ref="I790:J790" si="26">AVERAGE(F788:F790)</f>
        <v>3.2196666666666665</v>
      </c>
      <c r="J790" s="21">
        <f t="shared" si="26"/>
        <v>8.9999999999999993E-3</v>
      </c>
      <c r="L790">
        <f t="shared" ref="L790" si="27">+J790/I790</f>
        <v>2.7953204265451911E-3</v>
      </c>
      <c r="M790">
        <f t="shared" ref="M790" si="28">+(L790-$L$927)/$L$928</f>
        <v>-0.74031149461136891</v>
      </c>
      <c r="N790">
        <f t="shared" ref="N790" si="29">+N787+M790</f>
        <v>3.3265428608853851</v>
      </c>
    </row>
    <row r="791" spans="1:14">
      <c r="A791" s="1">
        <v>11</v>
      </c>
      <c r="B791" s="71">
        <v>44317</v>
      </c>
      <c r="C791">
        <v>2021</v>
      </c>
      <c r="D791" s="4" t="s">
        <v>17</v>
      </c>
      <c r="E791" s="10">
        <v>5</v>
      </c>
      <c r="F791" s="92">
        <v>4.9240000000000004</v>
      </c>
      <c r="G791" s="92">
        <v>1.4999999999999999E-2</v>
      </c>
    </row>
    <row r="792" spans="1:14">
      <c r="A792" s="1">
        <v>12</v>
      </c>
      <c r="B792" s="71">
        <v>44317</v>
      </c>
      <c r="C792">
        <v>2021</v>
      </c>
      <c r="D792" s="4" t="s">
        <v>17</v>
      </c>
      <c r="E792" s="10">
        <v>5</v>
      </c>
      <c r="F792" s="92">
        <v>5.173</v>
      </c>
      <c r="G792" s="92">
        <v>1.4999999999999999E-2</v>
      </c>
    </row>
    <row r="793" spans="1:14">
      <c r="A793" s="1">
        <v>13</v>
      </c>
      <c r="B793" s="71">
        <v>44317</v>
      </c>
      <c r="C793">
        <v>2021</v>
      </c>
      <c r="D793" s="4" t="s">
        <v>17</v>
      </c>
      <c r="E793" s="10">
        <v>5</v>
      </c>
      <c r="F793" s="92">
        <v>6.7990000000000004</v>
      </c>
      <c r="G793" s="92">
        <v>0.01</v>
      </c>
      <c r="I793" s="21">
        <f t="shared" ref="I793:J793" si="30">AVERAGE(F791:F793)</f>
        <v>5.6320000000000006</v>
      </c>
      <c r="J793" s="21">
        <f t="shared" si="30"/>
        <v>1.3333333333333334E-2</v>
      </c>
      <c r="L793">
        <f t="shared" ref="L793" si="31">+J793/I793</f>
        <v>2.3674242424242425E-3</v>
      </c>
      <c r="M793">
        <f t="shared" ref="M793" si="32">+(L793-$L$927)/$L$928</f>
        <v>-0.78343818600892579</v>
      </c>
      <c r="N793">
        <f t="shared" ref="N793" si="33">+N790+M793</f>
        <v>2.5431046748764592</v>
      </c>
    </row>
    <row r="794" spans="1:14">
      <c r="A794" s="1">
        <v>11</v>
      </c>
      <c r="B794" s="71">
        <v>44348</v>
      </c>
      <c r="C794">
        <v>2021</v>
      </c>
      <c r="D794" s="4" t="s">
        <v>18</v>
      </c>
      <c r="E794" s="10">
        <v>6</v>
      </c>
      <c r="F794" s="92">
        <v>6.56</v>
      </c>
      <c r="G794" s="92">
        <v>4.2000000000000003E-2</v>
      </c>
    </row>
    <row r="795" spans="1:14">
      <c r="A795" s="1">
        <v>12</v>
      </c>
      <c r="B795" s="71">
        <v>44348</v>
      </c>
      <c r="C795">
        <v>2021</v>
      </c>
      <c r="D795" s="4" t="s">
        <v>18</v>
      </c>
      <c r="E795" s="10">
        <v>6</v>
      </c>
      <c r="F795" s="92">
        <v>10.156000000000001</v>
      </c>
      <c r="G795" s="92">
        <v>5.8000000000000003E-2</v>
      </c>
    </row>
    <row r="796" spans="1:14">
      <c r="A796" s="1">
        <v>13</v>
      </c>
      <c r="B796" s="71">
        <v>44348</v>
      </c>
      <c r="C796">
        <v>2021</v>
      </c>
      <c r="D796" s="4" t="s">
        <v>18</v>
      </c>
      <c r="E796" s="10">
        <v>6</v>
      </c>
      <c r="F796" s="92">
        <v>9.1980000000000004</v>
      </c>
      <c r="G796" s="92">
        <v>3.4000000000000002E-2</v>
      </c>
      <c r="I796" s="21">
        <f t="shared" ref="I796:J796" si="34">AVERAGE(F794:F796)</f>
        <v>8.6379999999999999</v>
      </c>
      <c r="J796" s="21">
        <f t="shared" si="34"/>
        <v>4.4666666666666667E-2</v>
      </c>
      <c r="L796">
        <f t="shared" ref="L796" si="35">+J796/I796</f>
        <v>5.1709500656016054E-3</v>
      </c>
      <c r="M796">
        <f t="shared" ref="M796" si="36">+(L796-$L$927)/$L$928</f>
        <v>-0.50087714085813251</v>
      </c>
      <c r="N796">
        <f t="shared" ref="N796" si="37">+N793+M796</f>
        <v>2.0422275340183269</v>
      </c>
    </row>
    <row r="797" spans="1:14">
      <c r="A797" s="1">
        <v>11</v>
      </c>
      <c r="B797" s="71">
        <v>44378</v>
      </c>
      <c r="C797">
        <v>2021</v>
      </c>
      <c r="D797" s="4" t="s">
        <v>19</v>
      </c>
      <c r="E797" s="10">
        <v>7</v>
      </c>
      <c r="H797" s="90" t="s">
        <v>98</v>
      </c>
    </row>
    <row r="798" spans="1:14">
      <c r="A798" s="1">
        <v>12</v>
      </c>
      <c r="B798" s="71">
        <v>44378</v>
      </c>
      <c r="C798">
        <v>2021</v>
      </c>
      <c r="D798" s="4" t="s">
        <v>19</v>
      </c>
      <c r="E798" s="10">
        <v>7</v>
      </c>
      <c r="H798" s="90" t="s">
        <v>99</v>
      </c>
    </row>
    <row r="799" spans="1:14">
      <c r="A799" s="1">
        <v>13</v>
      </c>
      <c r="B799" s="71">
        <v>44378</v>
      </c>
      <c r="C799">
        <v>2021</v>
      </c>
      <c r="D799" s="4" t="s">
        <v>19</v>
      </c>
      <c r="E799" s="10">
        <v>7</v>
      </c>
      <c r="I799" s="21"/>
      <c r="J799" s="21"/>
    </row>
    <row r="800" spans="1:14">
      <c r="A800" s="1">
        <v>11</v>
      </c>
      <c r="B800" s="71">
        <v>44409</v>
      </c>
      <c r="C800">
        <v>2021</v>
      </c>
      <c r="D800" s="4" t="s">
        <v>20</v>
      </c>
      <c r="E800" s="10">
        <v>8</v>
      </c>
      <c r="F800" s="92">
        <v>3.887</v>
      </c>
      <c r="G800" s="92">
        <v>0.03</v>
      </c>
    </row>
    <row r="801" spans="1:14">
      <c r="A801" s="1">
        <v>12</v>
      </c>
      <c r="B801" s="71">
        <v>44409</v>
      </c>
      <c r="C801">
        <v>2021</v>
      </c>
      <c r="D801" s="4" t="s">
        <v>20</v>
      </c>
      <c r="E801" s="10">
        <v>8</v>
      </c>
      <c r="F801" s="92">
        <v>6.1159999999999997</v>
      </c>
      <c r="G801" s="92">
        <v>3.9E-2</v>
      </c>
    </row>
    <row r="802" spans="1:14">
      <c r="A802" s="1">
        <v>13</v>
      </c>
      <c r="B802" s="71">
        <v>44409</v>
      </c>
      <c r="C802">
        <v>2021</v>
      </c>
      <c r="D802" s="4" t="s">
        <v>20</v>
      </c>
      <c r="E802" s="10">
        <v>8</v>
      </c>
      <c r="F802" s="92">
        <v>3.4689999999999999</v>
      </c>
      <c r="G802" s="92">
        <v>4.2999999999999997E-2</v>
      </c>
      <c r="I802" s="21">
        <f t="shared" ref="I802:J802" si="38">AVERAGE(F800:F802)</f>
        <v>4.4906666666666668</v>
      </c>
      <c r="J802" s="21">
        <f t="shared" si="38"/>
        <v>3.7333333333333336E-2</v>
      </c>
      <c r="L802">
        <f t="shared" ref="L802" si="39">+J802/I802</f>
        <v>8.3135391923990498E-3</v>
      </c>
      <c r="M802">
        <f t="shared" ref="M802" si="40">+(L802-$L$927)/$L$928</f>
        <v>-0.18414266999778423</v>
      </c>
      <c r="N802">
        <f>+N796+M802</f>
        <v>1.8580848640205427</v>
      </c>
    </row>
    <row r="803" spans="1:14">
      <c r="A803" s="1">
        <v>11</v>
      </c>
      <c r="B803" s="71">
        <v>44440</v>
      </c>
      <c r="C803">
        <v>2021</v>
      </c>
      <c r="D803" s="4" t="s">
        <v>26</v>
      </c>
      <c r="E803" s="10">
        <v>9</v>
      </c>
      <c r="F803" s="92">
        <v>3.4159999999999999</v>
      </c>
      <c r="G803" s="92">
        <v>5.8999999999999997E-2</v>
      </c>
    </row>
    <row r="804" spans="1:14">
      <c r="A804" s="1">
        <v>12</v>
      </c>
      <c r="B804" s="71">
        <v>44440</v>
      </c>
      <c r="C804">
        <v>2021</v>
      </c>
      <c r="D804" s="4" t="s">
        <v>26</v>
      </c>
      <c r="E804" s="10">
        <v>9</v>
      </c>
      <c r="F804" s="92">
        <v>3.673</v>
      </c>
      <c r="G804" s="92">
        <v>5.1999999999999998E-2</v>
      </c>
    </row>
    <row r="805" spans="1:14">
      <c r="A805" s="1">
        <v>13</v>
      </c>
      <c r="B805" s="71">
        <v>44440</v>
      </c>
      <c r="C805">
        <v>2021</v>
      </c>
      <c r="D805" s="4" t="s">
        <v>26</v>
      </c>
      <c r="E805" s="10">
        <v>9</v>
      </c>
      <c r="F805" s="92">
        <v>4.32</v>
      </c>
      <c r="G805" s="92">
        <v>8.6999999999999994E-2</v>
      </c>
      <c r="I805" s="21">
        <f t="shared" ref="I805:J805" si="41">AVERAGE(F803:F805)</f>
        <v>3.8030000000000004</v>
      </c>
      <c r="J805" s="21">
        <f t="shared" si="41"/>
        <v>6.5999999999999989E-2</v>
      </c>
      <c r="L805">
        <f t="shared" ref="L805" si="42">+J805/I805</f>
        <v>1.7354719957927946E-2</v>
      </c>
      <c r="M805">
        <f t="shared" ref="M805" si="43">+(L805-$L$927)/$L$928</f>
        <v>0.72709754950900551</v>
      </c>
      <c r="N805">
        <f t="shared" ref="N805" si="44">+N802+M805</f>
        <v>2.585182413529548</v>
      </c>
    </row>
    <row r="806" spans="1:14">
      <c r="A806" s="1">
        <v>11</v>
      </c>
      <c r="B806" s="71">
        <v>44470</v>
      </c>
      <c r="C806">
        <v>2021</v>
      </c>
      <c r="D806" s="4" t="s">
        <v>22</v>
      </c>
      <c r="E806" s="10">
        <v>10</v>
      </c>
      <c r="F806" s="92">
        <v>5.6130000000000004</v>
      </c>
      <c r="G806" s="92">
        <v>3.4000000000000002E-2</v>
      </c>
    </row>
    <row r="807" spans="1:14">
      <c r="A807" s="1">
        <v>12</v>
      </c>
      <c r="B807" s="71">
        <v>44470</v>
      </c>
      <c r="C807">
        <v>2021</v>
      </c>
      <c r="D807" s="4" t="s">
        <v>22</v>
      </c>
      <c r="E807" s="10">
        <v>10</v>
      </c>
      <c r="F807" s="92">
        <v>4.907</v>
      </c>
      <c r="G807" s="92">
        <v>2.8000000000000001E-2</v>
      </c>
    </row>
    <row r="808" spans="1:14">
      <c r="A808" s="1">
        <v>13</v>
      </c>
      <c r="B808" s="71">
        <v>44470</v>
      </c>
      <c r="C808">
        <v>2021</v>
      </c>
      <c r="D808" s="4" t="s">
        <v>22</v>
      </c>
      <c r="E808" s="10">
        <v>10</v>
      </c>
      <c r="F808" s="92">
        <v>1.738</v>
      </c>
      <c r="G808" s="92">
        <v>9.9989999999999996E-4</v>
      </c>
      <c r="I808" s="21">
        <f t="shared" ref="I808:J808" si="45">AVERAGE(F806:F808)</f>
        <v>4.0859999999999994</v>
      </c>
      <c r="J808" s="21">
        <f t="shared" si="45"/>
        <v>2.0999966666666665E-2</v>
      </c>
      <c r="L808">
        <f t="shared" ref="L808" si="46">+J808/I808</f>
        <v>5.1394925762767172E-3</v>
      </c>
      <c r="M808">
        <f t="shared" ref="M808" si="47">+(L808-$L$927)/$L$928</f>
        <v>-0.50404767026363184</v>
      </c>
      <c r="N808">
        <f t="shared" ref="N808" si="48">+N805+M808</f>
        <v>2.081134743265916</v>
      </c>
    </row>
    <row r="809" spans="1:14">
      <c r="A809" s="1">
        <v>11</v>
      </c>
      <c r="B809" s="71">
        <v>44501</v>
      </c>
      <c r="C809">
        <v>2021</v>
      </c>
      <c r="D809" s="4" t="s">
        <v>23</v>
      </c>
      <c r="E809" s="10">
        <v>11</v>
      </c>
      <c r="F809" s="92">
        <v>3.1869999999999998</v>
      </c>
      <c r="G809" s="92">
        <v>3.3000000000000002E-2</v>
      </c>
    </row>
    <row r="810" spans="1:14">
      <c r="A810" s="1">
        <v>12</v>
      </c>
      <c r="B810" s="71">
        <v>44501</v>
      </c>
      <c r="C810">
        <v>2021</v>
      </c>
      <c r="D810" s="4" t="s">
        <v>23</v>
      </c>
      <c r="E810" s="10">
        <v>11</v>
      </c>
      <c r="F810" s="92">
        <v>1.9430000000000001</v>
      </c>
      <c r="G810" s="92">
        <v>6.0000000000000001E-3</v>
      </c>
    </row>
    <row r="811" spans="1:14">
      <c r="A811" s="1">
        <v>13</v>
      </c>
      <c r="B811" s="71">
        <v>44501</v>
      </c>
      <c r="C811">
        <v>2021</v>
      </c>
      <c r="D811" s="4" t="s">
        <v>23</v>
      </c>
      <c r="E811" s="10">
        <v>11</v>
      </c>
      <c r="F811" s="92">
        <v>1.0009999999999999</v>
      </c>
      <c r="G811" s="92">
        <v>9.9989999999999996E-4</v>
      </c>
      <c r="I811" s="21">
        <f t="shared" ref="I811:J811" si="49">AVERAGE(F809:F811)</f>
        <v>2.0436666666666667</v>
      </c>
      <c r="J811" s="21">
        <f t="shared" si="49"/>
        <v>1.3333299999999999E-2</v>
      </c>
      <c r="L811">
        <f t="shared" ref="L811" si="50">+J811/I811</f>
        <v>6.5242048605447722E-3</v>
      </c>
      <c r="M811">
        <f t="shared" ref="M811" si="51">+(L811-$L$927)/$L$928</f>
        <v>-0.3644856419629669</v>
      </c>
      <c r="N811">
        <f t="shared" ref="N811" si="52">+N808+M811</f>
        <v>1.716649101302949</v>
      </c>
    </row>
    <row r="812" spans="1:14">
      <c r="A812" s="1">
        <v>11</v>
      </c>
      <c r="B812" s="72">
        <v>44531</v>
      </c>
      <c r="C812">
        <v>2021</v>
      </c>
      <c r="D812" s="4" t="s">
        <v>24</v>
      </c>
      <c r="E812" s="10">
        <v>12</v>
      </c>
      <c r="F812" s="92">
        <v>4.8920000000000003</v>
      </c>
      <c r="G812" s="92">
        <v>9.9989999999999996E-4</v>
      </c>
    </row>
    <row r="813" spans="1:14">
      <c r="A813" s="1">
        <v>12</v>
      </c>
      <c r="B813" s="71">
        <v>44531</v>
      </c>
      <c r="C813">
        <v>2021</v>
      </c>
      <c r="D813" s="4" t="s">
        <v>24</v>
      </c>
      <c r="E813" s="10">
        <v>12</v>
      </c>
      <c r="F813" s="92">
        <v>5.6689999999999996</v>
      </c>
      <c r="G813" s="92">
        <v>7.0000000000000001E-3</v>
      </c>
    </row>
    <row r="814" spans="1:14">
      <c r="A814" s="1">
        <v>13</v>
      </c>
      <c r="B814" s="71">
        <v>44531</v>
      </c>
      <c r="C814">
        <v>2021</v>
      </c>
      <c r="D814" s="4" t="s">
        <v>24</v>
      </c>
      <c r="E814" s="10">
        <v>12</v>
      </c>
      <c r="F814" s="92">
        <v>12.211</v>
      </c>
      <c r="G814" s="92">
        <v>2.5999999999999999E-2</v>
      </c>
      <c r="I814" s="21">
        <f t="shared" ref="I814:J814" si="53">AVERAGE(F812:F814)</f>
        <v>7.5906666666666665</v>
      </c>
      <c r="J814" s="21">
        <f t="shared" si="53"/>
        <v>1.1333299999999999E-2</v>
      </c>
      <c r="L814">
        <f t="shared" ref="L814" si="54">+J814/I814</f>
        <v>1.4930572633058141E-3</v>
      </c>
      <c r="M814">
        <f t="shared" ref="M814" si="55">+(L814-$L$927)/$L$928</f>
        <v>-0.87156366194445267</v>
      </c>
      <c r="N814">
        <f t="shared" ref="N814" si="56">+N811+M814</f>
        <v>0.84508543935849634</v>
      </c>
    </row>
    <row r="815" spans="1:14">
      <c r="A815" s="91">
        <v>11</v>
      </c>
      <c r="B815" s="86">
        <v>44571</v>
      </c>
      <c r="C815" s="87">
        <v>2022</v>
      </c>
      <c r="D815" s="88" t="s">
        <v>25</v>
      </c>
      <c r="E815" s="89">
        <v>1</v>
      </c>
      <c r="H815" s="90" t="s">
        <v>95</v>
      </c>
    </row>
    <row r="816" spans="1:14">
      <c r="A816" s="1">
        <v>12</v>
      </c>
      <c r="B816" s="73">
        <v>44566</v>
      </c>
      <c r="C816">
        <v>2022</v>
      </c>
      <c r="D816" s="4" t="s">
        <v>25</v>
      </c>
      <c r="E816" s="10">
        <v>1</v>
      </c>
      <c r="H816" s="90" t="s">
        <v>96</v>
      </c>
    </row>
    <row r="817" spans="1:8">
      <c r="A817" s="1">
        <v>13</v>
      </c>
      <c r="B817" s="73">
        <v>44566</v>
      </c>
      <c r="C817">
        <v>2022</v>
      </c>
      <c r="D817" s="4" t="s">
        <v>25</v>
      </c>
      <c r="E817" s="10">
        <v>1</v>
      </c>
      <c r="H817" s="90" t="s">
        <v>97</v>
      </c>
    </row>
    <row r="818" spans="1:8">
      <c r="A818" s="1">
        <v>11</v>
      </c>
      <c r="B818" s="71">
        <v>44593</v>
      </c>
      <c r="C818">
        <v>2022</v>
      </c>
      <c r="D818" s="4" t="s">
        <v>14</v>
      </c>
      <c r="E818" s="10">
        <v>2</v>
      </c>
    </row>
    <row r="819" spans="1:8">
      <c r="A819" s="1">
        <v>12</v>
      </c>
      <c r="B819" s="71">
        <v>44593</v>
      </c>
      <c r="C819">
        <v>2022</v>
      </c>
      <c r="D819" s="4" t="s">
        <v>14</v>
      </c>
      <c r="E819" s="10">
        <v>2</v>
      </c>
    </row>
    <row r="820" spans="1:8">
      <c r="A820" s="1">
        <v>13</v>
      </c>
      <c r="B820" s="71">
        <v>44593</v>
      </c>
      <c r="C820">
        <v>2022</v>
      </c>
      <c r="D820" s="4" t="s">
        <v>14</v>
      </c>
      <c r="E820" s="10">
        <v>2</v>
      </c>
    </row>
    <row r="821" spans="1:8">
      <c r="A821" s="1">
        <v>11</v>
      </c>
      <c r="B821" s="71">
        <v>44621</v>
      </c>
      <c r="C821">
        <v>2022</v>
      </c>
      <c r="D821" s="4" t="s">
        <v>15</v>
      </c>
      <c r="E821" s="10">
        <v>3</v>
      </c>
    </row>
    <row r="822" spans="1:8">
      <c r="A822" s="1">
        <v>12</v>
      </c>
      <c r="B822" s="71">
        <v>44621</v>
      </c>
      <c r="C822">
        <v>2022</v>
      </c>
      <c r="D822" s="4" t="s">
        <v>15</v>
      </c>
      <c r="E822" s="10">
        <v>3</v>
      </c>
    </row>
    <row r="823" spans="1:8">
      <c r="A823" s="1">
        <v>13</v>
      </c>
      <c r="B823" s="71">
        <v>44621</v>
      </c>
      <c r="C823">
        <v>2022</v>
      </c>
      <c r="D823" s="4" t="s">
        <v>15</v>
      </c>
      <c r="E823" s="10">
        <v>3</v>
      </c>
    </row>
    <row r="824" spans="1:8">
      <c r="A824" s="1">
        <v>11</v>
      </c>
      <c r="B824" s="71">
        <v>44652</v>
      </c>
      <c r="C824">
        <v>2022</v>
      </c>
      <c r="D824" s="4" t="s">
        <v>16</v>
      </c>
      <c r="E824" s="10">
        <v>4</v>
      </c>
    </row>
    <row r="825" spans="1:8">
      <c r="A825" s="1">
        <v>12</v>
      </c>
      <c r="B825" s="71">
        <v>44652</v>
      </c>
      <c r="C825">
        <v>2022</v>
      </c>
      <c r="D825" s="4" t="s">
        <v>16</v>
      </c>
      <c r="E825" s="10">
        <v>4</v>
      </c>
    </row>
    <row r="826" spans="1:8">
      <c r="A826" s="1">
        <v>13</v>
      </c>
      <c r="B826" s="71">
        <v>44652</v>
      </c>
      <c r="C826">
        <v>2022</v>
      </c>
      <c r="D826" s="4" t="s">
        <v>16</v>
      </c>
      <c r="E826" s="10">
        <v>4</v>
      </c>
    </row>
    <row r="827" spans="1:8">
      <c r="A827" s="1">
        <v>11</v>
      </c>
      <c r="B827" s="71">
        <v>44682</v>
      </c>
      <c r="C827">
        <v>2022</v>
      </c>
      <c r="D827" s="4" t="s">
        <v>17</v>
      </c>
      <c r="E827" s="10">
        <v>5</v>
      </c>
    </row>
    <row r="828" spans="1:8">
      <c r="A828" s="1">
        <v>12</v>
      </c>
      <c r="B828" s="71">
        <v>44682</v>
      </c>
      <c r="C828">
        <v>2022</v>
      </c>
      <c r="D828" s="4" t="s">
        <v>17</v>
      </c>
      <c r="E828" s="10">
        <v>5</v>
      </c>
    </row>
    <row r="829" spans="1:8">
      <c r="A829" s="1">
        <v>13</v>
      </c>
      <c r="B829" s="71">
        <v>44682</v>
      </c>
      <c r="C829">
        <v>2022</v>
      </c>
      <c r="D829" s="4" t="s">
        <v>17</v>
      </c>
      <c r="E829" s="10">
        <v>5</v>
      </c>
    </row>
    <row r="830" spans="1:8">
      <c r="A830" s="1">
        <v>11</v>
      </c>
      <c r="B830" s="71">
        <v>44713</v>
      </c>
      <c r="C830">
        <v>2022</v>
      </c>
      <c r="D830" s="4" t="s">
        <v>18</v>
      </c>
      <c r="E830" s="10">
        <v>6</v>
      </c>
    </row>
    <row r="831" spans="1:8">
      <c r="A831" s="1">
        <v>12</v>
      </c>
      <c r="B831" s="71">
        <v>44713</v>
      </c>
      <c r="C831">
        <v>2022</v>
      </c>
      <c r="D831" s="4" t="s">
        <v>18</v>
      </c>
      <c r="E831" s="10">
        <v>6</v>
      </c>
    </row>
    <row r="832" spans="1:8">
      <c r="A832" s="1">
        <v>13</v>
      </c>
      <c r="B832" s="71">
        <v>44713</v>
      </c>
      <c r="C832">
        <v>2022</v>
      </c>
      <c r="D832" s="4" t="s">
        <v>18</v>
      </c>
      <c r="E832" s="10">
        <v>6</v>
      </c>
    </row>
    <row r="833" spans="1:5">
      <c r="A833" s="1">
        <v>11</v>
      </c>
      <c r="B833" s="71">
        <v>44743</v>
      </c>
      <c r="C833">
        <v>2022</v>
      </c>
      <c r="D833" s="4" t="s">
        <v>19</v>
      </c>
      <c r="E833" s="10">
        <v>7</v>
      </c>
    </row>
    <row r="834" spans="1:5">
      <c r="A834" s="1">
        <v>12</v>
      </c>
      <c r="B834" s="71">
        <v>44743</v>
      </c>
      <c r="C834">
        <v>2022</v>
      </c>
      <c r="D834" s="4" t="s">
        <v>19</v>
      </c>
      <c r="E834" s="10">
        <v>7</v>
      </c>
    </row>
    <row r="835" spans="1:5">
      <c r="A835" s="1">
        <v>13</v>
      </c>
      <c r="B835" s="71">
        <v>44743</v>
      </c>
      <c r="C835">
        <v>2022</v>
      </c>
      <c r="D835" s="4" t="s">
        <v>19</v>
      </c>
      <c r="E835" s="10">
        <v>7</v>
      </c>
    </row>
    <row r="836" spans="1:5">
      <c r="A836" s="1">
        <v>11</v>
      </c>
      <c r="B836" s="71">
        <v>44774</v>
      </c>
      <c r="C836">
        <v>2022</v>
      </c>
      <c r="D836" s="4" t="s">
        <v>20</v>
      </c>
      <c r="E836" s="10">
        <v>8</v>
      </c>
    </row>
    <row r="837" spans="1:5">
      <c r="A837" s="1">
        <v>12</v>
      </c>
      <c r="B837" s="71">
        <v>44774</v>
      </c>
      <c r="C837">
        <v>2022</v>
      </c>
      <c r="D837" s="4" t="s">
        <v>20</v>
      </c>
      <c r="E837" s="10">
        <v>8</v>
      </c>
    </row>
    <row r="838" spans="1:5">
      <c r="A838" s="1">
        <v>13</v>
      </c>
      <c r="B838" s="71">
        <v>44774</v>
      </c>
      <c r="C838">
        <v>2022</v>
      </c>
      <c r="D838" s="4" t="s">
        <v>20</v>
      </c>
      <c r="E838" s="10">
        <v>8</v>
      </c>
    </row>
    <row r="839" spans="1:5">
      <c r="A839" s="1">
        <v>11</v>
      </c>
      <c r="B839" s="71">
        <v>44805</v>
      </c>
      <c r="C839">
        <v>2022</v>
      </c>
      <c r="D839" s="4" t="s">
        <v>26</v>
      </c>
      <c r="E839" s="10">
        <v>9</v>
      </c>
    </row>
    <row r="840" spans="1:5">
      <c r="A840" s="1">
        <v>12</v>
      </c>
      <c r="B840" s="71">
        <v>44805</v>
      </c>
      <c r="C840">
        <v>2022</v>
      </c>
      <c r="D840" s="4" t="s">
        <v>26</v>
      </c>
      <c r="E840" s="10">
        <v>9</v>
      </c>
    </row>
    <row r="841" spans="1:5">
      <c r="A841" s="1">
        <v>13</v>
      </c>
      <c r="B841" s="71">
        <v>44805</v>
      </c>
      <c r="C841">
        <v>2022</v>
      </c>
      <c r="D841" s="4" t="s">
        <v>26</v>
      </c>
      <c r="E841" s="10">
        <v>9</v>
      </c>
    </row>
    <row r="842" spans="1:5">
      <c r="A842" s="1">
        <v>11</v>
      </c>
      <c r="B842" s="71">
        <v>44835</v>
      </c>
      <c r="C842">
        <v>2022</v>
      </c>
      <c r="D842" s="4" t="s">
        <v>22</v>
      </c>
      <c r="E842" s="10">
        <v>10</v>
      </c>
    </row>
    <row r="843" spans="1:5">
      <c r="A843" s="1">
        <v>12</v>
      </c>
      <c r="B843" s="71">
        <v>44835</v>
      </c>
      <c r="C843">
        <v>2022</v>
      </c>
      <c r="D843" s="4" t="s">
        <v>22</v>
      </c>
      <c r="E843" s="10">
        <v>10</v>
      </c>
    </row>
    <row r="844" spans="1:5">
      <c r="A844" s="1">
        <v>13</v>
      </c>
      <c r="B844" s="71">
        <v>44835</v>
      </c>
      <c r="C844">
        <v>2022</v>
      </c>
      <c r="D844" s="4" t="s">
        <v>22</v>
      </c>
      <c r="E844" s="10">
        <v>10</v>
      </c>
    </row>
    <row r="845" spans="1:5">
      <c r="A845" s="1">
        <v>11</v>
      </c>
      <c r="B845" s="71">
        <v>44866</v>
      </c>
      <c r="C845">
        <v>2022</v>
      </c>
      <c r="D845" s="4" t="s">
        <v>23</v>
      </c>
      <c r="E845" s="10">
        <v>11</v>
      </c>
    </row>
    <row r="846" spans="1:5">
      <c r="A846" s="1">
        <v>12</v>
      </c>
      <c r="B846" s="71">
        <v>44866</v>
      </c>
      <c r="C846">
        <v>2022</v>
      </c>
      <c r="D846" s="4" t="s">
        <v>23</v>
      </c>
      <c r="E846" s="10">
        <v>11</v>
      </c>
    </row>
    <row r="847" spans="1:5">
      <c r="A847" s="1">
        <v>13</v>
      </c>
      <c r="B847" s="71">
        <v>44866</v>
      </c>
      <c r="C847">
        <v>2022</v>
      </c>
      <c r="D847" s="4" t="s">
        <v>23</v>
      </c>
      <c r="E847" s="10">
        <v>11</v>
      </c>
    </row>
    <row r="848" spans="1:5">
      <c r="A848" s="1">
        <v>11</v>
      </c>
      <c r="B848" s="72">
        <v>44896</v>
      </c>
      <c r="C848">
        <v>2022</v>
      </c>
      <c r="D848" s="4" t="s">
        <v>24</v>
      </c>
      <c r="E848" s="10">
        <v>12</v>
      </c>
    </row>
    <row r="849" spans="1:14">
      <c r="A849" s="1">
        <v>12</v>
      </c>
      <c r="B849" s="71">
        <v>44896</v>
      </c>
      <c r="C849">
        <v>2022</v>
      </c>
      <c r="D849" s="4" t="s">
        <v>24</v>
      </c>
      <c r="E849" s="10">
        <v>12</v>
      </c>
    </row>
    <row r="850" spans="1:14">
      <c r="A850" s="1">
        <v>13</v>
      </c>
      <c r="B850" s="71">
        <v>44896</v>
      </c>
      <c r="C850">
        <v>2022</v>
      </c>
      <c r="D850" s="4" t="s">
        <v>24</v>
      </c>
      <c r="E850" s="10">
        <v>12</v>
      </c>
    </row>
    <row r="851" spans="1:14">
      <c r="A851" s="91">
        <v>11</v>
      </c>
      <c r="B851" s="86">
        <v>44936</v>
      </c>
      <c r="C851" s="87">
        <v>2023</v>
      </c>
      <c r="D851" s="88" t="s">
        <v>25</v>
      </c>
      <c r="E851" s="89">
        <v>1</v>
      </c>
      <c r="F851" s="93">
        <v>2.1349999999999998</v>
      </c>
      <c r="G851" s="92">
        <v>0.01</v>
      </c>
    </row>
    <row r="852" spans="1:14">
      <c r="A852" s="1">
        <v>12</v>
      </c>
      <c r="B852" s="73">
        <v>44931</v>
      </c>
      <c r="C852">
        <v>2023</v>
      </c>
      <c r="D852" s="4" t="s">
        <v>25</v>
      </c>
      <c r="E852" s="10">
        <v>1</v>
      </c>
      <c r="F852" s="93">
        <v>2.1859999999999999</v>
      </c>
      <c r="G852" s="92">
        <v>1.0999999999999999E-2</v>
      </c>
    </row>
    <row r="853" spans="1:14">
      <c r="A853" s="1">
        <v>13</v>
      </c>
      <c r="B853" s="73">
        <v>44931</v>
      </c>
      <c r="C853">
        <v>2023</v>
      </c>
      <c r="D853" s="4" t="s">
        <v>25</v>
      </c>
      <c r="E853" s="10">
        <v>1</v>
      </c>
      <c r="F853" s="93">
        <v>2.4020000000000001</v>
      </c>
      <c r="G853" s="92">
        <v>8.9999999999999993E-3</v>
      </c>
      <c r="I853" s="21">
        <f>AVERAGE(F851:F853)</f>
        <v>2.2410000000000001</v>
      </c>
      <c r="J853" s="21">
        <f>AVERAGE(G851:G853)</f>
        <v>0.01</v>
      </c>
      <c r="L853">
        <f>+J853/I853</f>
        <v>4.4622936189201252E-3</v>
      </c>
      <c r="M853">
        <f>+(L853-$L$927)/$L$928</f>
        <v>-0.57230102594303134</v>
      </c>
      <c r="N853">
        <f>+N814+M853</f>
        <v>0.272784413415465</v>
      </c>
    </row>
    <row r="854" spans="1:14">
      <c r="A854" s="1">
        <v>11</v>
      </c>
      <c r="B854" s="71">
        <v>44958</v>
      </c>
      <c r="C854">
        <v>2023</v>
      </c>
      <c r="D854" s="4" t="s">
        <v>14</v>
      </c>
      <c r="E854" s="10">
        <v>2</v>
      </c>
      <c r="F854" s="78">
        <v>5.9160000000000004</v>
      </c>
      <c r="G854" s="78">
        <v>4.7E-2</v>
      </c>
    </row>
    <row r="855" spans="1:14">
      <c r="A855" s="1">
        <v>12</v>
      </c>
      <c r="B855" s="71">
        <v>44958</v>
      </c>
      <c r="C855">
        <v>2023</v>
      </c>
      <c r="D855" s="4" t="s">
        <v>14</v>
      </c>
      <c r="E855" s="10">
        <v>2</v>
      </c>
      <c r="F855" s="78">
        <v>4.5199999999999996</v>
      </c>
      <c r="G855" s="78">
        <v>3.3000000000000002E-2</v>
      </c>
    </row>
    <row r="856" spans="1:14">
      <c r="A856" s="1">
        <v>13</v>
      </c>
      <c r="B856" s="71">
        <v>44958</v>
      </c>
      <c r="C856">
        <v>2023</v>
      </c>
      <c r="D856" s="4" t="s">
        <v>14</v>
      </c>
      <c r="E856" s="10">
        <v>2</v>
      </c>
      <c r="F856" s="78">
        <v>1.6619999999999999</v>
      </c>
      <c r="G856" s="78">
        <v>8.0000000000000002E-3</v>
      </c>
      <c r="I856" s="21">
        <f t="shared" ref="I856:J856" si="57">AVERAGE(F854:F856)</f>
        <v>4.0326666666666666</v>
      </c>
      <c r="J856" s="21">
        <f t="shared" si="57"/>
        <v>2.9333333333333333E-2</v>
      </c>
      <c r="L856">
        <f t="shared" ref="L856" si="58">+J856/I856</f>
        <v>7.2739295751363857E-3</v>
      </c>
      <c r="M856">
        <f t="shared" ref="M856" si="59">+(L856-$L$927)/$L$928</f>
        <v>-0.28892257877338118</v>
      </c>
      <c r="N856">
        <f>+N853+M856</f>
        <v>-1.6138165357916179E-2</v>
      </c>
    </row>
    <row r="857" spans="1:14">
      <c r="A857" s="1">
        <v>11</v>
      </c>
      <c r="B857" s="71">
        <v>44986</v>
      </c>
      <c r="C857">
        <v>2023</v>
      </c>
      <c r="D857" s="4" t="s">
        <v>15</v>
      </c>
      <c r="E857" s="10">
        <v>3</v>
      </c>
      <c r="F857" s="78">
        <v>3.274</v>
      </c>
      <c r="G857" s="78">
        <v>0.04</v>
      </c>
    </row>
    <row r="858" spans="1:14">
      <c r="A858" s="1">
        <v>12</v>
      </c>
      <c r="B858" s="71">
        <v>44986</v>
      </c>
      <c r="C858">
        <v>2023</v>
      </c>
      <c r="D858" s="4" t="s">
        <v>15</v>
      </c>
      <c r="E858" s="10">
        <v>3</v>
      </c>
      <c r="F858" s="78">
        <v>3.3069999999999999</v>
      </c>
      <c r="G858" s="78">
        <v>2.5999999999999999E-2</v>
      </c>
    </row>
    <row r="859" spans="1:14">
      <c r="A859" s="1">
        <v>13</v>
      </c>
      <c r="B859" s="71">
        <v>44986</v>
      </c>
      <c r="C859">
        <v>2023</v>
      </c>
      <c r="D859" s="4" t="s">
        <v>15</v>
      </c>
      <c r="E859" s="10">
        <v>3</v>
      </c>
      <c r="F859" s="78">
        <v>2.4289999999999998</v>
      </c>
      <c r="G859" s="78">
        <v>8.9999999999999993E-3</v>
      </c>
      <c r="I859" s="21">
        <f t="shared" ref="I859:J859" si="60">AVERAGE(F857:F859)</f>
        <v>3.0033333333333334</v>
      </c>
      <c r="J859" s="21">
        <f t="shared" si="60"/>
        <v>2.4999999999999998E-2</v>
      </c>
      <c r="L859">
        <f t="shared" ref="L859" si="61">+J859/I859</f>
        <v>8.3240843507214196E-3</v>
      </c>
      <c r="M859">
        <f t="shared" ref="M859" si="62">+(L859-$L$927)/$L$928</f>
        <v>-0.18307984727212356</v>
      </c>
      <c r="N859">
        <f t="shared" ref="N859" si="63">+N856+M859</f>
        <v>-0.19921801263003974</v>
      </c>
    </row>
    <row r="860" spans="1:14">
      <c r="A860" s="1">
        <v>11</v>
      </c>
      <c r="B860" s="71">
        <v>45017</v>
      </c>
      <c r="C860">
        <v>2023</v>
      </c>
      <c r="D860" s="4" t="s">
        <v>16</v>
      </c>
      <c r="E860" s="10">
        <v>4</v>
      </c>
      <c r="F860" s="78">
        <v>3.097</v>
      </c>
      <c r="G860" s="78">
        <v>3.7999999999999999E-2</v>
      </c>
    </row>
    <row r="861" spans="1:14">
      <c r="A861" s="1">
        <v>12</v>
      </c>
      <c r="B861" s="71">
        <v>45017</v>
      </c>
      <c r="C861">
        <v>2023</v>
      </c>
      <c r="D861" s="4" t="s">
        <v>16</v>
      </c>
      <c r="E861" s="10">
        <v>4</v>
      </c>
      <c r="F861" s="78">
        <v>2.92</v>
      </c>
      <c r="G861" s="78">
        <v>2.3E-2</v>
      </c>
    </row>
    <row r="862" spans="1:14">
      <c r="A862" s="1">
        <v>13</v>
      </c>
      <c r="B862" s="71">
        <v>45017</v>
      </c>
      <c r="C862">
        <v>2023</v>
      </c>
      <c r="D862" s="4" t="s">
        <v>16</v>
      </c>
      <c r="E862" s="10">
        <v>4</v>
      </c>
      <c r="F862" s="78">
        <v>2.7730000000000001</v>
      </c>
      <c r="G862" s="78">
        <v>0.01</v>
      </c>
      <c r="I862" s="21">
        <f t="shared" ref="I862:J862" si="64">AVERAGE(F860:F862)</f>
        <v>2.9299999999999997</v>
      </c>
      <c r="J862" s="21">
        <f t="shared" si="64"/>
        <v>2.3666666666666666E-2</v>
      </c>
      <c r="L862">
        <f t="shared" ref="L862" si="65">+J862/I862</f>
        <v>8.0773606370876001E-3</v>
      </c>
      <c r="M862">
        <f t="shared" ref="M862" si="66">+(L862-$L$927)/$L$928</f>
        <v>-0.20794657395304508</v>
      </c>
      <c r="N862">
        <f t="shared" ref="N862" si="67">+N859+M862</f>
        <v>-0.40716458658308485</v>
      </c>
    </row>
    <row r="863" spans="1:14">
      <c r="A863" s="1">
        <v>11</v>
      </c>
      <c r="B863" s="71">
        <v>45047</v>
      </c>
      <c r="C863">
        <v>2023</v>
      </c>
      <c r="D863" s="4" t="s">
        <v>17</v>
      </c>
      <c r="E863" s="10">
        <v>5</v>
      </c>
      <c r="F863" s="78">
        <v>4.18</v>
      </c>
      <c r="G863" s="94">
        <v>0.03</v>
      </c>
    </row>
    <row r="864" spans="1:14">
      <c r="A864" s="1">
        <v>12</v>
      </c>
      <c r="B864" s="71">
        <v>45047</v>
      </c>
      <c r="C864">
        <v>2023</v>
      </c>
      <c r="D864" s="4" t="s">
        <v>17</v>
      </c>
      <c r="E864" s="10">
        <v>5</v>
      </c>
      <c r="F864" s="78">
        <v>6.6950000000000003</v>
      </c>
      <c r="G864" s="94">
        <v>2.1000000000000001E-2</v>
      </c>
    </row>
    <row r="865" spans="1:14">
      <c r="A865" s="1">
        <v>13</v>
      </c>
      <c r="B865" s="71">
        <v>45047</v>
      </c>
      <c r="C865">
        <v>2023</v>
      </c>
      <c r="D865" s="4" t="s">
        <v>17</v>
      </c>
      <c r="E865" s="10">
        <v>5</v>
      </c>
      <c r="F865" s="78">
        <v>6.1070000000000002</v>
      </c>
      <c r="G865" s="94">
        <v>2.1000000000000001E-2</v>
      </c>
      <c r="I865" s="21">
        <f t="shared" ref="I865:J865" si="68">AVERAGE(F863:F865)</f>
        <v>5.6606666666666667</v>
      </c>
      <c r="J865" s="21">
        <f t="shared" si="68"/>
        <v>2.4000000000000004E-2</v>
      </c>
      <c r="L865">
        <f t="shared" ref="L865" si="69">+J865/I865</f>
        <v>4.239783299964669E-3</v>
      </c>
      <c r="M865">
        <f t="shared" ref="M865" si="70">+(L865-$L$927)/$L$928</f>
        <v>-0.59472733918085041</v>
      </c>
      <c r="N865">
        <f t="shared" ref="N865" si="71">+N862+M865</f>
        <v>-1.0018919257639354</v>
      </c>
    </row>
    <row r="866" spans="1:14">
      <c r="A866" s="1">
        <v>11</v>
      </c>
      <c r="B866" s="71">
        <v>45078</v>
      </c>
      <c r="C866">
        <v>2023</v>
      </c>
      <c r="D866" s="4" t="s">
        <v>18</v>
      </c>
      <c r="E866" s="10">
        <v>6</v>
      </c>
      <c r="F866" s="78">
        <v>4.3869999999999996</v>
      </c>
      <c r="G866" s="94">
        <v>7.2999999999999995E-2</v>
      </c>
    </row>
    <row r="867" spans="1:14">
      <c r="A867" s="1">
        <v>12</v>
      </c>
      <c r="B867" s="71">
        <v>45078</v>
      </c>
      <c r="C867">
        <v>2023</v>
      </c>
      <c r="D867" s="4" t="s">
        <v>18</v>
      </c>
      <c r="E867" s="10">
        <v>6</v>
      </c>
      <c r="F867" s="78">
        <v>5.0940000000000003</v>
      </c>
      <c r="G867" s="94">
        <v>6.2E-2</v>
      </c>
    </row>
    <row r="868" spans="1:14">
      <c r="A868" s="1">
        <v>13</v>
      </c>
      <c r="B868" s="71">
        <v>45078</v>
      </c>
      <c r="C868">
        <v>2023</v>
      </c>
      <c r="D868" s="4" t="s">
        <v>18</v>
      </c>
      <c r="E868" s="10">
        <v>6</v>
      </c>
      <c r="F868" s="78">
        <v>6.2880000000000003</v>
      </c>
      <c r="G868" s="94">
        <v>0.13500000000000001</v>
      </c>
      <c r="I868" s="21">
        <f t="shared" ref="I868:J868" si="72">AVERAGE(F866:F868)</f>
        <v>5.2563333333333331</v>
      </c>
      <c r="J868" s="21">
        <f t="shared" si="72"/>
        <v>9.0000000000000011E-2</v>
      </c>
      <c r="L868">
        <f t="shared" ref="L868" si="73">+J868/I868</f>
        <v>1.7122201788318855E-2</v>
      </c>
      <c r="M868">
        <f t="shared" ref="M868" si="74">+(L868-$L$927)/$L$928</f>
        <v>0.7036625675737106</v>
      </c>
      <c r="N868">
        <f t="shared" ref="N868" si="75">+N865+M868</f>
        <v>-0.29822935819022478</v>
      </c>
    </row>
    <row r="869" spans="1:14">
      <c r="A869" s="1">
        <v>11</v>
      </c>
      <c r="B869" s="71">
        <v>45108</v>
      </c>
      <c r="C869">
        <v>2023</v>
      </c>
      <c r="D869" s="4" t="s">
        <v>19</v>
      </c>
      <c r="E869" s="10">
        <v>7</v>
      </c>
      <c r="F869" s="78">
        <v>8.6859999999999999</v>
      </c>
      <c r="G869" s="94">
        <v>0.19400000000000001</v>
      </c>
    </row>
    <row r="870" spans="1:14">
      <c r="A870" s="1">
        <v>12</v>
      </c>
      <c r="B870" s="71">
        <v>45108</v>
      </c>
      <c r="C870">
        <v>2023</v>
      </c>
      <c r="D870" s="4" t="s">
        <v>19</v>
      </c>
      <c r="E870" s="10">
        <v>7</v>
      </c>
      <c r="F870" s="78">
        <v>9.9160000000000004</v>
      </c>
      <c r="G870" s="94">
        <v>0.24199999999999999</v>
      </c>
    </row>
    <row r="871" spans="1:14">
      <c r="A871" s="1">
        <v>13</v>
      </c>
      <c r="B871" s="71">
        <v>45108</v>
      </c>
      <c r="C871">
        <v>2023</v>
      </c>
      <c r="D871" s="4" t="s">
        <v>19</v>
      </c>
      <c r="E871" s="10">
        <v>7</v>
      </c>
      <c r="F871" s="78">
        <v>9.5730000000000004</v>
      </c>
      <c r="G871" s="94">
        <v>0.504</v>
      </c>
      <c r="I871" s="21">
        <f t="shared" ref="I871:J871" si="76">AVERAGE(F869:F871)</f>
        <v>9.3916666666666675</v>
      </c>
      <c r="J871" s="21">
        <f t="shared" si="76"/>
        <v>0.3133333333333333</v>
      </c>
      <c r="L871">
        <f t="shared" ref="L871" si="77">+J871/I871</f>
        <v>3.3362910381543917E-2</v>
      </c>
      <c r="M871">
        <f t="shared" ref="M871" si="78">+(L871-$L$927)/$L$928</f>
        <v>2.340526960315501</v>
      </c>
      <c r="N871">
        <f t="shared" ref="N871" si="79">+N868+M871</f>
        <v>2.0422976021252763</v>
      </c>
    </row>
    <row r="872" spans="1:14">
      <c r="A872" s="1">
        <v>11</v>
      </c>
      <c r="B872" s="71">
        <v>45139</v>
      </c>
      <c r="C872">
        <v>2023</v>
      </c>
      <c r="D872" s="4" t="s">
        <v>20</v>
      </c>
      <c r="E872" s="10">
        <v>8</v>
      </c>
      <c r="F872" s="78">
        <v>5.7679999999999998</v>
      </c>
      <c r="G872" s="94">
        <v>4.1000000000000002E-2</v>
      </c>
    </row>
    <row r="873" spans="1:14">
      <c r="A873" s="1">
        <v>12</v>
      </c>
      <c r="B873" s="71">
        <v>45139</v>
      </c>
      <c r="C873">
        <v>2023</v>
      </c>
      <c r="D873" s="4" t="s">
        <v>20</v>
      </c>
      <c r="E873" s="10">
        <v>8</v>
      </c>
      <c r="F873" s="78">
        <v>7.024</v>
      </c>
      <c r="G873" s="94">
        <v>7.9000000000000001E-2</v>
      </c>
    </row>
    <row r="874" spans="1:14">
      <c r="A874" s="1">
        <v>13</v>
      </c>
      <c r="B874" s="71">
        <v>45139</v>
      </c>
      <c r="C874">
        <v>2023</v>
      </c>
      <c r="D874" s="4" t="s">
        <v>20</v>
      </c>
      <c r="E874" s="10">
        <v>8</v>
      </c>
      <c r="F874" s="78">
        <v>10.022</v>
      </c>
      <c r="G874" s="94">
        <v>0.10199999999999999</v>
      </c>
      <c r="I874" s="21">
        <f t="shared" ref="I874:J874" si="80">AVERAGE(F872:F874)</f>
        <v>7.6046666666666667</v>
      </c>
      <c r="J874" s="21">
        <f t="shared" si="80"/>
        <v>7.3999999999999996E-2</v>
      </c>
      <c r="L874">
        <f t="shared" ref="L874" si="81">+J874/I874</f>
        <v>9.7308670114841754E-3</v>
      </c>
      <c r="M874">
        <f t="shared" ref="M874" si="82">+(L874-$L$927)/$L$928</f>
        <v>-4.1293395498110286E-2</v>
      </c>
      <c r="N874">
        <f t="shared" ref="N874" si="83">+N871+M874</f>
        <v>2.001004206627166</v>
      </c>
    </row>
    <row r="875" spans="1:14">
      <c r="A875" s="1">
        <v>11</v>
      </c>
      <c r="B875" s="71">
        <v>45170</v>
      </c>
      <c r="C875">
        <v>2023</v>
      </c>
      <c r="D875" s="4" t="s">
        <v>26</v>
      </c>
      <c r="E875" s="10">
        <v>9</v>
      </c>
      <c r="F875" s="78">
        <v>1.7250000000000001</v>
      </c>
      <c r="G875" s="94">
        <v>1.2E-2</v>
      </c>
    </row>
    <row r="876" spans="1:14">
      <c r="A876" s="1">
        <v>12</v>
      </c>
      <c r="B876" s="71">
        <v>45170</v>
      </c>
      <c r="C876">
        <v>2023</v>
      </c>
      <c r="D876" s="4" t="s">
        <v>26</v>
      </c>
      <c r="E876" s="10">
        <v>9</v>
      </c>
      <c r="F876" s="78">
        <v>2.2709999999999999</v>
      </c>
      <c r="G876" s="94">
        <v>1.7999999999999999E-2</v>
      </c>
    </row>
    <row r="877" spans="1:14">
      <c r="A877" s="1">
        <v>13</v>
      </c>
      <c r="B877" s="71">
        <v>45170</v>
      </c>
      <c r="C877">
        <v>2023</v>
      </c>
      <c r="D877" s="4" t="s">
        <v>26</v>
      </c>
      <c r="E877" s="10">
        <v>9</v>
      </c>
      <c r="F877" s="78">
        <v>2.9049999999999998</v>
      </c>
      <c r="G877" s="94">
        <v>3.1E-2</v>
      </c>
      <c r="I877" s="21">
        <f t="shared" ref="I877:J877" si="84">AVERAGE(F875:F877)</f>
        <v>2.3003333333333331</v>
      </c>
      <c r="J877" s="21">
        <f t="shared" si="84"/>
        <v>2.0333333333333332E-2</v>
      </c>
      <c r="L877">
        <f t="shared" ref="L877" si="85">+J877/I877</f>
        <v>8.8392986523692218E-3</v>
      </c>
      <c r="M877">
        <f t="shared" ref="M877" si="86">+(L877-$L$927)/$L$928</f>
        <v>-0.13115255973059231</v>
      </c>
      <c r="N877">
        <f t="shared" ref="N877" si="87">+N874+M877</f>
        <v>1.8698516468965738</v>
      </c>
    </row>
    <row r="878" spans="1:14">
      <c r="A878" s="1">
        <v>11</v>
      </c>
      <c r="B878" s="71">
        <v>45200</v>
      </c>
      <c r="C878">
        <v>2023</v>
      </c>
      <c r="D878" s="4" t="s">
        <v>22</v>
      </c>
      <c r="E878" s="10">
        <v>10</v>
      </c>
      <c r="F878" s="78">
        <v>3.6230000000000002</v>
      </c>
      <c r="G878" s="94">
        <v>3.4000000000000002E-2</v>
      </c>
    </row>
    <row r="879" spans="1:14">
      <c r="A879" s="1">
        <v>12</v>
      </c>
      <c r="B879" s="71">
        <v>45200</v>
      </c>
      <c r="C879">
        <v>2023</v>
      </c>
      <c r="D879" s="4" t="s">
        <v>22</v>
      </c>
      <c r="E879" s="10">
        <v>10</v>
      </c>
      <c r="F879" s="78">
        <v>1.3759999999999999</v>
      </c>
      <c r="G879" s="94">
        <v>1.7000000000000001E-2</v>
      </c>
    </row>
    <row r="880" spans="1:14">
      <c r="A880" s="1">
        <v>13</v>
      </c>
      <c r="B880" s="71">
        <v>45200</v>
      </c>
      <c r="C880">
        <v>2023</v>
      </c>
      <c r="D880" s="4" t="s">
        <v>22</v>
      </c>
      <c r="E880" s="10">
        <v>10</v>
      </c>
      <c r="F880" s="78">
        <v>1.7110000000000001</v>
      </c>
      <c r="G880" s="94">
        <v>2.4E-2</v>
      </c>
      <c r="I880" s="21">
        <f t="shared" ref="I880:J880" si="88">AVERAGE(F878:F880)</f>
        <v>2.2366666666666668</v>
      </c>
      <c r="J880" s="21">
        <f t="shared" si="88"/>
        <v>2.5000000000000005E-2</v>
      </c>
      <c r="L880">
        <f t="shared" ref="L880" si="89">+J880/I880</f>
        <v>1.1177347242921016E-2</v>
      </c>
      <c r="M880">
        <f t="shared" ref="M880" si="90">+(L880-$L$927)/$L$928</f>
        <v>0.10449408489739222</v>
      </c>
      <c r="N880">
        <f t="shared" ref="N880" si="91">+N877+M880</f>
        <v>1.9743457317939661</v>
      </c>
    </row>
    <row r="881" spans="1:14">
      <c r="A881" s="1">
        <v>11</v>
      </c>
      <c r="B881" s="71">
        <v>45231</v>
      </c>
      <c r="C881">
        <v>2023</v>
      </c>
      <c r="D881" s="4" t="s">
        <v>23</v>
      </c>
      <c r="E881" s="10">
        <v>11</v>
      </c>
      <c r="F881" s="78">
        <v>4.5209999999999999</v>
      </c>
      <c r="G881" s="94">
        <v>0.03</v>
      </c>
    </row>
    <row r="882" spans="1:14">
      <c r="A882" s="1">
        <v>12</v>
      </c>
      <c r="B882" s="71">
        <v>45231</v>
      </c>
      <c r="C882">
        <v>2023</v>
      </c>
      <c r="D882" s="4" t="s">
        <v>23</v>
      </c>
      <c r="E882" s="10">
        <v>11</v>
      </c>
      <c r="F882" s="78">
        <v>2.919</v>
      </c>
      <c r="G882" s="94">
        <v>2.1999999999999999E-2</v>
      </c>
    </row>
    <row r="883" spans="1:14">
      <c r="A883" s="1">
        <v>13</v>
      </c>
      <c r="B883" s="71">
        <v>45231</v>
      </c>
      <c r="C883">
        <v>2023</v>
      </c>
      <c r="D883" s="4" t="s">
        <v>23</v>
      </c>
      <c r="E883" s="10">
        <v>11</v>
      </c>
      <c r="F883" s="78">
        <v>3.2759999999999998</v>
      </c>
      <c r="G883" s="94">
        <v>2.4E-2</v>
      </c>
      <c r="I883" s="21">
        <f t="shared" ref="I883:J883" si="92">AVERAGE(F881:F883)</f>
        <v>3.5719999999999996</v>
      </c>
      <c r="J883" s="21">
        <f t="shared" si="92"/>
        <v>2.5333333333333333E-2</v>
      </c>
      <c r="L883">
        <f t="shared" ref="L883" si="93">+J883/I883</f>
        <v>7.0921985815602844E-3</v>
      </c>
      <c r="M883">
        <f t="shared" ref="M883" si="94">+(L883-$L$927)/$L$928</f>
        <v>-0.30723883577256156</v>
      </c>
      <c r="N883">
        <f t="shared" ref="N883" si="95">+N880+M883</f>
        <v>1.6671068960214046</v>
      </c>
    </row>
    <row r="884" spans="1:14">
      <c r="A884" s="1">
        <v>11</v>
      </c>
      <c r="B884" s="72">
        <v>45261</v>
      </c>
      <c r="C884">
        <v>2023</v>
      </c>
      <c r="D884" s="4" t="s">
        <v>24</v>
      </c>
      <c r="E884" s="10">
        <v>12</v>
      </c>
      <c r="F884" s="78">
        <v>1.452</v>
      </c>
      <c r="G884" s="94">
        <v>1.2E-2</v>
      </c>
    </row>
    <row r="885" spans="1:14">
      <c r="A885" s="1">
        <v>12</v>
      </c>
      <c r="B885" s="71">
        <v>45261</v>
      </c>
      <c r="C885">
        <v>2023</v>
      </c>
      <c r="D885" s="4" t="s">
        <v>24</v>
      </c>
      <c r="E885" s="10">
        <v>12</v>
      </c>
      <c r="F885" s="78">
        <v>1.127</v>
      </c>
      <c r="G885" s="94">
        <v>1.0999999999999999E-2</v>
      </c>
    </row>
    <row r="886" spans="1:14">
      <c r="A886" s="1">
        <v>13</v>
      </c>
      <c r="B886" s="71">
        <v>45261</v>
      </c>
      <c r="C886">
        <v>2023</v>
      </c>
      <c r="D886" s="4" t="s">
        <v>24</v>
      </c>
      <c r="E886" s="10">
        <v>12</v>
      </c>
      <c r="F886" s="78">
        <v>1.2290000000000001</v>
      </c>
      <c r="G886" s="94">
        <v>0.01</v>
      </c>
      <c r="I886" s="21">
        <f t="shared" ref="I886:J886" si="96">AVERAGE(F884:F886)</f>
        <v>1.2693333333333332</v>
      </c>
      <c r="J886" s="21">
        <f t="shared" si="96"/>
        <v>1.1000000000000001E-2</v>
      </c>
      <c r="L886">
        <f t="shared" ref="L886" si="97">+J886/I886</f>
        <v>8.665966386554624E-3</v>
      </c>
      <c r="M886">
        <f t="shared" ref="M886" si="98">+(L886-$L$927)/$L$928</f>
        <v>-0.14862232789966881</v>
      </c>
      <c r="N886">
        <f t="shared" ref="N886" si="99">+N883+M886</f>
        <v>1.5184845681217358</v>
      </c>
    </row>
    <row r="887" spans="1:14">
      <c r="A887" s="91">
        <v>11</v>
      </c>
      <c r="B887" s="86">
        <v>45292</v>
      </c>
      <c r="C887" s="87">
        <v>2024</v>
      </c>
      <c r="D887" s="88" t="s">
        <v>25</v>
      </c>
      <c r="E887" s="89">
        <v>1</v>
      </c>
      <c r="F887" s="78">
        <v>0.82899999999999996</v>
      </c>
      <c r="G887" s="94">
        <v>4.0000000000000001E-3</v>
      </c>
    </row>
    <row r="888" spans="1:14">
      <c r="A888" s="1">
        <v>12</v>
      </c>
      <c r="B888" s="73">
        <v>45292</v>
      </c>
      <c r="C888">
        <v>2024</v>
      </c>
      <c r="D888" s="4" t="s">
        <v>25</v>
      </c>
      <c r="E888" s="10">
        <v>1</v>
      </c>
      <c r="F888" s="78">
        <v>1.4950000000000001</v>
      </c>
      <c r="G888" s="94">
        <v>6.0000000000000001E-3</v>
      </c>
    </row>
    <row r="889" spans="1:14">
      <c r="A889" s="1">
        <v>13</v>
      </c>
      <c r="B889" s="73">
        <v>45292</v>
      </c>
      <c r="C889">
        <v>2024</v>
      </c>
      <c r="D889" s="4" t="s">
        <v>25</v>
      </c>
      <c r="E889" s="10">
        <v>1</v>
      </c>
      <c r="F889" s="78">
        <v>3.0529999999999999</v>
      </c>
      <c r="G889" s="94">
        <v>8.9999999999999993E-3</v>
      </c>
      <c r="I889" s="21">
        <f t="shared" ref="I889:J889" si="100">AVERAGE(F887:F889)</f>
        <v>1.7923333333333333</v>
      </c>
      <c r="J889" s="21">
        <f t="shared" si="100"/>
        <v>6.3333333333333332E-3</v>
      </c>
      <c r="L889">
        <f t="shared" ref="L889" si="101">+J889/I889</f>
        <v>3.5335689045936395E-3</v>
      </c>
      <c r="M889">
        <f t="shared" ref="M889" si="102">+(L889-$L$927)/$L$928</f>
        <v>-0.66590509542153165</v>
      </c>
      <c r="N889">
        <f t="shared" ref="N889" si="103">+N886+M889</f>
        <v>0.85257947270020418</v>
      </c>
    </row>
    <row r="890" spans="1:14">
      <c r="A890" s="1">
        <v>11</v>
      </c>
      <c r="B890" s="71">
        <v>45323</v>
      </c>
      <c r="C890">
        <v>2024</v>
      </c>
      <c r="D890" s="4" t="s">
        <v>14</v>
      </c>
      <c r="E890" s="10">
        <v>2</v>
      </c>
    </row>
    <row r="891" spans="1:14">
      <c r="A891" s="1">
        <v>12</v>
      </c>
      <c r="B891" s="71">
        <v>45323</v>
      </c>
      <c r="C891">
        <v>2024</v>
      </c>
      <c r="D891" s="4" t="s">
        <v>14</v>
      </c>
      <c r="E891" s="10">
        <v>2</v>
      </c>
    </row>
    <row r="892" spans="1:14">
      <c r="A892" s="1">
        <v>13</v>
      </c>
      <c r="B892" s="71">
        <v>45323</v>
      </c>
      <c r="C892">
        <v>2024</v>
      </c>
      <c r="D892" s="4" t="s">
        <v>14</v>
      </c>
      <c r="E892" s="10">
        <v>2</v>
      </c>
      <c r="I892" s="21"/>
      <c r="J892" s="21"/>
    </row>
    <row r="893" spans="1:14">
      <c r="A893" s="1">
        <v>11</v>
      </c>
      <c r="B893" s="71">
        <v>45352</v>
      </c>
      <c r="C893">
        <v>2024</v>
      </c>
      <c r="D893" s="4" t="s">
        <v>15</v>
      </c>
      <c r="E893" s="10">
        <v>3</v>
      </c>
      <c r="F893" s="78">
        <v>0.95699999999999996</v>
      </c>
      <c r="G893" s="94">
        <v>1.2999999999999999E-2</v>
      </c>
    </row>
    <row r="894" spans="1:14">
      <c r="A894" s="1">
        <v>12</v>
      </c>
      <c r="B894" s="71">
        <v>45352</v>
      </c>
      <c r="C894">
        <v>2024</v>
      </c>
      <c r="D894" s="4" t="s">
        <v>15</v>
      </c>
      <c r="E894" s="10">
        <v>3</v>
      </c>
      <c r="F894" s="78">
        <v>1.077</v>
      </c>
      <c r="G894" s="94">
        <v>1.0999999999999999E-2</v>
      </c>
    </row>
    <row r="895" spans="1:14">
      <c r="A895" s="1">
        <v>13</v>
      </c>
      <c r="B895" s="71">
        <v>45352</v>
      </c>
      <c r="C895">
        <v>2024</v>
      </c>
      <c r="D895" s="4" t="s">
        <v>15</v>
      </c>
      <c r="E895" s="10">
        <v>3</v>
      </c>
      <c r="F895" s="78">
        <v>1.827</v>
      </c>
      <c r="G895" s="94">
        <v>1.2E-2</v>
      </c>
      <c r="I895" s="21">
        <f t="shared" ref="I895:J895" si="104">AVERAGE(F893:F895)</f>
        <v>1.2869999999999999</v>
      </c>
      <c r="J895" s="21">
        <f t="shared" si="104"/>
        <v>1.2000000000000002E-2</v>
      </c>
      <c r="L895">
        <f t="shared" ref="L895" si="105">+J895/I895</f>
        <v>9.3240093240093257E-3</v>
      </c>
      <c r="M895">
        <f t="shared" ref="M895" si="106">+(L895-$L$927)/$L$928</f>
        <v>-8.2299664265143263E-2</v>
      </c>
      <c r="N895">
        <f>+N889+M895</f>
        <v>0.77027980843506094</v>
      </c>
    </row>
    <row r="896" spans="1:14">
      <c r="A896" s="1">
        <v>11</v>
      </c>
      <c r="B896" s="71">
        <v>45383</v>
      </c>
      <c r="C896">
        <v>2024</v>
      </c>
      <c r="D896" s="4" t="s">
        <v>16</v>
      </c>
      <c r="E896" s="10">
        <v>4</v>
      </c>
      <c r="F896" s="78">
        <v>4.2469999999999999</v>
      </c>
      <c r="G896" s="94">
        <v>1.2E-2</v>
      </c>
    </row>
    <row r="897" spans="1:14">
      <c r="A897" s="1">
        <v>12</v>
      </c>
      <c r="B897" s="71">
        <v>45383</v>
      </c>
      <c r="C897">
        <v>2024</v>
      </c>
      <c r="D897" s="4" t="s">
        <v>16</v>
      </c>
      <c r="E897" s="10">
        <v>4</v>
      </c>
      <c r="F897" s="78">
        <v>5.33</v>
      </c>
      <c r="G897" s="94">
        <v>1.4999999999999999E-2</v>
      </c>
    </row>
    <row r="898" spans="1:14">
      <c r="A898" s="1">
        <v>13</v>
      </c>
      <c r="B898" s="71">
        <v>45383</v>
      </c>
      <c r="C898">
        <v>2024</v>
      </c>
      <c r="D898" s="4" t="s">
        <v>16</v>
      </c>
      <c r="E898" s="10">
        <v>4</v>
      </c>
      <c r="F898" s="78">
        <v>4.0339999999999998</v>
      </c>
      <c r="G898" s="94">
        <v>7.0000000000000001E-3</v>
      </c>
      <c r="I898" s="21">
        <f t="shared" ref="I898:J898" si="107">AVERAGE(F896:F898)</f>
        <v>4.5369999999999999</v>
      </c>
      <c r="J898" s="21">
        <f t="shared" si="107"/>
        <v>1.1333333333333334E-2</v>
      </c>
      <c r="L898">
        <f t="shared" ref="L898" si="108">+J898/I898</f>
        <v>2.4979795753434725E-3</v>
      </c>
      <c r="M898">
        <f t="shared" ref="M898" si="109">+(L898-$L$927)/$L$928</f>
        <v>-0.77027980843498267</v>
      </c>
      <c r="N898">
        <f t="shared" ref="N898" si="110">+N895+M898</f>
        <v>7.8270723236073536E-14</v>
      </c>
    </row>
    <row r="899" spans="1:14">
      <c r="A899" s="1">
        <v>11</v>
      </c>
      <c r="B899" s="71">
        <v>45413</v>
      </c>
      <c r="C899">
        <v>2024</v>
      </c>
      <c r="D899" s="4" t="s">
        <v>17</v>
      </c>
      <c r="E899" s="10">
        <v>5</v>
      </c>
    </row>
    <row r="900" spans="1:14">
      <c r="A900" s="1">
        <v>12</v>
      </c>
      <c r="B900" s="71">
        <v>45413</v>
      </c>
      <c r="C900">
        <v>2024</v>
      </c>
      <c r="D900" s="4" t="s">
        <v>17</v>
      </c>
      <c r="E900" s="10">
        <v>5</v>
      </c>
    </row>
    <row r="901" spans="1:14">
      <c r="A901" s="1">
        <v>13</v>
      </c>
      <c r="B901" s="71">
        <v>45413</v>
      </c>
      <c r="C901">
        <v>2024</v>
      </c>
      <c r="D901" s="4" t="s">
        <v>17</v>
      </c>
      <c r="E901" s="10">
        <v>5</v>
      </c>
    </row>
    <row r="902" spans="1:14">
      <c r="A902" s="1">
        <v>11</v>
      </c>
      <c r="B902" s="71">
        <v>45444</v>
      </c>
      <c r="C902">
        <v>2024</v>
      </c>
      <c r="D902" s="4" t="s">
        <v>18</v>
      </c>
      <c r="E902" s="10">
        <v>6</v>
      </c>
      <c r="H902" s="90" t="s">
        <v>93</v>
      </c>
    </row>
    <row r="903" spans="1:14">
      <c r="A903" s="1">
        <v>12</v>
      </c>
      <c r="B903" s="71">
        <v>45444</v>
      </c>
      <c r="C903">
        <v>2024</v>
      </c>
      <c r="D903" s="4" t="s">
        <v>18</v>
      </c>
      <c r="E903" s="10">
        <v>6</v>
      </c>
      <c r="H903" s="90" t="s">
        <v>94</v>
      </c>
    </row>
    <row r="904" spans="1:14">
      <c r="A904" s="1">
        <v>13</v>
      </c>
      <c r="B904" s="71">
        <v>45444</v>
      </c>
      <c r="C904">
        <v>2024</v>
      </c>
      <c r="D904" s="4" t="s">
        <v>18</v>
      </c>
      <c r="E904" s="10">
        <v>6</v>
      </c>
    </row>
    <row r="905" spans="1:14">
      <c r="A905" s="1">
        <v>11</v>
      </c>
      <c r="B905" s="71">
        <v>45474</v>
      </c>
      <c r="C905">
        <v>2024</v>
      </c>
      <c r="D905" s="4" t="s">
        <v>19</v>
      </c>
      <c r="E905" s="10">
        <v>7</v>
      </c>
    </row>
    <row r="906" spans="1:14">
      <c r="A906" s="1">
        <v>12</v>
      </c>
      <c r="B906" s="71">
        <v>45474</v>
      </c>
      <c r="C906">
        <v>2024</v>
      </c>
      <c r="D906" s="4" t="s">
        <v>19</v>
      </c>
      <c r="E906" s="10">
        <v>7</v>
      </c>
    </row>
    <row r="907" spans="1:14">
      <c r="A907" s="1">
        <v>13</v>
      </c>
      <c r="B907" s="71">
        <v>45474</v>
      </c>
      <c r="C907">
        <v>2024</v>
      </c>
      <c r="D907" s="4" t="s">
        <v>19</v>
      </c>
      <c r="E907" s="10">
        <v>7</v>
      </c>
    </row>
    <row r="908" spans="1:14">
      <c r="A908" s="1">
        <v>11</v>
      </c>
      <c r="B908" s="71">
        <v>45505</v>
      </c>
      <c r="C908">
        <v>2024</v>
      </c>
      <c r="D908" s="4" t="s">
        <v>20</v>
      </c>
      <c r="E908" s="10">
        <v>8</v>
      </c>
    </row>
    <row r="909" spans="1:14">
      <c r="A909" s="1">
        <v>12</v>
      </c>
      <c r="B909" s="71">
        <v>45505</v>
      </c>
      <c r="C909">
        <v>2024</v>
      </c>
      <c r="D909" s="4" t="s">
        <v>20</v>
      </c>
      <c r="E909" s="10">
        <v>8</v>
      </c>
    </row>
    <row r="910" spans="1:14">
      <c r="A910" s="1">
        <v>13</v>
      </c>
      <c r="B910" s="71">
        <v>45505</v>
      </c>
      <c r="C910">
        <v>2024</v>
      </c>
      <c r="D910" s="4" t="s">
        <v>20</v>
      </c>
      <c r="E910" s="10">
        <v>8</v>
      </c>
    </row>
    <row r="911" spans="1:14">
      <c r="A911" s="1">
        <v>11</v>
      </c>
      <c r="B911" s="71">
        <v>45536</v>
      </c>
      <c r="C911">
        <v>2024</v>
      </c>
      <c r="D911" s="4" t="s">
        <v>26</v>
      </c>
      <c r="E911" s="10">
        <v>9</v>
      </c>
    </row>
    <row r="912" spans="1:14">
      <c r="A912" s="1">
        <v>12</v>
      </c>
      <c r="B912" s="71">
        <v>45536</v>
      </c>
      <c r="C912">
        <v>2024</v>
      </c>
      <c r="D912" s="4" t="s">
        <v>26</v>
      </c>
      <c r="E912" s="10">
        <v>9</v>
      </c>
    </row>
    <row r="913" spans="1:12">
      <c r="A913" s="1">
        <v>13</v>
      </c>
      <c r="B913" s="71">
        <v>45536</v>
      </c>
      <c r="C913">
        <v>2024</v>
      </c>
      <c r="D913" s="4" t="s">
        <v>26</v>
      </c>
      <c r="E913" s="10">
        <v>9</v>
      </c>
    </row>
    <row r="914" spans="1:12">
      <c r="A914" s="1">
        <v>11</v>
      </c>
      <c r="B914" s="71">
        <v>45566</v>
      </c>
      <c r="C914">
        <v>2024</v>
      </c>
      <c r="D914" s="4" t="s">
        <v>22</v>
      </c>
      <c r="E914" s="10">
        <v>10</v>
      </c>
    </row>
    <row r="915" spans="1:12">
      <c r="A915" s="1">
        <v>12</v>
      </c>
      <c r="B915" s="71">
        <v>45566</v>
      </c>
      <c r="C915">
        <v>2024</v>
      </c>
      <c r="D915" s="4" t="s">
        <v>22</v>
      </c>
      <c r="E915" s="10">
        <v>10</v>
      </c>
    </row>
    <row r="916" spans="1:12">
      <c r="A916" s="1">
        <v>13</v>
      </c>
      <c r="B916" s="71">
        <v>45566</v>
      </c>
      <c r="C916">
        <v>2024</v>
      </c>
      <c r="D916" s="4" t="s">
        <v>22</v>
      </c>
      <c r="E916" s="10">
        <v>10</v>
      </c>
    </row>
    <row r="917" spans="1:12">
      <c r="A917" s="1">
        <v>11</v>
      </c>
      <c r="B917" s="71">
        <v>45597</v>
      </c>
      <c r="C917">
        <v>2024</v>
      </c>
      <c r="D917" s="4" t="s">
        <v>23</v>
      </c>
      <c r="E917" s="10">
        <v>11</v>
      </c>
    </row>
    <row r="918" spans="1:12">
      <c r="A918" s="1">
        <v>12</v>
      </c>
      <c r="B918" s="71">
        <v>45597</v>
      </c>
      <c r="C918">
        <v>2024</v>
      </c>
      <c r="D918" s="4" t="s">
        <v>23</v>
      </c>
      <c r="E918" s="10">
        <v>11</v>
      </c>
    </row>
    <row r="919" spans="1:12">
      <c r="A919" s="1">
        <v>13</v>
      </c>
      <c r="B919" s="71">
        <v>45597</v>
      </c>
      <c r="C919">
        <v>2024</v>
      </c>
      <c r="D919" s="4" t="s">
        <v>23</v>
      </c>
      <c r="E919" s="10">
        <v>11</v>
      </c>
    </row>
    <row r="920" spans="1:12">
      <c r="A920" s="1">
        <v>11</v>
      </c>
      <c r="B920" s="72">
        <v>45627</v>
      </c>
      <c r="C920">
        <v>2024</v>
      </c>
      <c r="D920" s="4" t="s">
        <v>24</v>
      </c>
      <c r="E920" s="10">
        <v>12</v>
      </c>
    </row>
    <row r="921" spans="1:12">
      <c r="A921" s="1">
        <v>12</v>
      </c>
      <c r="B921" s="71">
        <v>45627</v>
      </c>
      <c r="C921">
        <v>2024</v>
      </c>
      <c r="D921" s="4" t="s">
        <v>24</v>
      </c>
      <c r="E921" s="10">
        <v>12</v>
      </c>
    </row>
    <row r="922" spans="1:12">
      <c r="A922" s="1">
        <v>13</v>
      </c>
      <c r="B922" s="71">
        <v>45627</v>
      </c>
      <c r="C922">
        <v>2024</v>
      </c>
      <c r="D922" s="4" t="s">
        <v>24</v>
      </c>
      <c r="E922" s="10">
        <v>12</v>
      </c>
    </row>
    <row r="927" spans="1:12">
      <c r="E927" s="85" t="s">
        <v>90</v>
      </c>
      <c r="F927" s="95">
        <f>AVERAGE(F3:F922)</f>
        <v>5.2424668884183712</v>
      </c>
      <c r="K927" s="85" t="s">
        <v>90</v>
      </c>
      <c r="L927" s="85">
        <f>AVERAGE(L4:L922)</f>
        <v>1.0140573524792997E-2</v>
      </c>
    </row>
    <row r="928" spans="1:12">
      <c r="E928" s="85" t="s">
        <v>91</v>
      </c>
      <c r="F928" s="85">
        <f>+STDEV(F3:F922)</f>
        <v>3.3154022356658119</v>
      </c>
      <c r="K928" s="85" t="s">
        <v>91</v>
      </c>
      <c r="L928" s="85">
        <f>+STDEV(L4:L922)</f>
        <v>9.9218412137498171E-3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5CC5-54B7-B148-A032-451F29B99043}">
  <sheetPr>
    <tabColor theme="9" tint="0.39997558519241921"/>
  </sheetPr>
  <dimension ref="A1:Q928"/>
  <sheetViews>
    <sheetView workbookViewId="0">
      <pane ySplit="2" topLeftCell="A910" activePane="bottomLeft" state="frozen"/>
      <selection pane="bottomLeft" activeCell="L928" sqref="L928"/>
    </sheetView>
  </sheetViews>
  <sheetFormatPr defaultColWidth="11.42578125" defaultRowHeight="15"/>
  <cols>
    <col min="2" max="2" width="10.85546875" style="70"/>
    <col min="14" max="14" width="12.7109375" bestFit="1" customWidth="1"/>
  </cols>
  <sheetData>
    <row r="1" spans="1:17" ht="18">
      <c r="F1" s="28" t="s">
        <v>28</v>
      </c>
      <c r="G1" s="28" t="s">
        <v>29</v>
      </c>
      <c r="I1" s="68" t="s">
        <v>82</v>
      </c>
    </row>
    <row r="2" spans="1:17">
      <c r="A2" s="29" t="s">
        <v>30</v>
      </c>
      <c r="B2" s="73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38</v>
      </c>
      <c r="I2" s="33" t="s">
        <v>35</v>
      </c>
      <c r="J2" s="33" t="s">
        <v>38</v>
      </c>
      <c r="L2" s="69" t="s">
        <v>84</v>
      </c>
      <c r="M2" s="69" t="s">
        <v>86</v>
      </c>
      <c r="N2" s="69" t="s">
        <v>87</v>
      </c>
    </row>
    <row r="3" spans="1:17">
      <c r="A3" s="1">
        <v>11</v>
      </c>
      <c r="B3" s="74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1.2921542806666668</v>
      </c>
      <c r="Q3" t="s">
        <v>100</v>
      </c>
    </row>
    <row r="4" spans="1:17">
      <c r="A4" s="1">
        <v>12</v>
      </c>
      <c r="B4" s="74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1.1449540233333331</v>
      </c>
    </row>
    <row r="5" spans="1:17">
      <c r="A5" s="1">
        <v>13</v>
      </c>
      <c r="B5" s="74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1.3668172096666666</v>
      </c>
      <c r="I5" s="21">
        <f>AVERAGE(F3:F5)</f>
        <v>4.3436182486310626</v>
      </c>
      <c r="J5" s="21">
        <f>AVERAGE(G3:G5)</f>
        <v>1.267975171222222</v>
      </c>
      <c r="L5">
        <f>+J5/I5</f>
        <v>0.29191680728890895</v>
      </c>
      <c r="M5">
        <f>+(L5-$L$927)/$L$928</f>
        <v>-0.57231753390856077</v>
      </c>
      <c r="N5">
        <f>+M5</f>
        <v>-0.57231753390856077</v>
      </c>
    </row>
    <row r="6" spans="1:17">
      <c r="A6" s="1">
        <v>11</v>
      </c>
      <c r="B6" s="74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1.9281980323333334</v>
      </c>
    </row>
    <row r="7" spans="1:17">
      <c r="A7" s="1">
        <v>12</v>
      </c>
      <c r="B7" s="74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1.1784671433333331</v>
      </c>
    </row>
    <row r="8" spans="1:17">
      <c r="A8" s="1">
        <v>13</v>
      </c>
      <c r="B8" s="74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1.3183590496666668</v>
      </c>
      <c r="I8" s="21">
        <f>AVERAGE(F6:F8)</f>
        <v>3.9763873870031197</v>
      </c>
      <c r="J8" s="21">
        <f>AVERAGE(G6:G8)</f>
        <v>1.475008075111111</v>
      </c>
      <c r="L8">
        <f>+J8/I8</f>
        <v>0.37094174474353192</v>
      </c>
      <c r="M8">
        <f>+(L8-$L$927)/$L$928</f>
        <v>0.41724955338811753</v>
      </c>
      <c r="N8">
        <f>+N5+M8</f>
        <v>-0.15506798052044324</v>
      </c>
    </row>
    <row r="9" spans="1:17">
      <c r="A9" s="1">
        <v>11</v>
      </c>
      <c r="B9" s="74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1.9067034250000001</v>
      </c>
    </row>
    <row r="10" spans="1:17">
      <c r="A10" s="1">
        <v>12</v>
      </c>
      <c r="B10" s="74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0.78655296833333344</v>
      </c>
    </row>
    <row r="11" spans="1:17">
      <c r="A11" s="1">
        <v>13</v>
      </c>
      <c r="B11" s="74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0.88810365550000003</v>
      </c>
      <c r="I11" s="21">
        <f>AVERAGE(F9:F11)</f>
        <v>3.4663078451070866</v>
      </c>
      <c r="J11" s="21">
        <f>AVERAGE(G9:G11)</f>
        <v>1.1937866829444446</v>
      </c>
      <c r="L11">
        <f>+J11/I11</f>
        <v>0.34439719040810246</v>
      </c>
      <c r="M11">
        <f>+(L11-$L$927)/$L$928</f>
        <v>8.4852993980746749E-2</v>
      </c>
      <c r="N11">
        <f>+N8+M11</f>
        <v>-7.0214986539696489E-2</v>
      </c>
    </row>
    <row r="12" spans="1:17">
      <c r="A12" s="1">
        <v>11</v>
      </c>
      <c r="B12" s="74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1.7825228903333334</v>
      </c>
    </row>
    <row r="13" spans="1:17">
      <c r="A13" s="1">
        <v>12</v>
      </c>
      <c r="B13" s="74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0.80302553483333339</v>
      </c>
    </row>
    <row r="14" spans="1:17">
      <c r="A14" s="1">
        <v>13</v>
      </c>
      <c r="B14" s="74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1.0579135275</v>
      </c>
      <c r="I14" s="21">
        <f>AVERAGE(F12:F14)</f>
        <v>3.3871081085015358</v>
      </c>
      <c r="J14" s="21">
        <f>AVERAGE(G12:G14)</f>
        <v>1.2144873175555555</v>
      </c>
      <c r="L14">
        <f>+J14/I14</f>
        <v>0.35856172246384171</v>
      </c>
      <c r="M14">
        <f>+(L14-$L$927)/$L$928</f>
        <v>0.26222427930908893</v>
      </c>
      <c r="N14">
        <f>+N11+M14</f>
        <v>0.19200929276939244</v>
      </c>
    </row>
    <row r="15" spans="1:17">
      <c r="A15" s="1">
        <v>11</v>
      </c>
      <c r="B15" s="74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2.1888015383333332</v>
      </c>
    </row>
    <row r="16" spans="1:17">
      <c r="A16" s="1">
        <v>12</v>
      </c>
      <c r="B16" s="74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1.9253816848333332</v>
      </c>
    </row>
    <row r="17" spans="1:14">
      <c r="A17" s="1">
        <v>13</v>
      </c>
      <c r="B17" s="74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1.7433120786666665</v>
      </c>
      <c r="I17" s="21">
        <f>AVERAGE(F15:F17)</f>
        <v>4.9699267107728504</v>
      </c>
      <c r="J17" s="21">
        <f>AVERAGE(G15:G17)</f>
        <v>1.9524984339444442</v>
      </c>
      <c r="L17">
        <f>+J17/I17</f>
        <v>0.39286262103467118</v>
      </c>
      <c r="M17">
        <f>+(L17-$L$927)/$L$928</f>
        <v>0.69174743217314516</v>
      </c>
      <c r="N17">
        <f>+N14+M17</f>
        <v>0.88375672494253754</v>
      </c>
    </row>
    <row r="18" spans="1:14">
      <c r="A18" s="1">
        <v>11</v>
      </c>
      <c r="B18" s="74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0.96764343116666651</v>
      </c>
    </row>
    <row r="19" spans="1:14">
      <c r="A19" s="1">
        <v>12</v>
      </c>
      <c r="B19" s="74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0.51953324300000003</v>
      </c>
    </row>
    <row r="20" spans="1:14">
      <c r="A20" s="1">
        <v>13</v>
      </c>
      <c r="B20" s="74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0.87974718083333325</v>
      </c>
      <c r="I20" s="21">
        <f>AVERAGE(F18:F20)</f>
        <v>2.4738625495730591</v>
      </c>
      <c r="J20" s="21">
        <f>AVERAGE(G18:G20)</f>
        <v>0.78897461833333316</v>
      </c>
      <c r="L20">
        <f>+J20/I20</f>
        <v>0.31892419345185324</v>
      </c>
      <c r="M20">
        <f>+(L20-$L$927)/$L$928</f>
        <v>-0.23412529584310762</v>
      </c>
      <c r="N20">
        <f>+N17+M20</f>
        <v>0.64963142909942995</v>
      </c>
    </row>
    <row r="21" spans="1:14">
      <c r="A21" s="1">
        <v>11</v>
      </c>
      <c r="B21" s="74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1.6410688625000001</v>
      </c>
    </row>
    <row r="22" spans="1:14">
      <c r="A22" s="1">
        <v>12</v>
      </c>
      <c r="B22" s="74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0.54958927416666681</v>
      </c>
    </row>
    <row r="23" spans="1:14">
      <c r="A23" s="1">
        <v>13</v>
      </c>
      <c r="B23" s="74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1.3872797328333331</v>
      </c>
      <c r="I23" s="21">
        <f>AVERAGE(F21:F23)</f>
        <v>3.2826370251484334</v>
      </c>
      <c r="J23" s="21">
        <f>AVERAGE(G21:G23)</f>
        <v>1.1926459565</v>
      </c>
      <c r="L23">
        <f>+J23/I23</f>
        <v>0.36331947375329177</v>
      </c>
      <c r="M23">
        <f>+(L23-$L$927)/$L$928</f>
        <v>0.32180185364486813</v>
      </c>
      <c r="N23">
        <f>+N20+M23</f>
        <v>0.97143328274429808</v>
      </c>
    </row>
    <row r="24" spans="1:14">
      <c r="A24" s="1">
        <v>11</v>
      </c>
      <c r="B24" s="74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0.323530553</v>
      </c>
    </row>
    <row r="25" spans="1:14">
      <c r="A25" s="1">
        <v>12</v>
      </c>
      <c r="B25" s="74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0.36833579549999995</v>
      </c>
    </row>
    <row r="26" spans="1:14">
      <c r="A26" s="1">
        <v>13</v>
      </c>
      <c r="B26" s="74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0.6636139748333334</v>
      </c>
      <c r="I26" s="21">
        <f>AVERAGE(F24:F26)</f>
        <v>1.6371818626430468</v>
      </c>
      <c r="J26" s="21">
        <f>AVERAGE(G24:G26)</f>
        <v>0.45182677444444447</v>
      </c>
      <c r="L26">
        <f>+J26/I26</f>
        <v>0.27597836547921484</v>
      </c>
      <c r="M26">
        <f>+(L26-$L$927)/$L$928</f>
        <v>-0.77190209475333404</v>
      </c>
      <c r="N26">
        <f>+N23+M26</f>
        <v>0.19953118799096403</v>
      </c>
    </row>
    <row r="27" spans="1:14">
      <c r="A27" s="1">
        <v>11</v>
      </c>
      <c r="B27" s="74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0.87136449783333336</v>
      </c>
    </row>
    <row r="28" spans="1:14">
      <c r="A28" s="1">
        <v>12</v>
      </c>
      <c r="B28" s="74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0.54223427233333343</v>
      </c>
    </row>
    <row r="29" spans="1:14">
      <c r="A29" s="1">
        <v>13</v>
      </c>
      <c r="B29" s="74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2.6135140796666665</v>
      </c>
      <c r="I29" s="21">
        <f>AVERAGE(F27:F29)</f>
        <v>3.736656357471503</v>
      </c>
      <c r="J29" s="21">
        <f>AVERAGE(G27:G29)</f>
        <v>1.3423709499444445</v>
      </c>
      <c r="L29">
        <f>+J29/I29</f>
        <v>0.35924388585007361</v>
      </c>
      <c r="M29">
        <f>+(L29-$L$927)/$L$928</f>
        <v>0.27076647443023727</v>
      </c>
      <c r="N29">
        <f>+N26+M29</f>
        <v>0.4702976624212013</v>
      </c>
    </row>
    <row r="30" spans="1:14">
      <c r="A30" s="1">
        <v>11</v>
      </c>
      <c r="B30" s="74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3.0263751078333332</v>
      </c>
    </row>
    <row r="31" spans="1:14">
      <c r="A31" s="1">
        <v>12</v>
      </c>
      <c r="B31" s="74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3.0311425084999994</v>
      </c>
    </row>
    <row r="32" spans="1:14">
      <c r="A32" s="1">
        <v>13</v>
      </c>
      <c r="B32" s="74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4.1097812715000002</v>
      </c>
      <c r="I32" s="21">
        <f>AVERAGE(F30:F32)</f>
        <v>9.1378453037807379</v>
      </c>
      <c r="J32" s="21">
        <f>AVERAGE(G30:G32)</f>
        <v>3.3890996292777777</v>
      </c>
      <c r="L32">
        <f>+J32/I32</f>
        <v>0.37088608053755895</v>
      </c>
      <c r="M32">
        <f>+(L32-$L$927)/$L$928</f>
        <v>0.41655251435277524</v>
      </c>
      <c r="N32">
        <f>+N29+M32</f>
        <v>0.88685017677397648</v>
      </c>
    </row>
    <row r="33" spans="1:14">
      <c r="A33" s="1">
        <v>11</v>
      </c>
      <c r="B33" s="74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0.57614418649999988</v>
      </c>
    </row>
    <row r="34" spans="1:14">
      <c r="A34" s="1">
        <v>12</v>
      </c>
      <c r="B34" s="74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1.760925756</v>
      </c>
    </row>
    <row r="35" spans="1:14">
      <c r="A35" s="1">
        <v>13</v>
      </c>
      <c r="B35" s="74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0.8618736216666667</v>
      </c>
      <c r="I35" s="21">
        <f>AVERAGE(F33:F35)</f>
        <v>3.5199391851087971</v>
      </c>
      <c r="J35" s="21">
        <f>AVERAGE(G33:G35)</f>
        <v>1.0663145213888889</v>
      </c>
      <c r="L35">
        <f>+J35/I35</f>
        <v>0.30293549556195826</v>
      </c>
      <c r="M35">
        <f>+(L35-$L$927)/$L$928</f>
        <v>-0.43433917402118327</v>
      </c>
      <c r="N35">
        <f>+N32+M35</f>
        <v>0.45251100275279321</v>
      </c>
    </row>
    <row r="36" spans="1:14">
      <c r="A36" s="1">
        <v>11</v>
      </c>
      <c r="B36" s="74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2.5259510186666665</v>
      </c>
    </row>
    <row r="37" spans="1:14">
      <c r="A37" s="1">
        <v>12</v>
      </c>
      <c r="B37" s="74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1.8800452518333333</v>
      </c>
    </row>
    <row r="38" spans="1:14">
      <c r="A38" s="1">
        <v>13</v>
      </c>
      <c r="B38" s="74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2.3694259121666668</v>
      </c>
      <c r="I38" s="21">
        <f>AVERAGE(F36:F38)</f>
        <v>6.3006138651251291</v>
      </c>
      <c r="J38" s="21">
        <f>AVERAGE(G36:G38)</f>
        <v>2.2584740608888887</v>
      </c>
      <c r="L38">
        <f>+J38/I38</f>
        <v>0.35845301890183928</v>
      </c>
      <c r="M38">
        <f>+(L38-$L$927)/$L$928</f>
        <v>0.26086307016809734</v>
      </c>
      <c r="N38">
        <f>+N35+M38</f>
        <v>0.71337407292089061</v>
      </c>
    </row>
    <row r="39" spans="1:14">
      <c r="A39" s="1">
        <v>11</v>
      </c>
      <c r="B39" s="74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1.9166889048333331</v>
      </c>
    </row>
    <row r="40" spans="1:14">
      <c r="A40" s="1">
        <v>12</v>
      </c>
      <c r="B40" s="74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0.62774420149999999</v>
      </c>
    </row>
    <row r="41" spans="1:14">
      <c r="A41" s="1">
        <v>13</v>
      </c>
      <c r="B41" s="74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1.0858327408333333</v>
      </c>
      <c r="I41" s="21">
        <f>AVERAGE(F39:F41)</f>
        <v>3.9984268788627837</v>
      </c>
      <c r="J41" s="21">
        <f>AVERAGE(G39:G41)</f>
        <v>1.2100886157222221</v>
      </c>
      <c r="L41">
        <f>+J41/I41</f>
        <v>0.30264117673858543</v>
      </c>
      <c r="M41">
        <f>+(L41-$L$927)/$L$928</f>
        <v>-0.4380246969733384</v>
      </c>
      <c r="N41">
        <f>+N38+M41</f>
        <v>0.27534937594755221</v>
      </c>
    </row>
    <row r="42" spans="1:14">
      <c r="A42" s="1">
        <v>11</v>
      </c>
      <c r="B42" s="74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0.25774857983333332</v>
      </c>
    </row>
    <row r="43" spans="1:14">
      <c r="A43" s="1">
        <v>12</v>
      </c>
      <c r="B43" s="74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0.34267091816666673</v>
      </c>
    </row>
    <row r="44" spans="1:14">
      <c r="A44" s="1">
        <v>13</v>
      </c>
      <c r="B44" s="74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0.37003870816666662</v>
      </c>
      <c r="I44" s="21">
        <f>AVERAGE(F42:F44)</f>
        <v>1.1461411668887538</v>
      </c>
      <c r="J44" s="21">
        <f>AVERAGE(G42:G44)</f>
        <v>0.32348606872222224</v>
      </c>
      <c r="L44">
        <f>+J44/I44</f>
        <v>0.28223928959845163</v>
      </c>
      <c r="M44">
        <f>+(L44-$L$927)/$L$928</f>
        <v>-0.69350147029202069</v>
      </c>
      <c r="N44">
        <f>+N41+M44</f>
        <v>-0.41815209434446848</v>
      </c>
    </row>
    <row r="45" spans="1:14">
      <c r="A45" s="1">
        <v>11</v>
      </c>
      <c r="B45" s="74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1.8358230706666665</v>
      </c>
    </row>
    <row r="46" spans="1:14">
      <c r="A46" s="1">
        <v>12</v>
      </c>
      <c r="B46" s="74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1.2523043001666665</v>
      </c>
    </row>
    <row r="47" spans="1:14">
      <c r="A47" s="1">
        <v>13</v>
      </c>
      <c r="B47" s="74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1.3537788783333335</v>
      </c>
      <c r="I47" s="21">
        <f>AVERAGE(F45:F47)</f>
        <v>4.2553168118899842</v>
      </c>
      <c r="J47" s="21">
        <f>AVERAGE(G45:G47)</f>
        <v>1.4806354163888888</v>
      </c>
      <c r="L47">
        <f>+J47/I47</f>
        <v>0.34794951394729873</v>
      </c>
      <c r="M47">
        <f>+(L47-$L$927)/$L$928</f>
        <v>0.12933594545206403</v>
      </c>
      <c r="N47">
        <f>+N44+M47</f>
        <v>-0.28881614889240448</v>
      </c>
    </row>
    <row r="48" spans="1:14">
      <c r="A48" s="1">
        <v>11</v>
      </c>
      <c r="B48" s="74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0.97154480366666673</v>
      </c>
    </row>
    <row r="49" spans="1:14">
      <c r="A49" s="1">
        <v>12</v>
      </c>
      <c r="B49" s="74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0.94213643283333337</v>
      </c>
    </row>
    <row r="50" spans="1:14">
      <c r="A50" s="1">
        <v>13</v>
      </c>
      <c r="B50" s="74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0.91825393183333315</v>
      </c>
      <c r="I50" s="21">
        <f>AVERAGE(F48:F50)</f>
        <v>3.1257342077279611</v>
      </c>
      <c r="J50" s="21">
        <f>AVERAGE(G48:G50)</f>
        <v>0.94397838944444434</v>
      </c>
      <c r="L50">
        <f>+J50/I50</f>
        <v>0.30200213028688866</v>
      </c>
      <c r="M50">
        <f>+(L50-$L$927)/$L$928</f>
        <v>-0.44602697266278096</v>
      </c>
      <c r="N50">
        <f>+N47+M50</f>
        <v>-0.73484312155518539</v>
      </c>
    </row>
    <row r="51" spans="1:14">
      <c r="A51" s="5">
        <v>11</v>
      </c>
      <c r="B51" s="74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1.5608120268333334</v>
      </c>
    </row>
    <row r="52" spans="1:14">
      <c r="A52" s="5">
        <v>12</v>
      </c>
      <c r="B52" s="74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1.4864522758333334</v>
      </c>
    </row>
    <row r="53" spans="1:14">
      <c r="A53" s="5">
        <v>13</v>
      </c>
      <c r="B53" s="74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0.76332420800000012</v>
      </c>
      <c r="I53" s="21">
        <f>AVERAGE(F51:F53)</f>
        <v>3.1678240591031659</v>
      </c>
      <c r="J53" s="21">
        <f>AVERAGE(G51:G53)</f>
        <v>1.2701961702222224</v>
      </c>
      <c r="L53">
        <f>+J53/I53</f>
        <v>0.40096802932351749</v>
      </c>
      <c r="M53">
        <f>+(L53-$L$927)/$L$928</f>
        <v>0.79324508000551031</v>
      </c>
      <c r="N53">
        <f>+N50+M53</f>
        <v>5.840195845032492E-2</v>
      </c>
    </row>
    <row r="54" spans="1:14">
      <c r="A54" s="1">
        <v>11</v>
      </c>
      <c r="B54" s="74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1.1456036754999999</v>
      </c>
    </row>
    <row r="55" spans="1:14">
      <c r="A55" s="1">
        <v>12</v>
      </c>
      <c r="B55" s="74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1.1268791841666668</v>
      </c>
    </row>
    <row r="56" spans="1:14">
      <c r="A56" s="1">
        <v>13</v>
      </c>
      <c r="B56" s="74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1.21835413</v>
      </c>
      <c r="I56" s="21">
        <f>AVERAGE(F54:F56)</f>
        <v>3.2428774202097359</v>
      </c>
      <c r="J56" s="21">
        <f>AVERAGE(G54:G56)</f>
        <v>1.163612329888889</v>
      </c>
      <c r="L56">
        <f>+J56/I56</f>
        <v>0.35882094174673779</v>
      </c>
      <c r="M56">
        <f>+(L56-$L$927)/$L$928</f>
        <v>0.2654702783444427</v>
      </c>
      <c r="N56">
        <f>+N53+M56</f>
        <v>0.32387223679476762</v>
      </c>
    </row>
    <row r="57" spans="1:14">
      <c r="A57" s="1">
        <v>11</v>
      </c>
      <c r="B57" s="74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0.20908421266666669</v>
      </c>
    </row>
    <row r="58" spans="1:14">
      <c r="A58" s="1">
        <v>12</v>
      </c>
      <c r="B58" s="74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0.18882286466666667</v>
      </c>
    </row>
    <row r="59" spans="1:14">
      <c r="A59" s="1">
        <v>13</v>
      </c>
      <c r="B59" s="74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0.37802931449999994</v>
      </c>
      <c r="I59" s="21">
        <f>AVERAGE(F57:F59)</f>
        <v>1.0415669659472375</v>
      </c>
      <c r="J59" s="21">
        <f>AVERAGE(G57:G59)</f>
        <v>0.25864546394444443</v>
      </c>
      <c r="L59">
        <f>+J59/I59</f>
        <v>0.24832341308868525</v>
      </c>
      <c r="M59">
        <f>+(L59-$L$927)/$L$928</f>
        <v>-1.1182032949553438</v>
      </c>
      <c r="N59">
        <f>+N56+M59</f>
        <v>-0.79433105816057614</v>
      </c>
    </row>
    <row r="60" spans="1:14">
      <c r="A60" s="1">
        <v>11</v>
      </c>
      <c r="B60" s="74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0.10816000949999999</v>
      </c>
    </row>
    <row r="61" spans="1:14">
      <c r="A61" s="1">
        <v>12</v>
      </c>
      <c r="B61" s="74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0.22260456766666667</v>
      </c>
    </row>
    <row r="62" spans="1:14">
      <c r="A62" s="1">
        <v>13</v>
      </c>
      <c r="B62" s="74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0.3732998635</v>
      </c>
      <c r="I62" s="21">
        <f>AVERAGE(F60:F62)</f>
        <v>1.0519999372377684</v>
      </c>
      <c r="J62" s="21">
        <f>AVERAGE(G60:G62)</f>
        <v>0.23468814688888887</v>
      </c>
      <c r="L62">
        <f>+J62/I62</f>
        <v>0.22308760540909203</v>
      </c>
      <c r="M62">
        <f>+(L62-$L$927)/$L$928</f>
        <v>-1.4342114501710781</v>
      </c>
      <c r="N62">
        <f>+N59+M62</f>
        <v>-2.2285425083316541</v>
      </c>
    </row>
    <row r="63" spans="1:14">
      <c r="A63" s="1">
        <v>11</v>
      </c>
      <c r="B63" s="74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0.33227973333333333</v>
      </c>
    </row>
    <row r="64" spans="1:14">
      <c r="A64" s="1">
        <v>12</v>
      </c>
      <c r="B64" s="74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0.39249862083333331</v>
      </c>
    </row>
    <row r="65" spans="1:14">
      <c r="A65" s="1">
        <v>13</v>
      </c>
      <c r="B65" s="74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0.44492461766666663</v>
      </c>
      <c r="I65" s="21">
        <f>AVERAGE(F63:F65)</f>
        <v>2.0816760914865617</v>
      </c>
      <c r="J65" s="21">
        <f>AVERAGE(G63:G65)</f>
        <v>0.38990099061111105</v>
      </c>
      <c r="L65">
        <f>+J65/I65</f>
        <v>0.18730146933314484</v>
      </c>
      <c r="M65">
        <f>+(L65-$L$927)/$L$928</f>
        <v>-1.8823330632076221</v>
      </c>
      <c r="N65">
        <f>+N62+M65</f>
        <v>-4.1108755715392764</v>
      </c>
    </row>
    <row r="66" spans="1:14">
      <c r="A66" s="1">
        <v>11</v>
      </c>
      <c r="B66" s="74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2.0578257070000001</v>
      </c>
    </row>
    <row r="67" spans="1:14">
      <c r="A67" s="1">
        <v>12</v>
      </c>
      <c r="B67" s="74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1.6313453611666668</v>
      </c>
    </row>
    <row r="68" spans="1:14">
      <c r="A68" s="1">
        <v>13</v>
      </c>
      <c r="B68" s="74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2.0939522171666671</v>
      </c>
      <c r="I68" s="21">
        <f>AVERAGE(F66:F68)</f>
        <v>6.5725514687452025</v>
      </c>
      <c r="J68" s="21">
        <f>AVERAGE(G66:G68)</f>
        <v>1.9277077617777778</v>
      </c>
      <c r="L68">
        <f>+J68/I68</f>
        <v>0.29329671603862023</v>
      </c>
      <c r="M68">
        <f>+(L68-$L$927)/$L$928</f>
        <v>-0.55503802283054082</v>
      </c>
      <c r="N68">
        <f>+N65+M68</f>
        <v>-4.6659135943698171</v>
      </c>
    </row>
    <row r="69" spans="1:14">
      <c r="A69" s="1">
        <v>11</v>
      </c>
      <c r="B69" s="74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0.78053459149999993</v>
      </c>
    </row>
    <row r="70" spans="1:14">
      <c r="A70" s="1">
        <v>12</v>
      </c>
      <c r="B70" s="74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1.3567874901666668</v>
      </c>
    </row>
    <row r="71" spans="1:14">
      <c r="A71" s="1">
        <v>13</v>
      </c>
      <c r="B71" s="74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1.5364394300000002</v>
      </c>
      <c r="I71" s="21">
        <f>AVERAGE(F69:F71)</f>
        <v>5.1939496956832594</v>
      </c>
      <c r="J71" s="21">
        <f>AVERAGE(G69:G71)</f>
        <v>1.2245871705555555</v>
      </c>
      <c r="L71">
        <f>+J71/I71</f>
        <v>0.23577185808582657</v>
      </c>
      <c r="M71">
        <f>+(L71-$L$927)/$L$928</f>
        <v>-1.2753765383046973</v>
      </c>
      <c r="N71">
        <f>+N68+M71</f>
        <v>-5.9412901326745144</v>
      </c>
    </row>
    <row r="72" spans="1:14">
      <c r="A72" s="1">
        <v>11</v>
      </c>
      <c r="B72" s="74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1.1698955506666666</v>
      </c>
    </row>
    <row r="73" spans="1:14">
      <c r="A73" s="1">
        <v>12</v>
      </c>
      <c r="B73" s="74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2.1877742765000003</v>
      </c>
    </row>
    <row r="74" spans="1:14">
      <c r="A74" s="1">
        <v>13</v>
      </c>
      <c r="B74" s="74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2.1598375560000003</v>
      </c>
      <c r="I74" s="21">
        <f>AVERAGE(F72:F74)</f>
        <v>5.904270321687398</v>
      </c>
      <c r="J74" s="21">
        <f>AVERAGE(G72:G74)</f>
        <v>1.8391691277222224</v>
      </c>
      <c r="L74">
        <f>+J74/I74</f>
        <v>0.31149812381838932</v>
      </c>
      <c r="M74">
        <f>+(L74-$L$927)/$L$928</f>
        <v>-0.327116120435267</v>
      </c>
      <c r="N74">
        <f>+N71+M74</f>
        <v>-6.2684062531097817</v>
      </c>
    </row>
    <row r="75" spans="1:14">
      <c r="A75" s="1">
        <v>11</v>
      </c>
      <c r="B75" s="74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6">
        <v>1.3325842017073919</v>
      </c>
    </row>
    <row r="76" spans="1:14">
      <c r="A76" s="1">
        <v>12</v>
      </c>
      <c r="B76" s="74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6">
        <v>0.39431631216342117</v>
      </c>
    </row>
    <row r="77" spans="1:14">
      <c r="A77" s="1">
        <v>13</v>
      </c>
      <c r="B77" s="74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6">
        <v>0.5097206300717777</v>
      </c>
      <c r="I77" s="21">
        <f>AVERAGE(F75:F77)</f>
        <v>2.5662165226420637</v>
      </c>
      <c r="J77" s="21">
        <f>AVERAGE(G75:G77)</f>
        <v>0.74554038131419686</v>
      </c>
      <c r="L77">
        <f>+J77/I77</f>
        <v>0.29052123027663357</v>
      </c>
      <c r="M77">
        <f>+(L77-$L$927)/$L$928</f>
        <v>-0.58979324630540442</v>
      </c>
      <c r="N77">
        <f>+N74+M77</f>
        <v>-6.8581994994151865</v>
      </c>
    </row>
    <row r="78" spans="1:14">
      <c r="A78" s="1">
        <v>11</v>
      </c>
      <c r="B78" s="74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6">
        <v>1.1567086406303624</v>
      </c>
    </row>
    <row r="79" spans="1:14">
      <c r="A79" s="1">
        <v>12</v>
      </c>
      <c r="B79" s="74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6">
        <v>0.30963517509876115</v>
      </c>
    </row>
    <row r="80" spans="1:14">
      <c r="A80" s="1">
        <v>13</v>
      </c>
      <c r="B80" s="74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6">
        <v>0.77477510703508978</v>
      </c>
      <c r="I80" s="21">
        <f>AVERAGE(F78:F80)</f>
        <v>2.3465076796477864</v>
      </c>
      <c r="J80" s="21">
        <f>AVERAGE(G78:G80)</f>
        <v>0.7470396409214044</v>
      </c>
      <c r="L80">
        <f>+J80/I80</f>
        <v>0.3183623251697757</v>
      </c>
      <c r="M80">
        <f>+(L80-$L$927)/$L$928</f>
        <v>-0.2411611300651737</v>
      </c>
      <c r="N80">
        <f>+N77+M80</f>
        <v>-7.0993606294803602</v>
      </c>
    </row>
    <row r="81" spans="1:14">
      <c r="A81" s="1">
        <v>11</v>
      </c>
      <c r="B81" s="74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6">
        <v>1.8897231850241201</v>
      </c>
    </row>
    <row r="82" spans="1:14">
      <c r="A82" s="1">
        <v>12</v>
      </c>
      <c r="B82" s="74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6">
        <v>0.5204328406837393</v>
      </c>
    </row>
    <row r="83" spans="1:14">
      <c r="A83" s="1">
        <v>13</v>
      </c>
      <c r="B83" s="74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6">
        <v>1.7462692848439871</v>
      </c>
      <c r="I83" s="21">
        <f>AVERAGE(F81:F83)</f>
        <v>3.6882212667442942</v>
      </c>
      <c r="J83" s="21">
        <f>AVERAGE(G81:G83)</f>
        <v>1.3854751035172823</v>
      </c>
      <c r="L83">
        <f>+J83/I83</f>
        <v>0.37564858594839229</v>
      </c>
      <c r="M83">
        <f>+(L83-$L$927)/$L$928</f>
        <v>0.47618962080843263</v>
      </c>
      <c r="N83">
        <f>+N80+M83</f>
        <v>-6.6231710086719273</v>
      </c>
    </row>
    <row r="84" spans="1:14">
      <c r="A84" s="1">
        <v>11</v>
      </c>
      <c r="B84" s="74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6">
        <v>1.9585632053718476</v>
      </c>
    </row>
    <row r="85" spans="1:14">
      <c r="A85" s="1">
        <v>12</v>
      </c>
      <c r="B85" s="74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6">
        <v>1.2792768724814469</v>
      </c>
    </row>
    <row r="86" spans="1:14">
      <c r="A86" s="1">
        <v>13</v>
      </c>
      <c r="B86" s="74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6">
        <v>1.3638228325273567</v>
      </c>
      <c r="I86" s="21">
        <f>AVERAGE(F84:F86)</f>
        <v>4.1539263973359724</v>
      </c>
      <c r="J86" s="21">
        <f>AVERAGE(G84:G86)</f>
        <v>1.5338876367935506</v>
      </c>
      <c r="L86">
        <f>+J86/I86</f>
        <v>0.369262112534607</v>
      </c>
      <c r="M86">
        <f>+(L86-$L$927)/$L$928</f>
        <v>0.39621684135756491</v>
      </c>
      <c r="N86">
        <f>+N83+M86</f>
        <v>-6.2269541673143625</v>
      </c>
    </row>
    <row r="87" spans="1:14">
      <c r="A87" s="1">
        <v>11</v>
      </c>
      <c r="B87" s="74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6">
        <v>1.5082205516400069</v>
      </c>
    </row>
    <row r="88" spans="1:14">
      <c r="A88" s="1">
        <v>12</v>
      </c>
      <c r="B88" s="74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6">
        <v>0.58763743902436449</v>
      </c>
    </row>
    <row r="89" spans="1:14">
      <c r="A89" s="1">
        <v>13</v>
      </c>
      <c r="B89" s="74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6">
        <v>0.70432828186368412</v>
      </c>
      <c r="I89" s="21">
        <f>AVERAGE(F87:F89)</f>
        <v>2.8247363168547728</v>
      </c>
      <c r="J89" s="21">
        <f>AVERAGE(G87:G89)</f>
        <v>0.93339542417601862</v>
      </c>
      <c r="L89">
        <f>+J89/I89</f>
        <v>0.3304363025343604</v>
      </c>
      <c r="M89">
        <f>+(L89-$L$927)/$L$928</f>
        <v>-8.9968215554880035E-2</v>
      </c>
      <c r="N89">
        <f>+N86+M89</f>
        <v>-6.3169223828692429</v>
      </c>
    </row>
    <row r="90" spans="1:14">
      <c r="A90" s="1">
        <v>11</v>
      </c>
      <c r="B90" s="70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6">
        <v>0.91186617875395659</v>
      </c>
    </row>
    <row r="91" spans="1:14">
      <c r="A91" s="1">
        <v>12</v>
      </c>
      <c r="B91" s="70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6">
        <v>1.0819195974645863</v>
      </c>
    </row>
    <row r="92" spans="1:14">
      <c r="A92" s="1">
        <v>13</v>
      </c>
      <c r="B92" s="70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6">
        <v>0.85468181629743678</v>
      </c>
      <c r="I92" s="21">
        <f>AVERAGE(F90:F92)</f>
        <v>2.5546582578791779</v>
      </c>
      <c r="J92" s="21">
        <f>AVERAGE(G90:G92)</f>
        <v>0.94948919750532657</v>
      </c>
      <c r="L92">
        <f>+J92/I92</f>
        <v>0.37166975057304613</v>
      </c>
      <c r="M92">
        <f>+(L92-$L$927)/$L$928</f>
        <v>0.42636579734162966</v>
      </c>
      <c r="N92">
        <f>+N89+M92</f>
        <v>-5.8905565855276132</v>
      </c>
    </row>
    <row r="93" spans="1:14">
      <c r="A93" s="1">
        <v>11</v>
      </c>
      <c r="B93" s="70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6">
        <v>0.54598767028307849</v>
      </c>
    </row>
    <row r="94" spans="1:14">
      <c r="A94" s="1">
        <v>12</v>
      </c>
      <c r="B94" s="70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6">
        <v>0.81808405524525241</v>
      </c>
    </row>
    <row r="95" spans="1:14">
      <c r="A95" s="1">
        <v>13</v>
      </c>
      <c r="B95" s="70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0.64310829258166435</v>
      </c>
      <c r="I95" s="21">
        <f>AVERAGE(F93:F95)</f>
        <v>2.1749932778823258</v>
      </c>
      <c r="J95" s="21">
        <f>AVERAGE(G93:G95)</f>
        <v>0.66906000603666504</v>
      </c>
      <c r="L95">
        <f>+J95/I95</f>
        <v>0.30761474660192645</v>
      </c>
      <c r="M95">
        <f>+(L95-$L$927)/$L$928</f>
        <v>-0.37574459651822573</v>
      </c>
      <c r="N95">
        <f>+N92+M95</f>
        <v>-6.2663011820458392</v>
      </c>
    </row>
    <row r="96" spans="1:14">
      <c r="A96" s="1">
        <v>11</v>
      </c>
      <c r="B96" s="70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14"/>
    </row>
    <row r="97" spans="1:10">
      <c r="A97" s="1">
        <v>12</v>
      </c>
      <c r="B97" s="70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14"/>
    </row>
    <row r="98" spans="1:10">
      <c r="A98" s="1">
        <v>13</v>
      </c>
      <c r="B98" s="70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14"/>
      <c r="I98" s="21">
        <f>AVERAGE(F96:F98)</f>
        <v>3.4494796312748774</v>
      </c>
      <c r="J98" s="21" t="e">
        <f>AVERAGE(G96:G98)</f>
        <v>#DIV/0!</v>
      </c>
    </row>
    <row r="99" spans="1:10">
      <c r="A99" s="1">
        <v>11</v>
      </c>
      <c r="B99" s="70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14"/>
    </row>
    <row r="100" spans="1:10">
      <c r="A100" s="1">
        <v>12</v>
      </c>
      <c r="B100" s="70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14"/>
    </row>
    <row r="101" spans="1:10">
      <c r="A101" s="1">
        <v>13</v>
      </c>
      <c r="B101" s="70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14"/>
      <c r="I101" s="21">
        <f>AVERAGE(F99:F101)</f>
        <v>6.4463063558178026</v>
      </c>
      <c r="J101" s="21" t="e">
        <f>AVERAGE(G99:G101)</f>
        <v>#DIV/0!</v>
      </c>
    </row>
    <row r="102" spans="1:10">
      <c r="A102" s="1">
        <v>11</v>
      </c>
      <c r="B102" s="70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14"/>
    </row>
    <row r="103" spans="1:10">
      <c r="A103" s="1">
        <v>12</v>
      </c>
      <c r="B103" s="70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14"/>
    </row>
    <row r="104" spans="1:10">
      <c r="A104" s="1">
        <v>13</v>
      </c>
      <c r="B104" s="70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14"/>
      <c r="I104" s="21">
        <f>AVERAGE(F102:F104)</f>
        <v>7.2469507265443438</v>
      </c>
      <c r="J104" s="21" t="e">
        <f>AVERAGE(G102:G104)</f>
        <v>#DIV/0!</v>
      </c>
    </row>
    <row r="105" spans="1:10">
      <c r="A105" s="1">
        <v>11</v>
      </c>
      <c r="B105" s="70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14"/>
    </row>
    <row r="106" spans="1:10">
      <c r="A106" s="1">
        <v>12</v>
      </c>
      <c r="B106" s="70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14"/>
    </row>
    <row r="107" spans="1:10">
      <c r="A107" s="1">
        <v>13</v>
      </c>
      <c r="B107" s="70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14"/>
      <c r="I107" s="21">
        <f>AVERAGE(F105:F107)</f>
        <v>7.8241637346353476</v>
      </c>
      <c r="J107" s="21" t="e">
        <f>AVERAGE(G105:G107)</f>
        <v>#DIV/0!</v>
      </c>
    </row>
    <row r="108" spans="1:10">
      <c r="A108" s="1">
        <v>11</v>
      </c>
      <c r="B108" s="70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14"/>
    </row>
    <row r="109" spans="1:10">
      <c r="A109" s="1">
        <v>12</v>
      </c>
      <c r="B109" s="70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14"/>
    </row>
    <row r="110" spans="1:10">
      <c r="A110" s="1">
        <v>13</v>
      </c>
      <c r="B110" s="70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14"/>
      <c r="I110" s="21">
        <f>AVERAGE(F108:F110)</f>
        <v>5.3863247610326406</v>
      </c>
      <c r="J110" s="21" t="e">
        <f>AVERAGE(G108:G110)</f>
        <v>#DIV/0!</v>
      </c>
    </row>
    <row r="111" spans="1:10">
      <c r="A111" s="1">
        <v>11</v>
      </c>
      <c r="B111" s="70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0.81941654429271582</v>
      </c>
    </row>
    <row r="112" spans="1:10">
      <c r="A112" s="1">
        <v>12</v>
      </c>
      <c r="B112" s="70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0.57349036171031242</v>
      </c>
    </row>
    <row r="113" spans="1:14">
      <c r="A113" s="1">
        <v>13</v>
      </c>
      <c r="B113" s="70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1.7437779962787312</v>
      </c>
      <c r="I113" s="21">
        <f>AVERAGE(F111:F113)</f>
        <v>3.522187213638885</v>
      </c>
      <c r="J113" s="21">
        <f>AVERAGE(G111:G113)</f>
        <v>1.0455616340939198</v>
      </c>
      <c r="L113">
        <f>+J113/I113</f>
        <v>0.29685010213120283</v>
      </c>
      <c r="M113">
        <f>+(L113-$L$927)/$L$928</f>
        <v>-0.51054176583955491</v>
      </c>
      <c r="N113">
        <f>+N95+M113</f>
        <v>-6.7768429478853944</v>
      </c>
    </row>
    <row r="114" spans="1:14">
      <c r="A114" s="1">
        <v>11</v>
      </c>
      <c r="B114" s="70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0.39018306191170027</v>
      </c>
    </row>
    <row r="115" spans="1:14">
      <c r="A115" s="1">
        <v>12</v>
      </c>
      <c r="B115" s="70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0.23672737169167038</v>
      </c>
    </row>
    <row r="116" spans="1:14">
      <c r="A116" s="1">
        <v>13</v>
      </c>
      <c r="B116" s="70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0.58870512354623661</v>
      </c>
      <c r="I116" s="21">
        <f>AVERAGE(F114:F116)</f>
        <v>1.6391637974175726</v>
      </c>
      <c r="J116" s="21">
        <f>AVERAGE(G114:G116)</f>
        <v>0.40520518571653574</v>
      </c>
      <c r="L116">
        <f>+J116/I116</f>
        <v>0.24720237620847774</v>
      </c>
      <c r="M116">
        <f>+(L116-$L$927)/$L$928</f>
        <v>-1.1322411573824553</v>
      </c>
      <c r="N116">
        <f>+N113+M116</f>
        <v>-7.9090841052678496</v>
      </c>
    </row>
    <row r="117" spans="1:14">
      <c r="A117" s="1">
        <v>11</v>
      </c>
      <c r="B117" s="70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1.2738907255563263</v>
      </c>
    </row>
    <row r="118" spans="1:14">
      <c r="A118" s="1">
        <v>12</v>
      </c>
      <c r="B118" s="70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0.60883252675219535</v>
      </c>
    </row>
    <row r="119" spans="1:14">
      <c r="A119" s="1">
        <v>13</v>
      </c>
      <c r="B119" s="70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0.37267169816897089</v>
      </c>
      <c r="I119" s="21">
        <f>AVERAGE(F117:F119)</f>
        <v>2.6098651465827802</v>
      </c>
      <c r="J119" s="21">
        <f>AVERAGE(G117:G119)</f>
        <v>0.75179831682583087</v>
      </c>
      <c r="L119">
        <f>+J119/I119</f>
        <v>0.28806021560546757</v>
      </c>
      <c r="M119">
        <f>+(L119-$L$927)/$L$928</f>
        <v>-0.62061059584571288</v>
      </c>
      <c r="N119">
        <f>+N116+M119</f>
        <v>-8.5296947011135629</v>
      </c>
    </row>
    <row r="120" spans="1:14">
      <c r="A120" s="1">
        <v>11</v>
      </c>
      <c r="B120" s="70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1.6657109833679171</v>
      </c>
    </row>
    <row r="121" spans="1:14">
      <c r="A121" s="1">
        <v>12</v>
      </c>
      <c r="B121" s="70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1.4458444057395419</v>
      </c>
    </row>
    <row r="122" spans="1:14">
      <c r="A122" s="1">
        <v>13</v>
      </c>
      <c r="B122" s="70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0.96685599484949558</v>
      </c>
      <c r="I122" s="21">
        <f>AVERAGE(F120:F122)</f>
        <v>4.4444379299631862</v>
      </c>
      <c r="J122" s="21">
        <f>AVERAGE(G120:G122)</f>
        <v>1.359470461318985</v>
      </c>
      <c r="L122">
        <f>+J122/I122</f>
        <v>0.3058813021448239</v>
      </c>
      <c r="M122">
        <f>+(L122-$L$927)/$L$928</f>
        <v>-0.39745115697441746</v>
      </c>
      <c r="N122">
        <f>+N119+M122</f>
        <v>-8.9271458580879806</v>
      </c>
    </row>
    <row r="123" spans="1:14">
      <c r="A123" s="1">
        <v>11</v>
      </c>
      <c r="B123" s="70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1.0271200350006593</v>
      </c>
    </row>
    <row r="124" spans="1:14">
      <c r="A124" s="1">
        <v>12</v>
      </c>
      <c r="B124" s="70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1.3627323480610576</v>
      </c>
    </row>
    <row r="125" spans="1:14">
      <c r="A125" s="1">
        <v>13</v>
      </c>
      <c r="B125" s="70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1.3655291128877431</v>
      </c>
      <c r="I125" s="21">
        <f>AVERAGE(F123:F125)</f>
        <v>3.8453174849234446</v>
      </c>
      <c r="J125" s="21">
        <f>AVERAGE(G123:G125)</f>
        <v>1.2517938319831534</v>
      </c>
      <c r="L125">
        <f>+J125/I125</f>
        <v>0.32553718565271472</v>
      </c>
      <c r="M125">
        <f>+(L125-$L$927)/$L$928</f>
        <v>-0.1513159999258564</v>
      </c>
      <c r="N125">
        <f>+N122+M125</f>
        <v>-9.0784618580138368</v>
      </c>
    </row>
    <row r="126" spans="1:14">
      <c r="A126" s="1">
        <v>11</v>
      </c>
      <c r="B126" s="70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1.6609138533444763</v>
      </c>
    </row>
    <row r="127" spans="1:14">
      <c r="A127" s="1">
        <v>12</v>
      </c>
      <c r="B127" s="70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1.4844363923564432</v>
      </c>
    </row>
    <row r="128" spans="1:14">
      <c r="A128" s="1">
        <v>13</v>
      </c>
      <c r="B128" s="70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2.0654738625235027</v>
      </c>
      <c r="I128" s="21">
        <f>AVERAGE(F126:F128)</f>
        <v>5.6311639857649434</v>
      </c>
      <c r="J128" s="21">
        <f>AVERAGE(G126:G128)</f>
        <v>1.7369413694081406</v>
      </c>
      <c r="L128">
        <f>+J128/I128</f>
        <v>0.30845156947994518</v>
      </c>
      <c r="M128">
        <f>+(L128-$L$927)/$L$928</f>
        <v>-0.36526572232158727</v>
      </c>
      <c r="N128">
        <f>+N125+M128</f>
        <v>-9.4437275803354233</v>
      </c>
    </row>
    <row r="129" spans="1:14">
      <c r="A129" s="1">
        <v>11</v>
      </c>
      <c r="B129" s="70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5.0591511409989343</v>
      </c>
    </row>
    <row r="130" spans="1:14">
      <c r="A130" s="1">
        <v>12</v>
      </c>
      <c r="B130" s="70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4.6054073495921974</v>
      </c>
    </row>
    <row r="131" spans="1:14">
      <c r="A131" s="1">
        <v>13</v>
      </c>
      <c r="B131" s="70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3.9518842199722251</v>
      </c>
      <c r="I131" s="21">
        <f>AVERAGE(F129:F131)</f>
        <v>9.9240777034895604</v>
      </c>
      <c r="J131" s="21">
        <f>AVERAGE(G129:G131)</f>
        <v>4.538814236854452</v>
      </c>
      <c r="L131">
        <f>+J131/I131</f>
        <v>0.4573537584513761</v>
      </c>
      <c r="M131">
        <f>+(L131-$L$927)/$L$928</f>
        <v>1.4993191818697993</v>
      </c>
      <c r="N131">
        <f>+N128+M131</f>
        <v>-7.9444083984656242</v>
      </c>
    </row>
    <row r="132" spans="1:14">
      <c r="A132" s="1">
        <v>11</v>
      </c>
      <c r="B132" s="70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1.8030158003863914</v>
      </c>
    </row>
    <row r="133" spans="1:14">
      <c r="A133" s="1">
        <v>12</v>
      </c>
      <c r="B133" s="70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0.9972345029165488</v>
      </c>
    </row>
    <row r="134" spans="1:14">
      <c r="A134" s="1">
        <v>13</v>
      </c>
      <c r="B134" s="70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0.95029265021341924</v>
      </c>
      <c r="I134" s="21">
        <f>AVERAGE(F132:F134)</f>
        <v>3.899478827564264</v>
      </c>
      <c r="J134" s="21">
        <f>AVERAGE(G132:G134)</f>
        <v>1.2501809845054532</v>
      </c>
      <c r="L134">
        <f>+J134/I134</f>
        <v>0.32060207011980502</v>
      </c>
      <c r="M134">
        <f>+(L134-$L$927)/$L$928</f>
        <v>-0.21311456707028834</v>
      </c>
      <c r="N134">
        <f>+N131+M134</f>
        <v>-8.1575229655359127</v>
      </c>
    </row>
    <row r="135" spans="1:14">
      <c r="A135" s="1">
        <v>11</v>
      </c>
      <c r="B135" s="70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1.3607660496659861</v>
      </c>
    </row>
    <row r="136" spans="1:14">
      <c r="A136" s="1">
        <v>12</v>
      </c>
      <c r="B136" s="70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1.2506459356053581</v>
      </c>
    </row>
    <row r="137" spans="1:14">
      <c r="A137" s="1">
        <v>13</v>
      </c>
      <c r="B137" s="70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1.0065106129702024</v>
      </c>
      <c r="I137" s="21">
        <f>AVERAGE(F135:F137)</f>
        <v>3.2011788828747592</v>
      </c>
      <c r="J137" s="21">
        <f>AVERAGE(G135:G137)</f>
        <v>1.2059741994138486</v>
      </c>
      <c r="L137">
        <f>+J137/I137</f>
        <v>0.3767281503278086</v>
      </c>
      <c r="M137">
        <f>+(L137-$L$927)/$L$928</f>
        <v>0.48970815575319832</v>
      </c>
      <c r="N137">
        <f>+N134+M137</f>
        <v>-7.6678148097827146</v>
      </c>
    </row>
    <row r="138" spans="1:14">
      <c r="A138" s="1">
        <v>11</v>
      </c>
      <c r="B138" s="70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1.5236835904141635</v>
      </c>
    </row>
    <row r="139" spans="1:14">
      <c r="A139" s="1">
        <v>12</v>
      </c>
      <c r="B139" s="70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1.4262158378112171</v>
      </c>
    </row>
    <row r="140" spans="1:14">
      <c r="A140" s="1">
        <v>13</v>
      </c>
      <c r="B140" s="70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1.5345801116252418</v>
      </c>
      <c r="I140" s="21">
        <f>AVERAGE(F138:F140)</f>
        <v>6.3806909515822534</v>
      </c>
      <c r="J140" s="21">
        <f>AVERAGE(G138:G140)</f>
        <v>1.4948265132835408</v>
      </c>
      <c r="L140">
        <f>+J140/I140</f>
        <v>0.23427345480709433</v>
      </c>
      <c r="M140">
        <f>+(L140-$L$927)/$L$928</f>
        <v>-1.2941398630967262</v>
      </c>
      <c r="N140">
        <f>+N137+M140</f>
        <v>-8.9619546728794415</v>
      </c>
    </row>
    <row r="141" spans="1:14">
      <c r="A141" s="1">
        <v>11</v>
      </c>
      <c r="B141" s="70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1.3295078169763914</v>
      </c>
    </row>
    <row r="142" spans="1:14">
      <c r="A142" s="1">
        <v>12</v>
      </c>
      <c r="B142" s="70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1.0467911152771305</v>
      </c>
    </row>
    <row r="143" spans="1:14">
      <c r="A143" s="1">
        <v>13</v>
      </c>
      <c r="B143" s="70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3.5803623952044212</v>
      </c>
      <c r="I143" s="21">
        <f>AVERAGE(F141:F143)</f>
        <v>6.3236060605238791</v>
      </c>
      <c r="J143" s="21">
        <f>AVERAGE(G141:G143)</f>
        <v>1.9855537758193142</v>
      </c>
      <c r="L143">
        <f>+J143/I143</f>
        <v>0.31399074465034293</v>
      </c>
      <c r="M143">
        <f>+(L143-$L$927)/$L$928</f>
        <v>-0.29590299182219187</v>
      </c>
      <c r="N143">
        <f>+N140+M143</f>
        <v>-9.2578576647016337</v>
      </c>
    </row>
    <row r="144" spans="1:14">
      <c r="A144" s="1">
        <v>11</v>
      </c>
      <c r="B144" s="70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1.0031016120243779</v>
      </c>
    </row>
    <row r="145" spans="1:14">
      <c r="A145" s="1">
        <v>12</v>
      </c>
      <c r="B145" s="70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0.79147673709216049</v>
      </c>
    </row>
    <row r="146" spans="1:14">
      <c r="A146" s="1">
        <v>13</v>
      </c>
      <c r="B146" s="70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3.9831909031615851</v>
      </c>
      <c r="I146" s="21">
        <f>AVERAGE(F144:F146)</f>
        <v>6.8328743028596763</v>
      </c>
      <c r="J146" s="21">
        <f>AVERAGE(G144:G146)</f>
        <v>1.9259230840927077</v>
      </c>
      <c r="L146">
        <f>+J146/I146</f>
        <v>0.28186133663935181</v>
      </c>
      <c r="M146">
        <f>+(L146-$L$927)/$L$928</f>
        <v>-0.69823427769330881</v>
      </c>
      <c r="N146">
        <f>+N143+M146</f>
        <v>-9.9560919423949432</v>
      </c>
    </row>
    <row r="147" spans="1:14">
      <c r="A147" s="1">
        <v>11</v>
      </c>
      <c r="B147" s="70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0.93134827756924476</v>
      </c>
    </row>
    <row r="148" spans="1:14">
      <c r="A148" s="1">
        <v>12</v>
      </c>
      <c r="B148" s="70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0.80979879140503963</v>
      </c>
    </row>
    <row r="149" spans="1:14">
      <c r="A149" s="1">
        <v>13</v>
      </c>
      <c r="B149" s="70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0.61377676831994654</v>
      </c>
      <c r="I149" s="21">
        <f>AVERAGE(F147:F149)</f>
        <v>3.5559999999999996</v>
      </c>
      <c r="J149" s="21">
        <f>AVERAGE(G147:G149)</f>
        <v>0.7849746124314102</v>
      </c>
      <c r="L149">
        <f>+J149/I149</f>
        <v>0.22074651643178017</v>
      </c>
      <c r="M149">
        <f>+(L149-$L$927)/$L$928</f>
        <v>-1.4635270646467127</v>
      </c>
      <c r="N149">
        <f>+N146+M149</f>
        <v>-11.419619007041655</v>
      </c>
    </row>
    <row r="150" spans="1:14">
      <c r="A150" s="1">
        <v>11</v>
      </c>
      <c r="B150" s="70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1.3173269554706923</v>
      </c>
    </row>
    <row r="151" spans="1:14">
      <c r="A151" s="1">
        <v>12</v>
      </c>
      <c r="B151" s="70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0.79199886929580077</v>
      </c>
    </row>
    <row r="152" spans="1:14">
      <c r="A152" s="1">
        <v>13</v>
      </c>
      <c r="B152" s="70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1.334186781333782</v>
      </c>
      <c r="I152" s="21">
        <f>AVERAGE(F150:F152)</f>
        <v>4.5434666666666672</v>
      </c>
      <c r="J152" s="21">
        <f>AVERAGE(G150:G152)</f>
        <v>1.1478375353667583</v>
      </c>
      <c r="L152">
        <f>+J152/I152</f>
        <v>0.25263474337512282</v>
      </c>
      <c r="M152">
        <f>+(L152-$L$927)/$L$928</f>
        <v>-1.0642158994401778</v>
      </c>
      <c r="N152">
        <f>+N149+M152</f>
        <v>-12.483834906481833</v>
      </c>
    </row>
    <row r="153" spans="1:14">
      <c r="A153" s="1">
        <v>11</v>
      </c>
      <c r="B153" s="70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0.92641531772651942</v>
      </c>
    </row>
    <row r="154" spans="1:14">
      <c r="A154" s="1">
        <v>12</v>
      </c>
      <c r="B154" s="70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1.1899397734898358</v>
      </c>
    </row>
    <row r="155" spans="1:14">
      <c r="A155" s="1">
        <v>13</v>
      </c>
      <c r="B155" s="70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1.3101490921158321</v>
      </c>
      <c r="I155" s="21">
        <f>AVERAGE(F153:F155)</f>
        <v>4.2573333333333325</v>
      </c>
      <c r="J155" s="21">
        <f>AVERAGE(G153:G155)</f>
        <v>1.142168061110729</v>
      </c>
      <c r="L155">
        <f>+J155/I155</f>
        <v>0.26828250730756248</v>
      </c>
      <c r="M155">
        <f>+(L155-$L$927)/$L$928</f>
        <v>-0.86827126884528838</v>
      </c>
      <c r="N155">
        <f>+N152+M155</f>
        <v>-13.352106175327123</v>
      </c>
    </row>
    <row r="156" spans="1:14">
      <c r="A156" s="1">
        <v>11</v>
      </c>
      <c r="B156" s="70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3.6971911775045836</v>
      </c>
    </row>
    <row r="157" spans="1:14">
      <c r="A157" s="1">
        <v>12</v>
      </c>
      <c r="B157" s="70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2.7540841760994961</v>
      </c>
    </row>
    <row r="158" spans="1:14">
      <c r="A158" s="1">
        <v>13</v>
      </c>
      <c r="B158" s="70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2.7545533730197231</v>
      </c>
      <c r="I158" s="21">
        <f>AVERAGE(F156:F158)</f>
        <v>9.587133333333334</v>
      </c>
      <c r="J158" s="21">
        <f>AVERAGE(G156:G158)</f>
        <v>3.0686095755412679</v>
      </c>
      <c r="L158">
        <f>+J158/I158</f>
        <v>0.32007582129603579</v>
      </c>
      <c r="M158">
        <f>+(L158-$L$927)/$L$928</f>
        <v>-0.21970436685380151</v>
      </c>
      <c r="N158">
        <f>+N155+M158</f>
        <v>-13.571810542180923</v>
      </c>
    </row>
    <row r="159" spans="1:14">
      <c r="A159" s="1">
        <v>11</v>
      </c>
      <c r="B159" s="70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3.3928981313643551</v>
      </c>
    </row>
    <row r="160" spans="1:14">
      <c r="A160" s="1">
        <v>12</v>
      </c>
      <c r="B160" s="70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2.4485607490234975</v>
      </c>
    </row>
    <row r="161" spans="1:14">
      <c r="A161" s="1">
        <v>13</v>
      </c>
      <c r="B161" s="70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2.5488635206380792</v>
      </c>
      <c r="I161" s="21">
        <f>AVERAGE(F159:F161)</f>
        <v>8.7356999999999996</v>
      </c>
      <c r="J161" s="21">
        <f>AVERAGE(G159:G161)</f>
        <v>2.7967741336753105</v>
      </c>
      <c r="L161">
        <f>+J161/I161</f>
        <v>0.32015455357616568</v>
      </c>
      <c r="M161">
        <f>+(L161-$L$927)/$L$928</f>
        <v>-0.21871846448381738</v>
      </c>
      <c r="N161">
        <f>+N158+M161</f>
        <v>-13.790529006664741</v>
      </c>
    </row>
    <row r="162" spans="1:14">
      <c r="A162" s="1">
        <v>11</v>
      </c>
      <c r="B162" s="70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3.0024074779196406</v>
      </c>
    </row>
    <row r="163" spans="1:14">
      <c r="A163" s="1">
        <v>12</v>
      </c>
      <c r="B163" s="70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2.7913365965378549</v>
      </c>
    </row>
    <row r="164" spans="1:14">
      <c r="A164" s="1">
        <v>13</v>
      </c>
      <c r="B164" s="70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2.0877719480598564</v>
      </c>
      <c r="I164" s="21">
        <f>AVERAGE(F162:F164)</f>
        <v>6.6494666666666662</v>
      </c>
      <c r="J164" s="21">
        <f>AVERAGE(G162:G164)</f>
        <v>2.6271720075057838</v>
      </c>
      <c r="L164">
        <f>+J164/I164</f>
        <v>0.39509514660410622</v>
      </c>
      <c r="M164">
        <f>+(L164-$L$927)/$L$928</f>
        <v>0.71970359254758087</v>
      </c>
      <c r="N164">
        <f>+N161+M164</f>
        <v>-13.070825414117159</v>
      </c>
    </row>
    <row r="165" spans="1:14">
      <c r="A165" s="1">
        <v>11</v>
      </c>
      <c r="B165" s="70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0.63957856125469259</v>
      </c>
    </row>
    <row r="166" spans="1:14">
      <c r="A166" s="1">
        <v>12</v>
      </c>
      <c r="B166" s="70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0.4072977558515376</v>
      </c>
    </row>
    <row r="167" spans="1:14">
      <c r="A167" s="1">
        <v>13</v>
      </c>
      <c r="B167" s="70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1.1038725735418771</v>
      </c>
      <c r="I167" s="21">
        <f>AVERAGE(F165:F167)</f>
        <v>2.5074999999999998</v>
      </c>
      <c r="J167" s="21">
        <f>AVERAGE(G165:G167)</f>
        <v>0.71691629688270242</v>
      </c>
      <c r="L167">
        <f>+J167/I167</f>
        <v>0.28590879237595312</v>
      </c>
      <c r="M167">
        <f>+(L167-$L$927)/$L$928</f>
        <v>-0.64755117545699714</v>
      </c>
      <c r="N167">
        <f>+N164+M167</f>
        <v>-13.718376589574156</v>
      </c>
    </row>
    <row r="168" spans="1:14">
      <c r="A168" s="1">
        <v>11</v>
      </c>
      <c r="B168" s="70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1.6100857064739558</v>
      </c>
    </row>
    <row r="169" spans="1:14">
      <c r="A169" s="1">
        <v>12</v>
      </c>
      <c r="B169" s="70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0.84690802432131007</v>
      </c>
    </row>
    <row r="170" spans="1:14">
      <c r="A170" s="1">
        <v>13</v>
      </c>
      <c r="B170" s="70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0.85126551786532056</v>
      </c>
      <c r="I170" s="21">
        <f>AVERAGE(F168:F170)</f>
        <v>3.6103999999999998</v>
      </c>
      <c r="J170" s="21">
        <f>AVERAGE(G168:G170)</f>
        <v>1.1027530828868621</v>
      </c>
      <c r="L170">
        <f>+J170/I170</f>
        <v>0.30543792457535512</v>
      </c>
      <c r="M170">
        <f>+(L170-$L$927)/$L$928</f>
        <v>-0.40300322527240034</v>
      </c>
      <c r="N170">
        <f>+N167+M170</f>
        <v>-14.121379814846556</v>
      </c>
    </row>
    <row r="171" spans="1:14">
      <c r="A171" s="1">
        <v>11</v>
      </c>
      <c r="B171" s="70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2.1581524060972521</v>
      </c>
    </row>
    <row r="172" spans="1:14">
      <c r="A172" s="1">
        <v>12</v>
      </c>
      <c r="B172" s="70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1.7373711827316012</v>
      </c>
    </row>
    <row r="173" spans="1:14">
      <c r="A173" s="1">
        <v>13</v>
      </c>
      <c r="B173" s="70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2.6309626752157644</v>
      </c>
      <c r="I173" s="21">
        <f>AVERAGE(F171:F173)</f>
        <v>8.4931999999999999</v>
      </c>
      <c r="J173" s="21">
        <f>AVERAGE(G171:G173)</f>
        <v>2.1754954213482058</v>
      </c>
      <c r="L173">
        <f>+J173/I173</f>
        <v>0.25614555424907054</v>
      </c>
      <c r="M173">
        <f>+(L173-$L$927)/$L$928</f>
        <v>-1.0202527783990905</v>
      </c>
      <c r="N173">
        <f>+N170+M173</f>
        <v>-15.141632593245646</v>
      </c>
    </row>
    <row r="174" spans="1:14">
      <c r="A174" s="1">
        <v>11</v>
      </c>
      <c r="B174" s="70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4.749554972316238</v>
      </c>
    </row>
    <row r="175" spans="1:14">
      <c r="A175" s="1">
        <v>12</v>
      </c>
      <c r="B175" s="70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2.8062664694408261</v>
      </c>
    </row>
    <row r="176" spans="1:14">
      <c r="A176" s="1">
        <v>13</v>
      </c>
      <c r="B176" s="70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2.7075589762777907</v>
      </c>
      <c r="I176" s="21">
        <f>AVERAGE(F174:F176)</f>
        <v>11.336566666666664</v>
      </c>
      <c r="J176" s="21">
        <f>AVERAGE(G174:G176)</f>
        <v>3.4211268060116189</v>
      </c>
      <c r="L176">
        <f>+J176/I176</f>
        <v>0.3017780344441397</v>
      </c>
      <c r="M176">
        <f>+(L176-$L$927)/$L$928</f>
        <v>-0.44883314850457418</v>
      </c>
      <c r="N176">
        <f>+N173+M176</f>
        <v>-15.59046574175022</v>
      </c>
    </row>
    <row r="177" spans="1:14">
      <c r="A177" s="1">
        <v>11</v>
      </c>
      <c r="B177" s="70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</row>
    <row r="178" spans="1:14">
      <c r="A178" s="1">
        <v>12</v>
      </c>
      <c r="B178" s="70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</row>
    <row r="179" spans="1:14">
      <c r="A179" s="1">
        <v>13</v>
      </c>
      <c r="B179" s="70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I179" s="21">
        <f>AVERAGE(F177:F179)</f>
        <v>11.211766666666668</v>
      </c>
      <c r="J179" s="21" t="e">
        <f>AVERAGE(G177:G179)</f>
        <v>#DIV/0!</v>
      </c>
    </row>
    <row r="180" spans="1:14">
      <c r="A180" s="1">
        <v>11</v>
      </c>
      <c r="B180" s="70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1.6145385057381063</v>
      </c>
    </row>
    <row r="181" spans="1:14">
      <c r="A181" s="1">
        <v>12</v>
      </c>
      <c r="B181" s="70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1.7783215857050327</v>
      </c>
    </row>
    <row r="182" spans="1:14">
      <c r="A182" s="1">
        <v>13</v>
      </c>
      <c r="B182" s="70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0.75210382550039512</v>
      </c>
      <c r="I182" s="21">
        <f>AVERAGE(F180:F182)</f>
        <v>3.9800000000000004</v>
      </c>
      <c r="J182" s="21">
        <f>AVERAGE(G180:G182)</f>
        <v>1.3816546389811781</v>
      </c>
      <c r="L182">
        <f>+J182/I182</f>
        <v>0.34714940677919043</v>
      </c>
      <c r="M182">
        <f>+(L182-$L$927)/$L$928</f>
        <v>0.11931683318987767</v>
      </c>
      <c r="N182">
        <f>+N176+M182</f>
        <v>-15.471148908560343</v>
      </c>
    </row>
    <row r="183" spans="1:14">
      <c r="A183" s="1">
        <v>11</v>
      </c>
      <c r="B183" s="70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2.1054986414099757</v>
      </c>
    </row>
    <row r="184" spans="1:14">
      <c r="A184" s="1">
        <v>12</v>
      </c>
      <c r="B184" s="70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1.0797877642108888</v>
      </c>
    </row>
    <row r="185" spans="1:14">
      <c r="A185" s="1">
        <v>13</v>
      </c>
      <c r="B185" s="70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1.2105146050751232</v>
      </c>
      <c r="I185" s="21">
        <f>AVERAGE(F183:F185)</f>
        <v>5.8757566666666667</v>
      </c>
      <c r="J185" s="21">
        <f>AVERAGE(G183:G185)</f>
        <v>1.4652670035653292</v>
      </c>
      <c r="L185">
        <f>+J185/I185</f>
        <v>0.24937503145387729</v>
      </c>
      <c r="M185">
        <f>+(L185-$L$927)/$L$928</f>
        <v>-1.1050347059490147</v>
      </c>
      <c r="N185">
        <f>+N182+M185</f>
        <v>-16.576183614509358</v>
      </c>
    </row>
    <row r="186" spans="1:14">
      <c r="A186" s="1">
        <v>11</v>
      </c>
      <c r="B186" s="70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1.7220291323551182</v>
      </c>
    </row>
    <row r="187" spans="1:14">
      <c r="A187" s="1">
        <v>12</v>
      </c>
      <c r="B187" s="70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1.1734586126559425</v>
      </c>
    </row>
    <row r="188" spans="1:14">
      <c r="A188" s="1">
        <v>13</v>
      </c>
      <c r="B188" s="70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1.3395430218210533</v>
      </c>
      <c r="I188" s="21">
        <f>AVERAGE(F186:F188)</f>
        <v>4.4954200000000002</v>
      </c>
      <c r="J188" s="21">
        <f>AVERAGE(G186:G188)</f>
        <v>1.4116769222773715</v>
      </c>
      <c r="L188">
        <f>+J188/I188</f>
        <v>0.31402559099647454</v>
      </c>
      <c r="M188">
        <f>+(L188-$L$927)/$L$928</f>
        <v>-0.29546663845887311</v>
      </c>
      <c r="N188">
        <f>+N185+M188</f>
        <v>-16.87165025296823</v>
      </c>
    </row>
    <row r="189" spans="1:14">
      <c r="A189" s="1">
        <v>11</v>
      </c>
      <c r="B189" s="70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3.7820720425288656</v>
      </c>
    </row>
    <row r="190" spans="1:14">
      <c r="A190" s="1">
        <v>12</v>
      </c>
      <c r="B190" s="70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2.1406654628542259</v>
      </c>
    </row>
    <row r="191" spans="1:14">
      <c r="A191" s="1">
        <v>13</v>
      </c>
      <c r="B191" s="70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2.4048233145940414</v>
      </c>
      <c r="I191" s="21">
        <f>AVERAGE(F189:F191)</f>
        <v>8.2996399999999984</v>
      </c>
      <c r="J191" s="21">
        <f>AVERAGE(G189:G191)</f>
        <v>2.7758536066590445</v>
      </c>
      <c r="L191">
        <f>+J191/I191</f>
        <v>0.33445470004229644</v>
      </c>
      <c r="M191">
        <f>+(L191-$L$927)/$L$928</f>
        <v>-3.9648986642970695E-2</v>
      </c>
      <c r="N191">
        <f>+N188+M191</f>
        <v>-16.9112992396112</v>
      </c>
    </row>
    <row r="192" spans="1:14">
      <c r="A192" s="1">
        <v>11</v>
      </c>
      <c r="B192" s="75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3.1746369142817854</v>
      </c>
    </row>
    <row r="193" spans="1:14">
      <c r="A193" s="1">
        <v>12</v>
      </c>
      <c r="B193" s="75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2.3375118016277927</v>
      </c>
    </row>
    <row r="194" spans="1:14">
      <c r="A194" s="1">
        <v>13</v>
      </c>
      <c r="B194" s="75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1.7581885025816095</v>
      </c>
      <c r="I194" s="21">
        <f>AVERAGE(F192:F194)</f>
        <v>6.4998633333333329</v>
      </c>
      <c r="J194" s="21">
        <f>AVERAGE(G192:G194)</f>
        <v>2.4234457394970628</v>
      </c>
      <c r="L194">
        <f>+J194/I194</f>
        <v>0.37284564539516929</v>
      </c>
      <c r="M194">
        <f>+(L194-$L$927)/$L$928</f>
        <v>0.44109060259394417</v>
      </c>
      <c r="N194">
        <f>+N191+M194</f>
        <v>-16.470208637017254</v>
      </c>
    </row>
    <row r="195" spans="1:14">
      <c r="A195" s="1">
        <v>11</v>
      </c>
      <c r="B195" s="75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2.7355993098911542</v>
      </c>
    </row>
    <row r="196" spans="1:14">
      <c r="A196" s="1">
        <v>12</v>
      </c>
      <c r="B196" s="75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2.7438280949049449</v>
      </c>
    </row>
    <row r="197" spans="1:14">
      <c r="A197" s="1">
        <v>13</v>
      </c>
      <c r="B197" s="75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1.232268201983129</v>
      </c>
      <c r="I197" s="21">
        <f>AVERAGE(F195:F197)</f>
        <v>6.8056066666666659</v>
      </c>
      <c r="J197" s="21">
        <f>AVERAGE(G195:G197)</f>
        <v>2.2372318689264095</v>
      </c>
      <c r="L197">
        <f>+J197/I197</f>
        <v>0.32873364249570841</v>
      </c>
      <c r="M197">
        <f>+(L197-$L$927)/$L$928</f>
        <v>-0.11128928697075796</v>
      </c>
      <c r="N197">
        <f>+N194+M197</f>
        <v>-16.581497923988014</v>
      </c>
    </row>
    <row r="198" spans="1:14">
      <c r="A198" s="1">
        <v>11</v>
      </c>
      <c r="B198" s="75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0.4423653351319396</v>
      </c>
    </row>
    <row r="199" spans="1:14">
      <c r="A199" s="1">
        <v>12</v>
      </c>
      <c r="B199" s="75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0.25741647014000679</v>
      </c>
    </row>
    <row r="200" spans="1:14">
      <c r="A200" s="1">
        <v>13</v>
      </c>
      <c r="B200" s="75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0.15478008602873131</v>
      </c>
      <c r="I200" s="21">
        <f>AVERAGE(F198:F200)</f>
        <v>1.9632033333333332</v>
      </c>
      <c r="J200" s="21">
        <f>AVERAGE(G198:G200)</f>
        <v>0.28485396376689259</v>
      </c>
      <c r="L200">
        <f>+J200/I200</f>
        <v>0.14509651594938847</v>
      </c>
      <c r="M200">
        <f>+(L200-$L$927)/$L$928</f>
        <v>-2.4108324728204118</v>
      </c>
      <c r="N200">
        <f>+N197+M200</f>
        <v>-18.992330396808427</v>
      </c>
    </row>
    <row r="201" spans="1:14">
      <c r="A201" s="1">
        <v>11</v>
      </c>
      <c r="B201" s="75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1.8904466951684977</v>
      </c>
    </row>
    <row r="202" spans="1:14">
      <c r="A202" s="1">
        <v>12</v>
      </c>
      <c r="B202" s="75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1.1962520814292867</v>
      </c>
    </row>
    <row r="203" spans="1:14">
      <c r="A203" s="1">
        <v>13</v>
      </c>
      <c r="B203" s="75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1.514283755131417</v>
      </c>
      <c r="I203" s="21">
        <f>AVERAGE(F201:F203)</f>
        <v>4.5291933333333327</v>
      </c>
      <c r="J203" s="21">
        <f>AVERAGE(G201:G203)</f>
        <v>1.5336608439097337</v>
      </c>
      <c r="L203">
        <f>+J203/I203</f>
        <v>0.33861677588865724</v>
      </c>
      <c r="M203">
        <f>+(L203-$L$927)/$L$928</f>
        <v>1.2469413004686028E-2</v>
      </c>
      <c r="N203">
        <f>+N200+M203</f>
        <v>-18.979860983803739</v>
      </c>
    </row>
    <row r="204" spans="1:14">
      <c r="A204" s="1">
        <v>11</v>
      </c>
      <c r="B204" s="75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0.89012177908933021</v>
      </c>
    </row>
    <row r="205" spans="1:14">
      <c r="A205" s="1">
        <v>12</v>
      </c>
      <c r="B205" s="75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0.43728732265410813</v>
      </c>
    </row>
    <row r="206" spans="1:14">
      <c r="A206" s="1">
        <v>13</v>
      </c>
      <c r="B206" s="75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0.34894387812072031</v>
      </c>
      <c r="I206" s="21">
        <f>AVERAGE(F204:F206)</f>
        <v>2.2742966666666669</v>
      </c>
      <c r="J206" s="21">
        <f>AVERAGE(G204:G206)</f>
        <v>0.55878432662138622</v>
      </c>
      <c r="L206">
        <f>+J206/I206</f>
        <v>0.2456954428202944</v>
      </c>
      <c r="M206">
        <f>+(L206-$L$927)/$L$928</f>
        <v>-1.1511112980206681</v>
      </c>
      <c r="N206">
        <f>+N203+M206</f>
        <v>-20.130972281824409</v>
      </c>
    </row>
    <row r="207" spans="1:14">
      <c r="A207" s="1">
        <v>11</v>
      </c>
      <c r="B207" s="75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2.3093637097973772</v>
      </c>
    </row>
    <row r="208" spans="1:14">
      <c r="A208" s="1">
        <v>12</v>
      </c>
      <c r="B208" s="75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2.4433574197972687</v>
      </c>
    </row>
    <row r="209" spans="1:14">
      <c r="A209" s="1">
        <v>13</v>
      </c>
      <c r="B209" s="75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2.4085294098155603</v>
      </c>
      <c r="I209" s="21">
        <f>AVERAGE(F207:F209)</f>
        <v>6.3977533333333341</v>
      </c>
      <c r="J209" s="21">
        <f>AVERAGE(G207:G209)</f>
        <v>2.3870835131367354</v>
      </c>
      <c r="L209">
        <f>+J209/I209</f>
        <v>0.3731127770587282</v>
      </c>
      <c r="M209">
        <f>+(L209-$L$927)/$L$928</f>
        <v>0.44443568214411139</v>
      </c>
      <c r="N209">
        <f>+N206+M209</f>
        <v>-19.686536599680299</v>
      </c>
    </row>
    <row r="210" spans="1:14">
      <c r="A210" s="1">
        <v>11</v>
      </c>
      <c r="B210" s="75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2.8001459068051604</v>
      </c>
    </row>
    <row r="211" spans="1:14">
      <c r="A211" s="1">
        <v>12</v>
      </c>
      <c r="B211" s="75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3.9571620036493922</v>
      </c>
    </row>
    <row r="212" spans="1:14">
      <c r="A212" s="1">
        <v>13</v>
      </c>
      <c r="B212" s="75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3.6180434396005614</v>
      </c>
      <c r="I212" s="21">
        <f>AVERAGE(F210:F212)</f>
        <v>15.072253333333334</v>
      </c>
      <c r="J212" s="21">
        <f>AVERAGE(G210:G212)</f>
        <v>3.4584504500183715</v>
      </c>
      <c r="L212">
        <f>+J212/I212</f>
        <v>0.22945808921415675</v>
      </c>
      <c r="M212">
        <f>+(L212-$L$927)/$L$928</f>
        <v>-1.3544388960040041</v>
      </c>
      <c r="N212">
        <f>+N209+M212</f>
        <v>-21.040975495684304</v>
      </c>
    </row>
    <row r="213" spans="1:14">
      <c r="A213" s="1">
        <v>11</v>
      </c>
      <c r="B213" s="75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3.8454101806555356</v>
      </c>
    </row>
    <row r="214" spans="1:14">
      <c r="A214" s="1">
        <v>12</v>
      </c>
      <c r="B214" s="75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3.2607610348782901</v>
      </c>
    </row>
    <row r="215" spans="1:14">
      <c r="A215" s="1">
        <v>13</v>
      </c>
      <c r="B215" s="75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3.7986573666588286</v>
      </c>
      <c r="I215" s="21">
        <f>AVERAGE(F213:F215)</f>
        <v>10.613483333333333</v>
      </c>
      <c r="J215" s="21">
        <f>AVERAGE(G213:G215)</f>
        <v>3.6349428607308845</v>
      </c>
      <c r="L215">
        <f>+J215/I215</f>
        <v>0.34248349449183835</v>
      </c>
      <c r="M215">
        <f>+(L215-$L$927)/$L$928</f>
        <v>6.0889286386337976E-2</v>
      </c>
      <c r="N215">
        <f>+N212+M215</f>
        <v>-20.980086209297966</v>
      </c>
    </row>
    <row r="216" spans="1:14">
      <c r="A216" s="1">
        <v>11</v>
      </c>
      <c r="B216" s="75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3.0650845232158894</v>
      </c>
    </row>
    <row r="217" spans="1:14">
      <c r="A217" s="1">
        <v>12</v>
      </c>
      <c r="B217" s="75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2.4405102499280402</v>
      </c>
    </row>
    <row r="218" spans="1:14">
      <c r="A218" s="1">
        <v>13</v>
      </c>
      <c r="B218" s="75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3.4181857939824307</v>
      </c>
      <c r="I218" s="21">
        <f>AVERAGE(F216:F218)</f>
        <v>10.224086666666667</v>
      </c>
      <c r="J218" s="21">
        <f>AVERAGE(G216:G218)</f>
        <v>2.9745935223754536</v>
      </c>
      <c r="L218">
        <f>+J218/I218</f>
        <v>0.29093977969430229</v>
      </c>
      <c r="M218">
        <f>+(L218-$L$927)/$L$928</f>
        <v>-0.58455208140894388</v>
      </c>
      <c r="N218">
        <f>+N215+M218</f>
        <v>-21.56463829070691</v>
      </c>
    </row>
    <row r="219" spans="1:14">
      <c r="A219" s="1">
        <v>11</v>
      </c>
      <c r="B219" s="75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1.8831</v>
      </c>
    </row>
    <row r="220" spans="1:14">
      <c r="A220" s="1">
        <v>12</v>
      </c>
      <c r="B220" s="75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1.7775000000000001</v>
      </c>
    </row>
    <row r="221" spans="1:14">
      <c r="A221" s="1">
        <v>13</v>
      </c>
      <c r="B221" s="75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1.8792</v>
      </c>
      <c r="I221" s="21">
        <f>AVERAGE(F219:F221)</f>
        <v>5.7648000000000001</v>
      </c>
      <c r="J221" s="21">
        <f>AVERAGE(G219:G221)</f>
        <v>1.8465999999999998</v>
      </c>
      <c r="L221">
        <f>+J221/I221</f>
        <v>0.32032334165972798</v>
      </c>
      <c r="M221">
        <f>+(L221-$L$927)/$L$928</f>
        <v>-0.21660486417483843</v>
      </c>
      <c r="N221">
        <f>+N218+M221</f>
        <v>-21.781243154881746</v>
      </c>
    </row>
    <row r="222" spans="1:14">
      <c r="A222" s="1">
        <v>11</v>
      </c>
      <c r="B222" s="75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1.1791</v>
      </c>
    </row>
    <row r="223" spans="1:14">
      <c r="A223" s="1">
        <v>12</v>
      </c>
      <c r="B223" s="75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0.95930000000000004</v>
      </c>
    </row>
    <row r="224" spans="1:14">
      <c r="A224" s="1">
        <v>13</v>
      </c>
      <c r="B224" s="75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0.76929999999999998</v>
      </c>
      <c r="I224" s="21">
        <f>AVERAGE(F222:F224)</f>
        <v>4.0482666666666667</v>
      </c>
      <c r="J224" s="21">
        <f>AVERAGE(G222:G224)</f>
        <v>0.96923333333333328</v>
      </c>
      <c r="L224">
        <f>+J224/I224</f>
        <v>0.23941933996442921</v>
      </c>
      <c r="M224">
        <f>+(L224-$L$927)/$L$928</f>
        <v>-1.2297019938528424</v>
      </c>
      <c r="N224">
        <f>+N221+M224</f>
        <v>-23.010945148734589</v>
      </c>
    </row>
    <row r="225" spans="1:14">
      <c r="A225" s="1">
        <v>11</v>
      </c>
      <c r="B225" s="75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1.4658</v>
      </c>
    </row>
    <row r="226" spans="1:14">
      <c r="A226" s="1">
        <v>12</v>
      </c>
      <c r="B226" s="75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1.3328</v>
      </c>
    </row>
    <row r="227" spans="1:14">
      <c r="A227" s="1">
        <v>13</v>
      </c>
      <c r="B227" s="75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1.5071000000000001</v>
      </c>
      <c r="I227" s="21">
        <f>AVERAGE(F225:F227)</f>
        <v>5.0528000000000004</v>
      </c>
      <c r="J227" s="21">
        <f>AVERAGE(G225:G227)</f>
        <v>1.4352333333333334</v>
      </c>
      <c r="L227">
        <f>+J227/I227</f>
        <v>0.28404712898458939</v>
      </c>
      <c r="M227">
        <f>+(L227-$L$927)/$L$928</f>
        <v>-0.67086332069945931</v>
      </c>
      <c r="N227">
        <f>+N224+M227</f>
        <v>-23.681808469434049</v>
      </c>
    </row>
    <row r="228" spans="1:14">
      <c r="A228" s="5">
        <v>11</v>
      </c>
      <c r="B228" s="75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1.0504</v>
      </c>
    </row>
    <row r="229" spans="1:14">
      <c r="A229" s="5">
        <v>12</v>
      </c>
      <c r="B229" s="75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1.2266999999999999</v>
      </c>
    </row>
    <row r="230" spans="1:14">
      <c r="A230" s="5">
        <v>13</v>
      </c>
      <c r="B230" s="75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1.3949</v>
      </c>
      <c r="I230" s="21">
        <f>AVERAGE(F228:F230)</f>
        <v>4.2113666666666667</v>
      </c>
      <c r="J230" s="21">
        <f>AVERAGE(G228:G230)</f>
        <v>1.224</v>
      </c>
      <c r="L230">
        <f>+J230/I230</f>
        <v>0.29064199270228985</v>
      </c>
      <c r="M230">
        <f>+(L230-$L$927)/$L$928</f>
        <v>-0.58828103350700534</v>
      </c>
      <c r="N230">
        <f>+N227+M230</f>
        <v>-24.270089502941055</v>
      </c>
    </row>
    <row r="231" spans="1:14">
      <c r="A231" s="5">
        <v>11</v>
      </c>
      <c r="B231" s="75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1.4208000000000001</v>
      </c>
    </row>
    <row r="232" spans="1:14">
      <c r="A232" s="5">
        <v>12</v>
      </c>
      <c r="B232" s="75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1.1432</v>
      </c>
    </row>
    <row r="233" spans="1:14">
      <c r="A233" s="5">
        <v>13</v>
      </c>
      <c r="B233" s="75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1.2597</v>
      </c>
      <c r="I233" s="21">
        <f>AVERAGE(F231:F233)</f>
        <v>3.5848666666666666</v>
      </c>
      <c r="J233" s="21">
        <f>AVERAGE(G231:G233)</f>
        <v>1.2745666666666666</v>
      </c>
      <c r="L233">
        <f>+J233/I233</f>
        <v>0.35554088483067708</v>
      </c>
      <c r="M233">
        <f>+(L233-$L$927)/$L$928</f>
        <v>0.22439670748008977</v>
      </c>
      <c r="N233">
        <f>+N230+M233</f>
        <v>-24.045692795460965</v>
      </c>
    </row>
    <row r="234" spans="1:14">
      <c r="A234" s="5">
        <v>11</v>
      </c>
      <c r="B234" s="75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1.8281000000000001</v>
      </c>
    </row>
    <row r="235" spans="1:14">
      <c r="A235" s="5">
        <v>12</v>
      </c>
      <c r="B235" s="75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1.5284</v>
      </c>
    </row>
    <row r="236" spans="1:14">
      <c r="A236" s="5">
        <v>13</v>
      </c>
      <c r="B236" s="75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1.5130999999999999</v>
      </c>
      <c r="I236" s="21">
        <f>AVERAGE(F234:F236)</f>
        <v>4.2099000000000002</v>
      </c>
      <c r="J236" s="21">
        <f>AVERAGE(G234:G236)</f>
        <v>1.6232</v>
      </c>
      <c r="L236">
        <f>+J236/I236</f>
        <v>0.3855673531437801</v>
      </c>
      <c r="M236">
        <f>+(L236-$L$927)/$L$928</f>
        <v>0.6003945348426869</v>
      </c>
      <c r="N236">
        <f>+N233+M236</f>
        <v>-23.44529826061828</v>
      </c>
    </row>
    <row r="237" spans="1:14">
      <c r="A237" s="5">
        <v>11</v>
      </c>
      <c r="B237" s="74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1.4144000000000001</v>
      </c>
    </row>
    <row r="238" spans="1:14">
      <c r="A238" s="5">
        <v>12</v>
      </c>
      <c r="B238" s="74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1.0446</v>
      </c>
    </row>
    <row r="239" spans="1:14">
      <c r="A239" s="5">
        <v>13</v>
      </c>
      <c r="B239" s="74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0.82099999999999995</v>
      </c>
      <c r="I239" s="21">
        <f>AVERAGE(F237:F239)</f>
        <v>3.2113</v>
      </c>
      <c r="J239" s="21">
        <f>AVERAGE(G237:G239)</f>
        <v>1.0933333333333335</v>
      </c>
      <c r="L239">
        <f>+J239/I239</f>
        <v>0.34046440174799408</v>
      </c>
      <c r="M239">
        <f>+(L239-$L$927)/$L$928</f>
        <v>3.5605777283213194E-2</v>
      </c>
      <c r="N239">
        <f>+N236+M239</f>
        <v>-23.409692483335068</v>
      </c>
    </row>
    <row r="240" spans="1:14">
      <c r="A240" s="5">
        <v>11</v>
      </c>
      <c r="B240" s="74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1.8345</v>
      </c>
    </row>
    <row r="241" spans="1:14">
      <c r="A241" s="5">
        <v>12</v>
      </c>
      <c r="B241" s="74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1.5242</v>
      </c>
    </row>
    <row r="242" spans="1:14">
      <c r="A242" s="5">
        <v>13</v>
      </c>
      <c r="B242" s="74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1.7713000000000001</v>
      </c>
      <c r="I242" s="21">
        <f>AVERAGE(F240:F242)</f>
        <v>4.9666000000000006</v>
      </c>
      <c r="J242" s="21">
        <f>AVERAGE(G240:G242)</f>
        <v>1.71</v>
      </c>
      <c r="L242">
        <f>+J242/I242</f>
        <v>0.34429992348890587</v>
      </c>
      <c r="M242">
        <f>+(L242-$L$927)/$L$928</f>
        <v>8.3634996915263937E-2</v>
      </c>
      <c r="N242">
        <f>+N239+M242</f>
        <v>-23.326057486419803</v>
      </c>
    </row>
    <row r="243" spans="1:14">
      <c r="A243" s="5">
        <v>11</v>
      </c>
      <c r="B243" s="74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4.6184000000000003</v>
      </c>
    </row>
    <row r="244" spans="1:14">
      <c r="A244" s="5">
        <v>12</v>
      </c>
      <c r="B244" s="74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4.1369999999999996</v>
      </c>
    </row>
    <row r="245" spans="1:14">
      <c r="A245" s="5">
        <v>13</v>
      </c>
      <c r="B245" s="74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3.5573999999999999</v>
      </c>
      <c r="I245" s="21">
        <f>AVERAGE(F243:F245)</f>
        <v>9.6408333333333331</v>
      </c>
      <c r="J245" s="21">
        <f>AVERAGE(G243:G245)</f>
        <v>4.1042666666666667</v>
      </c>
      <c r="L245">
        <f>+J245/I245</f>
        <v>0.42571700233382315</v>
      </c>
      <c r="M245">
        <f>+(L245-$L$927)/$L$928</f>
        <v>1.1031569878694698</v>
      </c>
      <c r="N245">
        <f>+N242+M245</f>
        <v>-22.222900498550334</v>
      </c>
    </row>
    <row r="246" spans="1:14">
      <c r="A246" s="5">
        <v>11</v>
      </c>
      <c r="B246" s="74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5.5903</v>
      </c>
    </row>
    <row r="247" spans="1:14">
      <c r="A247" s="5">
        <v>12</v>
      </c>
      <c r="B247" s="74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3.8073000000000001</v>
      </c>
    </row>
    <row r="248" spans="1:14">
      <c r="A248" s="5">
        <v>13</v>
      </c>
      <c r="B248" s="74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2.5912000000000002</v>
      </c>
      <c r="I248" s="21">
        <f>AVERAGE(F246:F248)</f>
        <v>9.3822666666666663</v>
      </c>
      <c r="J248" s="21">
        <f>AVERAGE(G246:G248)</f>
        <v>3.9962666666666671</v>
      </c>
      <c r="L248">
        <f>+J248/I248</f>
        <v>0.42593829493938928</v>
      </c>
      <c r="M248">
        <f>+(L248-$L$927)/$L$928</f>
        <v>1.1059280609785895</v>
      </c>
      <c r="N248">
        <f>+N245+M248</f>
        <v>-21.116972437571746</v>
      </c>
    </row>
    <row r="249" spans="1:14">
      <c r="A249" s="5">
        <v>11</v>
      </c>
      <c r="B249" s="74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3.5531000000000001</v>
      </c>
    </row>
    <row r="250" spans="1:14">
      <c r="A250" s="5">
        <v>12</v>
      </c>
      <c r="B250" s="74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3.4281000000000001</v>
      </c>
    </row>
    <row r="251" spans="1:14">
      <c r="A251" s="5">
        <v>13</v>
      </c>
      <c r="B251" s="74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3.5815999999999999</v>
      </c>
      <c r="I251" s="21">
        <f>AVERAGE(F249:F251)</f>
        <v>9.8842999999999996</v>
      </c>
      <c r="J251" s="21">
        <f>AVERAGE(G249:G251)</f>
        <v>3.5209333333333332</v>
      </c>
      <c r="L251">
        <f>+J251/I251</f>
        <v>0.35621473785026087</v>
      </c>
      <c r="M251">
        <f>+(L251-$L$927)/$L$928</f>
        <v>0.23283483842120556</v>
      </c>
      <c r="N251">
        <f>+N248+M251</f>
        <v>-20.884137599150542</v>
      </c>
    </row>
    <row r="252" spans="1:14">
      <c r="A252" s="5">
        <v>11</v>
      </c>
      <c r="B252" s="74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1.0286</v>
      </c>
    </row>
    <row r="253" spans="1:14">
      <c r="A253" s="5">
        <v>12</v>
      </c>
      <c r="B253" s="74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0.86040000000000005</v>
      </c>
    </row>
    <row r="254" spans="1:14">
      <c r="A254" s="5">
        <v>13</v>
      </c>
      <c r="B254" s="74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1.7524999999999999</v>
      </c>
      <c r="I254" s="21">
        <f>AVERAGE(F252:F254)</f>
        <v>3.7456999999999998</v>
      </c>
      <c r="J254" s="21">
        <f>AVERAGE(G252:G254)</f>
        <v>1.2138333333333333</v>
      </c>
      <c r="L254">
        <f>+J254/I254</f>
        <v>0.32406047823726764</v>
      </c>
      <c r="M254">
        <f>+(L254-$L$927)/$L$928</f>
        <v>-0.16980764449985528</v>
      </c>
      <c r="N254">
        <f>+N251+M254</f>
        <v>-21.053945243650396</v>
      </c>
    </row>
    <row r="255" spans="1:14">
      <c r="A255" s="5">
        <v>11</v>
      </c>
      <c r="B255" s="74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3.085</v>
      </c>
    </row>
    <row r="256" spans="1:14">
      <c r="A256" s="5">
        <v>12</v>
      </c>
      <c r="B256" s="74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0.502</v>
      </c>
    </row>
    <row r="257" spans="1:14">
      <c r="A257" s="5">
        <v>13</v>
      </c>
      <c r="B257" s="74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2.1389999999999998</v>
      </c>
      <c r="I257" s="21">
        <f>AVERAGE(F255:F257)</f>
        <v>4.7063333333333333</v>
      </c>
      <c r="J257" s="21">
        <f>AVERAGE(G255:G257)</f>
        <v>1.9086666666666663</v>
      </c>
      <c r="L257">
        <f>+J257/I257</f>
        <v>0.4055528011898859</v>
      </c>
      <c r="M257">
        <f>+(L257-$L$927)/$L$928</f>
        <v>0.85065656918672106</v>
      </c>
      <c r="N257">
        <f>+N254+M257</f>
        <v>-20.203288674463675</v>
      </c>
    </row>
    <row r="258" spans="1:14">
      <c r="A258" s="5">
        <v>11</v>
      </c>
      <c r="B258" s="74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1.7350000000000001</v>
      </c>
    </row>
    <row r="259" spans="1:14">
      <c r="A259" s="5">
        <v>12</v>
      </c>
      <c r="B259" s="74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1.113</v>
      </c>
    </row>
    <row r="260" spans="1:14">
      <c r="A260" s="5">
        <v>13</v>
      </c>
      <c r="B260" s="74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0.94899999999999995</v>
      </c>
      <c r="I260" s="21">
        <f>AVERAGE(F258:F260)</f>
        <v>3.7926666666666669</v>
      </c>
      <c r="J260" s="21">
        <f>AVERAGE(G258:G260)</f>
        <v>1.2656666666666665</v>
      </c>
      <c r="L260">
        <f>+J260/I260</f>
        <v>0.33371418526981889</v>
      </c>
      <c r="M260">
        <f>+(L260-$L$927)/$L$928</f>
        <v>-4.8921870242803332E-2</v>
      </c>
      <c r="N260">
        <f>+N257+M260</f>
        <v>-20.252210544706479</v>
      </c>
    </row>
    <row r="261" spans="1:14">
      <c r="A261" s="5">
        <v>11</v>
      </c>
      <c r="B261" s="75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0.71299999999999997</v>
      </c>
    </row>
    <row r="262" spans="1:14">
      <c r="A262" s="5">
        <v>12</v>
      </c>
      <c r="B262" s="75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0.93300000000000005</v>
      </c>
    </row>
    <row r="263" spans="1:14">
      <c r="A263" s="5">
        <v>13</v>
      </c>
      <c r="B263" s="75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1.865</v>
      </c>
      <c r="I263" s="21">
        <f>AVERAGE(F261:F263)</f>
        <v>3.8180000000000001</v>
      </c>
      <c r="J263" s="21">
        <f>AVERAGE(G261:G263)</f>
        <v>1.1703333333333334</v>
      </c>
      <c r="L263">
        <f>+J263/I263</f>
        <v>0.30653046970490661</v>
      </c>
      <c r="M263">
        <f>+(L263-$L$927)/$L$928</f>
        <v>-0.38932214261148412</v>
      </c>
      <c r="N263">
        <f>+N260+M263</f>
        <v>-20.641532687317962</v>
      </c>
    </row>
    <row r="264" spans="1:14">
      <c r="A264" s="10">
        <v>11</v>
      </c>
      <c r="B264" s="75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0.76</v>
      </c>
    </row>
    <row r="265" spans="1:14">
      <c r="A265" s="10">
        <v>12</v>
      </c>
      <c r="B265" s="75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1.113</v>
      </c>
    </row>
    <row r="266" spans="1:14">
      <c r="A266" s="10">
        <v>13</v>
      </c>
      <c r="B266" s="75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1.5</v>
      </c>
      <c r="I266" s="21">
        <f>AVERAGE(F264:F266)</f>
        <v>3.5136666666666669</v>
      </c>
      <c r="J266" s="21">
        <f>AVERAGE(G264:G266)</f>
        <v>1.1243333333333334</v>
      </c>
      <c r="L266">
        <f>+J266/I266</f>
        <v>0.31998861588084621</v>
      </c>
      <c r="M266">
        <f>+(L266-$L$927)/$L$928</f>
        <v>-0.22079637162451335</v>
      </c>
      <c r="N266">
        <f>+N263+M266</f>
        <v>-20.862329058942475</v>
      </c>
    </row>
    <row r="267" spans="1:14">
      <c r="A267" s="10">
        <v>11</v>
      </c>
      <c r="B267" s="75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1.8240000000000001</v>
      </c>
    </row>
    <row r="268" spans="1:14">
      <c r="A268" s="10">
        <v>12</v>
      </c>
      <c r="B268" s="75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1.202</v>
      </c>
    </row>
    <row r="269" spans="1:14">
      <c r="A269" s="10">
        <v>13</v>
      </c>
      <c r="B269" s="75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0.61699999999999999</v>
      </c>
      <c r="I269" s="21">
        <f>AVERAGE(F267:F269)</f>
        <v>3.3679999999999999</v>
      </c>
      <c r="J269" s="21">
        <f>AVERAGE(G267:G269)</f>
        <v>1.2143333333333333</v>
      </c>
      <c r="L269">
        <f>+J269/I269</f>
        <v>0.36055027711797305</v>
      </c>
      <c r="M269">
        <f>+(L269-$L$927)/$L$928</f>
        <v>0.2871253839527837</v>
      </c>
      <c r="N269">
        <f>+N266+M269</f>
        <v>-20.575203674989691</v>
      </c>
    </row>
    <row r="270" spans="1:14">
      <c r="A270" s="10">
        <v>11</v>
      </c>
      <c r="B270" s="75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1.415</v>
      </c>
    </row>
    <row r="271" spans="1:14">
      <c r="A271" s="10">
        <v>12</v>
      </c>
      <c r="B271" s="75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1.115</v>
      </c>
    </row>
    <row r="272" spans="1:14">
      <c r="A272" s="10">
        <v>13</v>
      </c>
      <c r="B272" s="75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1.167</v>
      </c>
      <c r="I272" s="21">
        <f>AVERAGE(F270:F272)</f>
        <v>3.1379999999999999</v>
      </c>
      <c r="J272" s="21">
        <f>AVERAGE(G270:G272)</f>
        <v>1.2323333333333333</v>
      </c>
      <c r="L272">
        <f>+J272/I272</f>
        <v>0.39271298066709154</v>
      </c>
      <c r="M272">
        <f>+(L272-$L$927)/$L$928</f>
        <v>0.68987360363930017</v>
      </c>
      <c r="N272">
        <f>+N269+M272</f>
        <v>-19.885330071350392</v>
      </c>
    </row>
    <row r="273" spans="1:14">
      <c r="A273" s="10">
        <v>11</v>
      </c>
      <c r="B273" s="75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1.677</v>
      </c>
    </row>
    <row r="274" spans="1:14">
      <c r="A274" s="10">
        <v>12</v>
      </c>
      <c r="B274" s="75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1.1659999999999999</v>
      </c>
    </row>
    <row r="275" spans="1:14">
      <c r="A275" s="10">
        <v>13</v>
      </c>
      <c r="B275" s="75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1.0309999999999999</v>
      </c>
      <c r="I275" s="21">
        <f>AVERAGE(F273:F275)</f>
        <v>3.3476666666666666</v>
      </c>
      <c r="J275" s="21">
        <f>AVERAGE(G273:G275)</f>
        <v>1.2913333333333332</v>
      </c>
      <c r="L275">
        <f>+J275/I275</f>
        <v>0.38574131235686543</v>
      </c>
      <c r="M275">
        <f>+(L275-$L$927)/$L$928</f>
        <v>0.60257288913623019</v>
      </c>
      <c r="N275">
        <f>+N272+M275</f>
        <v>-19.282757182214162</v>
      </c>
    </row>
    <row r="276" spans="1:14">
      <c r="A276" s="10">
        <v>11</v>
      </c>
      <c r="B276" s="75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4.7549999999999999</v>
      </c>
    </row>
    <row r="277" spans="1:14">
      <c r="A277" s="10">
        <v>12</v>
      </c>
      <c r="B277" s="75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5.7249999999999996</v>
      </c>
    </row>
    <row r="278" spans="1:14">
      <c r="A278" s="10">
        <v>13</v>
      </c>
      <c r="B278" s="75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1.1000000000000001</v>
      </c>
      <c r="I278" s="21">
        <f>AVERAGE(F276:F278)</f>
        <v>8.6986666666666661</v>
      </c>
      <c r="J278" s="21">
        <f>AVERAGE(G276:G278)</f>
        <v>3.86</v>
      </c>
      <c r="L278">
        <f>+J278/I278</f>
        <v>0.44374616799509503</v>
      </c>
      <c r="M278">
        <f>+(L278-$L$927)/$L$928</f>
        <v>1.328922037795117</v>
      </c>
      <c r="N278">
        <f>+N275+M278</f>
        <v>-17.953835144419045</v>
      </c>
    </row>
    <row r="279" spans="1:14">
      <c r="A279" s="10">
        <v>11</v>
      </c>
      <c r="B279" s="75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0.95</v>
      </c>
    </row>
    <row r="280" spans="1:14">
      <c r="A280" s="10">
        <v>12</v>
      </c>
      <c r="B280" s="75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1.1890000000000001</v>
      </c>
    </row>
    <row r="281" spans="1:14">
      <c r="A281" s="10">
        <v>13</v>
      </c>
      <c r="B281" s="75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1.966</v>
      </c>
      <c r="I281" s="21">
        <f>AVERAGE(F279:F281)</f>
        <v>5.1043333333333329</v>
      </c>
      <c r="J281" s="21">
        <f>AVERAGE(G279:G281)</f>
        <v>1.3683333333333334</v>
      </c>
      <c r="L281">
        <f>+J281/I281</f>
        <v>0.26807287925292239</v>
      </c>
      <c r="M281">
        <f>+(L281-$L$927)/$L$928</f>
        <v>-0.87089627596490782</v>
      </c>
      <c r="N281">
        <f>+N278+M281</f>
        <v>-18.824731420383952</v>
      </c>
    </row>
    <row r="282" spans="1:14">
      <c r="A282" s="10">
        <v>11</v>
      </c>
      <c r="B282" s="75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2.726</v>
      </c>
    </row>
    <row r="283" spans="1:14">
      <c r="A283" s="10">
        <v>12</v>
      </c>
      <c r="B283" s="75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2.5880000000000001</v>
      </c>
    </row>
    <row r="284" spans="1:14">
      <c r="A284" s="10">
        <v>13</v>
      </c>
      <c r="B284" s="75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2.7759999999999998</v>
      </c>
      <c r="I284" s="21">
        <f>AVERAGE(F282:F284)</f>
        <v>9.1116666666666664</v>
      </c>
      <c r="J284" s="21">
        <f>AVERAGE(G282:G284)</f>
        <v>2.6966666666666668</v>
      </c>
      <c r="L284">
        <f>+J284/I284</f>
        <v>0.29595756356319741</v>
      </c>
      <c r="M284">
        <f>+(L284-$L$927)/$L$928</f>
        <v>-0.52171832376531391</v>
      </c>
      <c r="N284">
        <f>+N281+M284</f>
        <v>-19.346449744149265</v>
      </c>
    </row>
    <row r="285" spans="1:14">
      <c r="A285" s="10">
        <v>11</v>
      </c>
      <c r="B285" s="75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4.9569999999999999</v>
      </c>
    </row>
    <row r="286" spans="1:14">
      <c r="A286" s="10">
        <v>12</v>
      </c>
      <c r="B286" s="75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5.1079999999999997</v>
      </c>
    </row>
    <row r="287" spans="1:14">
      <c r="A287" s="10">
        <v>13</v>
      </c>
      <c r="B287" s="75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6.2489999999999997</v>
      </c>
      <c r="I287" s="21">
        <f>AVERAGE(F285:F287)</f>
        <v>15.113666666666665</v>
      </c>
      <c r="J287" s="21">
        <f>AVERAGE(G285:G287)</f>
        <v>5.4379999999999997</v>
      </c>
      <c r="L287">
        <f>+J287/I287</f>
        <v>0.35980679737985488</v>
      </c>
      <c r="M287">
        <f>+(L287-$L$927)/$L$928</f>
        <v>0.27781537242210508</v>
      </c>
      <c r="N287">
        <f>+N284+M287</f>
        <v>-19.06863437172716</v>
      </c>
    </row>
    <row r="288" spans="1:14">
      <c r="A288" s="10">
        <v>11</v>
      </c>
      <c r="B288" s="75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3.8109999999999999</v>
      </c>
    </row>
    <row r="289" spans="1:14">
      <c r="A289" s="10">
        <v>12</v>
      </c>
      <c r="B289" s="75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3.5310000000000001</v>
      </c>
    </row>
    <row r="290" spans="1:14">
      <c r="A290" s="10">
        <v>13</v>
      </c>
      <c r="B290" s="75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2.9289999999999998</v>
      </c>
      <c r="I290" s="21">
        <f>AVERAGE(F288:F290)</f>
        <v>9.1173333333333328</v>
      </c>
      <c r="J290" s="21">
        <f>AVERAGE(G288:G290)</f>
        <v>3.4236666666666671</v>
      </c>
      <c r="L290">
        <f>+J290/I290</f>
        <v>0.37551184556887984</v>
      </c>
      <c r="M290">
        <f>+(L290-$L$927)/$L$928</f>
        <v>0.47447732867093273</v>
      </c>
      <c r="N290">
        <f>+N287+M290</f>
        <v>-18.594157043056228</v>
      </c>
    </row>
    <row r="291" spans="1:14">
      <c r="A291" s="10">
        <v>11</v>
      </c>
      <c r="B291" s="75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1.9770000000000001</v>
      </c>
    </row>
    <row r="292" spans="1:14">
      <c r="A292" s="10">
        <v>12</v>
      </c>
      <c r="B292" s="75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0.76800000000000002</v>
      </c>
    </row>
    <row r="293" spans="1:14">
      <c r="A293" s="10">
        <v>13</v>
      </c>
      <c r="B293" s="75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1.079</v>
      </c>
      <c r="I293" s="21">
        <f>AVERAGE(F291:F293)</f>
        <v>4.8120000000000003</v>
      </c>
      <c r="J293" s="21">
        <f>AVERAGE(G291:G293)</f>
        <v>1.2746666666666666</v>
      </c>
      <c r="L293">
        <f>+J293/I293</f>
        <v>0.26489332224993073</v>
      </c>
      <c r="M293">
        <f>+(L293-$L$927)/$L$928</f>
        <v>-0.91071136552636311</v>
      </c>
      <c r="N293">
        <f>+N290+M293</f>
        <v>-19.504868408582592</v>
      </c>
    </row>
    <row r="294" spans="1:14">
      <c r="A294" s="10">
        <v>11</v>
      </c>
      <c r="B294" s="75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0.90700000000000003</v>
      </c>
    </row>
    <row r="295" spans="1:14">
      <c r="A295" s="10">
        <v>12</v>
      </c>
      <c r="B295" s="75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0.45700000000000002</v>
      </c>
    </row>
    <row r="296" spans="1:14">
      <c r="A296" s="10">
        <v>13</v>
      </c>
      <c r="B296" s="75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0.61099999999999999</v>
      </c>
      <c r="I296" s="21">
        <f>AVERAGE(F294:F296)</f>
        <v>2.238</v>
      </c>
      <c r="J296" s="21">
        <f>AVERAGE(G294:G296)</f>
        <v>0.65833333333333333</v>
      </c>
      <c r="L296">
        <f>+J296/I296</f>
        <v>0.29416145367887997</v>
      </c>
      <c r="M296">
        <f>+(L296-$L$927)/$L$928</f>
        <v>-0.54420959403945202</v>
      </c>
      <c r="N296">
        <f>+N293+M296</f>
        <v>-20.049078002622043</v>
      </c>
    </row>
    <row r="297" spans="1:14">
      <c r="A297" s="10">
        <v>11</v>
      </c>
      <c r="B297" s="75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1.9359999999999999</v>
      </c>
    </row>
    <row r="298" spans="1:14">
      <c r="A298" s="10">
        <v>12</v>
      </c>
      <c r="B298" s="75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1.7050000000000001</v>
      </c>
    </row>
    <row r="299" spans="1:14">
      <c r="A299" s="10">
        <v>13</v>
      </c>
      <c r="B299" s="75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1.7050000000000001</v>
      </c>
      <c r="I299" s="21">
        <f>AVERAGE(F297:F299)</f>
        <v>5.8593333333333328</v>
      </c>
      <c r="J299" s="21">
        <f>AVERAGE(G297:G299)</f>
        <v>1.782</v>
      </c>
      <c r="L299">
        <f>+J299/I299</f>
        <v>0.30413016270337928</v>
      </c>
      <c r="M299">
        <f>+(L299-$L$927)/$L$928</f>
        <v>-0.41937929779092509</v>
      </c>
      <c r="N299">
        <f>+N296+M299</f>
        <v>-20.468457300412968</v>
      </c>
    </row>
    <row r="300" spans="1:14">
      <c r="A300" s="10">
        <v>11</v>
      </c>
      <c r="B300" s="75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1.167</v>
      </c>
    </row>
    <row r="301" spans="1:14">
      <c r="A301" s="10">
        <v>12</v>
      </c>
      <c r="B301" s="75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0.57599999999999996</v>
      </c>
    </row>
    <row r="302" spans="1:14">
      <c r="A302" s="10">
        <v>13</v>
      </c>
      <c r="B302" s="75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0.69099999999999995</v>
      </c>
      <c r="I302" s="21">
        <f>AVERAGE(F300:F302)</f>
        <v>2.4083333333333332</v>
      </c>
      <c r="J302" s="21">
        <f>AVERAGE(G300:G302)</f>
        <v>0.81133333333333324</v>
      </c>
      <c r="L302">
        <f>+J302/I302</f>
        <v>0.3368858131487889</v>
      </c>
      <c r="M302">
        <f>+(L302-$L$927)/$L$928</f>
        <v>-9.2060708600643377E-3</v>
      </c>
      <c r="N302">
        <f>+N299+M302</f>
        <v>-20.477663371273032</v>
      </c>
    </row>
    <row r="303" spans="1:14">
      <c r="A303" s="10">
        <v>11</v>
      </c>
      <c r="B303" s="75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0.92900000000000005</v>
      </c>
    </row>
    <row r="304" spans="1:14">
      <c r="A304" s="10">
        <v>12</v>
      </c>
      <c r="B304" s="75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0.58699999999999997</v>
      </c>
    </row>
    <row r="305" spans="1:14">
      <c r="A305" s="10">
        <v>13</v>
      </c>
      <c r="B305" s="75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0.83299999999999996</v>
      </c>
      <c r="I305" s="21">
        <f>AVERAGE(F303:F305)</f>
        <v>2.4493333333333331</v>
      </c>
      <c r="J305" s="21">
        <f>AVERAGE(G303:G305)</f>
        <v>0.78300000000000003</v>
      </c>
      <c r="L305">
        <f>+J305/I305</f>
        <v>0.31967882416984217</v>
      </c>
      <c r="M305">
        <f>+(L305-$L$927)/$L$928</f>
        <v>-0.22467564936899687</v>
      </c>
      <c r="N305">
        <f>+N302+M305</f>
        <v>-20.702339020642029</v>
      </c>
    </row>
    <row r="306" spans="1:14">
      <c r="A306" s="10">
        <v>11</v>
      </c>
      <c r="B306" s="75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0.52100000000000002</v>
      </c>
    </row>
    <row r="307" spans="1:14">
      <c r="A307" s="10">
        <v>12</v>
      </c>
      <c r="B307" s="75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0.77200000000000002</v>
      </c>
    </row>
    <row r="308" spans="1:14">
      <c r="A308" s="10">
        <v>13</v>
      </c>
      <c r="B308" s="75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1.016</v>
      </c>
      <c r="I308" s="21">
        <f>AVERAGE(F306:F308)</f>
        <v>2.3610000000000002</v>
      </c>
      <c r="J308" s="21">
        <f>AVERAGE(G306:G308)</f>
        <v>0.76966666666666672</v>
      </c>
      <c r="L308">
        <f>+J308/I308</f>
        <v>0.32599181137935901</v>
      </c>
      <c r="M308">
        <f>+(L308-$L$927)/$L$928</f>
        <v>-0.14562307980954689</v>
      </c>
      <c r="N308">
        <f>+N305+M308</f>
        <v>-20.847962100451575</v>
      </c>
    </row>
    <row r="309" spans="1:14">
      <c r="A309" s="10">
        <v>11</v>
      </c>
      <c r="B309" s="75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0.34699999999999998</v>
      </c>
    </row>
    <row r="310" spans="1:14">
      <c r="A310" s="10">
        <v>12</v>
      </c>
      <c r="B310" s="75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0.379</v>
      </c>
    </row>
    <row r="311" spans="1:14">
      <c r="A311" s="10">
        <v>13</v>
      </c>
      <c r="B311" s="75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0.69</v>
      </c>
      <c r="I311" s="21">
        <f>AVERAGE(F309:F311)</f>
        <v>1.7116666666666667</v>
      </c>
      <c r="J311" s="21">
        <f>AVERAGE(G309:G311)</f>
        <v>0.47199999999999998</v>
      </c>
      <c r="L311">
        <f>+J311/I311</f>
        <v>0.27575462512171373</v>
      </c>
      <c r="M311">
        <f>+(L311-$L$927)/$L$928</f>
        <v>-0.77470381913318853</v>
      </c>
      <c r="N311">
        <f>+N308+M311</f>
        <v>-21.622665919584762</v>
      </c>
    </row>
    <row r="312" spans="1:14">
      <c r="A312" s="10">
        <v>11</v>
      </c>
      <c r="B312" s="75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0.54900000000000004</v>
      </c>
    </row>
    <row r="313" spans="1:14">
      <c r="A313" s="10">
        <v>12</v>
      </c>
      <c r="B313" s="75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0.66700000000000004</v>
      </c>
    </row>
    <row r="314" spans="1:14">
      <c r="A314" s="10">
        <v>13</v>
      </c>
      <c r="B314" s="75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0.61199999999999999</v>
      </c>
      <c r="I314" s="21">
        <f>AVERAGE(F312:F314)</f>
        <v>2.0786666666666669</v>
      </c>
      <c r="J314" s="21">
        <f>AVERAGE(G312:G314)</f>
        <v>0.60933333333333339</v>
      </c>
      <c r="L314">
        <f>+J314/I314</f>
        <v>0.29313662604233481</v>
      </c>
      <c r="M314">
        <f>+(L314-$L$927)/$L$928</f>
        <v>-0.55704270383924726</v>
      </c>
      <c r="N314">
        <f>+N311+M314</f>
        <v>-22.179708623424009</v>
      </c>
    </row>
    <row r="315" spans="1:14">
      <c r="A315" s="10">
        <v>11</v>
      </c>
      <c r="B315" s="75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0.5</v>
      </c>
    </row>
    <row r="316" spans="1:14">
      <c r="A316" s="10">
        <v>12</v>
      </c>
      <c r="B316" s="75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0.53400000000000003</v>
      </c>
    </row>
    <row r="317" spans="1:14">
      <c r="A317" s="10">
        <v>13</v>
      </c>
      <c r="B317" s="75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2.8860000000000001</v>
      </c>
      <c r="I317" s="21">
        <f>AVERAGE(F315:F317)</f>
        <v>4.4799999999999995</v>
      </c>
      <c r="J317" s="21">
        <f>AVERAGE(G315:G317)</f>
        <v>1.3066666666666666</v>
      </c>
      <c r="L317">
        <f>+J317/I317</f>
        <v>0.29166666666666669</v>
      </c>
      <c r="M317">
        <f>+(L317-$L$927)/$L$928</f>
        <v>-0.57544984802281096</v>
      </c>
      <c r="N317">
        <f>+N314+M317</f>
        <v>-22.755158471446819</v>
      </c>
    </row>
    <row r="318" spans="1:14">
      <c r="A318" s="10">
        <v>11</v>
      </c>
      <c r="B318" s="75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0.55400000000000005</v>
      </c>
    </row>
    <row r="319" spans="1:14">
      <c r="A319" s="10">
        <v>12</v>
      </c>
      <c r="B319" s="75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0.94799999999999995</v>
      </c>
    </row>
    <row r="320" spans="1:14">
      <c r="A320" s="10">
        <v>13</v>
      </c>
      <c r="B320" s="75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3.76</v>
      </c>
      <c r="I320" s="21">
        <f>AVERAGE(F318:F320)</f>
        <v>4.9279999999999999</v>
      </c>
      <c r="J320" s="21">
        <f>AVERAGE(G318:G320)</f>
        <v>1.7539999999999998</v>
      </c>
      <c r="L320">
        <f>+J320/I320</f>
        <v>0.35592532467532462</v>
      </c>
      <c r="M320">
        <f>+(L320-$L$927)/$L$928</f>
        <v>0.22921074504294256</v>
      </c>
      <c r="N320">
        <f>+N317+M320</f>
        <v>-22.525947726403878</v>
      </c>
    </row>
    <row r="321" spans="1:14">
      <c r="A321" s="10">
        <v>11</v>
      </c>
      <c r="B321" s="75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1.665</v>
      </c>
    </row>
    <row r="322" spans="1:14">
      <c r="A322" s="10">
        <v>12</v>
      </c>
      <c r="B322" s="75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1.6759999999999999</v>
      </c>
    </row>
    <row r="323" spans="1:14">
      <c r="A323" s="10">
        <v>13</v>
      </c>
      <c r="B323" s="75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7.2619999999999996</v>
      </c>
      <c r="I323" s="21">
        <f>AVERAGE(F321:F323)</f>
        <v>10.154999999999999</v>
      </c>
      <c r="J323" s="21">
        <f>AVERAGE(G321:G323)</f>
        <v>3.5343333333333331</v>
      </c>
      <c r="L323">
        <f>+J323/I323</f>
        <v>0.34803873297226323</v>
      </c>
      <c r="M323">
        <f>+(L323-$L$927)/$L$928</f>
        <v>0.13045316507297511</v>
      </c>
      <c r="N323">
        <f>+N320+M323</f>
        <v>-22.395494561330903</v>
      </c>
    </row>
    <row r="324" spans="1:14">
      <c r="A324" s="10">
        <v>11</v>
      </c>
      <c r="B324" s="75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5.1310000000000002</v>
      </c>
    </row>
    <row r="325" spans="1:14">
      <c r="A325" s="10">
        <v>12</v>
      </c>
      <c r="B325" s="75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10.523</v>
      </c>
    </row>
    <row r="326" spans="1:14">
      <c r="A326" s="10">
        <v>13</v>
      </c>
      <c r="B326" s="75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11.792</v>
      </c>
      <c r="I326" s="21">
        <f>AVERAGE(F324:F326)</f>
        <v>17.096999999999998</v>
      </c>
      <c r="J326" s="21">
        <f>AVERAGE(G324:G326)</f>
        <v>9.1486666666666654</v>
      </c>
      <c r="L326">
        <f>+J326/I326</f>
        <v>0.53510362441753911</v>
      </c>
      <c r="M326">
        <f>+(L326-$L$927)/$L$928</f>
        <v>2.4729195525884999</v>
      </c>
      <c r="N326">
        <f>+N323+M326</f>
        <v>-19.922575008742403</v>
      </c>
    </row>
    <row r="327" spans="1:14">
      <c r="A327" s="10">
        <v>11</v>
      </c>
      <c r="B327" s="75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3.379</v>
      </c>
    </row>
    <row r="328" spans="1:14">
      <c r="A328" s="10">
        <v>12</v>
      </c>
      <c r="B328" s="75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2.0489999999999999</v>
      </c>
    </row>
    <row r="329" spans="1:14">
      <c r="A329" s="10">
        <v>13</v>
      </c>
      <c r="B329" s="75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1.9059999999999999</v>
      </c>
      <c r="I329" s="21">
        <f>AVERAGE(F327:F329)</f>
        <v>6.5926666666666662</v>
      </c>
      <c r="J329" s="21">
        <f>AVERAGE(G327:G329)</f>
        <v>2.4446666666666665</v>
      </c>
      <c r="L329">
        <f>+J329/I329</f>
        <v>0.37081605824653657</v>
      </c>
      <c r="M329">
        <f>+(L329-$L$927)/$L$928</f>
        <v>0.4156756803203201</v>
      </c>
      <c r="N329">
        <f>+N326+M329</f>
        <v>-19.506899328422083</v>
      </c>
    </row>
    <row r="330" spans="1:14">
      <c r="A330" s="10">
        <v>11</v>
      </c>
      <c r="B330" s="75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0.98</v>
      </c>
    </row>
    <row r="331" spans="1:14">
      <c r="A331" s="10">
        <v>12</v>
      </c>
      <c r="B331" s="75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0.34</v>
      </c>
    </row>
    <row r="332" spans="1:14">
      <c r="A332" s="10">
        <v>13</v>
      </c>
      <c r="B332" s="75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0.68100000000000005</v>
      </c>
      <c r="I332" s="21">
        <f>AVERAGE(F330:F332)</f>
        <v>2.1003333333333334</v>
      </c>
      <c r="J332" s="21">
        <f>AVERAGE(G330:G332)</f>
        <v>0.66700000000000015</v>
      </c>
      <c r="L332">
        <f>+J332/I332</f>
        <v>0.31756863989842887</v>
      </c>
      <c r="M332">
        <f>+(L332-$L$927)/$L$928</f>
        <v>-0.25109982596920954</v>
      </c>
      <c r="N332">
        <f>+N329+M332</f>
        <v>-19.757999154391293</v>
      </c>
    </row>
    <row r="333" spans="1:14">
      <c r="A333" s="10">
        <v>11</v>
      </c>
      <c r="B333" s="75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1.7110000000000001</v>
      </c>
    </row>
    <row r="334" spans="1:14">
      <c r="A334" s="10">
        <v>12</v>
      </c>
      <c r="B334" s="75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1.3939999999999999</v>
      </c>
    </row>
    <row r="335" spans="1:14">
      <c r="A335" s="10">
        <v>13</v>
      </c>
      <c r="B335" s="75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1.4259999999999999</v>
      </c>
      <c r="I335" s="21">
        <f>AVERAGE(F333:F335)</f>
        <v>4.6689999999999996</v>
      </c>
      <c r="J335" s="21">
        <f>AVERAGE(G333:G335)</f>
        <v>1.5103333333333333</v>
      </c>
      <c r="L335">
        <f>+J335/I335</f>
        <v>0.32348111658456491</v>
      </c>
      <c r="M335">
        <f>+(L335-$L$927)/$L$928</f>
        <v>-0.17706253443236084</v>
      </c>
      <c r="N335">
        <f>+N332+M335</f>
        <v>-19.935061688823652</v>
      </c>
    </row>
    <row r="336" spans="1:14">
      <c r="A336" s="10">
        <v>11</v>
      </c>
      <c r="B336" s="75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1.669</v>
      </c>
    </row>
    <row r="337" spans="1:14">
      <c r="A337" s="10">
        <v>12</v>
      </c>
      <c r="B337" s="75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1.421</v>
      </c>
    </row>
    <row r="338" spans="1:14">
      <c r="A338" s="10">
        <v>13</v>
      </c>
      <c r="B338" s="75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1.268</v>
      </c>
      <c r="I338" s="21">
        <f>AVERAGE(F336:F338)</f>
        <v>4.085</v>
      </c>
      <c r="J338" s="21">
        <f>AVERAGE(G336:G338)</f>
        <v>1.4526666666666666</v>
      </c>
      <c r="L338">
        <f>+J338/I338</f>
        <v>0.35560995512035903</v>
      </c>
      <c r="M338">
        <f>+(L338-$L$927)/$L$928</f>
        <v>0.22526162034912622</v>
      </c>
      <c r="N338">
        <f>+N335+M338</f>
        <v>-19.709800068474525</v>
      </c>
    </row>
    <row r="339" spans="1:14">
      <c r="A339" s="5">
        <v>11</v>
      </c>
      <c r="B339" s="75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2.37</v>
      </c>
    </row>
    <row r="340" spans="1:14">
      <c r="A340" s="5">
        <v>12</v>
      </c>
      <c r="B340" s="75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1.915</v>
      </c>
    </row>
    <row r="341" spans="1:14">
      <c r="A341" s="5">
        <v>13</v>
      </c>
      <c r="B341" s="75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0.85199999999999998</v>
      </c>
      <c r="I341" s="21">
        <f>AVERAGE(F339:F341)</f>
        <v>3.6169999999999995</v>
      </c>
      <c r="J341" s="21">
        <f>AVERAGE(G339:G341)</f>
        <v>1.7123333333333335</v>
      </c>
      <c r="L341">
        <f>+J341/I341</f>
        <v>0.47341258870150227</v>
      </c>
      <c r="M341">
        <f>+(L341-$L$927)/$L$928</f>
        <v>1.7004112723903908</v>
      </c>
      <c r="N341">
        <f>+N338+M341</f>
        <v>-18.009388796084135</v>
      </c>
    </row>
    <row r="342" spans="1:14">
      <c r="A342" s="5">
        <v>11</v>
      </c>
      <c r="B342" s="75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2.4140000000000001</v>
      </c>
    </row>
    <row r="343" spans="1:14">
      <c r="A343" s="5">
        <v>12</v>
      </c>
      <c r="B343" s="75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2.3010000000000002</v>
      </c>
    </row>
    <row r="344" spans="1:14">
      <c r="A344" s="5">
        <v>13</v>
      </c>
      <c r="B344" s="75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2.3940000000000001</v>
      </c>
      <c r="I344" s="21">
        <f>AVERAGE(F342:F344)</f>
        <v>5.4849999999999994</v>
      </c>
      <c r="J344" s="21">
        <f>AVERAGE(G342:G344)</f>
        <v>2.3696666666666668</v>
      </c>
      <c r="L344">
        <f>+J344/I344</f>
        <v>0.432026739592829</v>
      </c>
      <c r="M344">
        <f>+(L344-$L$927)/$L$928</f>
        <v>1.1821688608568679</v>
      </c>
      <c r="N344">
        <f>+N341+M344</f>
        <v>-16.827219935227266</v>
      </c>
    </row>
    <row r="345" spans="1:14">
      <c r="A345" s="5">
        <v>11</v>
      </c>
      <c r="B345" s="75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0.46500000000000002</v>
      </c>
    </row>
    <row r="346" spans="1:14">
      <c r="A346" s="5">
        <v>12</v>
      </c>
      <c r="B346" s="75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0.218</v>
      </c>
    </row>
    <row r="347" spans="1:14">
      <c r="A347" s="5">
        <v>13</v>
      </c>
      <c r="B347" s="75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0.20200000000000001</v>
      </c>
      <c r="I347" s="21">
        <f>AVERAGE(F345:F347)</f>
        <v>0.96566666666666656</v>
      </c>
      <c r="J347" s="21">
        <f>AVERAGE(G345:G347)</f>
        <v>0.29499999999999998</v>
      </c>
      <c r="L347">
        <f>+J347/I347</f>
        <v>0.3054884363134277</v>
      </c>
      <c r="M347">
        <f>+(L347-$L$927)/$L$928</f>
        <v>-0.40237070653681167</v>
      </c>
      <c r="N347">
        <f>+N344+M347</f>
        <v>-17.229590641764077</v>
      </c>
    </row>
    <row r="348" spans="1:14">
      <c r="A348" s="5">
        <v>11</v>
      </c>
      <c r="B348" s="75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0.36099999999999999</v>
      </c>
    </row>
    <row r="349" spans="1:14">
      <c r="A349" s="5">
        <v>12</v>
      </c>
      <c r="B349" s="75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0.22</v>
      </c>
    </row>
    <row r="350" spans="1:14">
      <c r="A350" s="5">
        <v>13</v>
      </c>
      <c r="B350" s="75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0.315</v>
      </c>
      <c r="I350" s="21">
        <f>AVERAGE(F348:F350)</f>
        <v>1.389</v>
      </c>
      <c r="J350" s="21">
        <f>AVERAGE(G348:G350)</f>
        <v>0.29866666666666664</v>
      </c>
      <c r="L350">
        <f>+J350/I350</f>
        <v>0.21502279817614589</v>
      </c>
      <c r="M350">
        <f>+(L350-$L$927)/$L$928</f>
        <v>-1.5352006829395102</v>
      </c>
      <c r="N350">
        <f>+N347+M350</f>
        <v>-18.764791324703587</v>
      </c>
    </row>
    <row r="351" spans="1:14">
      <c r="A351" s="10">
        <v>11</v>
      </c>
      <c r="B351" s="75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0.53</v>
      </c>
    </row>
    <row r="352" spans="1:14">
      <c r="A352" s="10">
        <v>12</v>
      </c>
      <c r="B352" s="75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0.56999999999999995</v>
      </c>
    </row>
    <row r="353" spans="1:14">
      <c r="A353" s="10">
        <v>13</v>
      </c>
      <c r="B353" s="75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1.7809999999999999</v>
      </c>
      <c r="I353" s="21">
        <f>AVERAGE(F351:F353)</f>
        <v>3.4943333333333335</v>
      </c>
      <c r="J353" s="21">
        <f>AVERAGE(G351:G353)</f>
        <v>0.96033333333333337</v>
      </c>
      <c r="L353">
        <f>+J353/I353</f>
        <v>0.2748259086139464</v>
      </c>
      <c r="M353">
        <f>+(L353-$L$927)/$L$928</f>
        <v>-0.78633340492113513</v>
      </c>
      <c r="N353">
        <f>+N350+M353</f>
        <v>-19.551124729624721</v>
      </c>
    </row>
    <row r="354" spans="1:14">
      <c r="A354" s="10">
        <v>11</v>
      </c>
      <c r="B354" s="75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1.679</v>
      </c>
    </row>
    <row r="355" spans="1:14">
      <c r="A355" s="10">
        <v>12</v>
      </c>
      <c r="B355" s="75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1.5469999999999999</v>
      </c>
    </row>
    <row r="356" spans="1:14">
      <c r="A356" s="10">
        <v>13</v>
      </c>
      <c r="B356" s="75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2.48</v>
      </c>
      <c r="I356" s="21">
        <f>AVERAGE(F354:F356)</f>
        <v>7.1093333333333328</v>
      </c>
      <c r="J356" s="21">
        <f>AVERAGE(G354:G356)</f>
        <v>1.9019999999999999</v>
      </c>
      <c r="L356">
        <f>+J356/I356</f>
        <v>0.26753563390847712</v>
      </c>
      <c r="M356">
        <f>+(L356-$L$927)/$L$928</f>
        <v>-0.87762377652094026</v>
      </c>
      <c r="N356">
        <f>+N353+M356</f>
        <v>-20.428748506145663</v>
      </c>
    </row>
    <row r="357" spans="1:14">
      <c r="A357" s="10">
        <v>11</v>
      </c>
      <c r="B357" s="75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2.3370000000000002</v>
      </c>
    </row>
    <row r="358" spans="1:14">
      <c r="A358" s="10">
        <v>12</v>
      </c>
      <c r="B358" s="75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2.1339999999999999</v>
      </c>
    </row>
    <row r="359" spans="1:14">
      <c r="A359" s="10">
        <v>13</v>
      </c>
      <c r="B359" s="75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4.6479999999999997</v>
      </c>
      <c r="I359" s="21">
        <f>AVERAGE(F357:F359)</f>
        <v>9.8573333333333331</v>
      </c>
      <c r="J359" s="21">
        <f>AVERAGE(G357:G359)</f>
        <v>3.0396666666666667</v>
      </c>
      <c r="L359">
        <f>+J359/I359</f>
        <v>0.30836602191262008</v>
      </c>
      <c r="M359">
        <f>+(L359-$L$927)/$L$928</f>
        <v>-0.36633696716846642</v>
      </c>
      <c r="N359">
        <f>+N356+M359</f>
        <v>-20.795085473314128</v>
      </c>
    </row>
    <row r="360" spans="1:14">
      <c r="A360" s="10">
        <v>11</v>
      </c>
      <c r="B360" s="75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1.2470000000000001</v>
      </c>
    </row>
    <row r="361" spans="1:14">
      <c r="A361" s="10">
        <v>12</v>
      </c>
      <c r="B361" s="75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1.33</v>
      </c>
    </row>
    <row r="362" spans="1:14">
      <c r="A362" s="10">
        <v>13</v>
      </c>
      <c r="B362" s="75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7.4790000000000001</v>
      </c>
      <c r="I362" s="21">
        <f>AVERAGE(F360:F362)</f>
        <v>9.9670000000000005</v>
      </c>
      <c r="J362" s="21">
        <f>AVERAGE(G360:G362)</f>
        <v>3.3520000000000003</v>
      </c>
      <c r="L362">
        <f>+J362/I362</f>
        <v>0.33630982241396612</v>
      </c>
      <c r="M362">
        <f>+(L362-$L$927)/$L$928</f>
        <v>-1.6418749441376043E-2</v>
      </c>
      <c r="N362">
        <f>+N359+M362</f>
        <v>-20.811504222755502</v>
      </c>
    </row>
    <row r="363" spans="1:14">
      <c r="A363" s="10">
        <v>11</v>
      </c>
      <c r="B363" s="75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1.694</v>
      </c>
    </row>
    <row r="364" spans="1:14">
      <c r="A364" s="10">
        <v>12</v>
      </c>
      <c r="B364" s="75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1.3149999999999999</v>
      </c>
    </row>
    <row r="365" spans="1:14">
      <c r="A365" s="10">
        <v>13</v>
      </c>
      <c r="B365" s="75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1.169</v>
      </c>
      <c r="I365" s="21">
        <f>AVERAGE(F363:F365)</f>
        <v>4.9780000000000006</v>
      </c>
      <c r="J365" s="21">
        <f>AVERAGE(G363:G365)</f>
        <v>1.3926666666666667</v>
      </c>
      <c r="L365">
        <f>+J365/I365</f>
        <v>0.27976429623677512</v>
      </c>
      <c r="M365">
        <f>+(L365-$L$927)/$L$928</f>
        <v>-0.72449386397027171</v>
      </c>
      <c r="N365">
        <f>+N362+M365</f>
        <v>-21.535998086725773</v>
      </c>
    </row>
    <row r="366" spans="1:14">
      <c r="A366" s="10">
        <v>11</v>
      </c>
      <c r="B366" s="75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1.05</v>
      </c>
    </row>
    <row r="367" spans="1:14">
      <c r="A367" s="10">
        <v>12</v>
      </c>
      <c r="B367" s="75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1.014</v>
      </c>
    </row>
    <row r="368" spans="1:14">
      <c r="A368" s="10">
        <v>13</v>
      </c>
      <c r="B368" s="75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0.75</v>
      </c>
      <c r="I368" s="21">
        <f>AVERAGE(F366:F368)</f>
        <v>2.9256666666666669</v>
      </c>
      <c r="J368" s="21">
        <f>AVERAGE(G366:G368)</f>
        <v>0.93800000000000006</v>
      </c>
      <c r="L368">
        <f>+J368/I368</f>
        <v>0.32061068702290074</v>
      </c>
      <c r="M368">
        <f>+(L368-$L$927)/$L$928</f>
        <v>-0.21300666437561233</v>
      </c>
      <c r="N368">
        <f>+N365+M368</f>
        <v>-21.749004751101385</v>
      </c>
    </row>
    <row r="369" spans="1:14">
      <c r="A369" s="10">
        <v>11</v>
      </c>
      <c r="B369" s="75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1.0049999999999999</v>
      </c>
    </row>
    <row r="370" spans="1:14">
      <c r="A370" s="10">
        <v>12</v>
      </c>
      <c r="B370" s="75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0.89800000000000002</v>
      </c>
    </row>
    <row r="371" spans="1:14">
      <c r="A371" s="10">
        <v>13</v>
      </c>
      <c r="B371" s="75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1.012</v>
      </c>
      <c r="I371" s="21">
        <f>AVERAGE(F369:F371)</f>
        <v>3.3103333333333338</v>
      </c>
      <c r="J371" s="21">
        <f>AVERAGE(G369:G371)</f>
        <v>0.97166666666666668</v>
      </c>
      <c r="L371">
        <f>+J371/I371</f>
        <v>0.29352532474071086</v>
      </c>
      <c r="M371">
        <f>+(L371-$L$927)/$L$928</f>
        <v>-0.55217533600350732</v>
      </c>
      <c r="N371">
        <f>+N368+M371</f>
        <v>-22.301180087104893</v>
      </c>
    </row>
    <row r="372" spans="1:14">
      <c r="A372" s="10">
        <v>11</v>
      </c>
      <c r="B372" s="70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2.7773789999999998</v>
      </c>
    </row>
    <row r="373" spans="1:14">
      <c r="A373" s="10">
        <v>11</v>
      </c>
      <c r="B373" s="70">
        <v>40197</v>
      </c>
      <c r="C373" s="10">
        <v>2010</v>
      </c>
      <c r="D373" s="4" t="s">
        <v>25</v>
      </c>
      <c r="E373" s="10">
        <v>1</v>
      </c>
      <c r="F373" s="20">
        <v>6.298</v>
      </c>
      <c r="G373" s="21">
        <v>2.9565682499999997</v>
      </c>
    </row>
    <row r="374" spans="1:14">
      <c r="A374" s="10">
        <v>12</v>
      </c>
      <c r="B374" s="70">
        <v>40197</v>
      </c>
      <c r="C374" s="10">
        <v>2010</v>
      </c>
      <c r="D374" s="4" t="s">
        <v>25</v>
      </c>
      <c r="E374" s="10">
        <v>1</v>
      </c>
      <c r="F374" s="20">
        <v>5.3440000000000003</v>
      </c>
      <c r="G374" s="21">
        <v>2.3223413750000002</v>
      </c>
      <c r="I374" s="21"/>
      <c r="J374" s="21"/>
    </row>
    <row r="375" spans="1:14">
      <c r="A375" s="10">
        <v>13</v>
      </c>
      <c r="B375" s="70">
        <v>40197</v>
      </c>
      <c r="C375" s="10">
        <v>2010</v>
      </c>
      <c r="D375" s="4" t="s">
        <v>25</v>
      </c>
      <c r="E375" s="10">
        <v>1</v>
      </c>
      <c r="F375" s="20">
        <v>4.0140000000000002</v>
      </c>
      <c r="G375" s="21">
        <v>1.7277698749999999</v>
      </c>
      <c r="I375" s="21">
        <f>AVERAGE(F372:F375)</f>
        <v>5.4885000000000002</v>
      </c>
      <c r="J375" s="21">
        <f>AVERAGE(G372:G375)</f>
        <v>2.4460146250000001</v>
      </c>
      <c r="L375">
        <f>+J375/I375</f>
        <v>0.44566177006468072</v>
      </c>
      <c r="M375">
        <f>+(L375-$L$927)/$L$928</f>
        <v>1.352909614647144</v>
      </c>
      <c r="N375">
        <f>+N371+M375</f>
        <v>-20.94827047245775</v>
      </c>
    </row>
    <row r="376" spans="1:14">
      <c r="A376" s="10">
        <v>11</v>
      </c>
      <c r="B376" s="70">
        <v>40225</v>
      </c>
      <c r="C376" s="10">
        <v>2010</v>
      </c>
      <c r="D376" s="4" t="s">
        <v>14</v>
      </c>
      <c r="E376" s="10">
        <v>2</v>
      </c>
      <c r="F376" s="20">
        <v>8.09</v>
      </c>
      <c r="G376" s="21">
        <v>1.0876388749999997</v>
      </c>
    </row>
    <row r="377" spans="1:14">
      <c r="A377" s="10">
        <v>12</v>
      </c>
      <c r="B377" s="70">
        <v>40225</v>
      </c>
      <c r="C377" s="10">
        <v>2010</v>
      </c>
      <c r="D377" s="4" t="s">
        <v>14</v>
      </c>
      <c r="E377" s="10">
        <v>2</v>
      </c>
      <c r="F377" s="20">
        <v>5.6180000000000003</v>
      </c>
      <c r="G377" s="21">
        <v>0.66560162499999997</v>
      </c>
      <c r="I377" s="21"/>
      <c r="J377" s="21"/>
    </row>
    <row r="378" spans="1:14">
      <c r="A378" s="10">
        <v>13</v>
      </c>
      <c r="B378" s="70">
        <v>40225</v>
      </c>
      <c r="C378" s="10">
        <v>2010</v>
      </c>
      <c r="D378" s="4" t="s">
        <v>14</v>
      </c>
      <c r="E378" s="10">
        <v>2</v>
      </c>
      <c r="F378" s="20">
        <v>11.273</v>
      </c>
      <c r="G378" s="21">
        <v>2.6408898750000001</v>
      </c>
      <c r="I378" s="21">
        <f>AVERAGE(F376:F378)</f>
        <v>8.327</v>
      </c>
      <c r="J378" s="21">
        <f>AVERAGE(G376:G378)</f>
        <v>1.4647101249999999</v>
      </c>
      <c r="L378">
        <f>+J378/I378</f>
        <v>0.17589889816260357</v>
      </c>
      <c r="M378">
        <f>+(L378-$L$927)/$L$928</f>
        <v>-2.025118486447024</v>
      </c>
      <c r="N378">
        <f>+N375+M378</f>
        <v>-22.973388958904774</v>
      </c>
    </row>
    <row r="379" spans="1:14">
      <c r="A379" s="10">
        <v>11</v>
      </c>
      <c r="B379" s="70">
        <v>40255</v>
      </c>
      <c r="C379" s="10">
        <v>2010</v>
      </c>
      <c r="D379" s="4" t="s">
        <v>15</v>
      </c>
      <c r="E379" s="10">
        <v>3</v>
      </c>
      <c r="F379" s="20">
        <v>9.875</v>
      </c>
      <c r="G379" s="21">
        <v>5.008502749999999</v>
      </c>
    </row>
    <row r="380" spans="1:14">
      <c r="A380" s="10">
        <v>12</v>
      </c>
      <c r="B380" s="70">
        <v>40255</v>
      </c>
      <c r="C380" s="10">
        <v>2010</v>
      </c>
      <c r="D380" s="4" t="s">
        <v>15</v>
      </c>
      <c r="E380" s="10">
        <v>3</v>
      </c>
      <c r="F380" s="20">
        <v>7.36</v>
      </c>
      <c r="G380" s="21">
        <v>3.5946757499999995</v>
      </c>
    </row>
    <row r="381" spans="1:14">
      <c r="A381" s="10">
        <v>13</v>
      </c>
      <c r="B381" s="70">
        <v>40255</v>
      </c>
      <c r="C381" s="10">
        <v>2010</v>
      </c>
      <c r="D381" s="4" t="s">
        <v>15</v>
      </c>
      <c r="E381" s="10">
        <v>3</v>
      </c>
      <c r="F381" s="20">
        <v>7.2409999999999997</v>
      </c>
      <c r="G381" s="21">
        <v>3.7038785000000001</v>
      </c>
      <c r="I381" s="21">
        <f>AVERAGE(F379:F381)</f>
        <v>8.158666666666667</v>
      </c>
      <c r="J381" s="21">
        <f>AVERAGE(G379:G381)</f>
        <v>4.1023523333333332</v>
      </c>
      <c r="L381">
        <f>+J381/I381</f>
        <v>0.50282141689818594</v>
      </c>
      <c r="M381">
        <f>+(L381-$L$927)/$L$928</f>
        <v>2.0686748787502363</v>
      </c>
      <c r="N381">
        <f>+N378+M381</f>
        <v>-20.904714080154537</v>
      </c>
    </row>
    <row r="382" spans="1:14">
      <c r="A382" s="10">
        <v>11</v>
      </c>
      <c r="B382" s="70">
        <v>40281</v>
      </c>
      <c r="C382" s="10">
        <v>2010</v>
      </c>
      <c r="D382" s="4" t="s">
        <v>16</v>
      </c>
      <c r="E382" s="10">
        <v>4</v>
      </c>
      <c r="F382" s="20">
        <v>7.1959999999999997</v>
      </c>
      <c r="G382" s="21">
        <v>3.8398642500000002</v>
      </c>
    </row>
    <row r="383" spans="1:14">
      <c r="A383" s="10">
        <v>12</v>
      </c>
      <c r="B383" s="70">
        <v>40281</v>
      </c>
      <c r="C383" s="10">
        <v>2010</v>
      </c>
      <c r="D383" s="4" t="s">
        <v>16</v>
      </c>
      <c r="E383" s="10">
        <v>4</v>
      </c>
      <c r="F383" s="20">
        <v>2.206</v>
      </c>
      <c r="G383" s="21">
        <v>1.0840942499999999</v>
      </c>
    </row>
    <row r="384" spans="1:14">
      <c r="A384" s="10">
        <v>13</v>
      </c>
      <c r="B384" s="70">
        <v>40281</v>
      </c>
      <c r="C384" s="10">
        <v>2010</v>
      </c>
      <c r="D384" s="4" t="s">
        <v>16</v>
      </c>
      <c r="E384" s="10">
        <v>4</v>
      </c>
      <c r="F384" s="20">
        <v>3.1669999999999998</v>
      </c>
      <c r="G384" s="21">
        <v>1.7109952499999999</v>
      </c>
      <c r="I384" s="21">
        <f>AVERAGE(F382:F384)</f>
        <v>4.1896666666666667</v>
      </c>
      <c r="J384" s="21">
        <f>AVERAGE(G382:G384)</f>
        <v>2.2116512500000001</v>
      </c>
      <c r="L384">
        <f>+J384/I384</f>
        <v>0.52788238921155228</v>
      </c>
      <c r="M384">
        <f>+(L384-$L$927)/$L$928</f>
        <v>2.3824937082962996</v>
      </c>
      <c r="N384">
        <f>+N381+M384</f>
        <v>-18.522220371858239</v>
      </c>
    </row>
    <row r="385" spans="1:14">
      <c r="A385" s="10">
        <v>11</v>
      </c>
      <c r="B385" s="75">
        <v>40317</v>
      </c>
      <c r="C385" s="10">
        <v>2010</v>
      </c>
      <c r="D385" s="4" t="s">
        <v>17</v>
      </c>
      <c r="E385" s="10">
        <v>5</v>
      </c>
      <c r="F385" s="22">
        <v>2.11</v>
      </c>
      <c r="G385" s="21">
        <v>0.944902625</v>
      </c>
    </row>
    <row r="386" spans="1:14">
      <c r="A386" s="10">
        <v>12</v>
      </c>
      <c r="B386" s="75">
        <v>40317</v>
      </c>
      <c r="C386" s="10">
        <v>2010</v>
      </c>
      <c r="D386" s="4" t="s">
        <v>17</v>
      </c>
      <c r="E386" s="10">
        <v>5</v>
      </c>
      <c r="F386" s="22">
        <v>1.224</v>
      </c>
      <c r="G386" s="21">
        <v>0.48095887499999995</v>
      </c>
    </row>
    <row r="387" spans="1:14">
      <c r="A387" s="10">
        <v>13</v>
      </c>
      <c r="B387" s="75">
        <v>40317</v>
      </c>
      <c r="C387" s="10">
        <v>2010</v>
      </c>
      <c r="D387" s="4" t="s">
        <v>17</v>
      </c>
      <c r="E387" s="10">
        <v>5</v>
      </c>
      <c r="F387" s="22">
        <v>2.8039999999999998</v>
      </c>
      <c r="G387" s="21">
        <v>0.78446712500000004</v>
      </c>
      <c r="I387" s="21">
        <f>AVERAGE(F385:F387)</f>
        <v>2.0459999999999998</v>
      </c>
      <c r="J387" s="21">
        <f>AVERAGE(G385:G387)</f>
        <v>0.73677620833333324</v>
      </c>
      <c r="L387">
        <f>+J387/I387</f>
        <v>0.36010567367220592</v>
      </c>
      <c r="M387">
        <f>+(L387-$L$927)/$L$928</f>
        <v>0.28155796497086444</v>
      </c>
      <c r="N387">
        <f>+N384+M387</f>
        <v>-18.240662406887374</v>
      </c>
    </row>
    <row r="388" spans="1:14">
      <c r="A388" s="10">
        <v>11</v>
      </c>
      <c r="B388" s="75">
        <v>40345</v>
      </c>
      <c r="C388" s="10">
        <v>2010</v>
      </c>
      <c r="D388" s="4" t="s">
        <v>18</v>
      </c>
      <c r="E388" s="10">
        <v>6</v>
      </c>
      <c r="F388" s="22">
        <v>7.0090000000000003</v>
      </c>
      <c r="G388" s="21">
        <v>1.4828007499999998</v>
      </c>
    </row>
    <row r="389" spans="1:14">
      <c r="A389" s="10">
        <v>12</v>
      </c>
      <c r="B389" s="75">
        <v>40345</v>
      </c>
      <c r="C389" s="10">
        <v>2010</v>
      </c>
      <c r="D389" s="4" t="s">
        <v>18</v>
      </c>
      <c r="E389" s="10">
        <v>6</v>
      </c>
      <c r="F389" s="22">
        <v>7.4489999999999998</v>
      </c>
      <c r="G389" s="21">
        <v>3.0888511250000001</v>
      </c>
      <c r="I389" s="21"/>
      <c r="J389" s="21"/>
    </row>
    <row r="390" spans="1:14">
      <c r="A390" s="10">
        <v>13</v>
      </c>
      <c r="B390" s="75">
        <v>40345</v>
      </c>
      <c r="C390" s="10">
        <v>2010</v>
      </c>
      <c r="D390" s="4" t="s">
        <v>18</v>
      </c>
      <c r="E390" s="10">
        <v>6</v>
      </c>
      <c r="F390" s="22">
        <v>9.2870000000000008</v>
      </c>
      <c r="G390" s="21">
        <v>3.375342625</v>
      </c>
      <c r="I390" s="21">
        <f>AVERAGE(F388:F390)</f>
        <v>7.915</v>
      </c>
      <c r="J390" s="21">
        <f>AVERAGE(G388:G390)</f>
        <v>2.6489981666666664</v>
      </c>
      <c r="L390">
        <f>+J390/I390</f>
        <v>0.33468075384291429</v>
      </c>
      <c r="M390">
        <f>+(L390-$L$927)/$L$928</f>
        <v>-3.681829283599107E-2</v>
      </c>
      <c r="N390">
        <f>+N387+M390</f>
        <v>-18.277480699723366</v>
      </c>
    </row>
    <row r="391" spans="1:14">
      <c r="A391" s="10">
        <v>11</v>
      </c>
      <c r="B391" s="75">
        <v>40374</v>
      </c>
      <c r="C391" s="10">
        <v>2010</v>
      </c>
      <c r="D391" s="4" t="s">
        <v>19</v>
      </c>
      <c r="E391" s="10">
        <v>7</v>
      </c>
      <c r="F391" s="22">
        <v>9.1110000000000007</v>
      </c>
      <c r="G391" s="21">
        <v>3.9736303749999995</v>
      </c>
    </row>
    <row r="392" spans="1:14">
      <c r="A392" s="10">
        <v>12</v>
      </c>
      <c r="B392" s="75">
        <v>40374</v>
      </c>
      <c r="C392" s="10">
        <v>2010</v>
      </c>
      <c r="D392" s="4" t="s">
        <v>19</v>
      </c>
      <c r="E392" s="10">
        <v>7</v>
      </c>
      <c r="F392" s="22">
        <v>9.8789999999999996</v>
      </c>
      <c r="G392" s="21">
        <v>3.9796848749999993</v>
      </c>
    </row>
    <row r="393" spans="1:14">
      <c r="A393" s="10">
        <v>13</v>
      </c>
      <c r="B393" s="75">
        <v>40374</v>
      </c>
      <c r="C393" s="10">
        <v>2010</v>
      </c>
      <c r="D393" s="4" t="s">
        <v>19</v>
      </c>
      <c r="E393" s="10">
        <v>7</v>
      </c>
      <c r="F393" s="22">
        <v>11.994</v>
      </c>
      <c r="G393" s="21">
        <v>3.2317847499999997</v>
      </c>
      <c r="I393" s="21">
        <f>AVERAGE(F391:F393)</f>
        <v>10.328000000000001</v>
      </c>
      <c r="J393" s="21">
        <f>AVERAGE(G391:G393)</f>
        <v>3.7283666666666662</v>
      </c>
      <c r="L393">
        <f>+J393/I393</f>
        <v>0.36099599793441767</v>
      </c>
      <c r="M393">
        <f>+(L393-$L$927)/$L$928</f>
        <v>0.29270679488815915</v>
      </c>
      <c r="N393">
        <f>+N390+M393</f>
        <v>-17.984773904835208</v>
      </c>
    </row>
    <row r="394" spans="1:14">
      <c r="A394" s="10">
        <v>11</v>
      </c>
      <c r="B394" s="75">
        <v>40409</v>
      </c>
      <c r="C394" s="10">
        <v>2010</v>
      </c>
      <c r="D394" s="4" t="s">
        <v>20</v>
      </c>
      <c r="E394" s="10">
        <v>8</v>
      </c>
      <c r="F394" s="22">
        <v>8.5289999999999999</v>
      </c>
      <c r="G394" s="21">
        <v>4.2170784999999995</v>
      </c>
    </row>
    <row r="395" spans="1:14">
      <c r="A395" s="10">
        <v>12</v>
      </c>
      <c r="B395" s="75">
        <v>40409</v>
      </c>
      <c r="C395" s="10">
        <v>2010</v>
      </c>
      <c r="D395" s="4" t="s">
        <v>20</v>
      </c>
      <c r="E395" s="10">
        <v>8</v>
      </c>
      <c r="F395" s="22">
        <v>4.7140000000000004</v>
      </c>
      <c r="G395" s="21">
        <v>2.1106778749999999</v>
      </c>
    </row>
    <row r="396" spans="1:14">
      <c r="A396" s="10">
        <v>13</v>
      </c>
      <c r="B396" s="75">
        <v>40409</v>
      </c>
      <c r="C396" s="10">
        <v>2010</v>
      </c>
      <c r="D396" s="4" t="s">
        <v>20</v>
      </c>
      <c r="E396" s="10">
        <v>8</v>
      </c>
      <c r="F396" s="22">
        <v>14.83</v>
      </c>
      <c r="G396" s="21">
        <v>5.9818733749999993</v>
      </c>
      <c r="I396" s="21">
        <f>AVERAGE(F394:F396)</f>
        <v>9.3576666666666668</v>
      </c>
      <c r="J396" s="21">
        <f>AVERAGE(G394:G396)</f>
        <v>4.1032099166666667</v>
      </c>
      <c r="L396">
        <f>+J396/I396</f>
        <v>0.43848643714601215</v>
      </c>
      <c r="M396">
        <f>+(L396-$L$927)/$L$928</f>
        <v>1.2630585685670634</v>
      </c>
      <c r="N396">
        <f>+N393+M396</f>
        <v>-16.721715336268144</v>
      </c>
    </row>
    <row r="397" spans="1:14">
      <c r="A397" s="10">
        <v>11</v>
      </c>
      <c r="B397" s="75">
        <v>40434</v>
      </c>
      <c r="C397" s="10">
        <v>2010</v>
      </c>
      <c r="D397" s="4" t="s">
        <v>26</v>
      </c>
      <c r="E397" s="10">
        <v>9</v>
      </c>
      <c r="F397" s="22">
        <v>7.556</v>
      </c>
      <c r="G397" s="21">
        <v>3.6542648749999995</v>
      </c>
    </row>
    <row r="398" spans="1:14">
      <c r="A398" s="10">
        <v>11</v>
      </c>
      <c r="B398" s="75">
        <v>40434</v>
      </c>
      <c r="C398" s="10">
        <v>2010</v>
      </c>
      <c r="D398" s="4" t="s">
        <v>26</v>
      </c>
      <c r="E398" s="10">
        <v>9</v>
      </c>
      <c r="F398" s="22">
        <v>7.556</v>
      </c>
      <c r="G398" s="21">
        <v>3.6551556249999995</v>
      </c>
    </row>
    <row r="399" spans="1:14">
      <c r="A399" s="10">
        <v>12</v>
      </c>
      <c r="B399" s="75">
        <v>40434</v>
      </c>
      <c r="C399" s="10">
        <v>2010</v>
      </c>
      <c r="D399" s="4" t="s">
        <v>26</v>
      </c>
      <c r="E399" s="10">
        <v>9</v>
      </c>
      <c r="F399" s="22">
        <v>7.0720000000000001</v>
      </c>
      <c r="G399" s="21">
        <v>2.9663888749999994</v>
      </c>
      <c r="I399" s="21"/>
      <c r="J399" s="21"/>
    </row>
    <row r="400" spans="1:14">
      <c r="A400" s="10">
        <v>13</v>
      </c>
      <c r="B400" s="75">
        <v>40434</v>
      </c>
      <c r="C400" s="10">
        <v>2010</v>
      </c>
      <c r="D400" s="4" t="s">
        <v>26</v>
      </c>
      <c r="E400" s="10">
        <v>9</v>
      </c>
      <c r="F400" s="22">
        <v>6.4009999999999998</v>
      </c>
      <c r="G400" s="21">
        <v>2.7384643749999995</v>
      </c>
      <c r="I400" s="21">
        <f>AVERAGE(F397:F400)</f>
        <v>7.1462500000000002</v>
      </c>
      <c r="J400" s="21">
        <f>AVERAGE(G397:G400)</f>
        <v>3.2535684374999994</v>
      </c>
      <c r="L400">
        <f>+J400/I400</f>
        <v>0.45528332167220559</v>
      </c>
      <c r="M400">
        <f>+(L400-$L$927)/$L$928</f>
        <v>1.4733927318277205</v>
      </c>
      <c r="N400">
        <f>+N396+M400</f>
        <v>-15.248322604440423</v>
      </c>
    </row>
    <row r="401" spans="1:14">
      <c r="A401" s="10">
        <v>11</v>
      </c>
      <c r="B401" s="75">
        <v>40463</v>
      </c>
      <c r="C401" s="10">
        <v>2010</v>
      </c>
      <c r="D401" s="4" t="s">
        <v>22</v>
      </c>
      <c r="E401" s="10">
        <v>10</v>
      </c>
      <c r="F401" s="20">
        <v>4.1390000000000002</v>
      </c>
      <c r="G401" s="21">
        <v>1.14626725</v>
      </c>
    </row>
    <row r="402" spans="1:14">
      <c r="A402" s="10">
        <v>12</v>
      </c>
      <c r="B402" s="75">
        <v>40463</v>
      </c>
      <c r="C402" s="10">
        <v>2010</v>
      </c>
      <c r="D402" s="4" t="s">
        <v>22</v>
      </c>
      <c r="E402" s="10">
        <v>10</v>
      </c>
      <c r="F402" s="20">
        <v>4.9029999999999996</v>
      </c>
      <c r="G402" s="21">
        <v>1.3538313749999999</v>
      </c>
    </row>
    <row r="403" spans="1:14">
      <c r="A403" s="10">
        <v>13</v>
      </c>
      <c r="B403" s="75">
        <v>40463</v>
      </c>
      <c r="C403" s="10">
        <v>2010</v>
      </c>
      <c r="D403" s="4" t="s">
        <v>22</v>
      </c>
      <c r="E403" s="10">
        <v>10</v>
      </c>
      <c r="F403" s="20">
        <v>4.6959999999999997</v>
      </c>
      <c r="G403" s="21">
        <v>0.78685775000000013</v>
      </c>
      <c r="I403" s="21">
        <f>AVERAGE(F401:F403)</f>
        <v>4.5793333333333335</v>
      </c>
      <c r="J403" s="21">
        <f>AVERAGE(G401:G403)</f>
        <v>1.095652125</v>
      </c>
      <c r="L403">
        <f>+J403/I403</f>
        <v>0.2392601816130441</v>
      </c>
      <c r="M403">
        <f>+(L403-$L$927)/$L$928</f>
        <v>-1.2316950086058063</v>
      </c>
      <c r="N403">
        <f>+N400+M403</f>
        <v>-16.480017613046229</v>
      </c>
    </row>
    <row r="404" spans="1:14">
      <c r="A404" s="10">
        <v>11</v>
      </c>
      <c r="B404" s="75">
        <v>40500</v>
      </c>
      <c r="C404" s="10">
        <v>2010</v>
      </c>
      <c r="D404" s="4" t="s">
        <v>23</v>
      </c>
      <c r="E404" s="10">
        <v>11</v>
      </c>
      <c r="F404" s="20">
        <v>1.873</v>
      </c>
      <c r="G404" s="21">
        <v>0.57485662500000001</v>
      </c>
    </row>
    <row r="405" spans="1:14">
      <c r="A405" s="10">
        <v>12</v>
      </c>
      <c r="B405" s="75">
        <v>40500</v>
      </c>
      <c r="C405" s="10">
        <v>2010</v>
      </c>
      <c r="D405" s="4" t="s">
        <v>23</v>
      </c>
      <c r="E405" s="10">
        <v>11</v>
      </c>
      <c r="F405" s="20">
        <v>2.181</v>
      </c>
      <c r="G405" s="21">
        <v>0.60223274999999987</v>
      </c>
    </row>
    <row r="406" spans="1:14">
      <c r="A406" s="10">
        <v>13</v>
      </c>
      <c r="B406" s="75">
        <v>40500</v>
      </c>
      <c r="C406" s="10">
        <v>2010</v>
      </c>
      <c r="D406" s="4" t="s">
        <v>23</v>
      </c>
      <c r="E406" s="10">
        <v>11</v>
      </c>
      <c r="F406" s="20">
        <v>2.2469999999999999</v>
      </c>
      <c r="G406" s="21">
        <v>0.60608287500000002</v>
      </c>
      <c r="I406" s="21"/>
      <c r="J406" s="21"/>
    </row>
    <row r="407" spans="1:14">
      <c r="A407" s="10">
        <v>13</v>
      </c>
      <c r="B407" s="75">
        <v>40500</v>
      </c>
      <c r="C407" s="10">
        <v>2010</v>
      </c>
      <c r="D407" s="4" t="s">
        <v>23</v>
      </c>
      <c r="E407" s="10">
        <v>11</v>
      </c>
      <c r="F407" s="20">
        <v>2.2469999999999999</v>
      </c>
      <c r="G407" s="21">
        <v>0.51457525000000004</v>
      </c>
      <c r="I407" s="21">
        <f>AVERAGE(F404:F407)</f>
        <v>2.137</v>
      </c>
      <c r="J407" s="21">
        <f>AVERAGE(G404:G407)</f>
        <v>0.57443687499999996</v>
      </c>
      <c r="L407">
        <f>+J407/I407</f>
        <v>0.26880527608797378</v>
      </c>
      <c r="M407">
        <f>+(L407-$L$927)/$L$928</f>
        <v>-0.86172504690543184</v>
      </c>
      <c r="N407">
        <f>+N403+M407</f>
        <v>-17.34174265995166</v>
      </c>
    </row>
    <row r="408" spans="1:14">
      <c r="A408" s="10">
        <v>11</v>
      </c>
      <c r="B408" s="75">
        <v>40521</v>
      </c>
      <c r="C408" s="10">
        <v>2010</v>
      </c>
      <c r="D408" s="4" t="s">
        <v>24</v>
      </c>
      <c r="E408" s="10">
        <v>12</v>
      </c>
      <c r="F408" s="20">
        <v>3.871</v>
      </c>
      <c r="G408" s="21">
        <v>1.3320129999999997</v>
      </c>
    </row>
    <row r="409" spans="1:14">
      <c r="A409" s="10">
        <v>12</v>
      </c>
      <c r="B409" s="75">
        <v>40521</v>
      </c>
      <c r="C409" s="10">
        <v>2010</v>
      </c>
      <c r="D409" s="4" t="s">
        <v>24</v>
      </c>
      <c r="E409" s="10">
        <v>12</v>
      </c>
      <c r="F409" s="20">
        <v>2.9849999999999999</v>
      </c>
      <c r="G409" s="21">
        <v>0.97991262499999998</v>
      </c>
    </row>
    <row r="410" spans="1:14">
      <c r="A410" s="10">
        <v>13</v>
      </c>
      <c r="B410" s="75">
        <v>40521</v>
      </c>
      <c r="C410" s="10">
        <v>2010</v>
      </c>
      <c r="D410" s="4" t="s">
        <v>24</v>
      </c>
      <c r="E410" s="10">
        <v>12</v>
      </c>
      <c r="F410" s="20">
        <v>3.0150000000000001</v>
      </c>
      <c r="G410" s="21">
        <v>1.0007093749999998</v>
      </c>
      <c r="I410" s="21">
        <f>AVERAGE(F408:F410)</f>
        <v>3.2903333333333333</v>
      </c>
      <c r="J410" s="21">
        <f>AVERAGE(G408:G410)</f>
        <v>1.1042116666666664</v>
      </c>
      <c r="L410">
        <f>+J410/I410</f>
        <v>0.33559264512207465</v>
      </c>
      <c r="M410">
        <f>+(L410-$L$927)/$L$928</f>
        <v>-2.5399396141917569E-2</v>
      </c>
      <c r="N410">
        <f>+N407+M410</f>
        <v>-17.367142056093577</v>
      </c>
    </row>
    <row r="411" spans="1:14">
      <c r="A411" s="10">
        <v>11</v>
      </c>
      <c r="B411" s="75">
        <v>40563</v>
      </c>
      <c r="C411" s="10">
        <v>2011</v>
      </c>
      <c r="D411" s="4" t="s">
        <v>25</v>
      </c>
      <c r="E411" s="10">
        <v>1</v>
      </c>
      <c r="F411" s="20">
        <v>4.7370000000000001</v>
      </c>
      <c r="G411" s="21">
        <v>2.36553375</v>
      </c>
    </row>
    <row r="412" spans="1:14">
      <c r="A412" s="10">
        <v>12</v>
      </c>
      <c r="B412" s="75">
        <v>40563</v>
      </c>
      <c r="C412" s="10">
        <v>2011</v>
      </c>
      <c r="D412" s="4" t="s">
        <v>25</v>
      </c>
      <c r="E412" s="10">
        <v>1</v>
      </c>
      <c r="F412" s="20">
        <v>4.4649999999999999</v>
      </c>
      <c r="G412" s="21">
        <v>2.0076682499999996</v>
      </c>
    </row>
    <row r="413" spans="1:14">
      <c r="A413" s="10">
        <v>13</v>
      </c>
      <c r="B413" s="75">
        <v>40563</v>
      </c>
      <c r="C413" s="10">
        <v>2011</v>
      </c>
      <c r="D413" s="4" t="s">
        <v>25</v>
      </c>
      <c r="E413" s="10">
        <v>1</v>
      </c>
      <c r="F413" s="20">
        <v>2.9350000000000001</v>
      </c>
      <c r="G413" s="21">
        <v>1.3223704999999999</v>
      </c>
      <c r="I413" s="21">
        <f>AVERAGE(F411:F413)</f>
        <v>4.0456666666666665</v>
      </c>
      <c r="J413" s="21">
        <f>AVERAGE(G411:G413)</f>
        <v>1.8985241666666663</v>
      </c>
      <c r="L413">
        <f>+J413/I413</f>
        <v>0.46927350251297678</v>
      </c>
      <c r="M413">
        <f>+(L413-$L$927)/$L$928</f>
        <v>1.6485807541315061</v>
      </c>
      <c r="N413">
        <f>+N410+M413</f>
        <v>-15.718561301962071</v>
      </c>
    </row>
    <row r="414" spans="1:14">
      <c r="A414" s="10">
        <v>11</v>
      </c>
      <c r="B414" s="75">
        <v>40598</v>
      </c>
      <c r="C414" s="10">
        <v>2011</v>
      </c>
      <c r="D414" s="4" t="s">
        <v>14</v>
      </c>
      <c r="E414" s="10">
        <v>2</v>
      </c>
      <c r="F414" s="20">
        <v>4.5720000000000001</v>
      </c>
      <c r="G414" s="21">
        <v>1.9516983750000001</v>
      </c>
    </row>
    <row r="415" spans="1:14">
      <c r="A415" s="10">
        <v>12</v>
      </c>
      <c r="B415" s="75">
        <v>40598</v>
      </c>
      <c r="C415" s="10">
        <v>2011</v>
      </c>
      <c r="D415" s="4" t="s">
        <v>14</v>
      </c>
      <c r="E415" s="10">
        <v>2</v>
      </c>
      <c r="F415" s="20">
        <v>4.8120000000000003</v>
      </c>
      <c r="G415" s="21">
        <v>2.0351182499999996</v>
      </c>
    </row>
    <row r="416" spans="1:14">
      <c r="A416" s="10">
        <v>13</v>
      </c>
      <c r="B416" s="75">
        <v>40598</v>
      </c>
      <c r="C416" s="10">
        <v>2011</v>
      </c>
      <c r="D416" s="4" t="s">
        <v>14</v>
      </c>
      <c r="E416" s="10">
        <v>2</v>
      </c>
      <c r="F416" s="20">
        <v>3.6349999999999998</v>
      </c>
      <c r="G416" s="21">
        <v>1.5853638750000001</v>
      </c>
      <c r="I416" s="21">
        <f>AVERAGE(F414:F416)</f>
        <v>4.339666666666667</v>
      </c>
      <c r="J416" s="21">
        <f>AVERAGE(G414:G416)</f>
        <v>1.8573934999999999</v>
      </c>
      <c r="L416">
        <f>+J416/I416</f>
        <v>0.42800372532452563</v>
      </c>
      <c r="M416">
        <f>+(L416-$L$927)/$L$928</f>
        <v>1.1317918198889594</v>
      </c>
      <c r="N416">
        <f>+N413+M416</f>
        <v>-14.586769482073111</v>
      </c>
    </row>
    <row r="417" spans="1:14">
      <c r="A417" s="10">
        <v>11</v>
      </c>
      <c r="B417" s="75">
        <v>40617</v>
      </c>
      <c r="C417" s="10">
        <v>2011</v>
      </c>
      <c r="D417" s="4" t="s">
        <v>15</v>
      </c>
      <c r="E417" s="10">
        <v>3</v>
      </c>
      <c r="F417" s="20">
        <v>4.766</v>
      </c>
      <c r="G417" s="21">
        <v>2.1968587500000001</v>
      </c>
    </row>
    <row r="418" spans="1:14">
      <c r="A418" s="10">
        <v>12</v>
      </c>
      <c r="B418" s="75">
        <v>40617</v>
      </c>
      <c r="C418" s="10">
        <v>2011</v>
      </c>
      <c r="D418" s="4" t="s">
        <v>15</v>
      </c>
      <c r="E418" s="10">
        <v>3</v>
      </c>
      <c r="F418" s="20">
        <v>3.7519999999999998</v>
      </c>
      <c r="G418" s="21">
        <v>1.732851125</v>
      </c>
      <c r="I418" s="21"/>
      <c r="J418" s="21"/>
    </row>
    <row r="419" spans="1:14">
      <c r="A419" s="10">
        <v>13</v>
      </c>
      <c r="B419" s="75">
        <v>40617</v>
      </c>
      <c r="C419" s="10">
        <v>2011</v>
      </c>
      <c r="D419" s="4" t="s">
        <v>15</v>
      </c>
      <c r="E419" s="10">
        <v>3</v>
      </c>
      <c r="F419" s="20">
        <v>4.41</v>
      </c>
      <c r="G419" s="21">
        <v>2.0573730000000001</v>
      </c>
      <c r="I419" s="21">
        <f>AVERAGE(F417:F419)</f>
        <v>4.3093333333333339</v>
      </c>
      <c r="J419" s="21">
        <f>AVERAGE(G417:G419)</f>
        <v>1.9956942916666669</v>
      </c>
      <c r="L419">
        <f>+J419/I419</f>
        <v>0.46310975208849009</v>
      </c>
      <c r="M419">
        <f>+(L419-$L$927)/$L$928</f>
        <v>1.5713969593593136</v>
      </c>
      <c r="N419">
        <f>+N416+M419</f>
        <v>-13.015372522713797</v>
      </c>
    </row>
    <row r="420" spans="1:14">
      <c r="A420" s="10">
        <v>11</v>
      </c>
      <c r="B420" s="75">
        <v>40647</v>
      </c>
      <c r="C420" s="10">
        <v>2011</v>
      </c>
      <c r="D420" s="4" t="s">
        <v>16</v>
      </c>
      <c r="E420" s="10">
        <v>4</v>
      </c>
      <c r="F420" s="20">
        <v>4.5590000000000002</v>
      </c>
      <c r="G420" s="21">
        <v>1.8173878749999999</v>
      </c>
    </row>
    <row r="421" spans="1:14">
      <c r="A421" s="10">
        <v>11</v>
      </c>
      <c r="B421" s="75">
        <v>40647</v>
      </c>
      <c r="C421" s="10">
        <v>2011</v>
      </c>
      <c r="D421" s="4" t="s">
        <v>16</v>
      </c>
      <c r="E421" s="10">
        <v>4</v>
      </c>
      <c r="F421" s="20">
        <v>4.5590000000000002</v>
      </c>
      <c r="G421" s="21">
        <v>1.74987</v>
      </c>
      <c r="H421" t="s">
        <v>41</v>
      </c>
    </row>
    <row r="422" spans="1:14">
      <c r="A422" s="10">
        <v>12</v>
      </c>
      <c r="B422" s="75">
        <v>40647</v>
      </c>
      <c r="C422" s="10">
        <v>2011</v>
      </c>
      <c r="D422" s="4" t="s">
        <v>16</v>
      </c>
      <c r="E422" s="10">
        <v>4</v>
      </c>
      <c r="F422" s="20">
        <v>3.8530000000000002</v>
      </c>
      <c r="G422" s="21">
        <v>1.4834718749999998</v>
      </c>
    </row>
    <row r="423" spans="1:14">
      <c r="A423" s="10">
        <v>13</v>
      </c>
      <c r="B423" s="75">
        <v>40647</v>
      </c>
      <c r="C423" s="10">
        <v>2011</v>
      </c>
      <c r="D423" s="4" t="s">
        <v>16</v>
      </c>
      <c r="E423" s="10">
        <v>4</v>
      </c>
      <c r="F423" s="20">
        <v>2.294</v>
      </c>
      <c r="G423" s="21">
        <v>0.70023224999999989</v>
      </c>
      <c r="I423" s="21">
        <f>AVERAGE(F420:F423)</f>
        <v>3.8162500000000001</v>
      </c>
      <c r="J423" s="21">
        <f>AVERAGE(G420:G423)</f>
        <v>1.4377405000000001</v>
      </c>
      <c r="L423">
        <f>+J423/I423</f>
        <v>0.37674169669177859</v>
      </c>
      <c r="M423">
        <f>+(L423-$L$927)/$L$928</f>
        <v>0.48987778620617967</v>
      </c>
      <c r="N423">
        <f>+N419+M423</f>
        <v>-12.525494736507618</v>
      </c>
    </row>
    <row r="424" spans="1:14">
      <c r="A424" s="10">
        <v>11</v>
      </c>
      <c r="B424" s="75">
        <v>40682</v>
      </c>
      <c r="C424" s="10">
        <v>2011</v>
      </c>
      <c r="D424" s="4" t="s">
        <v>17</v>
      </c>
      <c r="E424" s="10">
        <v>5</v>
      </c>
      <c r="F424" s="20">
        <v>2.02</v>
      </c>
      <c r="G424" s="21">
        <v>0.58843400000000001</v>
      </c>
    </row>
    <row r="425" spans="1:14">
      <c r="A425" s="10">
        <v>12</v>
      </c>
      <c r="B425" s="75">
        <v>40682</v>
      </c>
      <c r="C425" s="10">
        <v>2011</v>
      </c>
      <c r="D425" s="4" t="s">
        <v>17</v>
      </c>
      <c r="E425" s="10">
        <v>5</v>
      </c>
      <c r="F425" s="20">
        <v>1.5920000000000001</v>
      </c>
      <c r="G425" s="21">
        <v>0.42106137500000002</v>
      </c>
    </row>
    <row r="426" spans="1:14">
      <c r="A426" s="10">
        <v>13</v>
      </c>
      <c r="B426" s="75">
        <v>40682</v>
      </c>
      <c r="C426" s="10">
        <v>2011</v>
      </c>
      <c r="D426" s="4" t="s">
        <v>17</v>
      </c>
      <c r="E426" s="10">
        <v>5</v>
      </c>
      <c r="F426" s="20">
        <v>2.5779999999999998</v>
      </c>
      <c r="G426" s="21">
        <v>0.62708837500000003</v>
      </c>
      <c r="I426" s="21">
        <f>AVERAGE(F424:F426)</f>
        <v>2.063333333333333</v>
      </c>
      <c r="J426" s="21">
        <f>AVERAGE(G424:G426)</f>
        <v>0.54552791666666667</v>
      </c>
      <c r="L426">
        <f>+J426/I426</f>
        <v>0.26439155896607436</v>
      </c>
      <c r="M426">
        <f>+(L426-$L$927)/$L$928</f>
        <v>-0.91699455216733039</v>
      </c>
      <c r="N426">
        <f>+N423+M426</f>
        <v>-13.442489288674949</v>
      </c>
    </row>
    <row r="427" spans="1:14">
      <c r="A427" s="10">
        <v>11</v>
      </c>
      <c r="B427" s="75">
        <v>40709</v>
      </c>
      <c r="C427" s="10">
        <v>2011</v>
      </c>
      <c r="D427" s="4" t="s">
        <v>18</v>
      </c>
      <c r="E427" s="10">
        <v>6</v>
      </c>
      <c r="F427" s="20">
        <v>4.0220000000000002</v>
      </c>
      <c r="G427" s="21">
        <v>1.5833134999999998</v>
      </c>
    </row>
    <row r="428" spans="1:14">
      <c r="A428" s="10">
        <v>12</v>
      </c>
      <c r="B428" s="75">
        <v>40709</v>
      </c>
      <c r="C428" s="10">
        <v>2011</v>
      </c>
      <c r="D428" s="4" t="s">
        <v>18</v>
      </c>
      <c r="E428" s="10">
        <v>6</v>
      </c>
      <c r="F428" s="20">
        <v>4.2</v>
      </c>
      <c r="G428" s="21">
        <v>1.4930836249999997</v>
      </c>
    </row>
    <row r="429" spans="1:14">
      <c r="A429" s="10">
        <v>13</v>
      </c>
      <c r="B429" s="75">
        <v>40709</v>
      </c>
      <c r="C429" s="10">
        <v>2011</v>
      </c>
      <c r="D429" s="4" t="s">
        <v>18</v>
      </c>
      <c r="E429" s="10">
        <v>6</v>
      </c>
      <c r="F429" s="20">
        <v>7.6539999999999999</v>
      </c>
      <c r="G429" s="21">
        <v>3.3013943749999997</v>
      </c>
      <c r="I429" s="21">
        <f>AVERAGE(F427:F429)</f>
        <v>5.2920000000000007</v>
      </c>
      <c r="J429" s="21">
        <f>AVERAGE(G427:G429)</f>
        <v>2.1259304999999995</v>
      </c>
      <c r="L429">
        <f>+J429/I429</f>
        <v>0.40172534013605427</v>
      </c>
      <c r="M429">
        <f>+(L429-$L$927)/$L$928</f>
        <v>0.80272828719400846</v>
      </c>
      <c r="N429">
        <f>+N426+M429</f>
        <v>-12.63976100148094</v>
      </c>
    </row>
    <row r="430" spans="1:14">
      <c r="A430" s="10">
        <v>11</v>
      </c>
      <c r="B430" s="75">
        <v>40736</v>
      </c>
      <c r="C430" s="10">
        <v>2011</v>
      </c>
      <c r="D430" s="4" t="s">
        <v>19</v>
      </c>
      <c r="E430" s="10">
        <v>7</v>
      </c>
      <c r="F430" s="20">
        <v>7.407</v>
      </c>
      <c r="G430" s="21">
        <v>2.3847900000000002</v>
      </c>
    </row>
    <row r="431" spans="1:14">
      <c r="A431" s="10">
        <v>12</v>
      </c>
      <c r="B431" s="75">
        <v>40736</v>
      </c>
      <c r="C431" s="10">
        <v>2011</v>
      </c>
      <c r="D431" s="4" t="s">
        <v>19</v>
      </c>
      <c r="E431" s="10">
        <v>7</v>
      </c>
      <c r="F431" s="20">
        <v>8.0679999999999996</v>
      </c>
      <c r="G431" s="21">
        <v>2.9900811249999997</v>
      </c>
    </row>
    <row r="432" spans="1:14">
      <c r="A432" s="10">
        <v>13</v>
      </c>
      <c r="B432" s="75">
        <v>40736</v>
      </c>
      <c r="C432" s="10">
        <v>2011</v>
      </c>
      <c r="D432" s="4" t="s">
        <v>19</v>
      </c>
      <c r="E432" s="10">
        <v>7</v>
      </c>
      <c r="F432" s="20">
        <v>8.9009999999999998</v>
      </c>
      <c r="G432" s="21">
        <v>2.87796275</v>
      </c>
      <c r="I432" s="21">
        <f>AVERAGE(F430:F432)</f>
        <v>8.125333333333332</v>
      </c>
      <c r="J432" s="21">
        <f>AVERAGE(G430:G432)</f>
        <v>2.7509446250000003</v>
      </c>
      <c r="L432">
        <f>+J432/I432</f>
        <v>0.33856391019855603</v>
      </c>
      <c r="M432">
        <f>+(L432-$L$927)/$L$928</f>
        <v>1.1807417580755144E-2</v>
      </c>
      <c r="N432">
        <f>+N429+M432</f>
        <v>-12.627953583900185</v>
      </c>
    </row>
    <row r="433" spans="1:14">
      <c r="A433" s="10">
        <v>11</v>
      </c>
      <c r="B433" s="75">
        <v>40772</v>
      </c>
      <c r="C433" s="10">
        <v>2011</v>
      </c>
      <c r="D433" s="4" t="s">
        <v>20</v>
      </c>
      <c r="E433" s="10">
        <v>8</v>
      </c>
      <c r="F433" s="20">
        <v>14.526999999999999</v>
      </c>
      <c r="G433" s="21">
        <v>6.8055946249999995</v>
      </c>
    </row>
    <row r="434" spans="1:14">
      <c r="A434" s="10">
        <v>12</v>
      </c>
      <c r="B434" s="75">
        <v>40772</v>
      </c>
      <c r="C434" s="10">
        <v>2011</v>
      </c>
      <c r="D434" s="4" t="s">
        <v>20</v>
      </c>
      <c r="E434" s="10">
        <v>8</v>
      </c>
      <c r="F434" s="20">
        <v>11.542999999999999</v>
      </c>
      <c r="G434" s="21">
        <v>4.6113218749999998</v>
      </c>
    </row>
    <row r="435" spans="1:14">
      <c r="A435" s="10">
        <v>13</v>
      </c>
      <c r="B435" s="75">
        <v>40772</v>
      </c>
      <c r="C435" s="10">
        <v>2011</v>
      </c>
      <c r="D435" s="4" t="s">
        <v>20</v>
      </c>
      <c r="E435" s="10">
        <v>8</v>
      </c>
      <c r="F435" s="20">
        <v>10.285</v>
      </c>
      <c r="G435" s="21">
        <v>4.1019173750000002</v>
      </c>
      <c r="I435" s="21">
        <f>AVERAGE(F433:F435)</f>
        <v>12.118333333333334</v>
      </c>
      <c r="J435" s="21">
        <f>AVERAGE(G433:G435)</f>
        <v>5.1729446249999995</v>
      </c>
      <c r="L435">
        <f>+J435/I435</f>
        <v>0.42686931302434322</v>
      </c>
      <c r="M435">
        <f>+(L435-$L$927)/$L$928</f>
        <v>1.1175864676059586</v>
      </c>
      <c r="N435">
        <f>+N432+M435</f>
        <v>-11.510367116294226</v>
      </c>
    </row>
    <row r="436" spans="1:14">
      <c r="A436" s="10">
        <v>11</v>
      </c>
      <c r="B436" s="75">
        <v>40798</v>
      </c>
      <c r="C436" s="10">
        <v>2011</v>
      </c>
      <c r="D436" s="4" t="s">
        <v>26</v>
      </c>
      <c r="E436" s="10">
        <v>9</v>
      </c>
      <c r="F436" s="20">
        <v>6.1180000000000003</v>
      </c>
      <c r="G436" s="21">
        <v>2.5321488749999999</v>
      </c>
    </row>
    <row r="437" spans="1:14">
      <c r="A437" s="10">
        <v>12</v>
      </c>
      <c r="B437" s="75">
        <v>40798</v>
      </c>
      <c r="C437" s="10">
        <v>2011</v>
      </c>
      <c r="D437" s="4" t="s">
        <v>26</v>
      </c>
      <c r="E437" s="10">
        <v>9</v>
      </c>
      <c r="F437" s="20">
        <v>5.444</v>
      </c>
      <c r="G437" s="21">
        <v>1.961626375</v>
      </c>
    </row>
    <row r="438" spans="1:14">
      <c r="A438" s="10">
        <v>13</v>
      </c>
      <c r="B438" s="75">
        <v>40798</v>
      </c>
      <c r="C438" s="10">
        <v>2011</v>
      </c>
      <c r="D438" s="4" t="s">
        <v>26</v>
      </c>
      <c r="E438" s="10">
        <v>9</v>
      </c>
      <c r="F438" s="20">
        <v>7.492</v>
      </c>
      <c r="G438" s="21">
        <v>2.0250244999999998</v>
      </c>
      <c r="I438" s="21">
        <f>AVERAGE(F436:F438)</f>
        <v>6.3513333333333337</v>
      </c>
      <c r="J438" s="21">
        <f>AVERAGE(G436:G438)</f>
        <v>2.1729332499999998</v>
      </c>
      <c r="L438">
        <f>+J438/I438</f>
        <v>0.34212237587908045</v>
      </c>
      <c r="M438">
        <f>+(L438-$L$927)/$L$928</f>
        <v>5.6367282253140895E-2</v>
      </c>
      <c r="N438">
        <f>+N435+M438</f>
        <v>-11.453999834041085</v>
      </c>
    </row>
    <row r="439" spans="1:14">
      <c r="A439" s="10">
        <v>11</v>
      </c>
      <c r="B439" s="75">
        <v>40829</v>
      </c>
      <c r="C439" s="10">
        <v>2011</v>
      </c>
      <c r="D439" s="4" t="s">
        <v>22</v>
      </c>
      <c r="E439" s="10">
        <v>10</v>
      </c>
      <c r="F439" s="22">
        <v>4.2300000000000004</v>
      </c>
      <c r="G439" s="21">
        <v>1.3820714999999997</v>
      </c>
    </row>
    <row r="440" spans="1:14">
      <c r="A440" s="10">
        <v>12</v>
      </c>
      <c r="B440" s="75">
        <v>40829</v>
      </c>
      <c r="C440" s="10">
        <v>2011</v>
      </c>
      <c r="D440" s="4" t="s">
        <v>22</v>
      </c>
      <c r="E440" s="10">
        <v>10</v>
      </c>
      <c r="F440" s="22">
        <v>4.702</v>
      </c>
      <c r="G440" s="21">
        <v>1.6734541249999999</v>
      </c>
    </row>
    <row r="441" spans="1:14">
      <c r="A441" s="10">
        <v>13</v>
      </c>
      <c r="B441" s="75">
        <v>40829</v>
      </c>
      <c r="C441" s="10">
        <v>2011</v>
      </c>
      <c r="D441" s="4" t="s">
        <v>22</v>
      </c>
      <c r="E441" s="10">
        <v>10</v>
      </c>
      <c r="F441" s="22">
        <v>2.5640000000000001</v>
      </c>
      <c r="G441" s="21">
        <v>0.92259524999999998</v>
      </c>
      <c r="I441" s="21">
        <f>AVERAGE(F439:F441)</f>
        <v>3.8320000000000003</v>
      </c>
      <c r="J441" s="21">
        <f>AVERAGE(G439:G441)</f>
        <v>1.3260402916666665</v>
      </c>
      <c r="L441">
        <f>+J441/I441</f>
        <v>0.3460439174495476</v>
      </c>
      <c r="M441">
        <f>+(L441-$L$927)/$L$928</f>
        <v>0.10547366050023937</v>
      </c>
      <c r="N441">
        <f>+N438+M441</f>
        <v>-11.348526173540845</v>
      </c>
    </row>
    <row r="442" spans="1:14">
      <c r="A442" s="10">
        <v>11</v>
      </c>
      <c r="B442" s="76">
        <v>40877</v>
      </c>
      <c r="C442" s="10">
        <v>2011</v>
      </c>
      <c r="D442" s="4" t="s">
        <v>23</v>
      </c>
      <c r="E442" s="10">
        <v>11</v>
      </c>
      <c r="F442" s="22">
        <v>5.2469999999999999</v>
      </c>
      <c r="G442" s="21">
        <v>2.2046882499999998</v>
      </c>
    </row>
    <row r="443" spans="1:14">
      <c r="A443" s="10">
        <v>12</v>
      </c>
      <c r="B443" s="76">
        <v>40877</v>
      </c>
      <c r="C443" s="10">
        <v>2011</v>
      </c>
      <c r="D443" s="4" t="s">
        <v>23</v>
      </c>
      <c r="E443" s="10">
        <v>11</v>
      </c>
      <c r="F443" s="22">
        <v>3.9009999999999998</v>
      </c>
      <c r="G443" s="21">
        <v>1.5061991250000002</v>
      </c>
    </row>
    <row r="444" spans="1:14">
      <c r="A444" s="10">
        <v>12</v>
      </c>
      <c r="B444" s="76">
        <v>40877</v>
      </c>
      <c r="C444" s="10">
        <v>2011</v>
      </c>
      <c r="D444" s="4" t="s">
        <v>23</v>
      </c>
      <c r="E444" s="10">
        <v>11</v>
      </c>
      <c r="F444" s="22">
        <v>3.9009999999999998</v>
      </c>
      <c r="G444" s="21">
        <v>1.5197596249999998</v>
      </c>
      <c r="H444" t="s">
        <v>41</v>
      </c>
      <c r="I444" s="21"/>
      <c r="J444" s="21"/>
    </row>
    <row r="445" spans="1:14">
      <c r="A445" s="10">
        <v>13</v>
      </c>
      <c r="B445" s="76">
        <v>40877</v>
      </c>
      <c r="C445" s="10">
        <v>2011</v>
      </c>
      <c r="D445" s="4" t="s">
        <v>23</v>
      </c>
      <c r="E445" s="10">
        <v>11</v>
      </c>
      <c r="F445" s="22">
        <v>4.9690000000000003</v>
      </c>
      <c r="G445" s="21">
        <v>1.7289521249999997</v>
      </c>
      <c r="I445" s="21">
        <f>AVERAGE(F442:F445)</f>
        <v>4.5045000000000002</v>
      </c>
      <c r="J445" s="21">
        <f>AVERAGE(G442:G445)</f>
        <v>1.7398997812499997</v>
      </c>
      <c r="L445">
        <f>+J445/I445</f>
        <v>0.3862581376956376</v>
      </c>
      <c r="M445">
        <f>+(L445-$L$927)/$L$928</f>
        <v>0.60904468603481765</v>
      </c>
      <c r="N445">
        <f>+N441+M445</f>
        <v>-10.739481487506028</v>
      </c>
    </row>
    <row r="446" spans="1:14">
      <c r="A446" s="10">
        <v>11</v>
      </c>
      <c r="B446" s="76">
        <v>40891</v>
      </c>
      <c r="C446" s="10">
        <v>2011</v>
      </c>
      <c r="D446" s="4" t="s">
        <v>24</v>
      </c>
      <c r="E446" s="10">
        <v>12</v>
      </c>
      <c r="F446" s="22">
        <v>5.8280000000000003</v>
      </c>
      <c r="G446" s="21">
        <v>2.1014538750000002</v>
      </c>
    </row>
    <row r="447" spans="1:14">
      <c r="A447" s="10">
        <v>12</v>
      </c>
      <c r="B447" s="76">
        <v>40891</v>
      </c>
      <c r="C447" s="10">
        <v>2011</v>
      </c>
      <c r="D447" s="4" t="s">
        <v>24</v>
      </c>
      <c r="E447" s="10">
        <v>12</v>
      </c>
      <c r="F447" s="22">
        <v>3.7679999999999998</v>
      </c>
      <c r="G447" s="21">
        <v>1.266158125</v>
      </c>
    </row>
    <row r="448" spans="1:14">
      <c r="A448" s="10">
        <v>13</v>
      </c>
      <c r="B448" s="76">
        <v>40891</v>
      </c>
      <c r="C448" s="10">
        <v>2011</v>
      </c>
      <c r="D448" s="4" t="s">
        <v>24</v>
      </c>
      <c r="E448" s="10">
        <v>12</v>
      </c>
      <c r="F448" s="22">
        <v>2.89</v>
      </c>
      <c r="G448" s="21">
        <v>0.91535650000000013</v>
      </c>
      <c r="I448" s="21">
        <f>AVERAGE(F446:F448)</f>
        <v>4.1619999999999999</v>
      </c>
      <c r="J448" s="21">
        <f>AVERAGE(G446:G448)</f>
        <v>1.4276561666666669</v>
      </c>
      <c r="L448">
        <f>+J448/I448</f>
        <v>0.34302166426397573</v>
      </c>
      <c r="M448">
        <f>+(L448-$L$927)/$L$928</f>
        <v>6.7628362822695937E-2</v>
      </c>
      <c r="N448">
        <f>+N445+M448</f>
        <v>-10.671853124683333</v>
      </c>
    </row>
    <row r="449" spans="1:14">
      <c r="A449" s="10">
        <v>11</v>
      </c>
      <c r="B449" s="75">
        <v>40919</v>
      </c>
      <c r="C449" s="10">
        <v>2012</v>
      </c>
      <c r="D449" s="4" t="s">
        <v>25</v>
      </c>
      <c r="E449" s="10">
        <v>1</v>
      </c>
      <c r="F449" s="24">
        <v>3.1659999999999999</v>
      </c>
      <c r="G449" s="21">
        <v>1.3702737499999997</v>
      </c>
    </row>
    <row r="450" spans="1:14">
      <c r="A450" s="10">
        <v>12</v>
      </c>
      <c r="B450" s="75">
        <v>40919</v>
      </c>
      <c r="C450" s="10">
        <v>2012</v>
      </c>
      <c r="D450" s="4" t="s">
        <v>25</v>
      </c>
      <c r="E450" s="10">
        <v>1</v>
      </c>
      <c r="F450" s="24">
        <v>1.8680000000000001</v>
      </c>
      <c r="G450" s="21">
        <v>0.67076824999999995</v>
      </c>
    </row>
    <row r="451" spans="1:14">
      <c r="A451" s="10">
        <v>13</v>
      </c>
      <c r="B451" s="75">
        <v>40919</v>
      </c>
      <c r="C451" s="10">
        <v>2012</v>
      </c>
      <c r="D451" s="4" t="s">
        <v>25</v>
      </c>
      <c r="E451" s="10">
        <v>1</v>
      </c>
      <c r="F451" s="24">
        <v>1.752</v>
      </c>
      <c r="G451" s="21">
        <v>0.61970674999999997</v>
      </c>
      <c r="I451" s="21">
        <f>AVERAGE(F449:F451)</f>
        <v>2.262</v>
      </c>
      <c r="J451" s="21">
        <f>AVERAGE(G449:G451)</f>
        <v>0.88691624999999996</v>
      </c>
      <c r="L451">
        <f>+J451/I451</f>
        <v>0.39209383289124666</v>
      </c>
      <c r="M451">
        <f>+(L451-$L$927)/$L$928</f>
        <v>0.68212050340431629</v>
      </c>
      <c r="N451">
        <f>+N448+M451</f>
        <v>-9.9897326212790158</v>
      </c>
    </row>
    <row r="452" spans="1:14">
      <c r="A452" s="10">
        <v>11</v>
      </c>
      <c r="B452" s="75">
        <v>40960</v>
      </c>
      <c r="C452" s="10">
        <v>2012</v>
      </c>
      <c r="D452" s="4" t="s">
        <v>14</v>
      </c>
      <c r="E452" s="10">
        <v>2</v>
      </c>
      <c r="F452" s="24">
        <v>10.074</v>
      </c>
      <c r="G452" s="21">
        <v>6.1832762499999996</v>
      </c>
    </row>
    <row r="453" spans="1:14">
      <c r="A453" s="10">
        <v>12</v>
      </c>
      <c r="B453" s="75">
        <v>40960</v>
      </c>
      <c r="C453" s="10">
        <v>2012</v>
      </c>
      <c r="D453" s="4" t="s">
        <v>14</v>
      </c>
      <c r="E453" s="10">
        <v>2</v>
      </c>
      <c r="F453" s="24">
        <v>3.7719999999999998</v>
      </c>
      <c r="G453" s="21">
        <v>1.9703310000000001</v>
      </c>
    </row>
    <row r="454" spans="1:14">
      <c r="A454" s="10">
        <v>13</v>
      </c>
      <c r="B454" s="75">
        <v>40960</v>
      </c>
      <c r="C454" s="10">
        <v>2012</v>
      </c>
      <c r="D454" s="4" t="s">
        <v>14</v>
      </c>
      <c r="E454" s="10">
        <v>2</v>
      </c>
      <c r="F454" s="24">
        <v>2.944</v>
      </c>
      <c r="G454" s="21">
        <v>1.5229422499999998</v>
      </c>
      <c r="I454" s="21">
        <f>AVERAGE(F452:F454)</f>
        <v>5.5966666666666667</v>
      </c>
      <c r="J454" s="21">
        <f>AVERAGE(G452:G454)</f>
        <v>3.2255164999999999</v>
      </c>
      <c r="L454">
        <f>+J454/I454</f>
        <v>0.5763281417510423</v>
      </c>
      <c r="M454">
        <f>+(L454-$L$927)/$L$928</f>
        <v>2.9891417332938097</v>
      </c>
      <c r="N454">
        <f>+N451+M454</f>
        <v>-7.0005908879852061</v>
      </c>
    </row>
    <row r="455" spans="1:14">
      <c r="A455" s="10">
        <v>11</v>
      </c>
      <c r="B455" s="75">
        <v>40982</v>
      </c>
      <c r="C455" s="10">
        <v>2012</v>
      </c>
      <c r="D455" s="4" t="s">
        <v>15</v>
      </c>
      <c r="E455" s="10">
        <v>3</v>
      </c>
      <c r="F455" s="24">
        <v>4.5389999999999997</v>
      </c>
      <c r="G455" s="21">
        <v>2.8869761249999999</v>
      </c>
    </row>
    <row r="456" spans="1:14">
      <c r="A456" s="10">
        <v>12</v>
      </c>
      <c r="B456" s="75">
        <v>40982</v>
      </c>
      <c r="C456" s="10">
        <v>2012</v>
      </c>
      <c r="D456" s="4" t="s">
        <v>15</v>
      </c>
      <c r="E456" s="10">
        <v>3</v>
      </c>
      <c r="F456" s="24">
        <v>4.1820000000000004</v>
      </c>
      <c r="G456" s="21">
        <v>2.6406029999999996</v>
      </c>
    </row>
    <row r="457" spans="1:14">
      <c r="A457" s="10">
        <v>13</v>
      </c>
      <c r="B457" s="75">
        <v>40982</v>
      </c>
      <c r="C457" s="10">
        <v>2012</v>
      </c>
      <c r="D457" s="4" t="s">
        <v>15</v>
      </c>
      <c r="E457" s="10">
        <v>3</v>
      </c>
      <c r="F457" s="24">
        <v>4.2619999999999996</v>
      </c>
      <c r="G457" s="21">
        <v>2.8146895000000001</v>
      </c>
      <c r="I457" s="21">
        <f>AVERAGE(F455:F457)</f>
        <v>4.3276666666666666</v>
      </c>
      <c r="J457" s="21">
        <f>AVERAGE(G455:G457)</f>
        <v>2.780756208333333</v>
      </c>
      <c r="L457">
        <f>+J457/I457</f>
        <v>0.64255323307401979</v>
      </c>
      <c r="M457">
        <f>+(L457-$L$927)/$L$928</f>
        <v>3.8184264228775988</v>
      </c>
      <c r="N457">
        <f>+N454+M457</f>
        <v>-3.1821644651076073</v>
      </c>
    </row>
    <row r="458" spans="1:14">
      <c r="A458" s="10">
        <v>11</v>
      </c>
      <c r="B458" s="75">
        <v>41016</v>
      </c>
      <c r="C458" s="10">
        <v>2012</v>
      </c>
      <c r="D458" s="4" t="s">
        <v>16</v>
      </c>
      <c r="E458" s="10">
        <v>4</v>
      </c>
      <c r="F458" s="20">
        <v>2.2309999999999999</v>
      </c>
      <c r="G458" s="21">
        <v>0.96337487499999985</v>
      </c>
    </row>
    <row r="459" spans="1:14">
      <c r="A459" s="10">
        <v>12</v>
      </c>
      <c r="B459" s="75">
        <v>41016</v>
      </c>
      <c r="C459" s="10">
        <v>2012</v>
      </c>
      <c r="D459" s="4" t="s">
        <v>16</v>
      </c>
      <c r="E459" s="10">
        <v>4</v>
      </c>
      <c r="F459" s="20">
        <v>3.3519999999999999</v>
      </c>
      <c r="G459" s="21">
        <v>1.5031683749999998</v>
      </c>
    </row>
    <row r="460" spans="1:14">
      <c r="A460" s="10">
        <v>13</v>
      </c>
      <c r="B460" s="75">
        <v>41016</v>
      </c>
      <c r="C460" s="10">
        <v>2012</v>
      </c>
      <c r="D460" s="4" t="s">
        <v>16</v>
      </c>
      <c r="E460" s="10">
        <v>4</v>
      </c>
      <c r="F460" s="20">
        <v>3.3849999999999998</v>
      </c>
      <c r="G460" s="21">
        <v>1.4835867499999997</v>
      </c>
      <c r="I460" s="21">
        <f>AVERAGE(F458:F460)</f>
        <v>2.9893333333333332</v>
      </c>
      <c r="J460" s="21">
        <f>AVERAGE(G458:G460)</f>
        <v>1.3167099999999998</v>
      </c>
      <c r="L460">
        <f>+J460/I460</f>
        <v>0.44046944692239071</v>
      </c>
      <c r="M460">
        <f>+(L460-$L$927)/$L$928</f>
        <v>1.2878902390713083</v>
      </c>
      <c r="N460">
        <f>+N457+M460</f>
        <v>-1.894274226036299</v>
      </c>
    </row>
    <row r="461" spans="1:14">
      <c r="A461" s="10">
        <v>11</v>
      </c>
      <c r="B461" s="75">
        <v>41051</v>
      </c>
      <c r="C461" s="10">
        <v>2012</v>
      </c>
      <c r="D461" s="4" t="s">
        <v>17</v>
      </c>
      <c r="E461" s="10">
        <v>5</v>
      </c>
      <c r="F461" s="20">
        <v>4.1159999999999997</v>
      </c>
      <c r="G461" s="21">
        <v>1.948039125</v>
      </c>
    </row>
    <row r="462" spans="1:14">
      <c r="A462" s="10">
        <v>12</v>
      </c>
      <c r="B462" s="75">
        <v>41051</v>
      </c>
      <c r="C462" s="10">
        <v>2012</v>
      </c>
      <c r="D462" s="4" t="s">
        <v>17</v>
      </c>
      <c r="E462" s="10">
        <v>5</v>
      </c>
      <c r="F462" s="20">
        <v>3.0649999999999999</v>
      </c>
      <c r="G462" s="21">
        <v>1.2835183749999999</v>
      </c>
    </row>
    <row r="463" spans="1:14">
      <c r="A463" s="10">
        <v>13</v>
      </c>
      <c r="B463" s="75">
        <v>41051</v>
      </c>
      <c r="C463" s="10">
        <v>2012</v>
      </c>
      <c r="D463" s="4" t="s">
        <v>17</v>
      </c>
      <c r="E463" s="10">
        <v>5</v>
      </c>
      <c r="F463" s="20">
        <v>3.484</v>
      </c>
      <c r="G463" s="21">
        <v>1.579865375</v>
      </c>
      <c r="I463" s="21">
        <f>AVERAGE(F461:F463)</f>
        <v>3.5549999999999997</v>
      </c>
      <c r="J463" s="21">
        <f>AVERAGE(G461:G463)</f>
        <v>1.603807625</v>
      </c>
      <c r="L463">
        <f>+J463/I463</f>
        <v>0.45114138537271453</v>
      </c>
      <c r="M463">
        <f>+(L463-$L$927)/$L$928</f>
        <v>1.4215265238726773</v>
      </c>
      <c r="N463">
        <f>+N460+M463</f>
        <v>-0.47274770216362172</v>
      </c>
    </row>
    <row r="464" spans="1:14">
      <c r="A464" s="10">
        <v>11</v>
      </c>
      <c r="B464" s="75">
        <v>41080</v>
      </c>
      <c r="C464" s="10">
        <v>2012</v>
      </c>
      <c r="D464" s="4" t="s">
        <v>18</v>
      </c>
      <c r="E464" s="10">
        <v>6</v>
      </c>
      <c r="F464" s="20">
        <v>6.0650000000000004</v>
      </c>
      <c r="G464" s="21">
        <v>2.9487294999999993</v>
      </c>
    </row>
    <row r="465" spans="1:14">
      <c r="A465" s="10">
        <v>12</v>
      </c>
      <c r="B465" s="75">
        <v>41080</v>
      </c>
      <c r="C465" s="10">
        <v>2012</v>
      </c>
      <c r="D465" s="4" t="s">
        <v>18</v>
      </c>
      <c r="E465" s="10">
        <v>6</v>
      </c>
      <c r="F465" s="20">
        <v>7.391</v>
      </c>
      <c r="G465" s="21">
        <v>3.4595098750000002</v>
      </c>
    </row>
    <row r="466" spans="1:14">
      <c r="A466" s="10">
        <v>13</v>
      </c>
      <c r="B466" s="75">
        <v>41080</v>
      </c>
      <c r="C466" s="10">
        <v>2012</v>
      </c>
      <c r="D466" s="4" t="s">
        <v>18</v>
      </c>
      <c r="E466" s="10">
        <v>6</v>
      </c>
      <c r="F466" s="20">
        <v>3.9510000000000001</v>
      </c>
      <c r="G466" s="21">
        <v>1.9691268749999999</v>
      </c>
      <c r="I466" s="21">
        <f>AVERAGE(F464:F466)</f>
        <v>5.8023333333333333</v>
      </c>
      <c r="J466" s="21">
        <f>AVERAGE(G464:G466)</f>
        <v>2.7924554166666664</v>
      </c>
      <c r="L466">
        <f>+J466/I466</f>
        <v>0.48126421841787781</v>
      </c>
      <c r="M466">
        <f>+(L466-$L$927)/$L$928</f>
        <v>1.7987310509214052</v>
      </c>
      <c r="N466">
        <f>+N463+M466</f>
        <v>1.3259833487577835</v>
      </c>
    </row>
    <row r="467" spans="1:14">
      <c r="A467" s="10">
        <v>11</v>
      </c>
      <c r="B467" s="75">
        <v>41106</v>
      </c>
      <c r="C467" s="10">
        <v>2012</v>
      </c>
      <c r="D467" s="4" t="s">
        <v>19</v>
      </c>
      <c r="E467" s="10">
        <v>7</v>
      </c>
      <c r="F467" s="20">
        <v>11.896000000000001</v>
      </c>
      <c r="G467" s="21">
        <v>5.6289861250000008</v>
      </c>
    </row>
    <row r="468" spans="1:14">
      <c r="A468" s="10">
        <v>12</v>
      </c>
      <c r="B468" s="75">
        <v>41106</v>
      </c>
      <c r="C468" s="10">
        <v>2012</v>
      </c>
      <c r="D468" s="4" t="s">
        <v>19</v>
      </c>
      <c r="E468" s="10">
        <v>7</v>
      </c>
      <c r="F468" s="20">
        <v>14.032999999999999</v>
      </c>
      <c r="G468" s="21">
        <v>6.0719256249999995</v>
      </c>
    </row>
    <row r="469" spans="1:14">
      <c r="A469" s="10">
        <v>13</v>
      </c>
      <c r="B469" s="75">
        <v>41106</v>
      </c>
      <c r="C469" s="10">
        <v>2012</v>
      </c>
      <c r="D469" s="4" t="s">
        <v>19</v>
      </c>
      <c r="E469" s="10">
        <v>7</v>
      </c>
      <c r="F469" s="20">
        <v>17.782</v>
      </c>
      <c r="G469" s="21">
        <v>7.5874634999999993</v>
      </c>
      <c r="I469" s="21">
        <f>AVERAGE(F467:F469)</f>
        <v>14.570333333333332</v>
      </c>
      <c r="J469" s="21">
        <f>AVERAGE(G467:G469)</f>
        <v>6.429458416666666</v>
      </c>
      <c r="L469">
        <f>+J469/I469</f>
        <v>0.44127050971151427</v>
      </c>
      <c r="M469">
        <f>+(L469-$L$927)/$L$928</f>
        <v>1.297921317823252</v>
      </c>
      <c r="N469">
        <f>+N466+M469</f>
        <v>2.6239046665810353</v>
      </c>
    </row>
    <row r="470" spans="1:14">
      <c r="A470" s="10">
        <v>11</v>
      </c>
      <c r="B470" s="75">
        <v>41137</v>
      </c>
      <c r="C470" s="10">
        <v>2012</v>
      </c>
      <c r="D470" s="4" t="s">
        <v>20</v>
      </c>
      <c r="E470" s="10">
        <v>8</v>
      </c>
      <c r="F470" s="20">
        <v>7.7460000000000004</v>
      </c>
      <c r="G470" s="21">
        <v>3.8873463749999995</v>
      </c>
    </row>
    <row r="471" spans="1:14">
      <c r="A471" s="10">
        <v>12</v>
      </c>
      <c r="B471" s="75">
        <v>41137</v>
      </c>
      <c r="C471" s="10">
        <v>2012</v>
      </c>
      <c r="D471" s="4" t="s">
        <v>20</v>
      </c>
      <c r="E471" s="10">
        <v>8</v>
      </c>
      <c r="F471" s="20">
        <v>9.8290000000000006</v>
      </c>
      <c r="G471" s="21">
        <v>4.8998348749999998</v>
      </c>
    </row>
    <row r="472" spans="1:14">
      <c r="A472" s="10">
        <v>13</v>
      </c>
      <c r="B472" s="75">
        <v>41137</v>
      </c>
      <c r="C472" s="10">
        <v>2012</v>
      </c>
      <c r="D472" s="4" t="s">
        <v>20</v>
      </c>
      <c r="E472" s="10">
        <v>8</v>
      </c>
      <c r="F472" s="20">
        <v>11.077</v>
      </c>
      <c r="G472" s="21">
        <v>4.7550923749999994</v>
      </c>
      <c r="I472" s="21">
        <f>AVERAGE(F470:F472)</f>
        <v>9.5506666666666664</v>
      </c>
      <c r="J472" s="21">
        <f>AVERAGE(G470:G472)</f>
        <v>4.5140912083333333</v>
      </c>
      <c r="L472">
        <f>+J472/I472</f>
        <v>0.47264671314393414</v>
      </c>
      <c r="M472">
        <f>+(L472-$L$927)/$L$928</f>
        <v>1.6908208156416007</v>
      </c>
      <c r="N472">
        <f>+N469+M472</f>
        <v>4.3147254822226362</v>
      </c>
    </row>
    <row r="473" spans="1:14">
      <c r="A473" s="10">
        <v>11</v>
      </c>
      <c r="B473" s="75">
        <v>41163</v>
      </c>
      <c r="C473" s="10">
        <v>2012</v>
      </c>
      <c r="D473" s="4" t="s">
        <v>26</v>
      </c>
      <c r="E473" s="10">
        <v>9</v>
      </c>
      <c r="F473" s="20">
        <v>17.579999999999998</v>
      </c>
      <c r="G473" s="21">
        <v>2.6363088750000006</v>
      </c>
    </row>
    <row r="474" spans="1:14">
      <c r="A474" s="10">
        <v>12</v>
      </c>
      <c r="B474" s="75">
        <v>41163</v>
      </c>
      <c r="C474" s="10">
        <v>2012</v>
      </c>
      <c r="D474" s="4" t="s">
        <v>26</v>
      </c>
      <c r="E474" s="10">
        <v>9</v>
      </c>
      <c r="F474" s="20">
        <v>11.577999999999999</v>
      </c>
      <c r="G474" s="21">
        <v>5.1235724999999999</v>
      </c>
    </row>
    <row r="475" spans="1:14">
      <c r="A475" s="10">
        <v>13</v>
      </c>
      <c r="B475" s="75">
        <v>41163</v>
      </c>
      <c r="C475" s="10">
        <v>2012</v>
      </c>
      <c r="D475" s="4" t="s">
        <v>26</v>
      </c>
      <c r="E475" s="10">
        <v>9</v>
      </c>
      <c r="F475" s="20">
        <v>11.763</v>
      </c>
      <c r="G475" s="21">
        <v>5.2359986249999997</v>
      </c>
      <c r="I475" s="21">
        <f>AVERAGE(F473:F475)</f>
        <v>13.640333333333333</v>
      </c>
      <c r="J475" s="21">
        <f>AVERAGE(G473:G475)</f>
        <v>4.3319599999999996</v>
      </c>
      <c r="L475">
        <f>+J475/I475</f>
        <v>0.31758461425673856</v>
      </c>
      <c r="M475">
        <f>+(L475-$L$927)/$L$928</f>
        <v>-0.25089979165430698</v>
      </c>
      <c r="N475">
        <f>+N472+M475</f>
        <v>4.0638256905683292</v>
      </c>
    </row>
    <row r="476" spans="1:14">
      <c r="A476" s="10">
        <v>11</v>
      </c>
      <c r="B476" s="75">
        <v>41199</v>
      </c>
      <c r="C476" s="10">
        <v>2012</v>
      </c>
      <c r="D476" s="4" t="s">
        <v>22</v>
      </c>
      <c r="E476" s="10">
        <v>10</v>
      </c>
      <c r="F476" s="20">
        <v>4.9379999999999997</v>
      </c>
      <c r="G476" s="21">
        <v>2.2856633749999999</v>
      </c>
    </row>
    <row r="477" spans="1:14">
      <c r="A477" s="10">
        <v>11</v>
      </c>
      <c r="B477" s="75">
        <v>41199</v>
      </c>
      <c r="C477" s="10">
        <v>2012</v>
      </c>
      <c r="D477" s="4" t="s">
        <v>22</v>
      </c>
      <c r="E477" s="10">
        <v>10</v>
      </c>
      <c r="F477" s="20">
        <v>4.9379999999999997</v>
      </c>
      <c r="G477" s="21">
        <v>3.1197763749999998</v>
      </c>
      <c r="H477" t="s">
        <v>41</v>
      </c>
    </row>
    <row r="478" spans="1:14">
      <c r="A478" s="10">
        <v>12</v>
      </c>
      <c r="B478" s="75">
        <v>41199</v>
      </c>
      <c r="C478" s="10">
        <v>2012</v>
      </c>
      <c r="D478" s="4" t="s">
        <v>22</v>
      </c>
      <c r="E478" s="10">
        <v>10</v>
      </c>
      <c r="F478" s="20">
        <v>7.0069999999999997</v>
      </c>
      <c r="G478" s="21">
        <v>3.1131591249999992</v>
      </c>
    </row>
    <row r="479" spans="1:14">
      <c r="A479" s="10">
        <v>13</v>
      </c>
      <c r="B479" s="75">
        <v>41199</v>
      </c>
      <c r="C479" s="10">
        <v>2012</v>
      </c>
      <c r="D479" s="4" t="s">
        <v>22</v>
      </c>
      <c r="E479" s="10">
        <v>10</v>
      </c>
      <c r="F479" s="20">
        <v>3.952</v>
      </c>
      <c r="G479" s="21">
        <v>1.3673358750000002</v>
      </c>
      <c r="I479" s="21">
        <f>AVERAGE(F476:F479)</f>
        <v>5.2087500000000002</v>
      </c>
      <c r="J479" s="21">
        <f>AVERAGE(G476:G479)</f>
        <v>2.4714836874999997</v>
      </c>
      <c r="L479">
        <f>+J479/I479</f>
        <v>0.47448690904727614</v>
      </c>
      <c r="M479">
        <f>+(L479-$L$927)/$L$928</f>
        <v>1.7138641404296913</v>
      </c>
      <c r="N479">
        <f>+N475+M479</f>
        <v>5.7776898309980202</v>
      </c>
    </row>
    <row r="480" spans="1:14">
      <c r="A480" s="10">
        <v>11</v>
      </c>
      <c r="B480" s="75">
        <v>41225</v>
      </c>
      <c r="C480" s="10">
        <v>2012</v>
      </c>
      <c r="D480" s="4" t="s">
        <v>23</v>
      </c>
      <c r="E480" s="10">
        <v>11</v>
      </c>
      <c r="F480" s="20">
        <v>3.0910000000000002</v>
      </c>
      <c r="G480" s="21">
        <v>1.0666119999999999</v>
      </c>
    </row>
    <row r="481" spans="1:14">
      <c r="A481" s="10">
        <v>12</v>
      </c>
      <c r="B481" s="75">
        <v>41225</v>
      </c>
      <c r="C481" s="10">
        <v>2012</v>
      </c>
      <c r="D481" s="4" t="s">
        <v>23</v>
      </c>
      <c r="E481" s="10">
        <v>11</v>
      </c>
      <c r="F481" s="20">
        <v>2.972</v>
      </c>
      <c r="G481" s="21">
        <v>1.0841155</v>
      </c>
    </row>
    <row r="482" spans="1:14">
      <c r="A482" s="10">
        <v>13</v>
      </c>
      <c r="B482" s="75">
        <v>41225</v>
      </c>
      <c r="C482" s="10">
        <v>2012</v>
      </c>
      <c r="D482" s="4" t="s">
        <v>23</v>
      </c>
      <c r="E482" s="10">
        <v>11</v>
      </c>
      <c r="F482" s="20">
        <v>3.5569999999999999</v>
      </c>
      <c r="G482" s="21">
        <v>0.98464987500000001</v>
      </c>
      <c r="I482" s="21">
        <f>AVERAGE(F480:F482)</f>
        <v>3.206666666666667</v>
      </c>
      <c r="J482" s="21">
        <f>AVERAGE(G480:G482)</f>
        <v>1.0451257916666667</v>
      </c>
      <c r="L482">
        <f>+J482/I482</f>
        <v>0.32592280405405405</v>
      </c>
      <c r="M482">
        <f>+(L482-$L$927)/$L$928</f>
        <v>-0.14648720422525269</v>
      </c>
      <c r="N482">
        <f>+N479+M482</f>
        <v>5.6312026267727679</v>
      </c>
    </row>
    <row r="483" spans="1:14">
      <c r="A483" s="10">
        <v>11</v>
      </c>
      <c r="B483" s="75">
        <v>41255</v>
      </c>
      <c r="C483" s="10">
        <v>2012</v>
      </c>
      <c r="D483" s="4" t="s">
        <v>24</v>
      </c>
      <c r="E483" s="10">
        <v>12</v>
      </c>
      <c r="F483" s="20">
        <v>4.9489999999999998</v>
      </c>
      <c r="G483" s="21">
        <v>2.3572837500000001</v>
      </c>
    </row>
    <row r="484" spans="1:14">
      <c r="A484" s="10">
        <v>12</v>
      </c>
      <c r="B484" s="75">
        <v>41255</v>
      </c>
      <c r="C484" s="10">
        <v>2012</v>
      </c>
      <c r="D484" s="4" t="s">
        <v>24</v>
      </c>
      <c r="E484" s="10">
        <v>12</v>
      </c>
      <c r="F484" s="20">
        <v>3.1360000000000001</v>
      </c>
      <c r="G484" s="21">
        <v>1.3751918750000003</v>
      </c>
    </row>
    <row r="485" spans="1:14">
      <c r="A485" s="10">
        <v>12</v>
      </c>
      <c r="B485" s="75">
        <v>41255</v>
      </c>
      <c r="C485" s="10">
        <v>2012</v>
      </c>
      <c r="D485" s="4" t="s">
        <v>24</v>
      </c>
      <c r="E485" s="10">
        <v>12</v>
      </c>
      <c r="F485" s="20">
        <v>3.1360000000000001</v>
      </c>
      <c r="G485" s="21">
        <v>1.3254917499999999</v>
      </c>
      <c r="H485" t="s">
        <v>41</v>
      </c>
    </row>
    <row r="486" spans="1:14">
      <c r="A486" s="10">
        <v>13</v>
      </c>
      <c r="B486" s="75">
        <v>41255</v>
      </c>
      <c r="C486" s="10">
        <v>2012</v>
      </c>
      <c r="D486" s="4" t="s">
        <v>24</v>
      </c>
      <c r="E486" s="10">
        <v>12</v>
      </c>
      <c r="F486" s="20">
        <v>3.4969999999999999</v>
      </c>
      <c r="G486" s="21">
        <v>1.4116056250000002</v>
      </c>
      <c r="I486" s="21">
        <f>AVERAGE(F483:F486)</f>
        <v>3.6795</v>
      </c>
      <c r="J486" s="21">
        <f>AVERAGE(G483:G486)</f>
        <v>1.6173932500000001</v>
      </c>
      <c r="L486">
        <f>+J486/I486</f>
        <v>0.439568759342302</v>
      </c>
      <c r="M486">
        <f>+(L486-$L$927)/$L$928</f>
        <v>1.2766116374817218</v>
      </c>
      <c r="N486">
        <f>+N482+M486</f>
        <v>6.9078142642544895</v>
      </c>
    </row>
    <row r="487" spans="1:14">
      <c r="A487" s="10">
        <v>11</v>
      </c>
      <c r="B487" s="75">
        <v>41297</v>
      </c>
      <c r="C487" s="10">
        <v>2013</v>
      </c>
      <c r="D487" s="4" t="s">
        <v>25</v>
      </c>
      <c r="E487" s="10">
        <v>1</v>
      </c>
      <c r="F487" s="20">
        <v>4.6619999999999999</v>
      </c>
      <c r="G487" s="21">
        <v>2.0398047500000001</v>
      </c>
    </row>
    <row r="488" spans="1:14">
      <c r="A488" s="10">
        <v>12</v>
      </c>
      <c r="B488" s="75">
        <v>41297</v>
      </c>
      <c r="C488" s="10">
        <v>2013</v>
      </c>
      <c r="D488" s="4" t="s">
        <v>25</v>
      </c>
      <c r="E488" s="10">
        <v>1</v>
      </c>
      <c r="F488" s="20">
        <v>2.7789999999999999</v>
      </c>
      <c r="G488" s="21">
        <v>1.0251213749999997</v>
      </c>
    </row>
    <row r="489" spans="1:14">
      <c r="A489" s="10">
        <v>13</v>
      </c>
      <c r="B489" s="75">
        <v>41297</v>
      </c>
      <c r="C489" s="10">
        <v>2013</v>
      </c>
      <c r="D489" s="4" t="s">
        <v>25</v>
      </c>
      <c r="E489" s="10">
        <v>1</v>
      </c>
      <c r="F489" s="20">
        <v>5.9459999999999997</v>
      </c>
      <c r="G489" s="21">
        <v>2.3527458749999997</v>
      </c>
      <c r="I489" s="21">
        <f>AVERAGE(F487:F489)</f>
        <v>4.4623333333333335</v>
      </c>
      <c r="J489" s="21">
        <f>AVERAGE(G487:G489)</f>
        <v>1.8058906666666665</v>
      </c>
      <c r="L489">
        <f>+J489/I489</f>
        <v>0.40469649660118023</v>
      </c>
      <c r="M489">
        <f>+(L489-$L$927)/$L$928</f>
        <v>0.83993374086217076</v>
      </c>
      <c r="N489">
        <f>+N486+M489</f>
        <v>7.7477480051166605</v>
      </c>
    </row>
    <row r="490" spans="1:14">
      <c r="A490" s="10">
        <v>11</v>
      </c>
      <c r="B490" s="75">
        <v>41319</v>
      </c>
      <c r="C490" s="10">
        <v>2013</v>
      </c>
      <c r="D490" s="4" t="s">
        <v>14</v>
      </c>
      <c r="E490" s="10">
        <v>2</v>
      </c>
      <c r="F490" s="25">
        <v>7.484</v>
      </c>
      <c r="G490" s="21">
        <v>3.0978424999999996</v>
      </c>
    </row>
    <row r="491" spans="1:14">
      <c r="A491" s="10">
        <v>12</v>
      </c>
      <c r="B491" s="75">
        <v>41319</v>
      </c>
      <c r="C491" s="10">
        <v>2013</v>
      </c>
      <c r="D491" s="4" t="s">
        <v>14</v>
      </c>
      <c r="E491" s="10">
        <v>2</v>
      </c>
      <c r="F491" s="25">
        <v>4.5819999999999999</v>
      </c>
      <c r="G491" s="21">
        <v>1.9233933750000001</v>
      </c>
    </row>
    <row r="492" spans="1:14">
      <c r="A492" s="10">
        <v>13</v>
      </c>
      <c r="B492" s="75">
        <v>41319</v>
      </c>
      <c r="C492" s="10">
        <v>2013</v>
      </c>
      <c r="D492" s="4" t="s">
        <v>14</v>
      </c>
      <c r="E492" s="10">
        <v>2</v>
      </c>
      <c r="F492" s="25">
        <v>1.8879999999999999</v>
      </c>
      <c r="G492" s="21">
        <v>0.71894349999999985</v>
      </c>
      <c r="I492" s="21">
        <f>AVERAGE(F490:F492)</f>
        <v>4.6513333333333327</v>
      </c>
      <c r="J492" s="21">
        <f>AVERAGE(G490:G492)</f>
        <v>1.9133931249999998</v>
      </c>
      <c r="L492">
        <f>+J492/I492</f>
        <v>0.41136443851225457</v>
      </c>
      <c r="M492">
        <f>+(L492-$L$927)/$L$928</f>
        <v>0.92343112874677546</v>
      </c>
      <c r="N492">
        <f>+N489+M492</f>
        <v>8.6711791338634363</v>
      </c>
    </row>
    <row r="493" spans="1:14">
      <c r="A493" s="10">
        <v>11</v>
      </c>
      <c r="B493" s="75">
        <v>41346</v>
      </c>
      <c r="C493" s="10">
        <v>2013</v>
      </c>
      <c r="D493" s="4" t="s">
        <v>15</v>
      </c>
      <c r="E493" s="10">
        <v>3</v>
      </c>
      <c r="F493" s="25">
        <v>13.848000000000001</v>
      </c>
      <c r="G493" s="21">
        <v>7.2858632500000002</v>
      </c>
    </row>
    <row r="494" spans="1:14">
      <c r="A494" s="10">
        <v>12</v>
      </c>
      <c r="B494" s="75">
        <v>41346</v>
      </c>
      <c r="C494" s="10">
        <v>2013</v>
      </c>
      <c r="D494" s="4" t="s">
        <v>15</v>
      </c>
      <c r="E494" s="10">
        <v>3</v>
      </c>
      <c r="F494" s="25">
        <v>9.6890000000000001</v>
      </c>
      <c r="G494" s="21">
        <v>5.6795802499999999</v>
      </c>
    </row>
    <row r="495" spans="1:14">
      <c r="A495" s="10">
        <v>13</v>
      </c>
      <c r="B495" s="75">
        <v>41346</v>
      </c>
      <c r="C495" s="10">
        <v>2013</v>
      </c>
      <c r="D495" s="4" t="s">
        <v>15</v>
      </c>
      <c r="E495" s="10">
        <v>3</v>
      </c>
      <c r="F495" s="25">
        <v>5.9370000000000003</v>
      </c>
      <c r="G495" s="21">
        <v>3.3197887499999994</v>
      </c>
      <c r="I495" s="21">
        <f>AVERAGE(F493:F495)</f>
        <v>9.8246666666666673</v>
      </c>
      <c r="J495" s="21">
        <f>AVERAGE(G493:G495)</f>
        <v>5.4284107500000003</v>
      </c>
      <c r="L495">
        <f>+J495/I495</f>
        <v>0.55252874567415344</v>
      </c>
      <c r="M495">
        <f>+(L495-$L$927)/$L$928</f>
        <v>2.6911206299079296</v>
      </c>
      <c r="N495">
        <f>+N492+M495</f>
        <v>11.362299763771366</v>
      </c>
    </row>
    <row r="496" spans="1:14">
      <c r="A496" s="10">
        <v>11</v>
      </c>
      <c r="B496" s="75">
        <v>41380</v>
      </c>
      <c r="C496" s="10">
        <v>2013</v>
      </c>
      <c r="D496" s="4" t="s">
        <v>16</v>
      </c>
      <c r="E496" s="10">
        <v>4</v>
      </c>
      <c r="F496" s="26">
        <v>1.5489999999999999</v>
      </c>
      <c r="G496" s="21">
        <v>0.6352351249999999</v>
      </c>
    </row>
    <row r="497" spans="1:14">
      <c r="A497" s="10">
        <v>12</v>
      </c>
      <c r="B497" s="75">
        <v>41380</v>
      </c>
      <c r="C497" s="10">
        <v>2013</v>
      </c>
      <c r="D497" s="4" t="s">
        <v>16</v>
      </c>
      <c r="E497" s="10">
        <v>4</v>
      </c>
      <c r="F497" s="26">
        <v>2.6190000000000002</v>
      </c>
      <c r="G497" s="21">
        <v>1.34654775</v>
      </c>
    </row>
    <row r="498" spans="1:14">
      <c r="A498" s="10">
        <v>13</v>
      </c>
      <c r="B498" s="75">
        <v>41380</v>
      </c>
      <c r="C498" s="10">
        <v>2013</v>
      </c>
      <c r="D498" s="4" t="s">
        <v>16</v>
      </c>
      <c r="E498" s="10">
        <v>4</v>
      </c>
      <c r="F498" s="26">
        <v>2.4119999999999999</v>
      </c>
      <c r="G498" s="21">
        <v>1.3297477499999999</v>
      </c>
      <c r="I498" s="21">
        <f>AVERAGE(F496:F498)</f>
        <v>2.1933333333333334</v>
      </c>
      <c r="J498" s="21">
        <f>AVERAGE(G496:G498)</f>
        <v>1.1038435416666665</v>
      </c>
      <c r="L498">
        <f>+J498/I498</f>
        <v>0.50327213145896654</v>
      </c>
      <c r="M498">
        <f>+(L498-$L$927)/$L$928</f>
        <v>2.0743188224151075</v>
      </c>
      <c r="N498">
        <f>+N495+M498</f>
        <v>13.436618586186473</v>
      </c>
    </row>
    <row r="499" spans="1:14">
      <c r="A499" s="10">
        <v>11</v>
      </c>
      <c r="B499" s="75">
        <v>41407</v>
      </c>
      <c r="C499" s="10">
        <v>2013</v>
      </c>
      <c r="D499" s="4" t="s">
        <v>17</v>
      </c>
      <c r="E499" s="10">
        <v>5</v>
      </c>
      <c r="F499" s="26">
        <v>2.3940000000000001</v>
      </c>
      <c r="G499" s="21">
        <v>1.0136084999999997</v>
      </c>
    </row>
    <row r="500" spans="1:14">
      <c r="A500" s="10">
        <v>12</v>
      </c>
      <c r="B500" s="75">
        <v>41407</v>
      </c>
      <c r="C500" s="10">
        <v>2013</v>
      </c>
      <c r="D500" s="4" t="s">
        <v>17</v>
      </c>
      <c r="E500" s="10">
        <v>5</v>
      </c>
      <c r="F500" s="26">
        <v>2.3199999999999998</v>
      </c>
      <c r="G500" s="21">
        <v>0.73509674999999974</v>
      </c>
    </row>
    <row r="501" spans="1:14">
      <c r="A501" s="10">
        <v>13</v>
      </c>
      <c r="B501" s="75">
        <v>41407</v>
      </c>
      <c r="C501" s="10">
        <v>2013</v>
      </c>
      <c r="D501" s="4" t="s">
        <v>17</v>
      </c>
      <c r="E501" s="10">
        <v>5</v>
      </c>
      <c r="F501" s="26">
        <v>5.3440000000000003</v>
      </c>
      <c r="G501" s="21">
        <v>1.8850132499999999</v>
      </c>
      <c r="I501" s="21">
        <f>AVERAGE(F499:F501)</f>
        <v>3.3526666666666665</v>
      </c>
      <c r="J501" s="21">
        <f>AVERAGE(G499:G501)</f>
        <v>1.2112394999999998</v>
      </c>
      <c r="L501">
        <f>+J501/I501</f>
        <v>0.3612764466096639</v>
      </c>
      <c r="M501">
        <f>+(L501-$L$927)/$L$928</f>
        <v>0.29621863289320643</v>
      </c>
      <c r="N501">
        <f>+N498+M501</f>
        <v>13.732837219079679</v>
      </c>
    </row>
    <row r="502" spans="1:14">
      <c r="A502" s="10">
        <v>11</v>
      </c>
      <c r="B502" s="75">
        <v>41437</v>
      </c>
      <c r="C502" s="10">
        <v>2013</v>
      </c>
      <c r="D502" s="4" t="s">
        <v>18</v>
      </c>
      <c r="E502" s="10">
        <v>6</v>
      </c>
      <c r="F502" s="26">
        <v>5.2050000000000001</v>
      </c>
      <c r="G502" s="21">
        <v>2.2578070000000001</v>
      </c>
    </row>
    <row r="503" spans="1:14">
      <c r="A503" s="10">
        <v>12</v>
      </c>
      <c r="B503" s="75">
        <v>41437</v>
      </c>
      <c r="C503" s="10">
        <v>2013</v>
      </c>
      <c r="D503" s="4" t="s">
        <v>18</v>
      </c>
      <c r="E503" s="10">
        <v>6</v>
      </c>
      <c r="F503" s="26">
        <v>8.9550000000000001</v>
      </c>
      <c r="G503" s="21">
        <v>3.8635747499999993</v>
      </c>
    </row>
    <row r="504" spans="1:14">
      <c r="A504" s="10">
        <v>13</v>
      </c>
      <c r="B504" s="75">
        <v>41437</v>
      </c>
      <c r="C504" s="10">
        <v>2013</v>
      </c>
      <c r="D504" s="4" t="s">
        <v>18</v>
      </c>
      <c r="E504" s="10">
        <v>6</v>
      </c>
      <c r="F504" s="26">
        <v>9.2710000000000008</v>
      </c>
      <c r="G504" s="21">
        <v>4.2085555000000001</v>
      </c>
      <c r="I504" s="21">
        <f>AVERAGE(F502:F504)</f>
        <v>7.8103333333333333</v>
      </c>
      <c r="J504" s="21">
        <f>AVERAGE(G502:G504)</f>
        <v>3.4433124166666667</v>
      </c>
      <c r="L504">
        <f>+J504/I504</f>
        <v>0.44086625624173104</v>
      </c>
      <c r="M504">
        <f>+(L504-$L$927)/$L$928</f>
        <v>1.2928591698291119</v>
      </c>
      <c r="N504">
        <f>+N501+M504</f>
        <v>15.025696388908791</v>
      </c>
    </row>
    <row r="505" spans="1:14">
      <c r="A505" s="10">
        <v>11</v>
      </c>
      <c r="B505" s="75">
        <v>41470</v>
      </c>
      <c r="C505" s="10">
        <v>2013</v>
      </c>
      <c r="D505" s="4" t="s">
        <v>19</v>
      </c>
      <c r="E505" s="10">
        <v>7</v>
      </c>
      <c r="F505" s="26">
        <v>8.0090000000000003</v>
      </c>
      <c r="G505" s="21">
        <v>3.1410287500000003</v>
      </c>
    </row>
    <row r="506" spans="1:14">
      <c r="A506" s="10">
        <v>12</v>
      </c>
      <c r="B506" s="75">
        <v>41470</v>
      </c>
      <c r="C506" s="10">
        <v>2013</v>
      </c>
      <c r="D506" s="4" t="s">
        <v>19</v>
      </c>
      <c r="E506" s="10">
        <v>7</v>
      </c>
      <c r="F506" s="26">
        <v>14.608000000000001</v>
      </c>
      <c r="G506" s="21">
        <v>6.78425425</v>
      </c>
    </row>
    <row r="507" spans="1:14">
      <c r="A507" s="10">
        <v>13</v>
      </c>
      <c r="B507" s="75">
        <v>41470</v>
      </c>
      <c r="C507" s="10">
        <v>2013</v>
      </c>
      <c r="D507" s="4" t="s">
        <v>19</v>
      </c>
      <c r="E507" s="10">
        <v>7</v>
      </c>
      <c r="F507" s="26">
        <v>14.583</v>
      </c>
      <c r="G507" s="21">
        <v>7.0651188749999978</v>
      </c>
      <c r="I507" s="21">
        <f>AVERAGE(F505:F507)</f>
        <v>12.4</v>
      </c>
      <c r="J507" s="21">
        <f>AVERAGE(G505:G507)</f>
        <v>5.6634672916666657</v>
      </c>
      <c r="L507">
        <f>+J507/I507</f>
        <v>0.45673123319892467</v>
      </c>
      <c r="M507">
        <f>+(L507-$L$927)/$L$928</f>
        <v>1.4915237881538508</v>
      </c>
      <c r="N507">
        <f>+N504+M507</f>
        <v>16.517220177062644</v>
      </c>
    </row>
    <row r="508" spans="1:14">
      <c r="A508" s="10">
        <v>11</v>
      </c>
      <c r="B508" s="75">
        <v>41498</v>
      </c>
      <c r="C508" s="10">
        <v>2013</v>
      </c>
      <c r="D508" s="4" t="s">
        <v>20</v>
      </c>
      <c r="E508" s="10">
        <v>8</v>
      </c>
      <c r="F508" s="26">
        <v>7.4829999999999997</v>
      </c>
      <c r="G508" s="21">
        <v>3.2057807500000002</v>
      </c>
    </row>
    <row r="509" spans="1:14">
      <c r="A509" s="10">
        <v>11</v>
      </c>
      <c r="B509" s="75">
        <v>41498</v>
      </c>
      <c r="C509" s="10">
        <v>2013</v>
      </c>
      <c r="D509" s="4" t="s">
        <v>20</v>
      </c>
      <c r="E509" s="10">
        <v>8</v>
      </c>
      <c r="F509" s="26">
        <v>7.4829999999999997</v>
      </c>
      <c r="G509" s="21">
        <v>3.6431007500000003</v>
      </c>
      <c r="H509" t="s">
        <v>41</v>
      </c>
    </row>
    <row r="510" spans="1:14">
      <c r="A510" s="10">
        <v>12</v>
      </c>
      <c r="B510" s="75">
        <v>41498</v>
      </c>
      <c r="C510" s="10">
        <v>2013</v>
      </c>
      <c r="D510" s="4" t="s">
        <v>20</v>
      </c>
      <c r="E510" s="10">
        <v>8</v>
      </c>
      <c r="F510" s="26">
        <v>11.888</v>
      </c>
      <c r="G510" s="21">
        <v>5.0694468749999997</v>
      </c>
    </row>
    <row r="511" spans="1:14">
      <c r="A511" s="10">
        <v>13</v>
      </c>
      <c r="B511" s="75">
        <v>41498</v>
      </c>
      <c r="C511" s="10">
        <v>2013</v>
      </c>
      <c r="D511" s="4" t="s">
        <v>20</v>
      </c>
      <c r="E511" s="10">
        <v>8</v>
      </c>
      <c r="F511" s="26">
        <v>14.917999999999999</v>
      </c>
      <c r="G511" s="21">
        <v>4.9213251250000001</v>
      </c>
      <c r="I511" s="21">
        <f>AVERAGE(F508:F511)</f>
        <v>10.443</v>
      </c>
      <c r="J511" s="21">
        <f>AVERAGE(G508:G511)</f>
        <v>4.2099133750000002</v>
      </c>
      <c r="L511">
        <f>+J511/I511</f>
        <v>0.40313256487599353</v>
      </c>
      <c r="M511">
        <f>+(L511-$L$927)/$L$928</f>
        <v>0.82034985491588275</v>
      </c>
      <c r="N511">
        <f>+N507+M511</f>
        <v>17.337570031978526</v>
      </c>
    </row>
    <row r="512" spans="1:14">
      <c r="A512" s="10">
        <v>11</v>
      </c>
      <c r="B512" s="75">
        <v>41535</v>
      </c>
      <c r="C512" s="10">
        <v>2013</v>
      </c>
      <c r="D512" s="4" t="s">
        <v>26</v>
      </c>
      <c r="E512" s="10">
        <v>9</v>
      </c>
      <c r="F512" s="26">
        <v>8.3040000000000003</v>
      </c>
      <c r="G512" s="21">
        <v>4.7984283750000003</v>
      </c>
    </row>
    <row r="513" spans="1:14">
      <c r="A513" s="10">
        <v>12</v>
      </c>
      <c r="B513" s="75">
        <v>41535</v>
      </c>
      <c r="C513" s="10">
        <v>2013</v>
      </c>
      <c r="D513" s="4" t="s">
        <v>26</v>
      </c>
      <c r="E513" s="10">
        <v>9</v>
      </c>
      <c r="F513" s="26">
        <v>8.327</v>
      </c>
      <c r="G513" s="21">
        <v>4.704803375</v>
      </c>
    </row>
    <row r="514" spans="1:14">
      <c r="A514" s="10">
        <v>12</v>
      </c>
      <c r="B514" s="75">
        <v>41535</v>
      </c>
      <c r="C514" s="10">
        <v>2013</v>
      </c>
      <c r="D514" s="4" t="s">
        <v>26</v>
      </c>
      <c r="E514" s="10">
        <v>9</v>
      </c>
      <c r="F514" s="26">
        <v>8.327</v>
      </c>
      <c r="G514" s="21">
        <v>4.5755748749999992</v>
      </c>
      <c r="H514" t="s">
        <v>41</v>
      </c>
    </row>
    <row r="515" spans="1:14">
      <c r="A515" s="10">
        <v>13</v>
      </c>
      <c r="B515" s="75">
        <v>41535</v>
      </c>
      <c r="C515" s="10">
        <v>2013</v>
      </c>
      <c r="D515" s="4" t="s">
        <v>26</v>
      </c>
      <c r="E515" s="10">
        <v>9</v>
      </c>
      <c r="F515" s="26">
        <v>10.843999999999999</v>
      </c>
      <c r="G515" s="21">
        <v>6.1010731249999992</v>
      </c>
      <c r="I515" s="21">
        <f>AVERAGE(F512:F515)</f>
        <v>8.9504999999999999</v>
      </c>
      <c r="J515" s="21">
        <f>AVERAGE(G512:G515)</f>
        <v>5.0449699374999994</v>
      </c>
      <c r="L515">
        <f>+J515/I515</f>
        <v>0.56365230294396951</v>
      </c>
      <c r="M515">
        <f>+(L515-$L$927)/$L$928</f>
        <v>2.8304121816942289</v>
      </c>
      <c r="N515">
        <f>+N511+M515</f>
        <v>20.167982213672754</v>
      </c>
    </row>
    <row r="516" spans="1:14">
      <c r="A516" s="10">
        <v>11</v>
      </c>
      <c r="B516" s="75">
        <v>406810</v>
      </c>
      <c r="C516" s="10">
        <v>2013</v>
      </c>
      <c r="D516" s="4" t="s">
        <v>22</v>
      </c>
      <c r="E516" s="10">
        <v>10</v>
      </c>
      <c r="F516" s="20">
        <v>4.2169999999999996</v>
      </c>
      <c r="G516" s="21">
        <v>1.5455151249999999</v>
      </c>
    </row>
    <row r="517" spans="1:14">
      <c r="A517" s="10">
        <v>12</v>
      </c>
      <c r="B517" s="75">
        <v>406810</v>
      </c>
      <c r="C517" s="10">
        <v>2013</v>
      </c>
      <c r="D517" s="4" t="s">
        <v>22</v>
      </c>
      <c r="E517" s="10">
        <v>10</v>
      </c>
      <c r="F517" s="20">
        <v>3.31</v>
      </c>
      <c r="G517" s="21">
        <v>1.049712</v>
      </c>
    </row>
    <row r="518" spans="1:14">
      <c r="A518" s="10">
        <v>13</v>
      </c>
      <c r="B518" s="75">
        <v>406810</v>
      </c>
      <c r="C518" s="10">
        <v>2013</v>
      </c>
      <c r="D518" s="4" t="s">
        <v>22</v>
      </c>
      <c r="E518" s="10">
        <v>10</v>
      </c>
      <c r="F518" s="20">
        <v>2.3879999999999999</v>
      </c>
      <c r="G518" s="21">
        <v>0.87238512499999987</v>
      </c>
      <c r="I518" s="21">
        <f>AVERAGE(F516:F518)</f>
        <v>3.3049999999999997</v>
      </c>
      <c r="J518" s="21">
        <f>AVERAGE(G516:G518)</f>
        <v>1.1558707500000001</v>
      </c>
      <c r="L518">
        <f>+J518/I518</f>
        <v>0.34973396369137677</v>
      </c>
      <c r="M518">
        <f>+(L518-$L$927)/$L$928</f>
        <v>0.15168120496825882</v>
      </c>
      <c r="N518">
        <f>+N515+M518</f>
        <v>20.319663418641014</v>
      </c>
    </row>
    <row r="519" spans="1:14">
      <c r="A519" s="10">
        <v>11</v>
      </c>
      <c r="B519" s="75">
        <v>41599</v>
      </c>
      <c r="C519" s="10">
        <v>2013</v>
      </c>
      <c r="D519" s="4" t="s">
        <v>23</v>
      </c>
      <c r="E519" s="10">
        <v>11</v>
      </c>
      <c r="F519" s="20">
        <v>7.8630000000000004</v>
      </c>
      <c r="G519" s="21">
        <v>3.8870957499999994</v>
      </c>
    </row>
    <row r="520" spans="1:14">
      <c r="A520" s="10">
        <v>12</v>
      </c>
      <c r="B520" s="75">
        <v>41599</v>
      </c>
      <c r="C520" s="10">
        <v>2013</v>
      </c>
      <c r="D520" s="4" t="s">
        <v>23</v>
      </c>
      <c r="E520" s="10">
        <v>11</v>
      </c>
      <c r="F520" s="20">
        <v>2.5579999999999998</v>
      </c>
      <c r="G520" s="21">
        <v>1.1724973750000001</v>
      </c>
    </row>
    <row r="521" spans="1:14">
      <c r="A521" s="10">
        <v>13</v>
      </c>
      <c r="B521" s="75">
        <v>41599</v>
      </c>
      <c r="C521" s="10">
        <v>2013</v>
      </c>
      <c r="D521" s="4" t="s">
        <v>23</v>
      </c>
      <c r="E521" s="10">
        <v>11</v>
      </c>
      <c r="F521" s="20">
        <v>3.8180000000000001</v>
      </c>
      <c r="G521" s="21">
        <v>1.7299306250000002</v>
      </c>
      <c r="I521" s="21">
        <f>AVERAGE(F519:F521)</f>
        <v>4.7463333333333333</v>
      </c>
      <c r="J521" s="21">
        <f>AVERAGE(G519:G521)</f>
        <v>2.263174583333333</v>
      </c>
      <c r="L521">
        <f>+J521/I521</f>
        <v>0.47682588313786073</v>
      </c>
      <c r="M521">
        <f>+(L521-$L$927)/$L$928</f>
        <v>1.7431532718435725</v>
      </c>
      <c r="N521">
        <f>+N518+M521</f>
        <v>22.062816690484585</v>
      </c>
    </row>
    <row r="522" spans="1:14">
      <c r="A522" s="10">
        <v>11</v>
      </c>
      <c r="B522" s="75">
        <v>41627</v>
      </c>
      <c r="C522" s="10">
        <v>2013</v>
      </c>
      <c r="D522" s="4" t="s">
        <v>24</v>
      </c>
      <c r="E522" s="10">
        <v>12</v>
      </c>
      <c r="F522" s="20">
        <v>6.5869999999999997</v>
      </c>
      <c r="G522" s="21">
        <v>3.2153261249999998</v>
      </c>
    </row>
    <row r="523" spans="1:14">
      <c r="A523" s="10">
        <v>12</v>
      </c>
      <c r="B523" s="75">
        <v>41627</v>
      </c>
      <c r="C523" s="10">
        <v>2013</v>
      </c>
      <c r="D523" s="4" t="s">
        <v>24</v>
      </c>
      <c r="E523" s="10">
        <v>12</v>
      </c>
      <c r="F523" s="20">
        <v>4.4809999999999999</v>
      </c>
      <c r="G523" s="21">
        <v>2.131277125</v>
      </c>
    </row>
    <row r="524" spans="1:14">
      <c r="A524" s="10">
        <v>13</v>
      </c>
      <c r="B524" s="75">
        <v>41627</v>
      </c>
      <c r="C524" s="10">
        <v>2013</v>
      </c>
      <c r="D524" s="4" t="s">
        <v>24</v>
      </c>
      <c r="E524" s="10">
        <v>12</v>
      </c>
      <c r="F524" s="20">
        <v>4.6399999999999997</v>
      </c>
      <c r="G524" s="21">
        <v>2.1413150000000005</v>
      </c>
      <c r="I524" s="21">
        <f>AVERAGE(F522:F524)</f>
        <v>5.2359999999999998</v>
      </c>
      <c r="J524" s="21">
        <f>AVERAGE(G522:G524)</f>
        <v>2.49597275</v>
      </c>
      <c r="L524">
        <f>+J524/I524</f>
        <v>0.47669456646294883</v>
      </c>
      <c r="M524">
        <f>+(L524-$L$927)/$L$928</f>
        <v>1.7415088964895182</v>
      </c>
      <c r="N524">
        <f>+N521+M524</f>
        <v>23.804325586974102</v>
      </c>
    </row>
    <row r="525" spans="1:14">
      <c r="A525" s="10">
        <v>11</v>
      </c>
      <c r="B525" s="75">
        <v>41655</v>
      </c>
      <c r="C525" s="10">
        <v>2014</v>
      </c>
      <c r="D525" s="4" t="s">
        <v>25</v>
      </c>
      <c r="E525" s="10">
        <v>1</v>
      </c>
      <c r="F525" s="20">
        <v>8.5459999999999994</v>
      </c>
      <c r="G525" s="21">
        <v>4.4235742499999997</v>
      </c>
    </row>
    <row r="526" spans="1:14">
      <c r="A526" s="10">
        <v>12</v>
      </c>
      <c r="B526" s="75">
        <v>41655</v>
      </c>
      <c r="C526" s="10">
        <v>2014</v>
      </c>
      <c r="D526" s="4" t="s">
        <v>25</v>
      </c>
      <c r="E526" s="10">
        <v>1</v>
      </c>
      <c r="F526" s="20">
        <v>5.734</v>
      </c>
      <c r="G526" s="21">
        <v>2.7374125</v>
      </c>
    </row>
    <row r="527" spans="1:14">
      <c r="A527" s="10">
        <v>13</v>
      </c>
      <c r="B527" s="75">
        <v>41655</v>
      </c>
      <c r="C527" s="10">
        <v>2014</v>
      </c>
      <c r="D527" s="4" t="s">
        <v>25</v>
      </c>
      <c r="E527" s="10">
        <v>1</v>
      </c>
      <c r="F527" s="20">
        <v>5.601</v>
      </c>
      <c r="G527" s="21">
        <v>2.6772556249999995</v>
      </c>
      <c r="I527" s="21">
        <f>AVERAGE(F525:F527)</f>
        <v>6.6269999999999998</v>
      </c>
      <c r="J527" s="21">
        <f>AVERAGE(G525:G527)</f>
        <v>3.2794141249999993</v>
      </c>
      <c r="L527">
        <f>+J527/I527</f>
        <v>0.4948565150143352</v>
      </c>
      <c r="M527">
        <f>+(L527-$L$927)/$L$928</f>
        <v>1.9689366820280709</v>
      </c>
      <c r="N527">
        <f>+N524+M527</f>
        <v>25.773262269002174</v>
      </c>
    </row>
    <row r="528" spans="1:14">
      <c r="A528" s="10">
        <v>11</v>
      </c>
      <c r="B528" s="75">
        <v>41690</v>
      </c>
      <c r="C528" s="10">
        <v>2014</v>
      </c>
      <c r="D528" s="4" t="s">
        <v>14</v>
      </c>
      <c r="E528" s="10">
        <v>2</v>
      </c>
      <c r="F528" s="20">
        <v>10.32</v>
      </c>
      <c r="G528" s="21">
        <v>4.833359999999999</v>
      </c>
    </row>
    <row r="529" spans="1:14">
      <c r="A529" s="10">
        <v>12</v>
      </c>
      <c r="B529" s="75">
        <v>41690</v>
      </c>
      <c r="C529" s="10">
        <v>2014</v>
      </c>
      <c r="D529" s="4" t="s">
        <v>14</v>
      </c>
      <c r="E529" s="10">
        <v>2</v>
      </c>
      <c r="F529" s="20">
        <v>11.166</v>
      </c>
      <c r="G529" s="21">
        <v>5.0635822499999996</v>
      </c>
    </row>
    <row r="530" spans="1:14">
      <c r="A530" s="10">
        <v>13</v>
      </c>
      <c r="B530" s="75">
        <v>41690</v>
      </c>
      <c r="C530" s="10">
        <v>2014</v>
      </c>
      <c r="D530" s="4" t="s">
        <v>14</v>
      </c>
      <c r="E530" s="10">
        <v>2</v>
      </c>
      <c r="F530" s="20">
        <v>8.5</v>
      </c>
      <c r="G530" s="21">
        <v>4.0199695000000002</v>
      </c>
      <c r="I530" s="21">
        <f>AVERAGE(F528:F530)</f>
        <v>9.995333333333333</v>
      </c>
      <c r="J530" s="21">
        <f>AVERAGE(G528:G530)</f>
        <v>4.6389705833333332</v>
      </c>
      <c r="L530">
        <f>+J530/I530</f>
        <v>0.46411364470086042</v>
      </c>
      <c r="M530">
        <f>+(L530-$L$927)/$L$928</f>
        <v>1.5839679163303633</v>
      </c>
      <c r="N530">
        <f>+N527+M530</f>
        <v>27.357230185332536</v>
      </c>
    </row>
    <row r="531" spans="1:14">
      <c r="A531" s="10">
        <v>11</v>
      </c>
      <c r="B531" s="75">
        <v>41718</v>
      </c>
      <c r="C531" s="10">
        <v>2014</v>
      </c>
      <c r="D531" s="4" t="s">
        <v>15</v>
      </c>
      <c r="E531" s="10">
        <v>3</v>
      </c>
      <c r="F531" s="20">
        <v>6.4219999999999997</v>
      </c>
      <c r="G531" s="21">
        <v>3.1939376249999998</v>
      </c>
    </row>
    <row r="532" spans="1:14">
      <c r="A532" s="10">
        <v>12</v>
      </c>
      <c r="B532" s="75">
        <v>41718</v>
      </c>
      <c r="C532" s="10">
        <v>2014</v>
      </c>
      <c r="D532" s="4" t="s">
        <v>15</v>
      </c>
      <c r="E532" s="10">
        <v>3</v>
      </c>
      <c r="F532" s="20">
        <v>3.379</v>
      </c>
      <c r="G532" s="21">
        <v>1.6805686249999998</v>
      </c>
    </row>
    <row r="533" spans="1:14">
      <c r="A533" s="10">
        <v>13</v>
      </c>
      <c r="B533" s="75">
        <v>41718</v>
      </c>
      <c r="C533" s="10">
        <v>2014</v>
      </c>
      <c r="D533" s="4" t="s">
        <v>15</v>
      </c>
      <c r="E533" s="10">
        <v>3</v>
      </c>
      <c r="F533" s="20">
        <v>2.87</v>
      </c>
      <c r="G533" s="21">
        <v>1.5003813749999997</v>
      </c>
      <c r="I533" s="21">
        <f>AVERAGE(F531:F533)</f>
        <v>4.2236666666666665</v>
      </c>
      <c r="J533" s="21">
        <f>AVERAGE(G531:G533)</f>
        <v>2.1249625416666666</v>
      </c>
      <c r="L533">
        <f>+J533/I533</f>
        <v>0.50310848591271407</v>
      </c>
      <c r="M533">
        <f>+(L533-$L$927)/$L$928</f>
        <v>2.0722696180529132</v>
      </c>
      <c r="N533">
        <f>+N530+M533</f>
        <v>29.42949980338545</v>
      </c>
    </row>
    <row r="534" spans="1:14">
      <c r="A534" s="10">
        <v>11</v>
      </c>
      <c r="B534" s="75">
        <v>41750</v>
      </c>
      <c r="C534" s="10">
        <v>2014</v>
      </c>
      <c r="D534" s="4" t="s">
        <v>16</v>
      </c>
      <c r="E534" s="10">
        <v>4</v>
      </c>
      <c r="F534" s="27">
        <v>3.4980000000000002</v>
      </c>
      <c r="G534" s="21">
        <v>1.7591699999999997</v>
      </c>
    </row>
    <row r="535" spans="1:14">
      <c r="A535" s="10">
        <v>12</v>
      </c>
      <c r="B535" s="75">
        <v>41750</v>
      </c>
      <c r="C535" s="10">
        <v>2014</v>
      </c>
      <c r="D535" s="4" t="s">
        <v>16</v>
      </c>
      <c r="E535" s="10">
        <v>4</v>
      </c>
      <c r="F535" s="27">
        <v>3.8290000000000002</v>
      </c>
      <c r="G535" s="21">
        <v>1.9747496250000001</v>
      </c>
    </row>
    <row r="536" spans="1:14">
      <c r="A536" s="10">
        <v>13</v>
      </c>
      <c r="B536" s="75">
        <v>41750</v>
      </c>
      <c r="C536" s="10">
        <v>2014</v>
      </c>
      <c r="D536" s="4" t="s">
        <v>16</v>
      </c>
      <c r="E536" s="10">
        <v>4</v>
      </c>
      <c r="F536" s="27">
        <v>2.5150000000000001</v>
      </c>
      <c r="G536" s="21">
        <v>1.2305446250000001</v>
      </c>
      <c r="I536" s="21">
        <f>AVERAGE(F534:F536)</f>
        <v>3.2806666666666668</v>
      </c>
      <c r="J536" s="21">
        <f>AVERAGE(G534:G536)</f>
        <v>1.6548214166666666</v>
      </c>
      <c r="L536">
        <f>+J536/I536</f>
        <v>0.5044162009754114</v>
      </c>
      <c r="M536">
        <f>+(L536-$L$927)/$L$928</f>
        <v>2.0886451044156891</v>
      </c>
      <c r="N536">
        <f>+N533+M536</f>
        <v>31.51814490780114</v>
      </c>
    </row>
    <row r="537" spans="1:14">
      <c r="A537" s="10">
        <v>11</v>
      </c>
      <c r="B537" s="75">
        <v>41406</v>
      </c>
      <c r="C537" s="10">
        <v>2014</v>
      </c>
      <c r="D537" s="4" t="s">
        <v>17</v>
      </c>
      <c r="E537" s="10">
        <v>5</v>
      </c>
      <c r="F537" s="27">
        <v>3.577</v>
      </c>
      <c r="G537" s="21">
        <v>1.1995</v>
      </c>
    </row>
    <row r="538" spans="1:14">
      <c r="A538" s="10">
        <v>11</v>
      </c>
      <c r="B538" s="75">
        <v>41406</v>
      </c>
      <c r="C538" s="10">
        <v>2014</v>
      </c>
      <c r="D538" s="4" t="s">
        <v>17</v>
      </c>
      <c r="E538" s="10">
        <v>5</v>
      </c>
      <c r="F538" s="27">
        <v>3.577</v>
      </c>
      <c r="G538" s="21">
        <v>1.0610983749999998</v>
      </c>
      <c r="H538" t="s">
        <v>41</v>
      </c>
    </row>
    <row r="539" spans="1:14">
      <c r="A539" s="10">
        <v>12</v>
      </c>
      <c r="B539" s="75">
        <v>41406</v>
      </c>
      <c r="C539" s="10">
        <v>2014</v>
      </c>
      <c r="D539" s="4" t="s">
        <v>17</v>
      </c>
      <c r="E539" s="10">
        <v>5</v>
      </c>
      <c r="F539" s="27">
        <v>3.3809999999999998</v>
      </c>
      <c r="G539" s="21">
        <v>1.3057062499999998</v>
      </c>
      <c r="I539" s="21"/>
      <c r="J539" s="21"/>
    </row>
    <row r="540" spans="1:14">
      <c r="A540" s="10">
        <v>13</v>
      </c>
      <c r="B540" s="75">
        <v>41406</v>
      </c>
      <c r="C540" s="10">
        <v>2014</v>
      </c>
      <c r="D540" s="4" t="s">
        <v>17</v>
      </c>
      <c r="E540" s="10">
        <v>5</v>
      </c>
      <c r="F540" s="27">
        <v>4.5170000000000003</v>
      </c>
      <c r="G540" s="21">
        <v>1.8011958749999994</v>
      </c>
      <c r="I540" s="21">
        <f>AVERAGE(F537:F540)</f>
        <v>3.7629999999999999</v>
      </c>
      <c r="J540" s="21">
        <f>AVERAGE(G537:G540)</f>
        <v>1.3418751249999998</v>
      </c>
      <c r="L540">
        <f>+J540/I540</f>
        <v>0.3565971631676853</v>
      </c>
      <c r="M540">
        <f>+(L540-$L$927)/$L$928</f>
        <v>0.23762364964537783</v>
      </c>
      <c r="N540">
        <f>+N536+M540</f>
        <v>31.755768557446519</v>
      </c>
    </row>
    <row r="541" spans="1:14">
      <c r="A541" s="10">
        <v>11</v>
      </c>
      <c r="B541" s="75">
        <v>41807</v>
      </c>
      <c r="C541" s="10">
        <v>2014</v>
      </c>
      <c r="D541" s="4" t="s">
        <v>18</v>
      </c>
      <c r="E541" s="10">
        <v>6</v>
      </c>
      <c r="F541" s="27">
        <v>6.2009999999999996</v>
      </c>
      <c r="G541" s="21">
        <v>2.9713708749999994</v>
      </c>
    </row>
    <row r="542" spans="1:14">
      <c r="A542" s="10">
        <v>12</v>
      </c>
      <c r="B542" s="75">
        <v>41807</v>
      </c>
      <c r="C542" s="10">
        <v>2014</v>
      </c>
      <c r="D542" s="4" t="s">
        <v>18</v>
      </c>
      <c r="E542" s="10">
        <v>6</v>
      </c>
      <c r="F542" s="27">
        <v>8.0289999999999999</v>
      </c>
      <c r="G542" s="21">
        <v>3.9428227499999999</v>
      </c>
    </row>
    <row r="543" spans="1:14">
      <c r="A543" s="10">
        <v>13</v>
      </c>
      <c r="B543" s="75">
        <v>41807</v>
      </c>
      <c r="C543" s="10">
        <v>2014</v>
      </c>
      <c r="D543" s="4" t="s">
        <v>18</v>
      </c>
      <c r="E543" s="10">
        <v>6</v>
      </c>
      <c r="F543" s="27">
        <v>4.383</v>
      </c>
      <c r="G543" s="21">
        <v>2.1556138749999998</v>
      </c>
      <c r="I543" s="21">
        <f>AVERAGE(F541:F543)</f>
        <v>6.2043333333333335</v>
      </c>
      <c r="J543" s="21">
        <f>AVERAGE(G541:G543)</f>
        <v>3.0232691666666667</v>
      </c>
      <c r="L543">
        <f>+J543/I543</f>
        <v>0.48728348466125826</v>
      </c>
      <c r="M543">
        <f>+(L543-$L$927)/$L$928</f>
        <v>1.8741055840242689</v>
      </c>
      <c r="N543">
        <f>+N540+M543</f>
        <v>33.629874141470786</v>
      </c>
    </row>
    <row r="544" spans="1:14">
      <c r="A544" s="10">
        <v>11</v>
      </c>
      <c r="B544" s="75">
        <v>41837</v>
      </c>
      <c r="C544" s="10">
        <v>2014</v>
      </c>
      <c r="D544" s="4" t="s">
        <v>19</v>
      </c>
      <c r="E544" s="10">
        <v>7</v>
      </c>
      <c r="F544" s="27">
        <v>9.3789999999999996</v>
      </c>
      <c r="G544" s="21">
        <v>4.1510508749999993</v>
      </c>
    </row>
    <row r="545" spans="1:14">
      <c r="A545" s="10">
        <v>12</v>
      </c>
      <c r="B545" s="75">
        <v>41837</v>
      </c>
      <c r="C545" s="10">
        <v>2014</v>
      </c>
      <c r="D545" s="4" t="s">
        <v>19</v>
      </c>
      <c r="E545" s="10">
        <v>7</v>
      </c>
      <c r="F545" s="27">
        <v>11.09</v>
      </c>
      <c r="G545" s="21">
        <v>5.15921875</v>
      </c>
    </row>
    <row r="546" spans="1:14">
      <c r="A546" s="10">
        <v>13</v>
      </c>
      <c r="B546" s="75">
        <v>41837</v>
      </c>
      <c r="C546" s="10">
        <v>2014</v>
      </c>
      <c r="D546" s="4" t="s">
        <v>19</v>
      </c>
      <c r="E546" s="10">
        <v>7</v>
      </c>
      <c r="F546" s="27">
        <v>8.7759999999999998</v>
      </c>
      <c r="G546" s="21">
        <v>2.8376308750000003</v>
      </c>
      <c r="I546" s="21">
        <f>AVERAGE(F544:F546)</f>
        <v>9.7483333333333331</v>
      </c>
      <c r="J546" s="21">
        <f>AVERAGE(G544:G546)</f>
        <v>4.0493001666666668</v>
      </c>
      <c r="L546">
        <f>+J546/I546</f>
        <v>0.41538384339203283</v>
      </c>
      <c r="M546">
        <f>+(L546-$L$927)/$L$928</f>
        <v>0.97376297218331254</v>
      </c>
      <c r="N546">
        <f>+N543+M546</f>
        <v>34.603637113654102</v>
      </c>
    </row>
    <row r="547" spans="1:14">
      <c r="A547" s="10">
        <v>11</v>
      </c>
      <c r="B547" s="75">
        <v>41862</v>
      </c>
      <c r="C547" s="10">
        <v>2014</v>
      </c>
      <c r="D547" s="4" t="s">
        <v>20</v>
      </c>
      <c r="E547" s="10">
        <v>8</v>
      </c>
      <c r="F547" s="27">
        <v>5.7380000000000004</v>
      </c>
      <c r="G547" s="21">
        <v>2.8587988750000002</v>
      </c>
    </row>
    <row r="548" spans="1:14">
      <c r="A548" s="10">
        <v>12</v>
      </c>
      <c r="B548" s="75">
        <v>41862</v>
      </c>
      <c r="C548" s="10">
        <v>2014</v>
      </c>
      <c r="D548" s="4" t="s">
        <v>20</v>
      </c>
      <c r="E548" s="10">
        <v>8</v>
      </c>
      <c r="F548" s="27">
        <v>7.4029999999999996</v>
      </c>
      <c r="G548" s="21">
        <v>3.3742909999999999</v>
      </c>
    </row>
    <row r="549" spans="1:14">
      <c r="A549" s="10">
        <v>13</v>
      </c>
      <c r="B549" s="75">
        <v>41862</v>
      </c>
      <c r="C549" s="10">
        <v>2014</v>
      </c>
      <c r="D549" s="4" t="s">
        <v>20</v>
      </c>
      <c r="E549" s="10">
        <v>8</v>
      </c>
      <c r="F549" s="27">
        <v>5.2350000000000003</v>
      </c>
      <c r="G549" s="21">
        <v>2.3071638750000001</v>
      </c>
      <c r="I549" s="21">
        <f>AVERAGE(F547:F549)</f>
        <v>6.1253333333333337</v>
      </c>
      <c r="J549" s="21">
        <f>AVERAGE(G547:G549)</f>
        <v>2.8467512500000001</v>
      </c>
      <c r="L549">
        <f>+J549/I549</f>
        <v>0.46475042174575532</v>
      </c>
      <c r="M549">
        <f>+(L549-$L$927)/$L$928</f>
        <v>1.5919417740247885</v>
      </c>
      <c r="N549">
        <f>+N546+M549</f>
        <v>36.195578887678892</v>
      </c>
    </row>
    <row r="550" spans="1:14">
      <c r="A550" s="10">
        <v>11</v>
      </c>
      <c r="B550" s="75">
        <v>41897</v>
      </c>
      <c r="C550" s="10">
        <v>2014</v>
      </c>
      <c r="D550" s="4" t="s">
        <v>26</v>
      </c>
      <c r="E550" s="10">
        <v>9</v>
      </c>
      <c r="F550" s="27">
        <v>4.7690000000000001</v>
      </c>
      <c r="G550" s="21">
        <v>2.2261366250000001</v>
      </c>
    </row>
    <row r="551" spans="1:14">
      <c r="A551" s="10">
        <v>12</v>
      </c>
      <c r="B551" s="75">
        <v>41897</v>
      </c>
      <c r="C551" s="10">
        <v>2014</v>
      </c>
      <c r="D551" s="4" t="s">
        <v>26</v>
      </c>
      <c r="E551" s="10">
        <v>9</v>
      </c>
      <c r="F551" s="27">
        <v>3.3559999999999999</v>
      </c>
      <c r="G551" s="21">
        <v>1.540848</v>
      </c>
    </row>
    <row r="552" spans="1:14">
      <c r="A552" s="10">
        <v>13</v>
      </c>
      <c r="B552" s="75">
        <v>41897</v>
      </c>
      <c r="C552" s="10">
        <v>2014</v>
      </c>
      <c r="D552" s="4" t="s">
        <v>26</v>
      </c>
      <c r="E552" s="10">
        <v>9</v>
      </c>
      <c r="F552" s="27">
        <v>6.6619999999999999</v>
      </c>
      <c r="G552" s="21">
        <v>2.8658138750000002</v>
      </c>
      <c r="I552" s="21">
        <f>AVERAGE(F550:F552)</f>
        <v>4.9289999999999994</v>
      </c>
      <c r="J552" s="21">
        <f>AVERAGE(G550:G552)</f>
        <v>2.2109328333333331</v>
      </c>
      <c r="L552">
        <f>+J552/I552</f>
        <v>0.44855606275782783</v>
      </c>
      <c r="M552">
        <f>+(L552-$L$927)/$L$928</f>
        <v>1.3891525638021023</v>
      </c>
      <c r="N552">
        <f>+N549+M552</f>
        <v>37.584731451480991</v>
      </c>
    </row>
    <row r="553" spans="1:14">
      <c r="A553" s="10">
        <v>11</v>
      </c>
      <c r="B553" s="75">
        <v>41928</v>
      </c>
      <c r="C553" s="10">
        <v>2014</v>
      </c>
      <c r="D553" s="4" t="s">
        <v>22</v>
      </c>
      <c r="E553" s="10">
        <v>10</v>
      </c>
      <c r="F553" s="20">
        <v>2.2810000000000001</v>
      </c>
      <c r="G553" s="21">
        <v>0.85716899999999996</v>
      </c>
    </row>
    <row r="554" spans="1:14">
      <c r="A554" s="10">
        <v>12</v>
      </c>
      <c r="B554" s="75">
        <v>41928</v>
      </c>
      <c r="C554" s="10">
        <v>2014</v>
      </c>
      <c r="D554" s="4" t="s">
        <v>22</v>
      </c>
      <c r="E554" s="10">
        <v>10</v>
      </c>
      <c r="F554" s="20">
        <v>3.64</v>
      </c>
      <c r="G554" s="21">
        <v>1.5055590000000003</v>
      </c>
    </row>
    <row r="555" spans="1:14">
      <c r="A555" s="10">
        <v>13</v>
      </c>
      <c r="B555" s="75">
        <v>41928</v>
      </c>
      <c r="C555" s="10">
        <v>2014</v>
      </c>
      <c r="D555" s="4" t="s">
        <v>22</v>
      </c>
      <c r="E555" s="10">
        <v>10</v>
      </c>
      <c r="F555" s="20">
        <v>6.1680000000000001</v>
      </c>
      <c r="G555" s="21">
        <v>2.3508469999999995</v>
      </c>
    </row>
    <row r="556" spans="1:14">
      <c r="A556" s="10">
        <v>13</v>
      </c>
      <c r="B556" s="75">
        <v>41928</v>
      </c>
      <c r="C556" s="10">
        <v>2014</v>
      </c>
      <c r="D556" s="4" t="s">
        <v>22</v>
      </c>
      <c r="E556" s="10">
        <v>10</v>
      </c>
      <c r="F556" s="20">
        <v>6.1680000000000001</v>
      </c>
      <c r="G556" s="21">
        <v>2.506914375</v>
      </c>
      <c r="H556" t="s">
        <v>41</v>
      </c>
      <c r="I556" s="21">
        <f>AVERAGE(F553:F556)</f>
        <v>4.5642500000000004</v>
      </c>
      <c r="J556" s="21">
        <f>AVERAGE(G553:G556)</f>
        <v>1.8051223437499999</v>
      </c>
      <c r="L556">
        <f>+J556/I556</f>
        <v>0.39549155803253544</v>
      </c>
      <c r="M556">
        <f>+(L556-$L$927)/$L$928</f>
        <v>0.72466754083070439</v>
      </c>
      <c r="N556">
        <f>+N552+M556</f>
        <v>38.309398992311692</v>
      </c>
    </row>
    <row r="557" spans="1:14">
      <c r="A557" s="10">
        <v>11</v>
      </c>
      <c r="B557" s="75">
        <v>41955</v>
      </c>
      <c r="C557" s="10">
        <v>2014</v>
      </c>
      <c r="D557" s="4" t="s">
        <v>23</v>
      </c>
      <c r="E557" s="10">
        <v>11</v>
      </c>
      <c r="F557" s="20">
        <v>6.0449999999999999</v>
      </c>
      <c r="G557" s="21">
        <v>2.5083254999999998</v>
      </c>
    </row>
    <row r="558" spans="1:14">
      <c r="A558" s="10">
        <v>12</v>
      </c>
      <c r="B558" s="75">
        <v>41955</v>
      </c>
      <c r="C558" s="10">
        <v>2014</v>
      </c>
      <c r="D558" s="4" t="s">
        <v>23</v>
      </c>
      <c r="E558" s="10">
        <v>11</v>
      </c>
      <c r="F558" s="20">
        <v>4.6319999999999997</v>
      </c>
      <c r="G558" s="21">
        <v>1.8809811250000001</v>
      </c>
    </row>
    <row r="559" spans="1:14">
      <c r="A559" s="10">
        <v>13</v>
      </c>
      <c r="B559" s="75">
        <v>41955</v>
      </c>
      <c r="C559" s="10">
        <v>2014</v>
      </c>
      <c r="D559" s="4" t="s">
        <v>23</v>
      </c>
      <c r="E559" s="10">
        <v>11</v>
      </c>
      <c r="F559" s="20">
        <v>5.8710000000000004</v>
      </c>
      <c r="G559" s="21">
        <v>2.325377375</v>
      </c>
      <c r="I559" s="21">
        <f>AVERAGE(F557:F559)</f>
        <v>5.5160000000000009</v>
      </c>
      <c r="J559" s="21">
        <f>AVERAGE(G557:G559)</f>
        <v>2.2382279999999999</v>
      </c>
      <c r="L559">
        <f>+J559/I559</f>
        <v>0.40577012327773743</v>
      </c>
      <c r="M559">
        <f>+(L559-$L$927)/$L$928</f>
        <v>0.85337792262789214</v>
      </c>
      <c r="N559">
        <f>+N556+M559</f>
        <v>39.162776914939585</v>
      </c>
    </row>
    <row r="560" spans="1:14">
      <c r="A560" s="1">
        <v>11</v>
      </c>
      <c r="B560" s="70">
        <v>41987</v>
      </c>
      <c r="D560" s="4" t="s">
        <v>24</v>
      </c>
      <c r="E560" s="10">
        <v>12</v>
      </c>
    </row>
    <row r="561" spans="1:14">
      <c r="A561" s="1">
        <v>12</v>
      </c>
      <c r="B561" s="70">
        <v>41987</v>
      </c>
      <c r="D561" s="4" t="s">
        <v>24</v>
      </c>
      <c r="E561" s="10">
        <v>12</v>
      </c>
    </row>
    <row r="562" spans="1:14">
      <c r="A562" s="1">
        <v>13</v>
      </c>
      <c r="B562" s="70">
        <v>41987</v>
      </c>
      <c r="D562" s="4" t="s">
        <v>24</v>
      </c>
      <c r="E562" s="10">
        <v>12</v>
      </c>
    </row>
    <row r="563" spans="1:14">
      <c r="A563" s="1">
        <v>11</v>
      </c>
      <c r="B563" s="70">
        <v>42014</v>
      </c>
      <c r="E563" s="3">
        <v>1</v>
      </c>
      <c r="F563" s="79">
        <v>13.555</v>
      </c>
      <c r="G563" s="80">
        <v>4.9119999999999999</v>
      </c>
    </row>
    <row r="564" spans="1:14">
      <c r="A564" s="1">
        <v>12</v>
      </c>
      <c r="B564" s="70">
        <v>42009</v>
      </c>
      <c r="E564" s="3">
        <v>1</v>
      </c>
      <c r="F564" s="79">
        <v>10.689</v>
      </c>
      <c r="G564" s="80">
        <v>3.6920000000000002</v>
      </c>
    </row>
    <row r="565" spans="1:14">
      <c r="A565" s="1">
        <v>13</v>
      </c>
      <c r="B565" s="70">
        <v>42009</v>
      </c>
      <c r="E565" s="3">
        <v>1</v>
      </c>
      <c r="F565" s="79">
        <v>7.84</v>
      </c>
      <c r="G565" s="80">
        <v>2.605</v>
      </c>
      <c r="I565" s="21">
        <f>AVERAGE(F563:F565)</f>
        <v>10.694666666666668</v>
      </c>
      <c r="J565" s="21">
        <f>AVERAGE(G563:G565)</f>
        <v>3.7363333333333331</v>
      </c>
      <c r="L565">
        <f>+J565/I565</f>
        <v>0.3493641690562273</v>
      </c>
      <c r="M565">
        <f>+(L565-$L$927)/$L$928</f>
        <v>0.14705055783597959</v>
      </c>
      <c r="N565">
        <f>+N559+M565</f>
        <v>39.309827472775567</v>
      </c>
    </row>
    <row r="566" spans="1:14">
      <c r="A566" s="1">
        <v>11</v>
      </c>
      <c r="B566" s="71">
        <v>42036</v>
      </c>
      <c r="E566" s="5">
        <v>2</v>
      </c>
    </row>
    <row r="567" spans="1:14">
      <c r="A567" s="1">
        <v>12</v>
      </c>
      <c r="B567" s="71">
        <v>42036</v>
      </c>
      <c r="E567" s="5">
        <v>2</v>
      </c>
    </row>
    <row r="568" spans="1:14">
      <c r="A568" s="1">
        <v>13</v>
      </c>
      <c r="B568" s="71">
        <v>42036</v>
      </c>
      <c r="E568" s="5">
        <v>2</v>
      </c>
      <c r="I568" s="21"/>
      <c r="J568" s="21"/>
    </row>
    <row r="569" spans="1:14">
      <c r="A569" s="1">
        <v>11</v>
      </c>
      <c r="B569" s="71">
        <v>42064</v>
      </c>
      <c r="E569" s="5">
        <v>3</v>
      </c>
      <c r="F569" s="79">
        <v>6.0410000000000004</v>
      </c>
      <c r="G569" s="80">
        <v>2.2570000000000001</v>
      </c>
    </row>
    <row r="570" spans="1:14">
      <c r="A570" s="1">
        <v>12</v>
      </c>
      <c r="B570" s="71">
        <v>42064</v>
      </c>
      <c r="E570" s="5">
        <v>3</v>
      </c>
      <c r="F570" s="79">
        <v>8.9909999999999997</v>
      </c>
      <c r="G570" s="80">
        <v>3.3809999999999998</v>
      </c>
    </row>
    <row r="571" spans="1:14">
      <c r="A571" s="1">
        <v>13</v>
      </c>
      <c r="B571" s="71">
        <v>42064</v>
      </c>
      <c r="E571" s="5">
        <v>3</v>
      </c>
      <c r="F571" s="79">
        <v>5.2249999999999996</v>
      </c>
      <c r="G571" s="80">
        <v>1.9970000000000001</v>
      </c>
      <c r="I571" s="21">
        <f>AVERAGE(F569:F571)</f>
        <v>6.7523333333333326</v>
      </c>
      <c r="J571" s="21">
        <f>AVERAGE(G569:G571)</f>
        <v>2.5449999999999999</v>
      </c>
      <c r="L571">
        <f>+J571/I571</f>
        <v>0.37690674828454362</v>
      </c>
      <c r="M571">
        <f>+(L571-$L$927)/$L$928</f>
        <v>0.49194459738208163</v>
      </c>
      <c r="N571">
        <f>+N565+M571</f>
        <v>39.801772070157647</v>
      </c>
    </row>
    <row r="572" spans="1:14">
      <c r="A572" s="1">
        <v>11</v>
      </c>
      <c r="B572" s="71">
        <v>42095</v>
      </c>
      <c r="E572" s="5">
        <v>4</v>
      </c>
      <c r="F572" s="79">
        <v>3.56</v>
      </c>
      <c r="G572" s="80">
        <v>1.2889999999999999</v>
      </c>
    </row>
    <row r="573" spans="1:14">
      <c r="A573" s="1">
        <v>12</v>
      </c>
      <c r="B573" s="71">
        <v>42095</v>
      </c>
      <c r="E573" s="5">
        <v>4</v>
      </c>
      <c r="F573" s="79">
        <v>2.726</v>
      </c>
      <c r="G573" s="80">
        <v>0.94499999999999995</v>
      </c>
    </row>
    <row r="574" spans="1:14">
      <c r="A574" s="1">
        <v>13</v>
      </c>
      <c r="B574" s="71">
        <v>42095</v>
      </c>
      <c r="E574" s="5">
        <v>4</v>
      </c>
      <c r="F574" s="79">
        <v>1.62</v>
      </c>
      <c r="G574" s="80">
        <v>0.441</v>
      </c>
      <c r="I574" s="21">
        <f>AVERAGE(F572:F574)</f>
        <v>2.6353333333333331</v>
      </c>
      <c r="J574" s="21">
        <f>AVERAGE(G572:G574)</f>
        <v>0.89166666666666661</v>
      </c>
      <c r="L574">
        <f>+J574/I574</f>
        <v>0.33835061978244374</v>
      </c>
      <c r="M574">
        <f>+(L574-$L$927)/$L$928</f>
        <v>9.1365495912457597E-3</v>
      </c>
      <c r="N574">
        <f>+N571+M574</f>
        <v>39.810908619748893</v>
      </c>
    </row>
    <row r="575" spans="1:14">
      <c r="A575" s="1">
        <v>11</v>
      </c>
      <c r="B575" s="71">
        <v>42125</v>
      </c>
      <c r="E575" s="5">
        <v>5</v>
      </c>
      <c r="F575" s="79">
        <v>7.9779999999999998</v>
      </c>
      <c r="G575" s="80">
        <v>2.758</v>
      </c>
    </row>
    <row r="576" spans="1:14">
      <c r="A576" s="1">
        <v>12</v>
      </c>
      <c r="B576" s="71">
        <v>42125</v>
      </c>
      <c r="E576" s="5">
        <v>5</v>
      </c>
      <c r="F576" s="79">
        <v>6.3070000000000004</v>
      </c>
      <c r="G576" s="80">
        <v>2.0129999999999999</v>
      </c>
    </row>
    <row r="577" spans="1:14">
      <c r="A577" s="1">
        <v>13</v>
      </c>
      <c r="B577" s="71">
        <v>42125</v>
      </c>
      <c r="E577" s="5">
        <v>5</v>
      </c>
      <c r="F577" s="79">
        <v>7.58</v>
      </c>
      <c r="G577" s="80">
        <v>1.919</v>
      </c>
      <c r="I577" s="21">
        <f>AVERAGE(F575:F577)</f>
        <v>7.288333333333334</v>
      </c>
      <c r="J577" s="21">
        <f>AVERAGE(G575:G577)</f>
        <v>2.23</v>
      </c>
      <c r="L577">
        <f>+J577/I577</f>
        <v>0.30596844271667045</v>
      </c>
      <c r="M577">
        <f>+(L577-$L$927)/$L$928</f>
        <v>-0.39635996418584896</v>
      </c>
      <c r="N577">
        <f>+N574+M577</f>
        <v>39.414548655563046</v>
      </c>
    </row>
    <row r="578" spans="1:14">
      <c r="A578" s="1">
        <v>11</v>
      </c>
      <c r="B578" s="71">
        <v>42156</v>
      </c>
      <c r="E578" s="5">
        <v>6</v>
      </c>
      <c r="F578" s="79">
        <v>7.2409999999999997</v>
      </c>
      <c r="G578" s="80">
        <v>2.0739999999999998</v>
      </c>
    </row>
    <row r="579" spans="1:14">
      <c r="A579" s="1">
        <v>12</v>
      </c>
      <c r="B579" s="71">
        <v>42156</v>
      </c>
      <c r="E579" s="5">
        <v>6</v>
      </c>
      <c r="F579" s="79">
        <v>7.2489999999999997</v>
      </c>
      <c r="G579" s="80">
        <v>2.0539999999999998</v>
      </c>
    </row>
    <row r="580" spans="1:14">
      <c r="A580" s="1">
        <v>13</v>
      </c>
      <c r="B580" s="71">
        <v>42156</v>
      </c>
      <c r="E580" s="5">
        <v>6</v>
      </c>
      <c r="F580" s="79">
        <v>12.542</v>
      </c>
      <c r="G580" s="80">
        <v>3.4580000000000002</v>
      </c>
      <c r="I580" s="21">
        <f>AVERAGE(F578:F580)</f>
        <v>9.0106666666666655</v>
      </c>
      <c r="J580" s="21">
        <f>AVERAGE(G578:G580)</f>
        <v>2.5286666666666666</v>
      </c>
      <c r="L580">
        <f>+J580/I580</f>
        <v>0.28063036401302166</v>
      </c>
      <c r="M580">
        <f>+(L580-$L$927)/$L$928</f>
        <v>-0.71364877893323619</v>
      </c>
      <c r="N580">
        <f>+N577+M580</f>
        <v>38.700899876629812</v>
      </c>
    </row>
    <row r="581" spans="1:14">
      <c r="A581" s="1">
        <v>11</v>
      </c>
      <c r="B581" s="71">
        <v>42186</v>
      </c>
      <c r="E581" s="5">
        <v>7</v>
      </c>
      <c r="F581" s="79">
        <v>11.587</v>
      </c>
      <c r="G581" s="80">
        <v>4.0419999999999998</v>
      </c>
    </row>
    <row r="582" spans="1:14">
      <c r="A582" s="1">
        <v>12</v>
      </c>
      <c r="B582" s="71">
        <v>42186</v>
      </c>
      <c r="E582" s="5">
        <v>7</v>
      </c>
      <c r="F582" s="79">
        <v>9.7639999999999993</v>
      </c>
      <c r="G582" s="80">
        <v>3.177</v>
      </c>
    </row>
    <row r="583" spans="1:14">
      <c r="A583" s="1">
        <v>13</v>
      </c>
      <c r="B583" s="71">
        <v>42186</v>
      </c>
      <c r="E583" s="5">
        <v>7</v>
      </c>
      <c r="F583" s="79">
        <v>12.468</v>
      </c>
      <c r="G583" s="80">
        <v>3.7360000000000002</v>
      </c>
      <c r="I583" s="21">
        <f>AVERAGE(F581:F583)</f>
        <v>11.273000000000001</v>
      </c>
      <c r="J583" s="21">
        <f>AVERAGE(G581:G583)</f>
        <v>3.6516666666666668</v>
      </c>
      <c r="L583">
        <f>+J583/I583</f>
        <v>0.32393033501877638</v>
      </c>
      <c r="M583">
        <f>+(L583-$L$927)/$L$928</f>
        <v>-0.17143732558283942</v>
      </c>
      <c r="N583">
        <f>+N580+M583</f>
        <v>38.529462551046976</v>
      </c>
    </row>
    <row r="584" spans="1:14">
      <c r="A584" s="1">
        <v>11</v>
      </c>
      <c r="B584" s="71">
        <v>42217</v>
      </c>
      <c r="E584" s="5">
        <v>8</v>
      </c>
      <c r="F584" s="79">
        <v>8.31</v>
      </c>
      <c r="G584" s="80">
        <v>2.774</v>
      </c>
    </row>
    <row r="585" spans="1:14">
      <c r="A585" s="1">
        <v>12</v>
      </c>
      <c r="B585" s="71">
        <v>42217</v>
      </c>
      <c r="E585" s="5">
        <v>8</v>
      </c>
      <c r="F585" s="79">
        <v>3.1019999999999999</v>
      </c>
      <c r="G585" s="80">
        <v>1.0640000000000001</v>
      </c>
    </row>
    <row r="586" spans="1:14">
      <c r="A586" s="1">
        <v>13</v>
      </c>
      <c r="B586" s="71">
        <v>42217</v>
      </c>
      <c r="E586" s="5">
        <v>8</v>
      </c>
      <c r="F586" s="79">
        <v>7.0839999999999996</v>
      </c>
      <c r="G586" s="80">
        <v>2.427</v>
      </c>
      <c r="I586" s="21">
        <f>AVERAGE(F584:F586)</f>
        <v>6.1653333333333338</v>
      </c>
      <c r="J586" s="21">
        <f>AVERAGE(G584:G586)</f>
        <v>2.0883333333333334</v>
      </c>
      <c r="L586">
        <f>+J586/I586</f>
        <v>0.33872188581314877</v>
      </c>
      <c r="M586">
        <f>+(L586-$L$927)/$L$928</f>
        <v>1.3785621851858906E-2</v>
      </c>
      <c r="N586">
        <f>+N583+M586</f>
        <v>38.543248172898835</v>
      </c>
    </row>
    <row r="587" spans="1:14">
      <c r="A587" s="1">
        <v>11</v>
      </c>
      <c r="B587" s="71">
        <v>42248</v>
      </c>
      <c r="E587" s="5">
        <v>9</v>
      </c>
      <c r="F587" s="79">
        <v>3.8239999999999998</v>
      </c>
      <c r="G587" s="80">
        <v>1.0580000000000001</v>
      </c>
    </row>
    <row r="588" spans="1:14">
      <c r="A588" s="1">
        <v>12</v>
      </c>
      <c r="B588" s="71">
        <v>42248</v>
      </c>
      <c r="E588" s="5">
        <v>9</v>
      </c>
      <c r="F588" s="79">
        <v>4.8499999999999996</v>
      </c>
      <c r="G588" s="80">
        <v>1.3959999999999999</v>
      </c>
    </row>
    <row r="589" spans="1:14">
      <c r="A589" s="1">
        <v>13</v>
      </c>
      <c r="B589" s="71">
        <v>42248</v>
      </c>
      <c r="E589" s="5">
        <v>9</v>
      </c>
      <c r="F589" s="79">
        <v>6.0039999999999996</v>
      </c>
      <c r="G589" s="80">
        <v>1.873</v>
      </c>
      <c r="I589" s="21">
        <f>AVERAGE(F587:F589)</f>
        <v>4.8926666666666661</v>
      </c>
      <c r="J589" s="21">
        <f>AVERAGE(G587:G589)</f>
        <v>1.4423333333333332</v>
      </c>
      <c r="L589">
        <f>+J589/I589</f>
        <v>0.29479493118953537</v>
      </c>
      <c r="M589">
        <f>+(L589-$L$927)/$L$928</f>
        <v>-0.53627705381508084</v>
      </c>
      <c r="N589">
        <f>+N586+M589</f>
        <v>38.006971119083751</v>
      </c>
    </row>
    <row r="590" spans="1:14">
      <c r="A590" s="1">
        <v>11</v>
      </c>
      <c r="B590" s="71">
        <v>42278</v>
      </c>
      <c r="E590" s="5">
        <v>10</v>
      </c>
      <c r="F590" s="79">
        <v>5.8849999999999998</v>
      </c>
      <c r="G590" s="80">
        <v>1.55</v>
      </c>
    </row>
    <row r="591" spans="1:14">
      <c r="A591" s="1">
        <v>12</v>
      </c>
      <c r="B591" s="71">
        <v>42278</v>
      </c>
      <c r="E591" s="5">
        <v>10</v>
      </c>
      <c r="F591" s="79">
        <v>3.806</v>
      </c>
      <c r="G591" s="80">
        <v>1.0129999999999999</v>
      </c>
    </row>
    <row r="592" spans="1:14">
      <c r="A592" s="1">
        <v>13</v>
      </c>
      <c r="B592" s="71">
        <v>42278</v>
      </c>
      <c r="E592" s="5">
        <v>10</v>
      </c>
      <c r="F592" s="79">
        <v>5.2089999999999996</v>
      </c>
      <c r="G592" s="80">
        <v>1.35</v>
      </c>
      <c r="I592" s="21">
        <f>AVERAGE(F590:F592)</f>
        <v>4.9666666666666659</v>
      </c>
      <c r="J592" s="21">
        <f>AVERAGE(G590:G592)</f>
        <v>1.3043333333333333</v>
      </c>
      <c r="L592">
        <f>+J592/I592</f>
        <v>0.26261744966442957</v>
      </c>
      <c r="M592">
        <f>+(L592-$L$927)/$L$928</f>
        <v>-0.93921032646240865</v>
      </c>
      <c r="N592">
        <f>+N589+M592</f>
        <v>37.067760792621343</v>
      </c>
    </row>
    <row r="593" spans="1:14">
      <c r="A593" s="1">
        <v>11</v>
      </c>
      <c r="B593" s="71">
        <v>42309</v>
      </c>
      <c r="E593" s="5">
        <v>11</v>
      </c>
      <c r="F593" s="79">
        <v>1.7250000000000001</v>
      </c>
      <c r="G593" s="80">
        <v>0.42799999999999999</v>
      </c>
    </row>
    <row r="594" spans="1:14">
      <c r="A594" s="1">
        <v>12</v>
      </c>
      <c r="B594" s="71">
        <v>42309</v>
      </c>
      <c r="E594" s="5">
        <v>11</v>
      </c>
      <c r="F594" s="79">
        <v>1.4059999999999999</v>
      </c>
      <c r="G594" s="80">
        <v>0.35299999999999998</v>
      </c>
    </row>
    <row r="595" spans="1:14">
      <c r="A595" s="1">
        <v>13</v>
      </c>
      <c r="B595" s="71">
        <v>42309</v>
      </c>
      <c r="E595" s="5">
        <v>11</v>
      </c>
      <c r="F595" s="79">
        <v>0.94499999999999995</v>
      </c>
      <c r="G595" s="80">
        <v>0.25800000000000001</v>
      </c>
      <c r="I595" s="21">
        <f>AVERAGE(F593:F595)</f>
        <v>1.3586666666666669</v>
      </c>
      <c r="J595" s="21">
        <f>AVERAGE(G593:G595)</f>
        <v>0.34633333333333333</v>
      </c>
      <c r="L595">
        <f>+J595/I595</f>
        <v>0.25490677134445527</v>
      </c>
      <c r="M595">
        <f>+(L595-$L$927)/$L$928</f>
        <v>-1.0357650816061248</v>
      </c>
      <c r="N595">
        <f>+N592+M595</f>
        <v>36.03199571101522</v>
      </c>
    </row>
    <row r="596" spans="1:14">
      <c r="A596" s="1">
        <v>11</v>
      </c>
      <c r="B596" s="72">
        <v>42339</v>
      </c>
      <c r="E596" s="5">
        <v>12</v>
      </c>
      <c r="F596" s="79">
        <v>3.4</v>
      </c>
      <c r="G596" s="80">
        <v>1.0820000000000001</v>
      </c>
    </row>
    <row r="597" spans="1:14">
      <c r="A597" s="1">
        <v>12</v>
      </c>
      <c r="B597" s="71">
        <v>42339</v>
      </c>
      <c r="E597" s="5">
        <v>12</v>
      </c>
      <c r="F597" s="79">
        <v>4.452</v>
      </c>
      <c r="G597" s="80">
        <v>1.446</v>
      </c>
    </row>
    <row r="598" spans="1:14">
      <c r="A598" s="1">
        <v>13</v>
      </c>
      <c r="B598" s="71">
        <v>42339</v>
      </c>
      <c r="E598" s="5">
        <v>12</v>
      </c>
      <c r="F598" s="79">
        <v>5.8179999999999996</v>
      </c>
      <c r="G598" s="80">
        <v>1.7889999999999999</v>
      </c>
      <c r="I598" s="21">
        <f>AVERAGE(F596:F598)</f>
        <v>4.5566666666666666</v>
      </c>
      <c r="J598" s="21">
        <f>AVERAGE(G596:G598)</f>
        <v>1.4390000000000001</v>
      </c>
      <c r="L598">
        <f>+J598/I598</f>
        <v>0.31580102414045358</v>
      </c>
      <c r="M598">
        <f>+(L598-$L$927)/$L$928</f>
        <v>-0.27323428672830496</v>
      </c>
      <c r="N598">
        <f>+N595+M598</f>
        <v>35.758761424286917</v>
      </c>
    </row>
    <row r="599" spans="1:14">
      <c r="A599" s="1">
        <v>11</v>
      </c>
      <c r="B599" s="70">
        <v>42379</v>
      </c>
      <c r="E599" s="3">
        <v>1</v>
      </c>
      <c r="F599" s="81">
        <v>5.2149999999999999</v>
      </c>
      <c r="G599" s="81">
        <v>1.708</v>
      </c>
    </row>
    <row r="600" spans="1:14">
      <c r="A600" s="1">
        <v>12</v>
      </c>
      <c r="B600" s="70">
        <v>42374</v>
      </c>
      <c r="E600" s="3">
        <v>1</v>
      </c>
      <c r="F600" s="81">
        <v>8.0749999999999993</v>
      </c>
      <c r="G600" s="81">
        <v>2.766</v>
      </c>
    </row>
    <row r="601" spans="1:14">
      <c r="A601" s="1">
        <v>13</v>
      </c>
      <c r="B601" s="70">
        <v>42374</v>
      </c>
      <c r="E601" s="3">
        <v>1</v>
      </c>
      <c r="F601" s="81">
        <v>6.2149999999999999</v>
      </c>
      <c r="G601" s="81">
        <v>2.1930000000000001</v>
      </c>
      <c r="I601" s="21">
        <f>AVERAGE(F599:F601)</f>
        <v>6.501666666666666</v>
      </c>
      <c r="J601" s="21">
        <f>AVERAGE(G599:G601)</f>
        <v>2.2223333333333333</v>
      </c>
      <c r="L601">
        <f>+J601/I601</f>
        <v>0.34180979236093312</v>
      </c>
      <c r="M601">
        <f>+(L601-$L$927)/$L$928</f>
        <v>5.2453044905371733E-2</v>
      </c>
      <c r="N601">
        <f>+N598+M601</f>
        <v>35.811214469192286</v>
      </c>
    </row>
    <row r="602" spans="1:14">
      <c r="A602" s="1">
        <v>11</v>
      </c>
      <c r="B602" s="71">
        <v>42401</v>
      </c>
      <c r="E602" s="5">
        <v>2</v>
      </c>
      <c r="F602" s="81">
        <v>5.5350000000000001</v>
      </c>
      <c r="G602" s="81">
        <v>1.6890000000000001</v>
      </c>
    </row>
    <row r="603" spans="1:14">
      <c r="A603" s="1">
        <v>12</v>
      </c>
      <c r="B603" s="71">
        <v>42401</v>
      </c>
      <c r="E603" s="5">
        <v>2</v>
      </c>
      <c r="F603" s="81">
        <v>6.8559999999999999</v>
      </c>
      <c r="G603" s="81">
        <v>2.2189999999999999</v>
      </c>
    </row>
    <row r="604" spans="1:14">
      <c r="A604" s="1">
        <v>13</v>
      </c>
      <c r="B604" s="71">
        <v>42401</v>
      </c>
      <c r="E604" s="5">
        <v>2</v>
      </c>
      <c r="F604" s="81">
        <v>7.1429999999999998</v>
      </c>
      <c r="G604" s="81">
        <v>2.2879999999999998</v>
      </c>
      <c r="I604" s="21">
        <f>AVERAGE(F602:F604)</f>
        <v>6.511333333333333</v>
      </c>
      <c r="J604" s="21">
        <f>AVERAGE(G602:G604)</f>
        <v>2.0653333333333332</v>
      </c>
      <c r="L604">
        <f>+J604/I604</f>
        <v>0.31719053957202825</v>
      </c>
      <c r="M604">
        <f>+(L604-$L$927)/$L$928</f>
        <v>-0.25583447873520548</v>
      </c>
      <c r="N604">
        <f>+N601+M604</f>
        <v>35.555379990457084</v>
      </c>
    </row>
    <row r="605" spans="1:14">
      <c r="A605" s="1">
        <v>11</v>
      </c>
      <c r="B605" s="71">
        <v>42430</v>
      </c>
      <c r="E605" s="5">
        <v>3</v>
      </c>
      <c r="F605" s="81">
        <v>5.6139999999999999</v>
      </c>
      <c r="G605" s="81">
        <v>2.2759999999999998</v>
      </c>
    </row>
    <row r="606" spans="1:14">
      <c r="A606" s="1">
        <v>12</v>
      </c>
      <c r="B606" s="71">
        <v>42430</v>
      </c>
      <c r="E606" s="5">
        <v>3</v>
      </c>
      <c r="F606" s="81">
        <v>4.2729999999999997</v>
      </c>
      <c r="G606" s="81">
        <v>1.6970000000000001</v>
      </c>
    </row>
    <row r="607" spans="1:14">
      <c r="A607" s="1">
        <v>13</v>
      </c>
      <c r="B607" s="71">
        <v>42430</v>
      </c>
      <c r="E607" s="5">
        <v>3</v>
      </c>
      <c r="F607" s="81">
        <v>2.7320000000000002</v>
      </c>
      <c r="G607" s="81">
        <v>1.042</v>
      </c>
      <c r="I607" s="21">
        <f>AVERAGE(F605:F607)</f>
        <v>4.2063333333333333</v>
      </c>
      <c r="J607" s="21">
        <f>AVERAGE(G605:G607)</f>
        <v>1.6716666666666666</v>
      </c>
      <c r="L607">
        <f>+J607/I607</f>
        <v>0.39741659402488311</v>
      </c>
      <c r="M607">
        <f>+(L607-$L$927)/$L$928</f>
        <v>0.74877325127157124</v>
      </c>
      <c r="N607">
        <f>+N604+M607</f>
        <v>36.304153241728656</v>
      </c>
    </row>
    <row r="608" spans="1:14">
      <c r="A608" s="1">
        <v>11</v>
      </c>
      <c r="B608" s="71">
        <v>42461</v>
      </c>
      <c r="E608" s="5">
        <v>4</v>
      </c>
      <c r="F608" s="81">
        <v>4.4889999999999999</v>
      </c>
      <c r="G608" s="81">
        <v>1.792</v>
      </c>
    </row>
    <row r="609" spans="1:14">
      <c r="A609" s="1">
        <v>12</v>
      </c>
      <c r="B609" s="71">
        <v>42461</v>
      </c>
      <c r="E609" s="5">
        <v>4</v>
      </c>
      <c r="F609" s="81">
        <v>4.5019999999999998</v>
      </c>
      <c r="G609" s="81">
        <v>1.78</v>
      </c>
    </row>
    <row r="610" spans="1:14">
      <c r="A610" s="1">
        <v>13</v>
      </c>
      <c r="B610" s="71">
        <v>42461</v>
      </c>
      <c r="E610" s="5">
        <v>4</v>
      </c>
      <c r="F610" s="81">
        <v>3.6019999999999999</v>
      </c>
      <c r="G610" s="81">
        <v>1.347</v>
      </c>
      <c r="I610" s="21">
        <f>AVERAGE(F608:F610)</f>
        <v>4.1976666666666667</v>
      </c>
      <c r="J610" s="21">
        <f>AVERAGE(G608:G610)</f>
        <v>1.6396666666666668</v>
      </c>
      <c r="L610">
        <f>+J610/I610</f>
        <v>0.39061383308187092</v>
      </c>
      <c r="M610">
        <f>+(L610-$L$927)/$L$928</f>
        <v>0.6635876307727554</v>
      </c>
      <c r="N610">
        <f>+N607+M610</f>
        <v>36.967740872501409</v>
      </c>
    </row>
    <row r="611" spans="1:14">
      <c r="A611" s="1">
        <v>11</v>
      </c>
      <c r="B611" s="71">
        <v>42491</v>
      </c>
      <c r="E611" s="5">
        <v>5</v>
      </c>
      <c r="F611" s="81">
        <v>7.3659999999999997</v>
      </c>
      <c r="G611" s="81">
        <v>3.0379999999999998</v>
      </c>
    </row>
    <row r="612" spans="1:14">
      <c r="A612" s="1">
        <v>12</v>
      </c>
      <c r="B612" s="71">
        <v>42491</v>
      </c>
      <c r="E612" s="5">
        <v>5</v>
      </c>
      <c r="F612" s="81">
        <v>7.1539999999999999</v>
      </c>
      <c r="G612" s="81">
        <v>3.1520000000000001</v>
      </c>
    </row>
    <row r="613" spans="1:14">
      <c r="A613" s="1">
        <v>13</v>
      </c>
      <c r="B613" s="71">
        <v>42491</v>
      </c>
      <c r="E613" s="5">
        <v>5</v>
      </c>
      <c r="F613" s="81">
        <v>8.9220000000000006</v>
      </c>
      <c r="G613" s="81">
        <v>3.778</v>
      </c>
      <c r="I613" s="21">
        <f>AVERAGE(F611:F613)</f>
        <v>7.8140000000000001</v>
      </c>
      <c r="J613" s="21">
        <f>AVERAGE(G611:G613)</f>
        <v>3.3226666666666667</v>
      </c>
      <c r="L613">
        <f>+J613/I613</f>
        <v>0.42521969115263203</v>
      </c>
      <c r="M613">
        <f>+(L613-$L$927)/$L$928</f>
        <v>1.0969295514057085</v>
      </c>
      <c r="N613">
        <f>+N610+M613</f>
        <v>38.064670423907117</v>
      </c>
    </row>
    <row r="614" spans="1:14">
      <c r="A614" s="1">
        <v>11</v>
      </c>
      <c r="B614" s="71">
        <v>42522</v>
      </c>
      <c r="E614" s="5">
        <v>6</v>
      </c>
      <c r="F614" s="81">
        <v>5.7859999999999996</v>
      </c>
      <c r="G614" s="81">
        <v>1.877</v>
      </c>
    </row>
    <row r="615" spans="1:14">
      <c r="A615" s="1">
        <v>12</v>
      </c>
      <c r="B615" s="71">
        <v>42522</v>
      </c>
      <c r="E615" s="5">
        <v>6</v>
      </c>
      <c r="F615" s="81">
        <v>7.0030000000000001</v>
      </c>
      <c r="G615" s="81">
        <v>2.282</v>
      </c>
    </row>
    <row r="616" spans="1:14">
      <c r="A616" s="1">
        <v>13</v>
      </c>
      <c r="B616" s="71">
        <v>42522</v>
      </c>
      <c r="E616" s="5">
        <v>6</v>
      </c>
      <c r="F616" s="81">
        <v>7.8079999999999998</v>
      </c>
      <c r="G616" s="81">
        <v>2.472</v>
      </c>
      <c r="I616" s="21">
        <f>AVERAGE(F614:F616)</f>
        <v>6.8656666666666668</v>
      </c>
      <c r="J616" s="21">
        <f>AVERAGE(G614:G616)</f>
        <v>2.2103333333333333</v>
      </c>
      <c r="L616">
        <f>+J616/I616</f>
        <v>0.32194008836238286</v>
      </c>
      <c r="M616">
        <f>+(L616-$L$927)/$L$928</f>
        <v>-0.19635961783900466</v>
      </c>
      <c r="N616">
        <f>+N613+M616</f>
        <v>37.868310806068109</v>
      </c>
    </row>
    <row r="617" spans="1:14">
      <c r="A617" s="1">
        <v>11</v>
      </c>
      <c r="B617" s="71">
        <v>42552</v>
      </c>
      <c r="E617" s="5">
        <v>7</v>
      </c>
      <c r="F617" s="81">
        <v>8.6720000000000006</v>
      </c>
      <c r="G617" s="81">
        <v>2.7970000000000002</v>
      </c>
    </row>
    <row r="618" spans="1:14">
      <c r="A618" s="1">
        <v>12</v>
      </c>
      <c r="B618" s="71">
        <v>42552</v>
      </c>
      <c r="E618" s="5">
        <v>7</v>
      </c>
      <c r="F618" s="81">
        <v>8.9190000000000005</v>
      </c>
      <c r="G618" s="81">
        <v>2.4790000000000001</v>
      </c>
    </row>
    <row r="619" spans="1:14">
      <c r="A619" s="1">
        <v>13</v>
      </c>
      <c r="B619" s="71">
        <v>42552</v>
      </c>
      <c r="E619" s="5">
        <v>7</v>
      </c>
      <c r="F619" s="81">
        <v>18.024999999999999</v>
      </c>
      <c r="G619" s="81">
        <v>5.5629999999999997</v>
      </c>
      <c r="I619" s="21">
        <f>AVERAGE(F617:F619)</f>
        <v>11.872</v>
      </c>
      <c r="J619" s="21">
        <f>AVERAGE(G617:G619)</f>
        <v>3.6129999999999995</v>
      </c>
      <c r="L619">
        <f>+J619/I619</f>
        <v>0.30432951482479781</v>
      </c>
      <c r="M619">
        <f>+(L619-$L$927)/$L$928</f>
        <v>-0.41688296809434261</v>
      </c>
      <c r="N619">
        <f>+N616+M619</f>
        <v>37.451427837973768</v>
      </c>
    </row>
    <row r="620" spans="1:14">
      <c r="A620" s="1">
        <v>11</v>
      </c>
      <c r="B620" s="71">
        <v>42583</v>
      </c>
      <c r="E620" s="5">
        <v>8</v>
      </c>
      <c r="F620" s="81">
        <v>7.4160000000000004</v>
      </c>
      <c r="G620" s="81">
        <v>2.8559999999999999</v>
      </c>
    </row>
    <row r="621" spans="1:14">
      <c r="A621" s="1">
        <v>12</v>
      </c>
      <c r="B621" s="71">
        <v>42583</v>
      </c>
      <c r="E621" s="5">
        <v>8</v>
      </c>
      <c r="F621" s="81">
        <v>7.9630000000000001</v>
      </c>
      <c r="G621" s="81">
        <v>2.887</v>
      </c>
    </row>
    <row r="622" spans="1:14">
      <c r="A622" s="1">
        <v>13</v>
      </c>
      <c r="B622" s="71">
        <v>42583</v>
      </c>
      <c r="E622" s="5">
        <v>8</v>
      </c>
      <c r="F622" s="81">
        <v>14.641</v>
      </c>
      <c r="G622" s="81">
        <v>5.4669999999999996</v>
      </c>
      <c r="I622" s="21">
        <f>AVERAGE(F620:F622)</f>
        <v>10.006666666666668</v>
      </c>
      <c r="J622" s="21">
        <f>AVERAGE(G620:G622)</f>
        <v>3.7366666666666668</v>
      </c>
      <c r="L622">
        <f>+J622/I622</f>
        <v>0.37341772151898733</v>
      </c>
      <c r="M622">
        <f>+(L622-$L$927)/$L$928</f>
        <v>0.448254261583028</v>
      </c>
      <c r="N622">
        <f>+N619+M622</f>
        <v>37.899682099556799</v>
      </c>
    </row>
    <row r="623" spans="1:14">
      <c r="A623" s="1">
        <v>11</v>
      </c>
      <c r="B623" s="71">
        <v>42614</v>
      </c>
      <c r="E623" s="5">
        <v>9</v>
      </c>
      <c r="F623" s="81">
        <v>6.0890000000000004</v>
      </c>
      <c r="G623" s="81">
        <v>2.4009999999999998</v>
      </c>
    </row>
    <row r="624" spans="1:14">
      <c r="A624" s="1">
        <v>12</v>
      </c>
      <c r="B624" s="71">
        <v>42614</v>
      </c>
      <c r="E624" s="5">
        <v>9</v>
      </c>
      <c r="F624" s="81">
        <v>7.117</v>
      </c>
      <c r="G624" s="81">
        <v>2.5529999999999999</v>
      </c>
    </row>
    <row r="625" spans="1:14">
      <c r="A625" s="1">
        <v>13</v>
      </c>
      <c r="B625" s="71">
        <v>42614</v>
      </c>
      <c r="E625" s="5">
        <v>9</v>
      </c>
      <c r="F625" s="81">
        <v>10.36</v>
      </c>
      <c r="G625" s="81">
        <v>3.5979999999999999</v>
      </c>
      <c r="I625" s="21">
        <f>AVERAGE(F623:F625)</f>
        <v>7.8553333333333333</v>
      </c>
      <c r="J625" s="21">
        <f>AVERAGE(G623:G625)</f>
        <v>2.8506666666666667</v>
      </c>
      <c r="L625">
        <f>+J625/I625</f>
        <v>0.36289569719086823</v>
      </c>
      <c r="M625">
        <f>+(L625-$L$927)/$L$928</f>
        <v>0.31649523332918794</v>
      </c>
      <c r="N625">
        <f>+N622+M625</f>
        <v>38.216177332885984</v>
      </c>
    </row>
    <row r="626" spans="1:14">
      <c r="A626" s="1">
        <v>11</v>
      </c>
      <c r="B626" s="71">
        <v>42644</v>
      </c>
      <c r="E626" s="5">
        <v>10</v>
      </c>
      <c r="F626" s="81">
        <v>2.234</v>
      </c>
      <c r="G626" s="81">
        <v>0.76800000000000002</v>
      </c>
    </row>
    <row r="627" spans="1:14">
      <c r="A627" s="1">
        <v>12</v>
      </c>
      <c r="B627" s="71">
        <v>42644</v>
      </c>
      <c r="E627" s="5">
        <v>10</v>
      </c>
      <c r="F627" s="81">
        <v>3.1469999999999998</v>
      </c>
      <c r="G627" s="81">
        <v>1.0389999999999999</v>
      </c>
    </row>
    <row r="628" spans="1:14">
      <c r="A628" s="1">
        <v>13</v>
      </c>
      <c r="B628" s="71">
        <v>42644</v>
      </c>
      <c r="E628" s="5">
        <v>10</v>
      </c>
      <c r="F628" s="81">
        <v>5.1710000000000003</v>
      </c>
      <c r="G628" s="81">
        <v>1.526</v>
      </c>
      <c r="I628" s="21">
        <f>AVERAGE(F626:F628)</f>
        <v>3.5173333333333332</v>
      </c>
      <c r="J628" s="21">
        <f>AVERAGE(G626:G628)</f>
        <v>1.111</v>
      </c>
      <c r="L628">
        <f>+J628/I628</f>
        <v>0.3158642911296437</v>
      </c>
      <c r="M628">
        <f>+(L628-$L$927)/$L$928</f>
        <v>-0.272442044023262</v>
      </c>
      <c r="N628">
        <f>+N625+M628</f>
        <v>37.943735288862719</v>
      </c>
    </row>
    <row r="629" spans="1:14">
      <c r="A629" s="1">
        <v>11</v>
      </c>
      <c r="B629" s="71">
        <v>42675</v>
      </c>
      <c r="E629" s="5">
        <v>11</v>
      </c>
      <c r="F629" s="81">
        <v>4.2850000000000001</v>
      </c>
      <c r="G629" s="81">
        <v>1.577</v>
      </c>
    </row>
    <row r="630" spans="1:14">
      <c r="A630" s="1">
        <v>12</v>
      </c>
      <c r="B630" s="71">
        <v>42675</v>
      </c>
      <c r="E630" s="5">
        <v>11</v>
      </c>
      <c r="F630" s="81">
        <v>5.68</v>
      </c>
      <c r="G630" s="81">
        <v>2.1520000000000001</v>
      </c>
    </row>
    <row r="631" spans="1:14">
      <c r="A631" s="1">
        <v>13</v>
      </c>
      <c r="B631" s="71">
        <v>42675</v>
      </c>
      <c r="E631" s="5">
        <v>11</v>
      </c>
      <c r="F631" s="81">
        <v>2.0910000000000002</v>
      </c>
      <c r="G631" s="81">
        <v>0.58599999999999997</v>
      </c>
      <c r="I631" s="21">
        <f>AVERAGE(F629:F631)</f>
        <v>4.0186666666666673</v>
      </c>
      <c r="J631" s="21">
        <f>AVERAGE(G629:G631)</f>
        <v>1.4383333333333335</v>
      </c>
      <c r="L631">
        <f>+J631/I631</f>
        <v>0.35791307232913072</v>
      </c>
      <c r="M631">
        <f>+(L631-$L$927)/$L$928</f>
        <v>0.25410174425679444</v>
      </c>
      <c r="N631">
        <f>+N628+M631</f>
        <v>38.197837033119512</v>
      </c>
    </row>
    <row r="632" spans="1:14">
      <c r="A632" s="1">
        <v>11</v>
      </c>
      <c r="B632" s="72">
        <v>42705</v>
      </c>
      <c r="E632" s="5">
        <v>12</v>
      </c>
      <c r="F632" s="81">
        <v>6.109</v>
      </c>
      <c r="G632" s="81">
        <v>1.776</v>
      </c>
    </row>
    <row r="633" spans="1:14">
      <c r="A633" s="1">
        <v>12</v>
      </c>
      <c r="B633" s="71">
        <v>42705</v>
      </c>
      <c r="E633" s="5">
        <v>12</v>
      </c>
      <c r="F633" s="81">
        <v>3.9180000000000001</v>
      </c>
      <c r="G633" s="81">
        <v>0.95799999999999996</v>
      </c>
    </row>
    <row r="634" spans="1:14">
      <c r="A634" s="1">
        <v>13</v>
      </c>
      <c r="B634" s="71">
        <v>42705</v>
      </c>
      <c r="E634" s="5">
        <v>12</v>
      </c>
      <c r="F634" s="81">
        <v>3.7839999999999998</v>
      </c>
      <c r="G634" s="81">
        <v>1.0109999999999999</v>
      </c>
      <c r="I634" s="21">
        <f>AVERAGE(F632:F634)</f>
        <v>4.6036666666666664</v>
      </c>
      <c r="J634" s="21">
        <f>AVERAGE(G632:G634)</f>
        <v>1.2483333333333333</v>
      </c>
      <c r="L634">
        <f>+J634/I634</f>
        <v>0.27116066903193109</v>
      </c>
      <c r="M634">
        <f>+(L634-$L$927)/$L$928</f>
        <v>-0.8322303151148579</v>
      </c>
      <c r="N634">
        <f>+N631+M634</f>
        <v>37.365606718004656</v>
      </c>
    </row>
    <row r="635" spans="1:14">
      <c r="A635" s="1">
        <v>11</v>
      </c>
      <c r="B635" s="70">
        <v>42745</v>
      </c>
      <c r="E635" s="3">
        <v>1</v>
      </c>
    </row>
    <row r="636" spans="1:14">
      <c r="A636" s="1">
        <v>12</v>
      </c>
      <c r="B636" s="70">
        <v>42740</v>
      </c>
      <c r="E636" s="3">
        <v>1</v>
      </c>
    </row>
    <row r="637" spans="1:14">
      <c r="A637" s="1">
        <v>13</v>
      </c>
      <c r="B637" s="70">
        <v>42740</v>
      </c>
      <c r="E637" s="3">
        <v>1</v>
      </c>
    </row>
    <row r="638" spans="1:14">
      <c r="A638" s="1">
        <v>11</v>
      </c>
      <c r="B638" s="71">
        <v>42767</v>
      </c>
      <c r="E638" s="5">
        <v>2</v>
      </c>
    </row>
    <row r="639" spans="1:14">
      <c r="A639" s="1">
        <v>12</v>
      </c>
      <c r="B639" s="71">
        <v>42767</v>
      </c>
      <c r="E639" s="5">
        <v>2</v>
      </c>
    </row>
    <row r="640" spans="1:14">
      <c r="A640" s="1">
        <v>13</v>
      </c>
      <c r="B640" s="71">
        <v>42767</v>
      </c>
      <c r="E640" s="5">
        <v>2</v>
      </c>
    </row>
    <row r="641" spans="1:14">
      <c r="A641" s="1">
        <v>11</v>
      </c>
      <c r="B641" s="71">
        <v>42795</v>
      </c>
      <c r="E641" s="5">
        <v>3</v>
      </c>
      <c r="F641" s="81">
        <v>4.8869999999999996</v>
      </c>
      <c r="G641" s="81">
        <v>2.3330000000000002</v>
      </c>
    </row>
    <row r="642" spans="1:14">
      <c r="A642" s="1">
        <v>12</v>
      </c>
      <c r="B642" s="71">
        <v>42795</v>
      </c>
      <c r="E642" s="5">
        <v>3</v>
      </c>
      <c r="F642" s="81">
        <v>5.0990000000000002</v>
      </c>
      <c r="G642" s="81">
        <v>2.35</v>
      </c>
    </row>
    <row r="643" spans="1:14">
      <c r="A643" s="1">
        <v>13</v>
      </c>
      <c r="B643" s="71">
        <v>42795</v>
      </c>
      <c r="E643" s="5">
        <v>3</v>
      </c>
      <c r="F643" s="81">
        <v>4.2910000000000004</v>
      </c>
      <c r="G643" s="81">
        <v>2.0299999999999998</v>
      </c>
      <c r="I643" s="21">
        <f>AVERAGE(F641:F643)</f>
        <v>4.7590000000000003</v>
      </c>
      <c r="J643" s="21">
        <f>AVERAGE(G641:G643)</f>
        <v>2.2376666666666662</v>
      </c>
      <c r="L643">
        <f>+J643/I643</f>
        <v>0.47019682006023661</v>
      </c>
      <c r="M643">
        <f>+(L643-$L$927)/$L$928</f>
        <v>1.6601427329868068</v>
      </c>
      <c r="N643">
        <f>+N634+M643</f>
        <v>39.025749450991462</v>
      </c>
    </row>
    <row r="644" spans="1:14">
      <c r="A644" s="1">
        <v>11</v>
      </c>
      <c r="B644" s="71">
        <v>42826</v>
      </c>
      <c r="E644" s="5">
        <v>4</v>
      </c>
      <c r="F644" s="81">
        <v>1.1439999999999999</v>
      </c>
      <c r="G644" s="81">
        <v>0.46600000000000003</v>
      </c>
    </row>
    <row r="645" spans="1:14">
      <c r="A645" s="1">
        <v>12</v>
      </c>
      <c r="B645" s="71">
        <v>42826</v>
      </c>
      <c r="E645" s="5">
        <v>4</v>
      </c>
      <c r="F645" s="81">
        <v>1.2629999999999999</v>
      </c>
      <c r="G645" s="81">
        <v>0.46800000000000003</v>
      </c>
    </row>
    <row r="646" spans="1:14">
      <c r="A646" s="1">
        <v>13</v>
      </c>
      <c r="B646" s="71">
        <v>42826</v>
      </c>
      <c r="E646" s="5">
        <v>4</v>
      </c>
      <c r="F646" s="81">
        <v>1.915</v>
      </c>
      <c r="G646" s="81">
        <v>0.70199999999999996</v>
      </c>
      <c r="I646" s="21">
        <f>AVERAGE(F644:F646)</f>
        <v>1.4406666666666668</v>
      </c>
      <c r="J646" s="21">
        <f>AVERAGE(G644:G646)</f>
        <v>0.54533333333333334</v>
      </c>
      <c r="L646">
        <f>+J646/I646</f>
        <v>0.3785284590467376</v>
      </c>
      <c r="M646">
        <f>+(L646-$L$927)/$L$928</f>
        <v>0.51225200472806598</v>
      </c>
      <c r="N646">
        <f>+N643+M646</f>
        <v>39.538001455719531</v>
      </c>
    </row>
    <row r="647" spans="1:14">
      <c r="A647" s="1">
        <v>11</v>
      </c>
      <c r="B647" s="71">
        <v>42856</v>
      </c>
      <c r="E647" s="5">
        <v>5</v>
      </c>
      <c r="F647" s="81">
        <v>3.423</v>
      </c>
      <c r="G647" s="81">
        <v>0.64400000000000002</v>
      </c>
    </row>
    <row r="648" spans="1:14">
      <c r="A648" s="1">
        <v>12</v>
      </c>
      <c r="B648" s="71">
        <v>42856</v>
      </c>
      <c r="E648" s="5">
        <v>5</v>
      </c>
      <c r="F648" s="81">
        <v>4.0819999999999999</v>
      </c>
      <c r="G648" s="81">
        <v>1.103</v>
      </c>
    </row>
    <row r="649" spans="1:14">
      <c r="A649" s="1">
        <v>13</v>
      </c>
      <c r="B649" s="71">
        <v>42856</v>
      </c>
      <c r="E649" s="5">
        <v>5</v>
      </c>
      <c r="F649" s="81">
        <v>4.6100000000000003</v>
      </c>
      <c r="G649" s="81">
        <v>1.173</v>
      </c>
      <c r="I649" s="21">
        <f>AVERAGE(F647:F649)</f>
        <v>4.0383333333333331</v>
      </c>
      <c r="J649" s="21">
        <f>AVERAGE(G647:G649)</f>
        <v>0.97333333333333327</v>
      </c>
      <c r="L649">
        <f>+J649/I649</f>
        <v>0.24102352455633513</v>
      </c>
      <c r="M649">
        <f>+(L649-$L$927)/$L$928</f>
        <v>-1.2096140529416575</v>
      </c>
      <c r="N649">
        <f>+N646+M649</f>
        <v>38.328387402777871</v>
      </c>
    </row>
    <row r="650" spans="1:14">
      <c r="A650" s="1">
        <v>11</v>
      </c>
      <c r="B650" s="71">
        <v>42887</v>
      </c>
      <c r="E650" s="5">
        <v>6</v>
      </c>
      <c r="F650" s="81">
        <v>4.7759999999999998</v>
      </c>
      <c r="G650" s="81">
        <v>1.504</v>
      </c>
    </row>
    <row r="651" spans="1:14">
      <c r="A651" s="1">
        <v>12</v>
      </c>
      <c r="B651" s="71">
        <v>42887</v>
      </c>
      <c r="E651" s="5">
        <v>6</v>
      </c>
      <c r="F651" s="81">
        <v>4.5810000000000004</v>
      </c>
      <c r="G651" s="81">
        <v>1.369</v>
      </c>
    </row>
    <row r="652" spans="1:14">
      <c r="A652" s="1">
        <v>13</v>
      </c>
      <c r="B652" s="71">
        <v>42887</v>
      </c>
      <c r="E652" s="5">
        <v>6</v>
      </c>
      <c r="F652" s="81">
        <v>3.6120000000000001</v>
      </c>
      <c r="G652" s="81">
        <v>1.109</v>
      </c>
      <c r="I652" s="21">
        <f>AVERAGE(F650:F652)</f>
        <v>4.3229999999999995</v>
      </c>
      <c r="J652" s="21">
        <f>AVERAGE(G650:G652)</f>
        <v>1.3273333333333335</v>
      </c>
      <c r="L652">
        <f>+J652/I652</f>
        <v>0.30703986429177277</v>
      </c>
      <c r="M652">
        <f>+(L652-$L$927)/$L$928</f>
        <v>-0.38294339516990228</v>
      </c>
      <c r="N652">
        <f>+N649+M652</f>
        <v>37.945444007607968</v>
      </c>
    </row>
    <row r="653" spans="1:14">
      <c r="A653" s="1">
        <v>11</v>
      </c>
      <c r="B653" s="71">
        <v>42917</v>
      </c>
      <c r="E653" s="5">
        <v>7</v>
      </c>
      <c r="F653" s="81">
        <v>3.9660000000000002</v>
      </c>
      <c r="G653" s="81">
        <v>1.1339999999999999</v>
      </c>
    </row>
    <row r="654" spans="1:14">
      <c r="A654" s="1">
        <v>12</v>
      </c>
      <c r="B654" s="71">
        <v>42917</v>
      </c>
      <c r="E654" s="5">
        <v>7</v>
      </c>
      <c r="F654" s="81">
        <v>3.403</v>
      </c>
      <c r="G654" s="81">
        <v>1.0640000000000001</v>
      </c>
    </row>
    <row r="655" spans="1:14">
      <c r="A655" s="1">
        <v>13</v>
      </c>
      <c r="B655" s="71">
        <v>42917</v>
      </c>
      <c r="E655" s="5">
        <v>7</v>
      </c>
      <c r="F655" s="81">
        <v>8.1620000000000008</v>
      </c>
      <c r="G655" s="81">
        <v>2.4009999999999998</v>
      </c>
      <c r="I655" s="21">
        <f>AVERAGE(F653:F655)</f>
        <v>5.1770000000000005</v>
      </c>
      <c r="J655" s="21">
        <f>AVERAGE(G653:G655)</f>
        <v>1.5330000000000001</v>
      </c>
      <c r="L655">
        <f>+J655/I655</f>
        <v>0.29611744253428629</v>
      </c>
      <c r="M655">
        <f>+(L655-$L$927)/$L$928</f>
        <v>-0.51971628525903535</v>
      </c>
      <c r="N655">
        <f>+N652+M655</f>
        <v>37.425727722348931</v>
      </c>
    </row>
    <row r="656" spans="1:14">
      <c r="A656" s="1">
        <v>11</v>
      </c>
      <c r="B656" s="71">
        <v>42948</v>
      </c>
      <c r="E656" s="5">
        <v>8</v>
      </c>
    </row>
    <row r="657" spans="1:14">
      <c r="A657" s="1">
        <v>12</v>
      </c>
      <c r="B657" s="71">
        <v>42948</v>
      </c>
      <c r="E657" s="5">
        <v>8</v>
      </c>
    </row>
    <row r="658" spans="1:14">
      <c r="A658" s="1">
        <v>13</v>
      </c>
      <c r="B658" s="71">
        <v>42948</v>
      </c>
      <c r="E658" s="5">
        <v>8</v>
      </c>
      <c r="I658" s="21"/>
      <c r="J658" s="21"/>
    </row>
    <row r="659" spans="1:14">
      <c r="A659" s="1">
        <v>11</v>
      </c>
      <c r="B659" s="71">
        <v>42979</v>
      </c>
      <c r="E659" s="5">
        <v>9</v>
      </c>
      <c r="F659" s="81">
        <v>3.472</v>
      </c>
      <c r="G659" s="81">
        <v>1.01</v>
      </c>
    </row>
    <row r="660" spans="1:14">
      <c r="A660" s="1">
        <v>12</v>
      </c>
      <c r="B660" s="71">
        <v>42979</v>
      </c>
      <c r="E660" s="5">
        <v>9</v>
      </c>
      <c r="F660" s="81">
        <v>1.677</v>
      </c>
      <c r="G660" s="81">
        <v>0.504</v>
      </c>
    </row>
    <row r="661" spans="1:14">
      <c r="A661" s="1">
        <v>13</v>
      </c>
      <c r="B661" s="71">
        <v>42979</v>
      </c>
      <c r="E661" s="5">
        <v>9</v>
      </c>
      <c r="F661" s="81">
        <v>2.4990000000000001</v>
      </c>
      <c r="G661" s="81">
        <v>0.72199999999999998</v>
      </c>
      <c r="I661" s="21">
        <f>AVERAGE(F659:F661)</f>
        <v>2.5493333333333332</v>
      </c>
      <c r="J661" s="21">
        <f>AVERAGE(G659:G661)</f>
        <v>0.74533333333333329</v>
      </c>
      <c r="L661">
        <f>+J661/I661</f>
        <v>0.29236401673640167</v>
      </c>
      <c r="M661">
        <f>+(L661-$L$927)/$L$928</f>
        <v>-0.56671748201834526</v>
      </c>
      <c r="N661">
        <f>+N655+M661</f>
        <v>36.859010240330583</v>
      </c>
    </row>
    <row r="662" spans="1:14">
      <c r="A662" s="1">
        <v>11</v>
      </c>
      <c r="B662" s="71">
        <v>43009</v>
      </c>
      <c r="E662" s="5">
        <v>10</v>
      </c>
    </row>
    <row r="663" spans="1:14">
      <c r="A663" s="1">
        <v>12</v>
      </c>
      <c r="B663" s="71">
        <v>43009</v>
      </c>
      <c r="E663" s="5">
        <v>10</v>
      </c>
    </row>
    <row r="664" spans="1:14">
      <c r="A664" s="1">
        <v>13</v>
      </c>
      <c r="B664" s="71">
        <v>43009</v>
      </c>
      <c r="E664" s="5">
        <v>10</v>
      </c>
      <c r="I664" s="21"/>
      <c r="J664" s="21"/>
    </row>
    <row r="665" spans="1:14">
      <c r="A665" s="1">
        <v>11</v>
      </c>
      <c r="B665" s="71">
        <v>43040</v>
      </c>
      <c r="E665" s="5">
        <v>11</v>
      </c>
      <c r="F665" s="81">
        <v>2.278</v>
      </c>
      <c r="G665" s="81">
        <v>0.46600000000000003</v>
      </c>
    </row>
    <row r="666" spans="1:14">
      <c r="A666" s="1">
        <v>12</v>
      </c>
      <c r="B666" s="71">
        <v>43040</v>
      </c>
      <c r="E666" s="5">
        <v>11</v>
      </c>
      <c r="F666" s="81">
        <v>0.95399999999999996</v>
      </c>
      <c r="G666" s="81">
        <v>0.20599999999999999</v>
      </c>
    </row>
    <row r="667" spans="1:14">
      <c r="A667" s="1">
        <v>13</v>
      </c>
      <c r="B667" s="71">
        <v>43040</v>
      </c>
      <c r="E667" s="5">
        <v>11</v>
      </c>
      <c r="F667" s="81">
        <v>0.90400000000000003</v>
      </c>
      <c r="G667" s="81">
        <v>0.122</v>
      </c>
      <c r="I667" s="21">
        <f>AVERAGE(F665:F667)</f>
        <v>1.3786666666666667</v>
      </c>
      <c r="J667" s="21">
        <f>AVERAGE(G665:G667)</f>
        <v>0.26466666666666666</v>
      </c>
      <c r="L667">
        <f>+J667/I667</f>
        <v>0.19197292069632493</v>
      </c>
      <c r="M667">
        <f>+(L667-$L$927)/$L$928</f>
        <v>-1.8238361549175695</v>
      </c>
      <c r="N667">
        <f>+N661+M667</f>
        <v>35.035174085413011</v>
      </c>
    </row>
    <row r="668" spans="1:14">
      <c r="A668" s="1">
        <v>11</v>
      </c>
      <c r="B668" s="72">
        <v>43070</v>
      </c>
      <c r="E668" s="5">
        <v>12</v>
      </c>
      <c r="F668" s="81">
        <v>1.851</v>
      </c>
      <c r="G668" s="81">
        <v>0.57099999999999995</v>
      </c>
    </row>
    <row r="669" spans="1:14">
      <c r="A669" s="1">
        <v>12</v>
      </c>
      <c r="B669" s="71">
        <v>43070</v>
      </c>
      <c r="E669" s="5">
        <v>12</v>
      </c>
      <c r="F669" s="81">
        <v>1.3420000000000001</v>
      </c>
      <c r="G669" s="81">
        <v>0.38900000000000001</v>
      </c>
    </row>
    <row r="670" spans="1:14">
      <c r="A670" s="1">
        <v>13</v>
      </c>
      <c r="B670" s="71">
        <v>43070</v>
      </c>
      <c r="E670" s="5">
        <v>12</v>
      </c>
      <c r="F670" s="81">
        <v>1.829</v>
      </c>
      <c r="G670" s="81">
        <v>0.53900000000000003</v>
      </c>
      <c r="I670" s="21">
        <f>AVERAGE(F668:F670)</f>
        <v>1.6740000000000002</v>
      </c>
      <c r="J670" s="21">
        <f>AVERAGE(G668:G670)</f>
        <v>0.4996666666666667</v>
      </c>
      <c r="L670">
        <f>+J670/I670</f>
        <v>0.29848665870171248</v>
      </c>
      <c r="M670">
        <f>+(L670-$L$927)/$L$928</f>
        <v>-0.49004845612190534</v>
      </c>
      <c r="N670">
        <f>+N667+M670</f>
        <v>34.545125629291107</v>
      </c>
    </row>
    <row r="671" spans="1:14">
      <c r="A671" s="1">
        <v>11</v>
      </c>
      <c r="B671" s="70">
        <v>43110</v>
      </c>
      <c r="E671" s="3">
        <v>1</v>
      </c>
      <c r="F671" s="77">
        <v>16.562000000000001</v>
      </c>
      <c r="G671" s="77">
        <v>5.992</v>
      </c>
    </row>
    <row r="672" spans="1:14">
      <c r="A672" s="1">
        <v>12</v>
      </c>
      <c r="B672" s="70">
        <v>43105</v>
      </c>
      <c r="E672" s="3">
        <v>1</v>
      </c>
      <c r="F672" s="77">
        <v>11.834</v>
      </c>
      <c r="G672" s="77">
        <v>6.9000000000000006E-2</v>
      </c>
    </row>
    <row r="673" spans="1:14">
      <c r="A673" s="1">
        <v>13</v>
      </c>
      <c r="B673" s="70">
        <v>43105</v>
      </c>
      <c r="E673" s="3">
        <v>1</v>
      </c>
      <c r="F673" s="77">
        <v>6.98</v>
      </c>
      <c r="G673" s="77">
        <v>0.03</v>
      </c>
      <c r="I673">
        <v>11.792000000000002</v>
      </c>
      <c r="J673">
        <v>2.0303333333333335</v>
      </c>
      <c r="L673">
        <v>0.17217887833559475</v>
      </c>
      <c r="M673">
        <f>+(L673-$L$927)/$L$928</f>
        <v>-2.0717013665285529</v>
      </c>
      <c r="N673">
        <f>+N670+M673</f>
        <v>32.473424262762556</v>
      </c>
    </row>
    <row r="674" spans="1:14">
      <c r="A674" s="1">
        <v>11</v>
      </c>
      <c r="B674" s="71">
        <v>43132</v>
      </c>
      <c r="E674" s="5">
        <v>2</v>
      </c>
      <c r="F674" s="77">
        <v>4.88</v>
      </c>
      <c r="G674" s="77">
        <v>1.9590000000000001</v>
      </c>
    </row>
    <row r="675" spans="1:14">
      <c r="A675" s="1">
        <v>12</v>
      </c>
      <c r="B675" s="71">
        <v>43132</v>
      </c>
      <c r="E675" s="5">
        <v>2</v>
      </c>
      <c r="F675" s="77">
        <v>4.6459999999999999</v>
      </c>
      <c r="G675" s="77">
        <v>1.827</v>
      </c>
    </row>
    <row r="676" spans="1:14">
      <c r="A676" s="1">
        <v>13</v>
      </c>
      <c r="B676" s="71">
        <v>43132</v>
      </c>
      <c r="E676" s="5">
        <v>2</v>
      </c>
      <c r="F676" s="77">
        <v>5.0780000000000003</v>
      </c>
      <c r="G676" s="77">
        <v>1.9990000000000001</v>
      </c>
      <c r="I676">
        <v>4.8679999999999994</v>
      </c>
      <c r="J676">
        <v>1.9283333333333335</v>
      </c>
      <c r="L676">
        <v>0.39612434949328956</v>
      </c>
      <c r="M676">
        <f>+(L676-$L$927)/$L$928</f>
        <v>0.73259149019218583</v>
      </c>
      <c r="N676">
        <f>+N673+M676</f>
        <v>33.206015752954741</v>
      </c>
    </row>
    <row r="677" spans="1:14">
      <c r="A677" s="1">
        <v>11</v>
      </c>
      <c r="B677" s="71">
        <v>43160</v>
      </c>
      <c r="E677" s="5">
        <v>3</v>
      </c>
      <c r="F677" s="77">
        <v>10.882999999999999</v>
      </c>
      <c r="G677" s="77">
        <v>3.9529999999999998</v>
      </c>
    </row>
    <row r="678" spans="1:14">
      <c r="A678" s="1">
        <v>12</v>
      </c>
      <c r="B678" s="71">
        <v>43160</v>
      </c>
      <c r="E678" s="5">
        <v>3</v>
      </c>
      <c r="F678" s="77">
        <v>7.585</v>
      </c>
      <c r="G678" s="77">
        <v>2.7189999999999999</v>
      </c>
    </row>
    <row r="679" spans="1:14">
      <c r="A679" s="1">
        <v>13</v>
      </c>
      <c r="B679" s="71">
        <v>43160</v>
      </c>
      <c r="E679" s="5">
        <v>3</v>
      </c>
      <c r="F679" s="77">
        <v>3.06</v>
      </c>
      <c r="G679" s="77">
        <v>1.1890000000000001</v>
      </c>
      <c r="I679">
        <v>7.1759999999999993</v>
      </c>
      <c r="J679">
        <v>2.6203333333333334</v>
      </c>
      <c r="L679">
        <v>0.36515235971757715</v>
      </c>
      <c r="M679">
        <f>+(L679-$L$927)/$L$928</f>
        <v>0.34475364182016827</v>
      </c>
      <c r="N679">
        <f>+N676+M679</f>
        <v>33.55076939477491</v>
      </c>
    </row>
    <row r="680" spans="1:14">
      <c r="A680" s="1">
        <v>11</v>
      </c>
      <c r="B680" s="71">
        <v>43191</v>
      </c>
      <c r="E680" s="5">
        <v>4</v>
      </c>
      <c r="F680" s="78">
        <v>2.5720000000000001</v>
      </c>
      <c r="G680" s="78">
        <v>0.58399999999999996</v>
      </c>
    </row>
    <row r="681" spans="1:14">
      <c r="A681" s="1">
        <v>12</v>
      </c>
      <c r="B681" s="71">
        <v>43191</v>
      </c>
      <c r="E681" s="5">
        <v>4</v>
      </c>
      <c r="F681" s="78">
        <v>1.6890000000000001</v>
      </c>
      <c r="G681" s="78">
        <v>0.32500000000000001</v>
      </c>
    </row>
    <row r="682" spans="1:14">
      <c r="A682" s="1">
        <v>13</v>
      </c>
      <c r="B682" s="71">
        <v>43191</v>
      </c>
      <c r="E682" s="5">
        <v>4</v>
      </c>
      <c r="F682" s="78">
        <v>2.3759999999999999</v>
      </c>
      <c r="G682" s="78">
        <v>0.52400000000000002</v>
      </c>
      <c r="I682">
        <v>2.2123333333333335</v>
      </c>
      <c r="J682">
        <v>0.47766666666666668</v>
      </c>
      <c r="L682">
        <v>0.21591080307367785</v>
      </c>
      <c r="M682">
        <f>+(L682-$L$927)/$L$928</f>
        <v>-1.5240808966004133</v>
      </c>
      <c r="N682">
        <f>+N679+M682</f>
        <v>32.026688498174494</v>
      </c>
    </row>
    <row r="683" spans="1:14">
      <c r="A683" s="1">
        <v>11</v>
      </c>
      <c r="B683" s="71">
        <v>43221</v>
      </c>
      <c r="E683" s="5">
        <v>5</v>
      </c>
      <c r="F683" s="78">
        <v>6.6710000000000003</v>
      </c>
      <c r="G683" s="78">
        <v>1.8560000000000001</v>
      </c>
    </row>
    <row r="684" spans="1:14">
      <c r="A684" s="1">
        <v>12</v>
      </c>
      <c r="B684" s="71">
        <v>43221</v>
      </c>
      <c r="E684" s="5">
        <v>5</v>
      </c>
      <c r="F684" s="78">
        <v>6.7629999999999999</v>
      </c>
      <c r="G684" s="78">
        <v>1.6990000000000001</v>
      </c>
    </row>
    <row r="685" spans="1:14">
      <c r="A685" s="1">
        <v>13</v>
      </c>
      <c r="B685" s="71">
        <v>43221</v>
      </c>
      <c r="E685" s="5">
        <v>5</v>
      </c>
      <c r="F685" s="78">
        <v>6.694</v>
      </c>
      <c r="G685" s="78">
        <v>1.675</v>
      </c>
      <c r="I685">
        <v>6.7093333333333334</v>
      </c>
      <c r="J685">
        <v>1.7433333333333334</v>
      </c>
      <c r="L685">
        <v>0.25983704292527821</v>
      </c>
      <c r="M685">
        <f>+(L685-$L$927)/$L$928</f>
        <v>-0.97402717146076068</v>
      </c>
      <c r="N685">
        <f>+N682+M685</f>
        <v>31.052661326713732</v>
      </c>
    </row>
    <row r="686" spans="1:14">
      <c r="A686" s="1">
        <v>11</v>
      </c>
      <c r="B686" s="71">
        <v>43252</v>
      </c>
      <c r="E686" s="5">
        <v>6</v>
      </c>
      <c r="F686" s="78">
        <v>6.8620000000000001</v>
      </c>
      <c r="G686" s="78">
        <v>1.401</v>
      </c>
    </row>
    <row r="687" spans="1:14">
      <c r="A687" s="1">
        <v>12</v>
      </c>
      <c r="B687" s="71">
        <v>43252</v>
      </c>
      <c r="E687" s="5">
        <v>6</v>
      </c>
      <c r="F687" s="78">
        <v>3.9049999999999998</v>
      </c>
      <c r="G687" s="78">
        <v>0.89200000000000002</v>
      </c>
    </row>
    <row r="688" spans="1:14">
      <c r="A688" s="1">
        <v>13</v>
      </c>
      <c r="B688" s="71">
        <v>43252</v>
      </c>
      <c r="E688" s="5">
        <v>6</v>
      </c>
      <c r="F688" s="78">
        <v>7.6040000000000001</v>
      </c>
      <c r="G688" s="78">
        <v>1.613</v>
      </c>
      <c r="I688">
        <v>6.1236666666666659</v>
      </c>
      <c r="J688">
        <v>1.302</v>
      </c>
      <c r="L688">
        <v>0.21261771269936316</v>
      </c>
      <c r="M688">
        <f>+(L688-$L$927)/$L$928</f>
        <v>-1.5653176752031996</v>
      </c>
      <c r="N688">
        <f>+N685+M688</f>
        <v>29.487343651510532</v>
      </c>
    </row>
    <row r="689" spans="1:14">
      <c r="A689" s="1">
        <v>11</v>
      </c>
      <c r="B689" s="71">
        <v>43282</v>
      </c>
      <c r="E689" s="5">
        <v>7</v>
      </c>
      <c r="F689" s="78">
        <v>7.431</v>
      </c>
      <c r="G689" s="78">
        <v>2.0859999999999999</v>
      </c>
    </row>
    <row r="690" spans="1:14">
      <c r="A690" s="1">
        <v>12</v>
      </c>
      <c r="B690" s="71">
        <v>43282</v>
      </c>
      <c r="E690" s="5">
        <v>7</v>
      </c>
      <c r="F690" s="78">
        <v>7.0369999999999999</v>
      </c>
      <c r="G690" s="78">
        <v>1.9219999999999999</v>
      </c>
    </row>
    <row r="691" spans="1:14">
      <c r="A691" s="1">
        <v>13</v>
      </c>
      <c r="B691" s="71">
        <v>43282</v>
      </c>
      <c r="E691" s="5">
        <v>7</v>
      </c>
      <c r="F691" s="78">
        <v>6.3840000000000003</v>
      </c>
      <c r="G691" s="78">
        <v>1.522</v>
      </c>
      <c r="I691">
        <v>6.9506666666666668</v>
      </c>
      <c r="J691">
        <v>1.8433333333333335</v>
      </c>
      <c r="L691">
        <v>0.26520237866871288</v>
      </c>
      <c r="M691">
        <f>+(L691-$L$927)/$L$928</f>
        <v>-0.90684129526758928</v>
      </c>
      <c r="N691">
        <f>+N688+M691</f>
        <v>28.580502356242942</v>
      </c>
    </row>
    <row r="692" spans="1:14">
      <c r="A692" s="1">
        <v>11</v>
      </c>
      <c r="B692" s="71">
        <v>43313</v>
      </c>
      <c r="E692" s="5">
        <v>8</v>
      </c>
      <c r="F692" s="78">
        <v>5.2140000000000004</v>
      </c>
      <c r="G692" s="78">
        <v>1.327</v>
      </c>
    </row>
    <row r="693" spans="1:14">
      <c r="A693" s="1">
        <v>12</v>
      </c>
      <c r="B693" s="71">
        <v>43313</v>
      </c>
      <c r="E693" s="5">
        <v>8</v>
      </c>
      <c r="F693" s="78">
        <v>6.2210000000000001</v>
      </c>
      <c r="G693" s="78">
        <v>1.581</v>
      </c>
    </row>
    <row r="694" spans="1:14">
      <c r="A694" s="1">
        <v>13</v>
      </c>
      <c r="B694" s="71">
        <v>43313</v>
      </c>
      <c r="E694" s="5">
        <v>8</v>
      </c>
      <c r="F694" s="78">
        <v>6.89</v>
      </c>
      <c r="G694" s="78">
        <v>1.77</v>
      </c>
      <c r="I694">
        <v>6.1083333333333334</v>
      </c>
      <c r="J694">
        <v>1.5593333333333332</v>
      </c>
      <c r="L694">
        <v>0.25527967257844475</v>
      </c>
      <c r="M694">
        <f>+(L694-$L$927)/$L$928</f>
        <v>-1.0310955329819302</v>
      </c>
      <c r="N694">
        <f>+N691+M694</f>
        <v>27.549406823261013</v>
      </c>
    </row>
    <row r="695" spans="1:14">
      <c r="A695" s="1">
        <v>11</v>
      </c>
      <c r="B695" s="71">
        <v>43344</v>
      </c>
      <c r="E695" s="5">
        <v>9</v>
      </c>
      <c r="F695" s="78">
        <v>3.496</v>
      </c>
      <c r="G695" s="78">
        <v>0.83299999999999996</v>
      </c>
    </row>
    <row r="696" spans="1:14">
      <c r="A696" s="1">
        <v>12</v>
      </c>
      <c r="B696" s="71">
        <v>43344</v>
      </c>
      <c r="E696" s="5">
        <v>9</v>
      </c>
      <c r="F696" s="78">
        <v>5.05</v>
      </c>
      <c r="G696" s="78">
        <v>1.294</v>
      </c>
    </row>
    <row r="697" spans="1:14">
      <c r="A697" s="1">
        <v>13</v>
      </c>
      <c r="B697" s="71">
        <v>43344</v>
      </c>
      <c r="E697" s="5">
        <v>9</v>
      </c>
      <c r="F697" s="78">
        <v>4.2130000000000001</v>
      </c>
      <c r="G697" s="78">
        <v>1.01</v>
      </c>
      <c r="I697">
        <v>4.2530000000000001</v>
      </c>
      <c r="J697">
        <v>1.0456666666666665</v>
      </c>
      <c r="L697">
        <v>0.24586566345324865</v>
      </c>
      <c r="M697">
        <f>+(L697-$L$927)/$L$928</f>
        <v>-1.1489797590232844</v>
      </c>
      <c r="N697">
        <f>+N694+M697</f>
        <v>26.400427064237729</v>
      </c>
    </row>
    <row r="698" spans="1:14">
      <c r="A698" s="1">
        <v>11</v>
      </c>
      <c r="B698" s="71">
        <v>43374</v>
      </c>
      <c r="E698" s="5">
        <v>10</v>
      </c>
      <c r="F698" s="78">
        <v>0.52800000000000002</v>
      </c>
      <c r="G698" s="78">
        <v>8.7999999999999995E-2</v>
      </c>
    </row>
    <row r="699" spans="1:14">
      <c r="A699" s="1">
        <v>12</v>
      </c>
      <c r="B699" s="71">
        <v>43374</v>
      </c>
      <c r="E699" s="5">
        <v>10</v>
      </c>
      <c r="F699" s="78">
        <v>0.90700000000000003</v>
      </c>
      <c r="G699" s="78">
        <v>0.18099999999999999</v>
      </c>
    </row>
    <row r="700" spans="1:14">
      <c r="A700" s="1">
        <v>13</v>
      </c>
      <c r="B700" s="71">
        <v>43374</v>
      </c>
      <c r="E700" s="5">
        <v>10</v>
      </c>
      <c r="F700" s="78">
        <v>1.72</v>
      </c>
      <c r="G700" s="78">
        <v>0.39300000000000002</v>
      </c>
      <c r="I700">
        <v>1.0516666666666667</v>
      </c>
      <c r="J700">
        <v>0.22066666666666668</v>
      </c>
      <c r="L700">
        <v>0.20982567353407289</v>
      </c>
      <c r="M700">
        <f>+(L700-$L$927)/$L$928</f>
        <v>-1.6002801839176297</v>
      </c>
      <c r="N700">
        <f>+N697+M700</f>
        <v>24.800146880320099</v>
      </c>
    </row>
    <row r="701" spans="1:14">
      <c r="A701" s="1">
        <v>11</v>
      </c>
      <c r="B701" s="71">
        <v>43405</v>
      </c>
      <c r="E701" s="5">
        <v>11</v>
      </c>
    </row>
    <row r="702" spans="1:14">
      <c r="A702" s="1">
        <v>12</v>
      </c>
      <c r="B702" s="71">
        <v>43405</v>
      </c>
      <c r="E702" s="5">
        <v>11</v>
      </c>
    </row>
    <row r="703" spans="1:14">
      <c r="A703" s="1">
        <v>13</v>
      </c>
      <c r="B703" s="71">
        <v>43405</v>
      </c>
      <c r="E703" s="5">
        <v>11</v>
      </c>
    </row>
    <row r="704" spans="1:14">
      <c r="A704" s="1">
        <v>11</v>
      </c>
      <c r="B704" s="72">
        <v>43435</v>
      </c>
      <c r="E704" s="5">
        <v>12</v>
      </c>
    </row>
    <row r="705" spans="1:14">
      <c r="A705" s="1">
        <v>12</v>
      </c>
      <c r="B705" s="71">
        <v>43435</v>
      </c>
      <c r="E705" s="5">
        <v>12</v>
      </c>
    </row>
    <row r="706" spans="1:14">
      <c r="A706" s="1">
        <v>13</v>
      </c>
      <c r="B706" s="71">
        <v>43435</v>
      </c>
      <c r="E706" s="5">
        <v>12</v>
      </c>
    </row>
    <row r="707" spans="1:14">
      <c r="A707" s="1">
        <v>11</v>
      </c>
      <c r="B707" s="70">
        <v>43475</v>
      </c>
      <c r="E707" s="3">
        <v>1</v>
      </c>
    </row>
    <row r="708" spans="1:14">
      <c r="A708" s="1">
        <v>12</v>
      </c>
      <c r="B708" s="70">
        <v>43470</v>
      </c>
      <c r="E708" s="3">
        <v>1</v>
      </c>
    </row>
    <row r="709" spans="1:14">
      <c r="A709" s="1">
        <v>13</v>
      </c>
      <c r="B709" s="70">
        <v>43470</v>
      </c>
      <c r="E709" s="3">
        <v>1</v>
      </c>
    </row>
    <row r="710" spans="1:14">
      <c r="A710" s="1">
        <v>11</v>
      </c>
      <c r="B710" s="71">
        <v>43497</v>
      </c>
      <c r="E710" s="5">
        <v>2</v>
      </c>
    </row>
    <row r="711" spans="1:14">
      <c r="A711" s="1">
        <v>12</v>
      </c>
      <c r="B711" s="71">
        <v>43497</v>
      </c>
      <c r="E711" s="5">
        <v>2</v>
      </c>
    </row>
    <row r="712" spans="1:14">
      <c r="A712" s="1">
        <v>13</v>
      </c>
      <c r="B712" s="71">
        <v>43497</v>
      </c>
      <c r="E712" s="5">
        <v>2</v>
      </c>
    </row>
    <row r="713" spans="1:14">
      <c r="A713" s="1">
        <v>11</v>
      </c>
      <c r="B713" s="71">
        <v>43525</v>
      </c>
      <c r="E713" s="5">
        <v>3</v>
      </c>
      <c r="F713" s="84">
        <v>2.323</v>
      </c>
      <c r="G713" s="84">
        <v>0.79300000000000004</v>
      </c>
    </row>
    <row r="714" spans="1:14">
      <c r="A714" s="1">
        <v>12</v>
      </c>
      <c r="B714" s="71">
        <v>43525</v>
      </c>
      <c r="E714" s="5">
        <v>3</v>
      </c>
      <c r="F714" s="84">
        <v>2.004</v>
      </c>
      <c r="G714" s="84">
        <v>0.67500000000000004</v>
      </c>
    </row>
    <row r="715" spans="1:14">
      <c r="A715" s="1">
        <v>13</v>
      </c>
      <c r="B715" s="71">
        <v>43525</v>
      </c>
      <c r="E715" s="5">
        <v>3</v>
      </c>
      <c r="F715" s="84">
        <v>1.974</v>
      </c>
      <c r="G715" s="84">
        <v>0.56100000000000005</v>
      </c>
      <c r="I715" s="21">
        <f>AVERAGE(F713:F715)</f>
        <v>2.1003333333333334</v>
      </c>
      <c r="J715" s="21">
        <f>AVERAGE(G713:G715)</f>
        <v>0.67633333333333334</v>
      </c>
      <c r="L715">
        <f>+J715/I715</f>
        <v>0.32201237898746232</v>
      </c>
      <c r="M715">
        <f>+(L715-$L$927)/$L$928</f>
        <v>-0.19545437924467082</v>
      </c>
      <c r="N715">
        <f>+N700+M715</f>
        <v>24.60469250107543</v>
      </c>
    </row>
    <row r="716" spans="1:14">
      <c r="A716" s="1">
        <v>11</v>
      </c>
      <c r="B716" s="71">
        <v>43556</v>
      </c>
      <c r="E716" s="5">
        <v>4</v>
      </c>
      <c r="F716" s="77">
        <v>3.5760000000000001</v>
      </c>
      <c r="G716" s="84">
        <v>1.0389999999999999</v>
      </c>
    </row>
    <row r="717" spans="1:14">
      <c r="A717" s="1">
        <v>12</v>
      </c>
      <c r="B717" s="71">
        <v>43556</v>
      </c>
      <c r="E717" s="5">
        <v>4</v>
      </c>
      <c r="F717" s="77">
        <v>2.4489999999999998</v>
      </c>
      <c r="G717" s="84">
        <v>0.621</v>
      </c>
    </row>
    <row r="718" spans="1:14">
      <c r="A718" s="1">
        <v>13</v>
      </c>
      <c r="B718" s="71">
        <v>43556</v>
      </c>
      <c r="E718" s="5">
        <v>4</v>
      </c>
      <c r="F718" s="77">
        <v>2.714</v>
      </c>
      <c r="G718" s="84">
        <v>0.70199999999999996</v>
      </c>
      <c r="I718" s="21">
        <f>AVERAGE(F716:F718)</f>
        <v>2.9130000000000003</v>
      </c>
      <c r="J718" s="21">
        <f>AVERAGE(G716:G718)</f>
        <v>0.78733333333333333</v>
      </c>
      <c r="L718">
        <f>+J718/I718</f>
        <v>0.27028264103444327</v>
      </c>
      <c r="M718">
        <f>+(L718-$L$927)/$L$928</f>
        <v>-0.84322516858801466</v>
      </c>
      <c r="N718">
        <f>+N715+M718</f>
        <v>23.761467332487417</v>
      </c>
    </row>
    <row r="719" spans="1:14">
      <c r="A719" s="1">
        <v>11</v>
      </c>
      <c r="B719" s="71">
        <v>43586</v>
      </c>
      <c r="E719" s="5">
        <v>5</v>
      </c>
      <c r="F719" s="77">
        <v>2.3780000000000001</v>
      </c>
      <c r="G719" s="84">
        <v>0.63200000000000001</v>
      </c>
    </row>
    <row r="720" spans="1:14">
      <c r="A720" s="1">
        <v>12</v>
      </c>
      <c r="B720" s="71">
        <v>43586</v>
      </c>
      <c r="E720" s="5">
        <v>5</v>
      </c>
      <c r="F720" s="77">
        <v>2.9510000000000001</v>
      </c>
      <c r="G720" s="84">
        <v>0.754</v>
      </c>
    </row>
    <row r="721" spans="1:14">
      <c r="A721" s="1">
        <v>13</v>
      </c>
      <c r="B721" s="71">
        <v>43586</v>
      </c>
      <c r="E721" s="5">
        <v>5</v>
      </c>
      <c r="F721" s="77">
        <v>2.593</v>
      </c>
      <c r="G721" s="84">
        <v>0.621</v>
      </c>
      <c r="I721" s="21">
        <f>AVERAGE(F719:F721)</f>
        <v>2.6406666666666667</v>
      </c>
      <c r="J721" s="21">
        <f>AVERAGE(G719:G721)</f>
        <v>0.66900000000000004</v>
      </c>
      <c r="L721">
        <f>+J721/I721</f>
        <v>0.25334511486998235</v>
      </c>
      <c r="M721">
        <f>+(L721-$L$927)/$L$928</f>
        <v>-1.0553204763786868</v>
      </c>
      <c r="N721">
        <f>+N718+M721</f>
        <v>22.706146856108731</v>
      </c>
    </row>
    <row r="722" spans="1:14">
      <c r="A722" s="1">
        <v>11</v>
      </c>
      <c r="B722" s="71">
        <v>43617</v>
      </c>
      <c r="E722" s="5">
        <v>6</v>
      </c>
      <c r="F722" s="78">
        <v>4.9560000000000004</v>
      </c>
      <c r="G722" s="78">
        <v>1.23</v>
      </c>
    </row>
    <row r="723" spans="1:14">
      <c r="A723" s="1">
        <v>12</v>
      </c>
      <c r="B723" s="71">
        <v>43617</v>
      </c>
      <c r="E723" s="5">
        <v>6</v>
      </c>
      <c r="F723" s="78">
        <v>4.57</v>
      </c>
      <c r="G723" s="78">
        <v>0.97299999999999998</v>
      </c>
    </row>
    <row r="724" spans="1:14">
      <c r="A724" s="1">
        <v>13</v>
      </c>
      <c r="B724" s="71">
        <v>43617</v>
      </c>
      <c r="E724" s="5">
        <v>6</v>
      </c>
      <c r="F724" s="78">
        <v>5.2789999999999999</v>
      </c>
      <c r="G724" s="78">
        <v>1.2509999999999999</v>
      </c>
      <c r="I724" s="21">
        <f>AVERAGE(F722:F724)</f>
        <v>4.9349999999999996</v>
      </c>
      <c r="J724" s="21">
        <f>AVERAGE(G722:G724)</f>
        <v>1.1513333333333333</v>
      </c>
      <c r="L724">
        <f>+J724/I724</f>
        <v>0.23329956095913545</v>
      </c>
      <c r="M724">
        <f>+(L724-$L$927)/$L$928</f>
        <v>-1.3063351691545666</v>
      </c>
      <c r="N724">
        <f>+N721+M724</f>
        <v>21.399811686954166</v>
      </c>
    </row>
    <row r="725" spans="1:14">
      <c r="A725" s="1">
        <v>11</v>
      </c>
      <c r="B725" s="71">
        <v>43647</v>
      </c>
      <c r="E725" s="5">
        <v>7</v>
      </c>
      <c r="F725" s="78">
        <v>5.9390000000000001</v>
      </c>
      <c r="G725" s="78">
        <v>1.5469999999999999</v>
      </c>
    </row>
    <row r="726" spans="1:14">
      <c r="A726" s="1">
        <v>12</v>
      </c>
      <c r="B726" s="71">
        <v>43647</v>
      </c>
      <c r="E726" s="5">
        <v>7</v>
      </c>
      <c r="F726" s="78">
        <v>6.3949999999999996</v>
      </c>
      <c r="G726" s="78">
        <v>1.677</v>
      </c>
    </row>
    <row r="727" spans="1:14">
      <c r="A727" s="1">
        <v>13</v>
      </c>
      <c r="B727" s="71">
        <v>43647</v>
      </c>
      <c r="E727" s="5">
        <v>7</v>
      </c>
      <c r="F727" s="78">
        <v>7.7030000000000003</v>
      </c>
      <c r="G727" s="78">
        <v>1.7350000000000001</v>
      </c>
      <c r="I727" s="21">
        <f>AVERAGE(F725:F727)</f>
        <v>6.6789999999999994</v>
      </c>
      <c r="J727" s="21">
        <f>AVERAGE(G725:G727)</f>
        <v>1.6530000000000002</v>
      </c>
      <c r="L727">
        <f>+J727/I727</f>
        <v>0.24749213954184765</v>
      </c>
      <c r="M727">
        <f>+(L727-$L$927)/$L$928</f>
        <v>-1.1286126792457547</v>
      </c>
      <c r="N727">
        <f>+N724+M727</f>
        <v>20.271199007708411</v>
      </c>
    </row>
    <row r="728" spans="1:14">
      <c r="A728" s="1">
        <v>11</v>
      </c>
      <c r="B728" s="71">
        <v>43678</v>
      </c>
      <c r="E728" s="5">
        <v>8</v>
      </c>
    </row>
    <row r="729" spans="1:14">
      <c r="A729" s="1">
        <v>12</v>
      </c>
      <c r="B729" s="71">
        <v>43678</v>
      </c>
      <c r="E729" s="5">
        <v>8</v>
      </c>
    </row>
    <row r="730" spans="1:14">
      <c r="A730" s="1">
        <v>13</v>
      </c>
      <c r="B730" s="71">
        <v>43678</v>
      </c>
      <c r="E730" s="5">
        <v>8</v>
      </c>
      <c r="I730" s="21"/>
      <c r="J730" s="21"/>
    </row>
    <row r="731" spans="1:14">
      <c r="A731" s="1">
        <v>11</v>
      </c>
      <c r="B731" s="71">
        <v>43709</v>
      </c>
      <c r="E731" s="5">
        <v>9</v>
      </c>
    </row>
    <row r="732" spans="1:14">
      <c r="A732" s="1">
        <v>12</v>
      </c>
      <c r="B732" s="71">
        <v>43709</v>
      </c>
      <c r="E732" s="5">
        <v>9</v>
      </c>
    </row>
    <row r="733" spans="1:14">
      <c r="A733" s="1">
        <v>13</v>
      </c>
      <c r="B733" s="71">
        <v>43709</v>
      </c>
      <c r="E733" s="5">
        <v>9</v>
      </c>
      <c r="I733" s="21"/>
      <c r="J733" s="21"/>
    </row>
    <row r="734" spans="1:14">
      <c r="A734" s="1">
        <v>11</v>
      </c>
      <c r="B734" s="71">
        <v>43739</v>
      </c>
      <c r="E734" s="5">
        <v>10</v>
      </c>
      <c r="F734" s="78">
        <v>3.2589999999999999</v>
      </c>
      <c r="G734" s="78">
        <v>0.88600000000000001</v>
      </c>
    </row>
    <row r="735" spans="1:14">
      <c r="A735" s="1">
        <v>12</v>
      </c>
      <c r="B735" s="71">
        <v>43739</v>
      </c>
      <c r="E735" s="5">
        <v>10</v>
      </c>
      <c r="F735" s="78">
        <v>2.6760000000000002</v>
      </c>
      <c r="G735" s="78">
        <v>0.747</v>
      </c>
    </row>
    <row r="736" spans="1:14">
      <c r="A736" s="1">
        <v>13</v>
      </c>
      <c r="B736" s="71">
        <v>43739</v>
      </c>
      <c r="E736" s="5">
        <v>10</v>
      </c>
      <c r="F736" s="78">
        <v>2.246</v>
      </c>
      <c r="G736" s="78">
        <v>0.5</v>
      </c>
      <c r="I736" s="21">
        <f>AVERAGE(F734:F736)</f>
        <v>2.7270000000000003</v>
      </c>
      <c r="J736" s="21">
        <f>AVERAGE(G734:G736)</f>
        <v>0.71099999999999997</v>
      </c>
      <c r="L736">
        <f>+J736/I736</f>
        <v>0.26072607260726066</v>
      </c>
      <c r="M736">
        <f>+(L736-$L$927)/$L$928</f>
        <v>-0.962894552552649</v>
      </c>
      <c r="N736">
        <f>+N727+M736</f>
        <v>19.308304455155763</v>
      </c>
    </row>
    <row r="737" spans="1:14">
      <c r="A737" s="1">
        <v>11</v>
      </c>
      <c r="B737" s="71">
        <v>43770</v>
      </c>
      <c r="E737" s="5">
        <v>11</v>
      </c>
    </row>
    <row r="738" spans="1:14">
      <c r="A738" s="1">
        <v>12</v>
      </c>
      <c r="B738" s="71">
        <v>43770</v>
      </c>
      <c r="E738" s="5">
        <v>11</v>
      </c>
    </row>
    <row r="739" spans="1:14">
      <c r="A739" s="1">
        <v>13</v>
      </c>
      <c r="B739" s="71">
        <v>43770</v>
      </c>
      <c r="E739" s="5">
        <v>11</v>
      </c>
      <c r="I739" s="21"/>
      <c r="J739" s="21"/>
    </row>
    <row r="740" spans="1:14">
      <c r="A740" s="1">
        <v>11</v>
      </c>
      <c r="B740" s="72">
        <v>43800</v>
      </c>
      <c r="E740" s="5">
        <v>12</v>
      </c>
      <c r="F740" s="78">
        <v>1.5329999999999999</v>
      </c>
      <c r="G740" s="78">
        <v>0.36399999999999999</v>
      </c>
    </row>
    <row r="741" spans="1:14">
      <c r="A741" s="1">
        <v>12</v>
      </c>
      <c r="B741" s="71">
        <v>43800</v>
      </c>
      <c r="E741" s="5">
        <v>12</v>
      </c>
      <c r="F741" s="78">
        <v>1.458</v>
      </c>
      <c r="G741" s="78">
        <v>0.372</v>
      </c>
    </row>
    <row r="742" spans="1:14">
      <c r="A742" s="1">
        <v>13</v>
      </c>
      <c r="B742" s="71">
        <v>43800</v>
      </c>
      <c r="E742" s="5">
        <v>12</v>
      </c>
      <c r="F742" s="78">
        <v>2.1930000000000001</v>
      </c>
      <c r="G742" s="78">
        <v>0.62</v>
      </c>
      <c r="I742" s="21">
        <f>AVERAGE(F740:F742)</f>
        <v>1.7279999999999998</v>
      </c>
      <c r="J742" s="21">
        <f>AVERAGE(G740:G742)</f>
        <v>0.45199999999999996</v>
      </c>
      <c r="L742">
        <f>+J742/I742</f>
        <v>0.26157407407407407</v>
      </c>
      <c r="M742">
        <f>+(L742-$L$927)/$L$928</f>
        <v>-0.95227569768775644</v>
      </c>
      <c r="N742">
        <f>+N736+M742</f>
        <v>18.356028757468007</v>
      </c>
    </row>
    <row r="743" spans="1:14">
      <c r="A743" s="91">
        <v>11</v>
      </c>
      <c r="B743" s="86">
        <v>43840</v>
      </c>
      <c r="C743" s="87">
        <v>2020</v>
      </c>
      <c r="D743" s="88" t="s">
        <v>25</v>
      </c>
      <c r="E743" s="89">
        <v>1</v>
      </c>
    </row>
    <row r="744" spans="1:14">
      <c r="A744" s="1">
        <v>12</v>
      </c>
      <c r="B744" s="73">
        <v>43835</v>
      </c>
      <c r="C744">
        <v>2020</v>
      </c>
      <c r="D744" s="4" t="s">
        <v>25</v>
      </c>
      <c r="E744" s="10">
        <v>1</v>
      </c>
    </row>
    <row r="745" spans="1:14">
      <c r="A745" s="1">
        <v>13</v>
      </c>
      <c r="B745" s="73">
        <v>43835</v>
      </c>
      <c r="C745">
        <v>2020</v>
      </c>
      <c r="D745" s="4" t="s">
        <v>25</v>
      </c>
      <c r="E745" s="10">
        <v>1</v>
      </c>
      <c r="I745" s="21"/>
      <c r="J745" s="21"/>
    </row>
    <row r="746" spans="1:14">
      <c r="A746" s="1">
        <v>11</v>
      </c>
      <c r="B746" s="71">
        <v>43862</v>
      </c>
      <c r="C746">
        <v>2020</v>
      </c>
      <c r="D746" s="4" t="s">
        <v>14</v>
      </c>
      <c r="E746" s="10">
        <v>2</v>
      </c>
      <c r="F746" s="92">
        <v>3.319</v>
      </c>
      <c r="G746" s="92">
        <v>1.1950000000000001</v>
      </c>
    </row>
    <row r="747" spans="1:14">
      <c r="A747" s="1">
        <v>12</v>
      </c>
      <c r="B747" s="71">
        <v>43862</v>
      </c>
      <c r="C747">
        <v>2020</v>
      </c>
      <c r="D747" s="4" t="s">
        <v>14</v>
      </c>
      <c r="E747" s="10">
        <v>2</v>
      </c>
      <c r="F747" s="92">
        <v>2.327</v>
      </c>
      <c r="G747" s="92">
        <v>0.82699999999999996</v>
      </c>
    </row>
    <row r="748" spans="1:14">
      <c r="A748" s="1">
        <v>13</v>
      </c>
      <c r="B748" s="71">
        <v>43862</v>
      </c>
      <c r="C748">
        <v>2020</v>
      </c>
      <c r="D748" s="4" t="s">
        <v>14</v>
      </c>
      <c r="E748" s="10">
        <v>2</v>
      </c>
      <c r="F748" s="92">
        <v>2.0640000000000001</v>
      </c>
      <c r="G748" s="92">
        <v>0.69599999999999995</v>
      </c>
      <c r="I748" s="21">
        <f>AVERAGE(F746:F748)</f>
        <v>2.57</v>
      </c>
      <c r="J748" s="21">
        <f>AVERAGE(G746:G748)</f>
        <v>0.90600000000000003</v>
      </c>
      <c r="L748">
        <f>+J748/I748</f>
        <v>0.35252918287937746</v>
      </c>
      <c r="M748">
        <f>+(L748-$L$927)/$L$928</f>
        <v>0.18668353460393777</v>
      </c>
      <c r="N748">
        <f>+N742+M748</f>
        <v>18.542712292071943</v>
      </c>
    </row>
    <row r="749" spans="1:14">
      <c r="A749" s="1">
        <v>11</v>
      </c>
      <c r="B749" s="71">
        <v>43891</v>
      </c>
      <c r="C749">
        <v>2020</v>
      </c>
      <c r="D749" s="4" t="s">
        <v>15</v>
      </c>
      <c r="E749" s="10">
        <v>3</v>
      </c>
    </row>
    <row r="750" spans="1:14">
      <c r="A750" s="1">
        <v>12</v>
      </c>
      <c r="B750" s="71">
        <v>43891</v>
      </c>
      <c r="C750">
        <v>2020</v>
      </c>
      <c r="D750" s="4" t="s">
        <v>15</v>
      </c>
      <c r="E750" s="10">
        <v>3</v>
      </c>
    </row>
    <row r="751" spans="1:14">
      <c r="A751" s="1">
        <v>13</v>
      </c>
      <c r="B751" s="71">
        <v>43891</v>
      </c>
      <c r="C751">
        <v>2020</v>
      </c>
      <c r="D751" s="4" t="s">
        <v>15</v>
      </c>
      <c r="E751" s="10">
        <v>3</v>
      </c>
    </row>
    <row r="752" spans="1:14">
      <c r="A752" s="1">
        <v>11</v>
      </c>
      <c r="B752" s="71">
        <v>43922</v>
      </c>
      <c r="C752">
        <v>2020</v>
      </c>
      <c r="D752" s="4" t="s">
        <v>16</v>
      </c>
      <c r="E752" s="10">
        <v>4</v>
      </c>
    </row>
    <row r="753" spans="1:14">
      <c r="A753" s="1">
        <v>12</v>
      </c>
      <c r="B753" s="71">
        <v>43922</v>
      </c>
      <c r="C753">
        <v>2020</v>
      </c>
      <c r="D753" s="4" t="s">
        <v>16</v>
      </c>
      <c r="E753" s="10">
        <v>4</v>
      </c>
    </row>
    <row r="754" spans="1:14">
      <c r="A754" s="1">
        <v>13</v>
      </c>
      <c r="B754" s="71">
        <v>43922</v>
      </c>
      <c r="C754">
        <v>2020</v>
      </c>
      <c r="D754" s="4" t="s">
        <v>16</v>
      </c>
      <c r="E754" s="10">
        <v>4</v>
      </c>
    </row>
    <row r="755" spans="1:14">
      <c r="A755" s="1">
        <v>11</v>
      </c>
      <c r="B755" s="71">
        <v>43952</v>
      </c>
      <c r="C755">
        <v>2020</v>
      </c>
      <c r="D755" s="4" t="s">
        <v>17</v>
      </c>
      <c r="E755" s="10">
        <v>5</v>
      </c>
    </row>
    <row r="756" spans="1:14">
      <c r="A756" s="1">
        <v>12</v>
      </c>
      <c r="B756" s="71">
        <v>43952</v>
      </c>
      <c r="C756">
        <v>2020</v>
      </c>
      <c r="D756" s="4" t="s">
        <v>17</v>
      </c>
      <c r="E756" s="10">
        <v>5</v>
      </c>
    </row>
    <row r="757" spans="1:14">
      <c r="A757" s="1">
        <v>13</v>
      </c>
      <c r="B757" s="71">
        <v>43952</v>
      </c>
      <c r="C757">
        <v>2020</v>
      </c>
      <c r="D757" s="4" t="s">
        <v>17</v>
      </c>
      <c r="E757" s="10">
        <v>5</v>
      </c>
    </row>
    <row r="758" spans="1:14">
      <c r="A758" s="1">
        <v>11</v>
      </c>
      <c r="B758" s="71">
        <v>43983</v>
      </c>
      <c r="C758">
        <v>2020</v>
      </c>
      <c r="D758" s="4" t="s">
        <v>18</v>
      </c>
      <c r="E758" s="10">
        <v>6</v>
      </c>
      <c r="F758" s="92">
        <v>4.7789999999999999</v>
      </c>
      <c r="G758" s="92">
        <v>1.01</v>
      </c>
    </row>
    <row r="759" spans="1:14">
      <c r="A759" s="1">
        <v>12</v>
      </c>
      <c r="B759" s="71">
        <v>43983</v>
      </c>
      <c r="C759">
        <v>2020</v>
      </c>
      <c r="D759" s="4" t="s">
        <v>18</v>
      </c>
      <c r="E759" s="10">
        <v>6</v>
      </c>
      <c r="F759" s="92">
        <v>6.1159999999999997</v>
      </c>
      <c r="G759" s="92">
        <v>1.4410000000000001</v>
      </c>
    </row>
    <row r="760" spans="1:14">
      <c r="A760" s="1">
        <v>13</v>
      </c>
      <c r="B760" s="71">
        <v>43983</v>
      </c>
      <c r="C760">
        <v>2020</v>
      </c>
      <c r="D760" s="4" t="s">
        <v>18</v>
      </c>
      <c r="E760" s="10">
        <v>6</v>
      </c>
      <c r="F760" s="92">
        <v>6.056</v>
      </c>
      <c r="G760" s="92">
        <v>1.331</v>
      </c>
      <c r="I760" s="21">
        <f>AVERAGE(F758:F760)</f>
        <v>5.6503333333333332</v>
      </c>
      <c r="J760" s="21">
        <f>AVERAGE(G758:G760)</f>
        <v>1.2606666666666666</v>
      </c>
      <c r="L760">
        <f>J760/I760</f>
        <v>0.22311368060881362</v>
      </c>
      <c r="M760">
        <f>+(L760-$L$927)/$L$928</f>
        <v>-1.4338849309700477</v>
      </c>
      <c r="N760">
        <f>+N748+M760</f>
        <v>17.108827361101895</v>
      </c>
    </row>
    <row r="761" spans="1:14">
      <c r="A761" s="1">
        <v>11</v>
      </c>
      <c r="B761" s="71">
        <v>44013</v>
      </c>
      <c r="C761">
        <v>2020</v>
      </c>
      <c r="D761" s="4" t="s">
        <v>19</v>
      </c>
      <c r="E761" s="10">
        <v>7</v>
      </c>
      <c r="F761" s="92">
        <v>8.2539999999999996</v>
      </c>
      <c r="G761" s="92">
        <v>2.1930000000000001</v>
      </c>
    </row>
    <row r="762" spans="1:14">
      <c r="A762" s="1">
        <v>12</v>
      </c>
      <c r="B762" s="71">
        <v>44013</v>
      </c>
      <c r="C762">
        <v>2020</v>
      </c>
      <c r="D762" s="4" t="s">
        <v>19</v>
      </c>
      <c r="E762" s="10">
        <v>7</v>
      </c>
      <c r="F762" s="92">
        <v>8.3879999999999999</v>
      </c>
      <c r="G762" s="92">
        <v>2.4609999999999999</v>
      </c>
    </row>
    <row r="763" spans="1:14">
      <c r="A763" s="1">
        <v>13</v>
      </c>
      <c r="B763" s="71">
        <v>44013</v>
      </c>
      <c r="C763">
        <v>2020</v>
      </c>
      <c r="D763" s="4" t="s">
        <v>19</v>
      </c>
      <c r="E763" s="10">
        <v>7</v>
      </c>
      <c r="F763" s="92">
        <v>9.016</v>
      </c>
      <c r="G763" s="92">
        <v>2.6640000000000001</v>
      </c>
      <c r="I763" s="21">
        <f t="shared" ref="I763:J763" si="0">AVERAGE(F761:F763)</f>
        <v>8.5526666666666671</v>
      </c>
      <c r="J763" s="21">
        <f t="shared" si="0"/>
        <v>2.4393333333333334</v>
      </c>
      <c r="L763">
        <f t="shared" ref="L763" si="1">J763/I763</f>
        <v>0.28521318886896874</v>
      </c>
      <c r="M763">
        <f t="shared" ref="M763" si="2">+(L763-$L$927)/$L$928</f>
        <v>-0.65626167063094332</v>
      </c>
      <c r="N763">
        <f>+N760+M763</f>
        <v>16.452565690470951</v>
      </c>
    </row>
    <row r="764" spans="1:14">
      <c r="A764" s="1">
        <v>11</v>
      </c>
      <c r="B764" s="71">
        <v>44044</v>
      </c>
      <c r="C764">
        <v>2020</v>
      </c>
      <c r="D764" s="4" t="s">
        <v>20</v>
      </c>
      <c r="E764" s="10">
        <v>8</v>
      </c>
      <c r="F764" s="92">
        <v>5.327</v>
      </c>
      <c r="G764" s="92">
        <v>1.4710000000000001</v>
      </c>
    </row>
    <row r="765" spans="1:14">
      <c r="A765" s="1">
        <v>12</v>
      </c>
      <c r="B765" s="71">
        <v>44044</v>
      </c>
      <c r="C765">
        <v>2020</v>
      </c>
      <c r="D765" s="4" t="s">
        <v>20</v>
      </c>
      <c r="E765" s="10">
        <v>8</v>
      </c>
      <c r="F765" s="92">
        <v>4.3920000000000003</v>
      </c>
      <c r="G765" s="92">
        <v>1.486</v>
      </c>
    </row>
    <row r="766" spans="1:14">
      <c r="A766" s="1">
        <v>13</v>
      </c>
      <c r="B766" s="71">
        <v>44044</v>
      </c>
      <c r="C766">
        <v>2020</v>
      </c>
      <c r="D766" s="4" t="s">
        <v>20</v>
      </c>
      <c r="E766" s="10">
        <v>8</v>
      </c>
      <c r="F766" s="92">
        <v>5.8490000000000002</v>
      </c>
      <c r="G766" s="92">
        <v>1.8260000000000001</v>
      </c>
      <c r="I766" s="21">
        <f t="shared" ref="I766:J766" si="3">AVERAGE(F764:F766)</f>
        <v>5.1893333333333338</v>
      </c>
      <c r="J766" s="21">
        <f t="shared" si="3"/>
        <v>1.5943333333333332</v>
      </c>
      <c r="L766">
        <f t="shared" ref="L766" si="4">J766/I766</f>
        <v>0.30723278520041103</v>
      </c>
      <c r="M766">
        <f t="shared" ref="M766" si="5">+(L766-$L$927)/$L$928</f>
        <v>-0.38052759848864054</v>
      </c>
      <c r="N766">
        <f t="shared" ref="N766" si="6">+N763+M766</f>
        <v>16.072038091982311</v>
      </c>
    </row>
    <row r="767" spans="1:14">
      <c r="A767" s="1">
        <v>11</v>
      </c>
      <c r="B767" s="71">
        <v>44075</v>
      </c>
      <c r="C767">
        <v>2020</v>
      </c>
      <c r="D767" s="4" t="s">
        <v>26</v>
      </c>
      <c r="E767" s="10">
        <v>9</v>
      </c>
      <c r="F767" s="92">
        <v>1.492</v>
      </c>
      <c r="G767" s="92">
        <v>0.33800000000000002</v>
      </c>
    </row>
    <row r="768" spans="1:14">
      <c r="A768" s="1">
        <v>12</v>
      </c>
      <c r="B768" s="71">
        <v>44075</v>
      </c>
      <c r="C768">
        <v>2020</v>
      </c>
      <c r="D768" s="4" t="s">
        <v>26</v>
      </c>
      <c r="E768" s="10">
        <v>9</v>
      </c>
      <c r="F768" s="92">
        <v>3.5049999999999999</v>
      </c>
      <c r="G768" s="92">
        <v>0.99</v>
      </c>
    </row>
    <row r="769" spans="1:14">
      <c r="A769" s="1">
        <v>13</v>
      </c>
      <c r="B769" s="71">
        <v>44075</v>
      </c>
      <c r="C769">
        <v>2020</v>
      </c>
      <c r="D769" s="4" t="s">
        <v>26</v>
      </c>
      <c r="E769" s="10">
        <v>9</v>
      </c>
      <c r="F769" s="92">
        <v>4.734</v>
      </c>
      <c r="G769" s="92">
        <v>1.0680000000000001</v>
      </c>
      <c r="I769" s="21">
        <f t="shared" ref="I769:J769" si="7">AVERAGE(F767:F769)</f>
        <v>3.2436666666666665</v>
      </c>
      <c r="J769" s="21">
        <f t="shared" si="7"/>
        <v>0.79866666666666664</v>
      </c>
      <c r="L769">
        <f t="shared" ref="L769" si="8">J769/I769</f>
        <v>0.24622340972150858</v>
      </c>
      <c r="M769">
        <f t="shared" ref="M769" si="9">+(L769-$L$927)/$L$928</f>
        <v>-1.1444999841056958</v>
      </c>
      <c r="N769">
        <f t="shared" ref="N769" si="10">+N766+M769</f>
        <v>14.927538107876615</v>
      </c>
    </row>
    <row r="770" spans="1:14">
      <c r="A770" s="1">
        <v>11</v>
      </c>
      <c r="B770" s="71">
        <v>44105</v>
      </c>
      <c r="C770">
        <v>2020</v>
      </c>
      <c r="D770" s="4" t="s">
        <v>22</v>
      </c>
      <c r="E770" s="10">
        <v>10</v>
      </c>
      <c r="F770" s="92">
        <v>2.2330000000000001</v>
      </c>
      <c r="G770" s="92">
        <v>0.57799999999999996</v>
      </c>
    </row>
    <row r="771" spans="1:14">
      <c r="A771" s="1">
        <v>12</v>
      </c>
      <c r="B771" s="71">
        <v>44105</v>
      </c>
      <c r="C771">
        <v>2020</v>
      </c>
      <c r="D771" s="4" t="s">
        <v>22</v>
      </c>
      <c r="E771" s="10">
        <v>10</v>
      </c>
      <c r="F771" s="92">
        <v>3.4129999999999998</v>
      </c>
      <c r="G771" s="92">
        <v>0.95699999999999996</v>
      </c>
    </row>
    <row r="772" spans="1:14">
      <c r="A772" s="1">
        <v>13</v>
      </c>
      <c r="B772" s="71">
        <v>44105</v>
      </c>
      <c r="C772">
        <v>2020</v>
      </c>
      <c r="D772" s="4" t="s">
        <v>22</v>
      </c>
      <c r="E772" s="10">
        <v>10</v>
      </c>
      <c r="F772" s="92">
        <v>3.637</v>
      </c>
      <c r="G772" s="92">
        <v>0.85599999999999998</v>
      </c>
      <c r="I772" s="21">
        <f t="shared" ref="I772:J772" si="11">AVERAGE(F770:F772)</f>
        <v>3.0943333333333332</v>
      </c>
      <c r="J772" s="21">
        <f t="shared" si="11"/>
        <v>0.79700000000000004</v>
      </c>
      <c r="L772">
        <f t="shared" ref="L772" si="12">J772/I772</f>
        <v>0.2575675966821071</v>
      </c>
      <c r="M772">
        <f t="shared" ref="M772" si="13">+(L772-$L$927)/$L$928</f>
        <v>-1.0024456603702996</v>
      </c>
      <c r="N772">
        <f t="shared" ref="N772" si="14">+N769+M772</f>
        <v>13.925092447506316</v>
      </c>
    </row>
    <row r="773" spans="1:14">
      <c r="A773" s="1">
        <v>11</v>
      </c>
      <c r="B773" s="71">
        <v>44136</v>
      </c>
      <c r="C773">
        <v>2020</v>
      </c>
      <c r="D773" s="4" t="s">
        <v>23</v>
      </c>
      <c r="E773" s="10">
        <v>11</v>
      </c>
      <c r="F773" s="92">
        <v>1.639</v>
      </c>
      <c r="G773" s="92">
        <v>0.52900000000000003</v>
      </c>
    </row>
    <row r="774" spans="1:14">
      <c r="A774" s="1">
        <v>12</v>
      </c>
      <c r="B774" s="71">
        <v>44136</v>
      </c>
      <c r="C774">
        <v>2020</v>
      </c>
      <c r="D774" s="4" t="s">
        <v>23</v>
      </c>
      <c r="E774" s="10">
        <v>11</v>
      </c>
      <c r="F774" s="92">
        <v>1.468</v>
      </c>
      <c r="G774" s="92">
        <v>0.45200000000000001</v>
      </c>
    </row>
    <row r="775" spans="1:14">
      <c r="A775" s="1">
        <v>13</v>
      </c>
      <c r="B775" s="71">
        <v>44136</v>
      </c>
      <c r="C775">
        <v>2020</v>
      </c>
      <c r="D775" s="4" t="s">
        <v>23</v>
      </c>
      <c r="E775" s="10">
        <v>11</v>
      </c>
      <c r="F775" s="92">
        <v>1.54</v>
      </c>
      <c r="G775" s="92">
        <v>0.48099999999999998</v>
      </c>
      <c r="I775" s="21">
        <f t="shared" ref="I775:J775" si="15">AVERAGE(F773:F775)</f>
        <v>1.5490000000000002</v>
      </c>
      <c r="J775" s="21">
        <f t="shared" si="15"/>
        <v>0.4873333333333334</v>
      </c>
      <c r="L775">
        <f t="shared" ref="L775" si="16">J775/I775</f>
        <v>0.31461157736173878</v>
      </c>
      <c r="M775">
        <f t="shared" ref="M775" si="17">+(L775-$L$927)/$L$928</f>
        <v>-0.28812879246559941</v>
      </c>
      <c r="N775">
        <f t="shared" ref="N775" si="18">+N772+M775</f>
        <v>13.636963655040717</v>
      </c>
    </row>
    <row r="776" spans="1:14">
      <c r="A776" s="1">
        <v>11</v>
      </c>
      <c r="B776" s="72">
        <v>44166</v>
      </c>
      <c r="C776">
        <v>2020</v>
      </c>
      <c r="D776" s="4" t="s">
        <v>24</v>
      </c>
      <c r="E776" s="10">
        <v>12</v>
      </c>
    </row>
    <row r="777" spans="1:14">
      <c r="A777" s="1">
        <v>12</v>
      </c>
      <c r="B777" s="71">
        <v>44166</v>
      </c>
      <c r="C777">
        <v>2020</v>
      </c>
      <c r="D777" s="4" t="s">
        <v>24</v>
      </c>
      <c r="E777" s="10">
        <v>12</v>
      </c>
    </row>
    <row r="778" spans="1:14">
      <c r="A778" s="1">
        <v>13</v>
      </c>
      <c r="B778" s="71">
        <v>44166</v>
      </c>
      <c r="C778">
        <v>2020</v>
      </c>
      <c r="D778" s="4" t="s">
        <v>24</v>
      </c>
      <c r="E778" s="10">
        <v>12</v>
      </c>
      <c r="I778" s="21"/>
      <c r="J778" s="21"/>
    </row>
    <row r="779" spans="1:14">
      <c r="A779" s="91">
        <v>11</v>
      </c>
      <c r="B779" s="86">
        <v>44206</v>
      </c>
      <c r="C779" s="87">
        <v>2021</v>
      </c>
      <c r="D779" s="88" t="s">
        <v>25</v>
      </c>
      <c r="E779" s="89">
        <v>1</v>
      </c>
    </row>
    <row r="780" spans="1:14">
      <c r="A780" s="1">
        <v>12</v>
      </c>
      <c r="B780" s="73">
        <v>44201</v>
      </c>
      <c r="C780">
        <v>2021</v>
      </c>
      <c r="D780" s="4" t="s">
        <v>25</v>
      </c>
      <c r="E780" s="10">
        <v>1</v>
      </c>
    </row>
    <row r="781" spans="1:14">
      <c r="A781" s="1">
        <v>13</v>
      </c>
      <c r="B781" s="73">
        <v>44201</v>
      </c>
      <c r="C781">
        <v>2021</v>
      </c>
      <c r="D781" s="4" t="s">
        <v>25</v>
      </c>
      <c r="E781" s="10">
        <v>1</v>
      </c>
      <c r="I781" s="21"/>
      <c r="J781" s="21"/>
    </row>
    <row r="782" spans="1:14">
      <c r="A782" s="1">
        <v>11</v>
      </c>
      <c r="B782" s="71">
        <v>44228</v>
      </c>
      <c r="C782">
        <v>2021</v>
      </c>
      <c r="D782" s="4" t="s">
        <v>14</v>
      </c>
      <c r="E782" s="10">
        <v>2</v>
      </c>
      <c r="F782" s="92">
        <v>4.2009999999999996</v>
      </c>
      <c r="G782" s="92">
        <v>1.3</v>
      </c>
    </row>
    <row r="783" spans="1:14">
      <c r="A783" s="1">
        <v>12</v>
      </c>
      <c r="B783" s="71">
        <v>44228</v>
      </c>
      <c r="C783">
        <v>2021</v>
      </c>
      <c r="D783" s="4" t="s">
        <v>14</v>
      </c>
      <c r="E783" s="10">
        <v>2</v>
      </c>
      <c r="F783" s="92">
        <v>2.609</v>
      </c>
      <c r="G783" s="92">
        <v>0.72599999999999998</v>
      </c>
    </row>
    <row r="784" spans="1:14">
      <c r="A784" s="1">
        <v>13</v>
      </c>
      <c r="B784" s="71">
        <v>44228</v>
      </c>
      <c r="C784">
        <v>2021</v>
      </c>
      <c r="D784" s="4" t="s">
        <v>14</v>
      </c>
      <c r="E784" s="10">
        <v>2</v>
      </c>
      <c r="F784" s="92">
        <v>3.8620000000000001</v>
      </c>
      <c r="G784" s="92">
        <v>1.1639999999999999</v>
      </c>
      <c r="I784" s="21">
        <f t="shared" ref="I784:J784" si="19">AVERAGE(F782:F784)</f>
        <v>3.5573333333333337</v>
      </c>
      <c r="J784" s="21">
        <f t="shared" si="19"/>
        <v>1.0633333333333332</v>
      </c>
      <c r="L784">
        <f t="shared" ref="L784" si="20">J784/I784</f>
        <v>0.29891304347826081</v>
      </c>
      <c r="M784">
        <f t="shared" ref="M784" si="21">+(L784-$L$927)/$L$928</f>
        <v>-0.48470917519379508</v>
      </c>
      <c r="N784">
        <f>+N775+M784</f>
        <v>13.152254479846921</v>
      </c>
    </row>
    <row r="785" spans="1:14">
      <c r="A785" s="1">
        <v>11</v>
      </c>
      <c r="B785" s="71">
        <v>44256</v>
      </c>
      <c r="C785">
        <v>2021</v>
      </c>
      <c r="D785" s="4" t="s">
        <v>15</v>
      </c>
      <c r="E785" s="10">
        <v>3</v>
      </c>
      <c r="F785" s="92">
        <v>4.0389999999999997</v>
      </c>
      <c r="G785" s="92">
        <v>1.369</v>
      </c>
    </row>
    <row r="786" spans="1:14">
      <c r="A786" s="1">
        <v>12</v>
      </c>
      <c r="B786" s="71">
        <v>44256</v>
      </c>
      <c r="C786">
        <v>2021</v>
      </c>
      <c r="D786" s="4" t="s">
        <v>15</v>
      </c>
      <c r="E786" s="10">
        <v>3</v>
      </c>
      <c r="F786" s="92">
        <v>2.8650000000000002</v>
      </c>
      <c r="G786" s="92">
        <v>0.97899999999999998</v>
      </c>
    </row>
    <row r="787" spans="1:14">
      <c r="A787" s="1">
        <v>13</v>
      </c>
      <c r="B787" s="71">
        <v>44256</v>
      </c>
      <c r="C787">
        <v>2021</v>
      </c>
      <c r="D787" s="4" t="s">
        <v>15</v>
      </c>
      <c r="E787" s="10">
        <v>3</v>
      </c>
      <c r="F787" s="92">
        <v>2.6309999999999998</v>
      </c>
      <c r="G787" s="92">
        <v>0.93100000000000005</v>
      </c>
      <c r="I787" s="21">
        <f t="shared" ref="I787:J787" si="22">AVERAGE(F785:F787)</f>
        <v>3.1783333333333332</v>
      </c>
      <c r="J787" s="21">
        <f t="shared" si="22"/>
        <v>1.093</v>
      </c>
      <c r="L787">
        <f t="shared" ref="L787" si="23">J787/I787</f>
        <v>0.34389092815941269</v>
      </c>
      <c r="M787">
        <f t="shared" ref="M787" si="24">+(L787-$L$927)/$L$928</f>
        <v>7.8513470344529115E-2</v>
      </c>
      <c r="N787">
        <f t="shared" ref="N787" si="25">+N784+M787</f>
        <v>13.230767950191449</v>
      </c>
    </row>
    <row r="788" spans="1:14">
      <c r="A788" s="1">
        <v>11</v>
      </c>
      <c r="B788" s="71">
        <v>44287</v>
      </c>
      <c r="C788">
        <v>2021</v>
      </c>
      <c r="D788" s="4" t="s">
        <v>16</v>
      </c>
      <c r="E788" s="10">
        <v>4</v>
      </c>
      <c r="F788" s="92">
        <v>4.2439999999999998</v>
      </c>
      <c r="G788" s="92">
        <v>1.474</v>
      </c>
    </row>
    <row r="789" spans="1:14">
      <c r="A789" s="1">
        <v>12</v>
      </c>
      <c r="B789" s="71">
        <v>44287</v>
      </c>
      <c r="C789">
        <v>2021</v>
      </c>
      <c r="D789" s="4" t="s">
        <v>16</v>
      </c>
      <c r="E789" s="10">
        <v>4</v>
      </c>
      <c r="F789" s="92">
        <v>2.375</v>
      </c>
      <c r="G789" s="92">
        <v>0.77200000000000002</v>
      </c>
    </row>
    <row r="790" spans="1:14">
      <c r="A790" s="1">
        <v>13</v>
      </c>
      <c r="B790" s="71">
        <v>44287</v>
      </c>
      <c r="C790">
        <v>2021</v>
      </c>
      <c r="D790" s="4" t="s">
        <v>16</v>
      </c>
      <c r="E790" s="10">
        <v>4</v>
      </c>
      <c r="F790" s="92">
        <v>3.04</v>
      </c>
      <c r="G790" s="92">
        <v>1.052</v>
      </c>
      <c r="I790" s="21">
        <f t="shared" ref="I790:J790" si="26">AVERAGE(F788:F790)</f>
        <v>3.2196666666666665</v>
      </c>
      <c r="J790" s="21">
        <f t="shared" si="26"/>
        <v>1.0993333333333333</v>
      </c>
      <c r="L790">
        <f t="shared" ref="L790" si="27">J790/I790</f>
        <v>0.34144321358318669</v>
      </c>
      <c r="M790">
        <f t="shared" ref="M790" si="28">+(L790-$L$927)/$L$928</f>
        <v>4.7862667423989882E-2</v>
      </c>
      <c r="N790">
        <f t="shared" ref="N790" si="29">+N787+M790</f>
        <v>13.278630617615439</v>
      </c>
    </row>
    <row r="791" spans="1:14">
      <c r="A791" s="1">
        <v>11</v>
      </c>
      <c r="B791" s="71">
        <v>44317</v>
      </c>
      <c r="C791">
        <v>2021</v>
      </c>
      <c r="D791" s="4" t="s">
        <v>17</v>
      </c>
      <c r="E791" s="10">
        <v>5</v>
      </c>
      <c r="F791" s="92">
        <v>4.9240000000000004</v>
      </c>
      <c r="G791" s="92">
        <v>1.5289999999999999</v>
      </c>
    </row>
    <row r="792" spans="1:14">
      <c r="A792" s="1">
        <v>12</v>
      </c>
      <c r="B792" s="71">
        <v>44317</v>
      </c>
      <c r="C792">
        <v>2021</v>
      </c>
      <c r="D792" s="4" t="s">
        <v>17</v>
      </c>
      <c r="E792" s="10">
        <v>5</v>
      </c>
      <c r="F792" s="92">
        <v>5.173</v>
      </c>
      <c r="G792" s="92">
        <v>1.625</v>
      </c>
    </row>
    <row r="793" spans="1:14">
      <c r="A793" s="1">
        <v>13</v>
      </c>
      <c r="B793" s="71">
        <v>44317</v>
      </c>
      <c r="C793">
        <v>2021</v>
      </c>
      <c r="D793" s="4" t="s">
        <v>17</v>
      </c>
      <c r="E793" s="10">
        <v>5</v>
      </c>
      <c r="F793" s="92">
        <v>6.7990000000000004</v>
      </c>
      <c r="G793" s="92">
        <v>2.1070000000000002</v>
      </c>
      <c r="I793" s="21">
        <f t="shared" ref="I793:J793" si="30">AVERAGE(F791:F793)</f>
        <v>5.6320000000000006</v>
      </c>
      <c r="J793" s="21">
        <f t="shared" si="30"/>
        <v>1.7536666666666667</v>
      </c>
      <c r="L793">
        <f t="shared" ref="L793" si="31">J793/I793</f>
        <v>0.31137547348484845</v>
      </c>
      <c r="M793">
        <f t="shared" ref="M793" si="32">+(L793-$L$927)/$L$928</f>
        <v>-0.32865197401803875</v>
      </c>
      <c r="N793">
        <f t="shared" ref="N793" si="33">+N790+M793</f>
        <v>12.949978643597401</v>
      </c>
    </row>
    <row r="794" spans="1:14">
      <c r="A794" s="1">
        <v>11</v>
      </c>
      <c r="B794" s="71">
        <v>44348</v>
      </c>
      <c r="C794">
        <v>2021</v>
      </c>
      <c r="D794" s="4" t="s">
        <v>18</v>
      </c>
      <c r="E794" s="10">
        <v>6</v>
      </c>
      <c r="F794" s="92">
        <v>6.56</v>
      </c>
      <c r="G794" s="92">
        <v>1.575</v>
      </c>
    </row>
    <row r="795" spans="1:14">
      <c r="A795" s="1">
        <v>12</v>
      </c>
      <c r="B795" s="71">
        <v>44348</v>
      </c>
      <c r="C795">
        <v>2021</v>
      </c>
      <c r="D795" s="4" t="s">
        <v>18</v>
      </c>
      <c r="E795" s="10">
        <v>6</v>
      </c>
      <c r="F795" s="92">
        <v>10.156000000000001</v>
      </c>
      <c r="G795" s="92">
        <v>2.9609999999999999</v>
      </c>
    </row>
    <row r="796" spans="1:14">
      <c r="A796" s="1">
        <v>13</v>
      </c>
      <c r="B796" s="71">
        <v>44348</v>
      </c>
      <c r="C796">
        <v>2021</v>
      </c>
      <c r="D796" s="4" t="s">
        <v>18</v>
      </c>
      <c r="E796" s="10">
        <v>6</v>
      </c>
      <c r="F796" s="92">
        <v>9.1980000000000004</v>
      </c>
      <c r="G796" s="92">
        <v>2.657</v>
      </c>
      <c r="I796" s="21">
        <f t="shared" ref="I796:J796" si="34">AVERAGE(F794:F796)</f>
        <v>8.6379999999999999</v>
      </c>
      <c r="J796" s="21">
        <f t="shared" si="34"/>
        <v>2.3976666666666664</v>
      </c>
      <c r="L796">
        <f t="shared" ref="L796" si="35">J796/I796</f>
        <v>0.27757196881994284</v>
      </c>
      <c r="M796">
        <f t="shared" ref="M796" si="36">+(L796-$L$927)/$L$928</f>
        <v>-0.75194665452162268</v>
      </c>
      <c r="N796">
        <f t="shared" ref="N796" si="37">+N793+M796</f>
        <v>12.198031989075778</v>
      </c>
    </row>
    <row r="797" spans="1:14">
      <c r="A797" s="1">
        <v>11</v>
      </c>
      <c r="B797" s="71">
        <v>44378</v>
      </c>
      <c r="C797">
        <v>2021</v>
      </c>
      <c r="D797" s="4" t="s">
        <v>19</v>
      </c>
      <c r="E797" s="10">
        <v>7</v>
      </c>
      <c r="H797" s="90" t="s">
        <v>98</v>
      </c>
    </row>
    <row r="798" spans="1:14">
      <c r="A798" s="1">
        <v>12</v>
      </c>
      <c r="B798" s="71">
        <v>44378</v>
      </c>
      <c r="C798">
        <v>2021</v>
      </c>
      <c r="D798" s="4" t="s">
        <v>19</v>
      </c>
      <c r="E798" s="10">
        <v>7</v>
      </c>
      <c r="H798" s="90" t="s">
        <v>99</v>
      </c>
    </row>
    <row r="799" spans="1:14">
      <c r="A799" s="1">
        <v>13</v>
      </c>
      <c r="B799" s="71">
        <v>44378</v>
      </c>
      <c r="C799">
        <v>2021</v>
      </c>
      <c r="D799" s="4" t="s">
        <v>19</v>
      </c>
      <c r="E799" s="10">
        <v>7</v>
      </c>
      <c r="I799" s="21"/>
      <c r="J799" s="21"/>
    </row>
    <row r="800" spans="1:14">
      <c r="A800" s="1">
        <v>11</v>
      </c>
      <c r="B800" s="71">
        <v>44409</v>
      </c>
      <c r="C800">
        <v>2021</v>
      </c>
      <c r="D800" s="4" t="s">
        <v>20</v>
      </c>
      <c r="E800" s="10">
        <v>8</v>
      </c>
      <c r="F800" s="92">
        <v>3.887</v>
      </c>
      <c r="G800" s="92">
        <v>1.3109999999999999</v>
      </c>
    </row>
    <row r="801" spans="1:14">
      <c r="A801" s="1">
        <v>12</v>
      </c>
      <c r="B801" s="71">
        <v>44409</v>
      </c>
      <c r="C801">
        <v>2021</v>
      </c>
      <c r="D801" s="4" t="s">
        <v>20</v>
      </c>
      <c r="E801" s="10">
        <v>8</v>
      </c>
      <c r="F801" s="92">
        <v>6.1159999999999997</v>
      </c>
      <c r="G801" s="92">
        <v>1.9950000000000001</v>
      </c>
    </row>
    <row r="802" spans="1:14">
      <c r="A802" s="1">
        <v>13</v>
      </c>
      <c r="B802" s="71">
        <v>44409</v>
      </c>
      <c r="C802">
        <v>2021</v>
      </c>
      <c r="D802" s="4" t="s">
        <v>20</v>
      </c>
      <c r="E802" s="10">
        <v>8</v>
      </c>
      <c r="F802" s="92">
        <v>3.4689999999999999</v>
      </c>
      <c r="G802" s="92">
        <v>1.085</v>
      </c>
      <c r="I802" s="21">
        <f t="shared" ref="I802:J802" si="38">AVERAGE(F800:F802)</f>
        <v>4.4906666666666668</v>
      </c>
      <c r="J802" s="21">
        <f t="shared" si="38"/>
        <v>1.4636666666666667</v>
      </c>
      <c r="L802">
        <f t="shared" ref="L802" si="39">J802/I802</f>
        <v>0.32593527315914489</v>
      </c>
      <c r="M802">
        <f t="shared" ref="M802" si="40">+(L802-$L$927)/$L$928</f>
        <v>-0.14633106343725114</v>
      </c>
      <c r="N802">
        <f>+N796+M802</f>
        <v>12.051700925638526</v>
      </c>
    </row>
    <row r="803" spans="1:14">
      <c r="A803" s="1">
        <v>11</v>
      </c>
      <c r="B803" s="71">
        <v>44440</v>
      </c>
      <c r="C803">
        <v>2021</v>
      </c>
      <c r="D803" s="4" t="s">
        <v>26</v>
      </c>
      <c r="E803" s="10">
        <v>9</v>
      </c>
      <c r="F803" s="92">
        <v>3.4159999999999999</v>
      </c>
      <c r="G803" s="92">
        <v>1.0029999999999999</v>
      </c>
    </row>
    <row r="804" spans="1:14">
      <c r="A804" s="1">
        <v>12</v>
      </c>
      <c r="B804" s="71">
        <v>44440</v>
      </c>
      <c r="C804">
        <v>2021</v>
      </c>
      <c r="D804" s="4" t="s">
        <v>26</v>
      </c>
      <c r="E804" s="10">
        <v>9</v>
      </c>
      <c r="F804" s="92">
        <v>3.673</v>
      </c>
      <c r="G804" s="92">
        <v>1.016</v>
      </c>
    </row>
    <row r="805" spans="1:14">
      <c r="A805" s="1">
        <v>13</v>
      </c>
      <c r="B805" s="71">
        <v>44440</v>
      </c>
      <c r="C805">
        <v>2021</v>
      </c>
      <c r="D805" s="4" t="s">
        <v>26</v>
      </c>
      <c r="E805" s="10">
        <v>9</v>
      </c>
      <c r="F805" s="92">
        <v>4.32</v>
      </c>
      <c r="G805" s="92">
        <v>1.097</v>
      </c>
      <c r="I805" s="21">
        <f t="shared" ref="I805:J805" si="41">AVERAGE(F803:F805)</f>
        <v>3.8030000000000004</v>
      </c>
      <c r="J805" s="21">
        <f t="shared" si="41"/>
        <v>1.0386666666666666</v>
      </c>
      <c r="L805">
        <f t="shared" ref="L805" si="42">J805/I805</f>
        <v>0.27311771408537117</v>
      </c>
      <c r="M805">
        <f t="shared" ref="M805" si="43">+(L805-$L$927)/$L$928</f>
        <v>-0.80772378039785031</v>
      </c>
      <c r="N805">
        <f t="shared" ref="N805" si="44">+N802+M805</f>
        <v>11.243977145240676</v>
      </c>
    </row>
    <row r="806" spans="1:14">
      <c r="A806" s="1">
        <v>11</v>
      </c>
      <c r="B806" s="71">
        <v>44470</v>
      </c>
      <c r="C806">
        <v>2021</v>
      </c>
      <c r="D806" s="4" t="s">
        <v>22</v>
      </c>
      <c r="E806" s="10">
        <v>10</v>
      </c>
      <c r="F806" s="92">
        <v>5.6130000000000004</v>
      </c>
      <c r="G806" s="92">
        <v>1.4450000000000001</v>
      </c>
    </row>
    <row r="807" spans="1:14">
      <c r="A807" s="1">
        <v>12</v>
      </c>
      <c r="B807" s="71">
        <v>44470</v>
      </c>
      <c r="C807">
        <v>2021</v>
      </c>
      <c r="D807" s="4" t="s">
        <v>22</v>
      </c>
      <c r="E807" s="10">
        <v>10</v>
      </c>
      <c r="F807" s="92">
        <v>4.907</v>
      </c>
      <c r="G807" s="92">
        <v>1.2070000000000001</v>
      </c>
    </row>
    <row r="808" spans="1:14">
      <c r="A808" s="1">
        <v>13</v>
      </c>
      <c r="B808" s="71">
        <v>44470</v>
      </c>
      <c r="C808">
        <v>2021</v>
      </c>
      <c r="D808" s="4" t="s">
        <v>22</v>
      </c>
      <c r="E808" s="10">
        <v>10</v>
      </c>
      <c r="F808" s="92">
        <v>1.738</v>
      </c>
      <c r="G808" s="92">
        <v>0.29899999999999999</v>
      </c>
      <c r="I808" s="21">
        <f t="shared" ref="I808:J808" si="45">AVERAGE(F806:F808)</f>
        <v>4.0859999999999994</v>
      </c>
      <c r="J808" s="21">
        <f t="shared" si="45"/>
        <v>0.98366666666666669</v>
      </c>
      <c r="L808">
        <f t="shared" ref="L808" si="46">J808/I808</f>
        <v>0.24074074074074078</v>
      </c>
      <c r="M808">
        <f t="shared" ref="M808" si="47">+(L808-$L$927)/$L$928</f>
        <v>-1.2131551320711795</v>
      </c>
      <c r="N808">
        <f t="shared" ref="N808" si="48">+N805+M808</f>
        <v>10.030822013169496</v>
      </c>
    </row>
    <row r="809" spans="1:14">
      <c r="A809" s="1">
        <v>11</v>
      </c>
      <c r="B809" s="71">
        <v>44501</v>
      </c>
      <c r="C809">
        <v>2021</v>
      </c>
      <c r="D809" s="4" t="s">
        <v>23</v>
      </c>
      <c r="E809" s="10">
        <v>11</v>
      </c>
      <c r="F809" s="92">
        <v>3.1869999999999998</v>
      </c>
      <c r="G809" s="92">
        <v>0.47099999999999997</v>
      </c>
    </row>
    <row r="810" spans="1:14">
      <c r="A810" s="1">
        <v>12</v>
      </c>
      <c r="B810" s="71">
        <v>44501</v>
      </c>
      <c r="C810">
        <v>2021</v>
      </c>
      <c r="D810" s="4" t="s">
        <v>23</v>
      </c>
      <c r="E810" s="10">
        <v>11</v>
      </c>
      <c r="F810" s="92">
        <v>1.9430000000000001</v>
      </c>
      <c r="G810" s="92">
        <v>0.60799999999999998</v>
      </c>
    </row>
    <row r="811" spans="1:14">
      <c r="A811" s="1">
        <v>13</v>
      </c>
      <c r="B811" s="71">
        <v>44501</v>
      </c>
      <c r="C811">
        <v>2021</v>
      </c>
      <c r="D811" s="4" t="s">
        <v>23</v>
      </c>
      <c r="E811" s="10">
        <v>11</v>
      </c>
      <c r="F811" s="92">
        <v>1.0009999999999999</v>
      </c>
      <c r="G811" s="92">
        <v>0.20200000000000001</v>
      </c>
      <c r="I811" s="21">
        <f t="shared" ref="I811:J811" si="49">AVERAGE(F809:F811)</f>
        <v>2.0436666666666667</v>
      </c>
      <c r="J811" s="21">
        <f t="shared" si="49"/>
        <v>0.42699999999999999</v>
      </c>
      <c r="L811">
        <f t="shared" ref="L811" si="50">J811/I811</f>
        <v>0.20893818300440384</v>
      </c>
      <c r="M811">
        <f t="shared" ref="M811" si="51">+(L811-$L$927)/$L$928</f>
        <v>-1.6113935292328636</v>
      </c>
      <c r="N811">
        <f t="shared" ref="N811" si="52">+N808+M811</f>
        <v>8.4194284839366329</v>
      </c>
    </row>
    <row r="812" spans="1:14">
      <c r="A812" s="1">
        <v>11</v>
      </c>
      <c r="B812" s="72">
        <v>44531</v>
      </c>
      <c r="C812">
        <v>2021</v>
      </c>
      <c r="D812" s="4" t="s">
        <v>24</v>
      </c>
      <c r="E812" s="10">
        <v>12</v>
      </c>
      <c r="F812" s="92">
        <v>4.8920000000000003</v>
      </c>
      <c r="G812" s="92">
        <v>1.835</v>
      </c>
    </row>
    <row r="813" spans="1:14">
      <c r="A813" s="1">
        <v>12</v>
      </c>
      <c r="B813" s="71">
        <v>44531</v>
      </c>
      <c r="C813">
        <v>2021</v>
      </c>
      <c r="D813" s="4" t="s">
        <v>24</v>
      </c>
      <c r="E813" s="10">
        <v>12</v>
      </c>
      <c r="F813" s="92">
        <v>5.6689999999999996</v>
      </c>
      <c r="G813" s="92">
        <v>2.13</v>
      </c>
    </row>
    <row r="814" spans="1:14">
      <c r="A814" s="1">
        <v>13</v>
      </c>
      <c r="B814" s="71">
        <v>44531</v>
      </c>
      <c r="C814">
        <v>2021</v>
      </c>
      <c r="D814" s="4" t="s">
        <v>24</v>
      </c>
      <c r="E814" s="10">
        <v>12</v>
      </c>
      <c r="F814" s="92">
        <v>12.211</v>
      </c>
      <c r="G814" s="92">
        <v>3.5110000000000001</v>
      </c>
      <c r="I814" s="21">
        <f t="shared" ref="I814:J814" si="53">AVERAGE(F812:F814)</f>
        <v>7.5906666666666665</v>
      </c>
      <c r="J814" s="21">
        <f t="shared" si="53"/>
        <v>2.492</v>
      </c>
      <c r="L814">
        <f t="shared" ref="L814" si="54">J814/I814</f>
        <v>0.3282979097136835</v>
      </c>
      <c r="M814">
        <f t="shared" ref="M814" si="55">+(L814-$L$927)/$L$928</f>
        <v>-0.11674562561317273</v>
      </c>
      <c r="N814">
        <f t="shared" ref="N814" si="56">+N811+M814</f>
        <v>8.3026828583234593</v>
      </c>
    </row>
    <row r="815" spans="1:14">
      <c r="A815" s="91">
        <v>11</v>
      </c>
      <c r="B815" s="86">
        <v>44571</v>
      </c>
      <c r="C815" s="87">
        <v>2022</v>
      </c>
      <c r="D815" s="88" t="s">
        <v>25</v>
      </c>
      <c r="E815" s="89">
        <v>1</v>
      </c>
      <c r="H815" s="90" t="s">
        <v>95</v>
      </c>
    </row>
    <row r="816" spans="1:14">
      <c r="A816" s="1">
        <v>12</v>
      </c>
      <c r="B816" s="73">
        <v>44566</v>
      </c>
      <c r="C816">
        <v>2022</v>
      </c>
      <c r="D816" s="4" t="s">
        <v>25</v>
      </c>
      <c r="E816" s="10">
        <v>1</v>
      </c>
      <c r="H816" s="90" t="s">
        <v>96</v>
      </c>
    </row>
    <row r="817" spans="1:8">
      <c r="A817" s="1">
        <v>13</v>
      </c>
      <c r="B817" s="73">
        <v>44566</v>
      </c>
      <c r="C817">
        <v>2022</v>
      </c>
      <c r="D817" s="4" t="s">
        <v>25</v>
      </c>
      <c r="E817" s="10">
        <v>1</v>
      </c>
      <c r="H817" s="90" t="s">
        <v>97</v>
      </c>
    </row>
    <row r="818" spans="1:8">
      <c r="A818" s="1">
        <v>11</v>
      </c>
      <c r="B818" s="71">
        <v>44593</v>
      </c>
      <c r="C818">
        <v>2022</v>
      </c>
      <c r="D818" s="4" t="s">
        <v>14</v>
      </c>
      <c r="E818" s="10">
        <v>2</v>
      </c>
    </row>
    <row r="819" spans="1:8">
      <c r="A819" s="1">
        <v>12</v>
      </c>
      <c r="B819" s="71">
        <v>44593</v>
      </c>
      <c r="C819">
        <v>2022</v>
      </c>
      <c r="D819" s="4" t="s">
        <v>14</v>
      </c>
      <c r="E819" s="10">
        <v>2</v>
      </c>
    </row>
    <row r="820" spans="1:8">
      <c r="A820" s="1">
        <v>13</v>
      </c>
      <c r="B820" s="71">
        <v>44593</v>
      </c>
      <c r="C820">
        <v>2022</v>
      </c>
      <c r="D820" s="4" t="s">
        <v>14</v>
      </c>
      <c r="E820" s="10">
        <v>2</v>
      </c>
    </row>
    <row r="821" spans="1:8">
      <c r="A821" s="1">
        <v>11</v>
      </c>
      <c r="B821" s="71">
        <v>44621</v>
      </c>
      <c r="C821">
        <v>2022</v>
      </c>
      <c r="D821" s="4" t="s">
        <v>15</v>
      </c>
      <c r="E821" s="10">
        <v>3</v>
      </c>
    </row>
    <row r="822" spans="1:8">
      <c r="A822" s="1">
        <v>12</v>
      </c>
      <c r="B822" s="71">
        <v>44621</v>
      </c>
      <c r="C822">
        <v>2022</v>
      </c>
      <c r="D822" s="4" t="s">
        <v>15</v>
      </c>
      <c r="E822" s="10">
        <v>3</v>
      </c>
    </row>
    <row r="823" spans="1:8">
      <c r="A823" s="1">
        <v>13</v>
      </c>
      <c r="B823" s="71">
        <v>44621</v>
      </c>
      <c r="C823">
        <v>2022</v>
      </c>
      <c r="D823" s="4" t="s">
        <v>15</v>
      </c>
      <c r="E823" s="10">
        <v>3</v>
      </c>
    </row>
    <row r="824" spans="1:8">
      <c r="A824" s="1">
        <v>11</v>
      </c>
      <c r="B824" s="71">
        <v>44652</v>
      </c>
      <c r="C824">
        <v>2022</v>
      </c>
      <c r="D824" s="4" t="s">
        <v>16</v>
      </c>
      <c r="E824" s="10">
        <v>4</v>
      </c>
    </row>
    <row r="825" spans="1:8">
      <c r="A825" s="1">
        <v>12</v>
      </c>
      <c r="B825" s="71">
        <v>44652</v>
      </c>
      <c r="C825">
        <v>2022</v>
      </c>
      <c r="D825" s="4" t="s">
        <v>16</v>
      </c>
      <c r="E825" s="10">
        <v>4</v>
      </c>
    </row>
    <row r="826" spans="1:8">
      <c r="A826" s="1">
        <v>13</v>
      </c>
      <c r="B826" s="71">
        <v>44652</v>
      </c>
      <c r="C826">
        <v>2022</v>
      </c>
      <c r="D826" s="4" t="s">
        <v>16</v>
      </c>
      <c r="E826" s="10">
        <v>4</v>
      </c>
    </row>
    <row r="827" spans="1:8">
      <c r="A827" s="1">
        <v>11</v>
      </c>
      <c r="B827" s="71">
        <v>44682</v>
      </c>
      <c r="C827">
        <v>2022</v>
      </c>
      <c r="D827" s="4" t="s">
        <v>17</v>
      </c>
      <c r="E827" s="10">
        <v>5</v>
      </c>
    </row>
    <row r="828" spans="1:8">
      <c r="A828" s="1">
        <v>12</v>
      </c>
      <c r="B828" s="71">
        <v>44682</v>
      </c>
      <c r="C828">
        <v>2022</v>
      </c>
      <c r="D828" s="4" t="s">
        <v>17</v>
      </c>
      <c r="E828" s="10">
        <v>5</v>
      </c>
    </row>
    <row r="829" spans="1:8">
      <c r="A829" s="1">
        <v>13</v>
      </c>
      <c r="B829" s="71">
        <v>44682</v>
      </c>
      <c r="C829">
        <v>2022</v>
      </c>
      <c r="D829" s="4" t="s">
        <v>17</v>
      </c>
      <c r="E829" s="10">
        <v>5</v>
      </c>
    </row>
    <row r="830" spans="1:8">
      <c r="A830" s="1">
        <v>11</v>
      </c>
      <c r="B830" s="71">
        <v>44713</v>
      </c>
      <c r="C830">
        <v>2022</v>
      </c>
      <c r="D830" s="4" t="s">
        <v>18</v>
      </c>
      <c r="E830" s="10">
        <v>6</v>
      </c>
    </row>
    <row r="831" spans="1:8">
      <c r="A831" s="1">
        <v>12</v>
      </c>
      <c r="B831" s="71">
        <v>44713</v>
      </c>
      <c r="C831">
        <v>2022</v>
      </c>
      <c r="D831" s="4" t="s">
        <v>18</v>
      </c>
      <c r="E831" s="10">
        <v>6</v>
      </c>
    </row>
    <row r="832" spans="1:8">
      <c r="A832" s="1">
        <v>13</v>
      </c>
      <c r="B832" s="71">
        <v>44713</v>
      </c>
      <c r="C832">
        <v>2022</v>
      </c>
      <c r="D832" s="4" t="s">
        <v>18</v>
      </c>
      <c r="E832" s="10">
        <v>6</v>
      </c>
    </row>
    <row r="833" spans="1:5">
      <c r="A833" s="1">
        <v>11</v>
      </c>
      <c r="B833" s="71">
        <v>44743</v>
      </c>
      <c r="C833">
        <v>2022</v>
      </c>
      <c r="D833" s="4" t="s">
        <v>19</v>
      </c>
      <c r="E833" s="10">
        <v>7</v>
      </c>
    </row>
    <row r="834" spans="1:5">
      <c r="A834" s="1">
        <v>12</v>
      </c>
      <c r="B834" s="71">
        <v>44743</v>
      </c>
      <c r="C834">
        <v>2022</v>
      </c>
      <c r="D834" s="4" t="s">
        <v>19</v>
      </c>
      <c r="E834" s="10">
        <v>7</v>
      </c>
    </row>
    <row r="835" spans="1:5">
      <c r="A835" s="1">
        <v>13</v>
      </c>
      <c r="B835" s="71">
        <v>44743</v>
      </c>
      <c r="C835">
        <v>2022</v>
      </c>
      <c r="D835" s="4" t="s">
        <v>19</v>
      </c>
      <c r="E835" s="10">
        <v>7</v>
      </c>
    </row>
    <row r="836" spans="1:5">
      <c r="A836" s="1">
        <v>11</v>
      </c>
      <c r="B836" s="71">
        <v>44774</v>
      </c>
      <c r="C836">
        <v>2022</v>
      </c>
      <c r="D836" s="4" t="s">
        <v>20</v>
      </c>
      <c r="E836" s="10">
        <v>8</v>
      </c>
    </row>
    <row r="837" spans="1:5">
      <c r="A837" s="1">
        <v>12</v>
      </c>
      <c r="B837" s="71">
        <v>44774</v>
      </c>
      <c r="C837">
        <v>2022</v>
      </c>
      <c r="D837" s="4" t="s">
        <v>20</v>
      </c>
      <c r="E837" s="10">
        <v>8</v>
      </c>
    </row>
    <row r="838" spans="1:5">
      <c r="A838" s="1">
        <v>13</v>
      </c>
      <c r="B838" s="71">
        <v>44774</v>
      </c>
      <c r="C838">
        <v>2022</v>
      </c>
      <c r="D838" s="4" t="s">
        <v>20</v>
      </c>
      <c r="E838" s="10">
        <v>8</v>
      </c>
    </row>
    <row r="839" spans="1:5">
      <c r="A839" s="1">
        <v>11</v>
      </c>
      <c r="B839" s="71">
        <v>44805</v>
      </c>
      <c r="C839">
        <v>2022</v>
      </c>
      <c r="D839" s="4" t="s">
        <v>26</v>
      </c>
      <c r="E839" s="10">
        <v>9</v>
      </c>
    </row>
    <row r="840" spans="1:5">
      <c r="A840" s="1">
        <v>12</v>
      </c>
      <c r="B840" s="71">
        <v>44805</v>
      </c>
      <c r="C840">
        <v>2022</v>
      </c>
      <c r="D840" s="4" t="s">
        <v>26</v>
      </c>
      <c r="E840" s="10">
        <v>9</v>
      </c>
    </row>
    <row r="841" spans="1:5">
      <c r="A841" s="1">
        <v>13</v>
      </c>
      <c r="B841" s="71">
        <v>44805</v>
      </c>
      <c r="C841">
        <v>2022</v>
      </c>
      <c r="D841" s="4" t="s">
        <v>26</v>
      </c>
      <c r="E841" s="10">
        <v>9</v>
      </c>
    </row>
    <row r="842" spans="1:5">
      <c r="A842" s="1">
        <v>11</v>
      </c>
      <c r="B842" s="71">
        <v>44835</v>
      </c>
      <c r="C842">
        <v>2022</v>
      </c>
      <c r="D842" s="4" t="s">
        <v>22</v>
      </c>
      <c r="E842" s="10">
        <v>10</v>
      </c>
    </row>
    <row r="843" spans="1:5">
      <c r="A843" s="1">
        <v>12</v>
      </c>
      <c r="B843" s="71">
        <v>44835</v>
      </c>
      <c r="C843">
        <v>2022</v>
      </c>
      <c r="D843" s="4" t="s">
        <v>22</v>
      </c>
      <c r="E843" s="10">
        <v>10</v>
      </c>
    </row>
    <row r="844" spans="1:5">
      <c r="A844" s="1">
        <v>13</v>
      </c>
      <c r="B844" s="71">
        <v>44835</v>
      </c>
      <c r="C844">
        <v>2022</v>
      </c>
      <c r="D844" s="4" t="s">
        <v>22</v>
      </c>
      <c r="E844" s="10">
        <v>10</v>
      </c>
    </row>
    <row r="845" spans="1:5">
      <c r="A845" s="1">
        <v>11</v>
      </c>
      <c r="B845" s="71">
        <v>44866</v>
      </c>
      <c r="C845">
        <v>2022</v>
      </c>
      <c r="D845" s="4" t="s">
        <v>23</v>
      </c>
      <c r="E845" s="10">
        <v>11</v>
      </c>
    </row>
    <row r="846" spans="1:5">
      <c r="A846" s="1">
        <v>12</v>
      </c>
      <c r="B846" s="71">
        <v>44866</v>
      </c>
      <c r="C846">
        <v>2022</v>
      </c>
      <c r="D846" s="4" t="s">
        <v>23</v>
      </c>
      <c r="E846" s="10">
        <v>11</v>
      </c>
    </row>
    <row r="847" spans="1:5">
      <c r="A847" s="1">
        <v>13</v>
      </c>
      <c r="B847" s="71">
        <v>44866</v>
      </c>
      <c r="C847">
        <v>2022</v>
      </c>
      <c r="D847" s="4" t="s">
        <v>23</v>
      </c>
      <c r="E847" s="10">
        <v>11</v>
      </c>
    </row>
    <row r="848" spans="1:5">
      <c r="A848" s="1">
        <v>11</v>
      </c>
      <c r="B848" s="72">
        <v>44896</v>
      </c>
      <c r="C848">
        <v>2022</v>
      </c>
      <c r="D848" s="4" t="s">
        <v>24</v>
      </c>
      <c r="E848" s="10">
        <v>12</v>
      </c>
    </row>
    <row r="849" spans="1:14">
      <c r="A849" s="1">
        <v>12</v>
      </c>
      <c r="B849" s="71">
        <v>44896</v>
      </c>
      <c r="C849">
        <v>2022</v>
      </c>
      <c r="D849" s="4" t="s">
        <v>24</v>
      </c>
      <c r="E849" s="10">
        <v>12</v>
      </c>
    </row>
    <row r="850" spans="1:14">
      <c r="A850" s="1">
        <v>13</v>
      </c>
      <c r="B850" s="71">
        <v>44896</v>
      </c>
      <c r="C850">
        <v>2022</v>
      </c>
      <c r="D850" s="4" t="s">
        <v>24</v>
      </c>
      <c r="E850" s="10">
        <v>12</v>
      </c>
    </row>
    <row r="851" spans="1:14">
      <c r="A851" s="91">
        <v>11</v>
      </c>
      <c r="B851" s="86">
        <v>44936</v>
      </c>
      <c r="C851" s="87">
        <v>2023</v>
      </c>
      <c r="D851" s="88" t="s">
        <v>25</v>
      </c>
      <c r="E851" s="89">
        <v>1</v>
      </c>
      <c r="F851" s="93">
        <v>2.1349999999999998</v>
      </c>
      <c r="G851" s="92">
        <v>0.57799999999999996</v>
      </c>
    </row>
    <row r="852" spans="1:14">
      <c r="A852" s="1">
        <v>12</v>
      </c>
      <c r="B852" s="73">
        <v>44931</v>
      </c>
      <c r="C852">
        <v>2023</v>
      </c>
      <c r="D852" s="4" t="s">
        <v>25</v>
      </c>
      <c r="E852" s="10">
        <v>1</v>
      </c>
      <c r="F852" s="93">
        <v>2.1859999999999999</v>
      </c>
      <c r="G852" s="92">
        <v>0.60199999999999998</v>
      </c>
    </row>
    <row r="853" spans="1:14">
      <c r="A853" s="1">
        <v>13</v>
      </c>
      <c r="B853" s="73">
        <v>44931</v>
      </c>
      <c r="C853">
        <v>2023</v>
      </c>
      <c r="D853" s="4" t="s">
        <v>25</v>
      </c>
      <c r="E853" s="10">
        <v>1</v>
      </c>
      <c r="F853" s="93">
        <v>2.4020000000000001</v>
      </c>
      <c r="G853" s="92">
        <v>0.67600000000000005</v>
      </c>
      <c r="I853" s="21">
        <f>AVERAGE(F851:F853)</f>
        <v>2.2410000000000001</v>
      </c>
      <c r="J853" s="21">
        <f>AVERAGE(G851:G853)</f>
        <v>0.61866666666666659</v>
      </c>
      <c r="L853">
        <f>+J853/I853</f>
        <v>0.27606723189052501</v>
      </c>
      <c r="M853">
        <f>+(L853-$L$927)/$L$928</f>
        <v>-0.77078929063565649</v>
      </c>
      <c r="N853">
        <f>+N814+M853</f>
        <v>7.5318935676878027</v>
      </c>
    </row>
    <row r="854" spans="1:14">
      <c r="A854" s="1">
        <v>11</v>
      </c>
      <c r="B854" s="71">
        <v>44958</v>
      </c>
      <c r="C854">
        <v>2023</v>
      </c>
      <c r="D854" s="4" t="s">
        <v>14</v>
      </c>
      <c r="E854" s="10">
        <v>2</v>
      </c>
      <c r="F854" s="78">
        <v>5.9160000000000004</v>
      </c>
      <c r="G854" s="78">
        <v>1.8560000000000001</v>
      </c>
    </row>
    <row r="855" spans="1:14">
      <c r="A855" s="1">
        <v>12</v>
      </c>
      <c r="B855" s="71">
        <v>44958</v>
      </c>
      <c r="C855">
        <v>2023</v>
      </c>
      <c r="D855" s="4" t="s">
        <v>14</v>
      </c>
      <c r="E855" s="10">
        <v>2</v>
      </c>
      <c r="F855" s="78">
        <v>4.5199999999999996</v>
      </c>
      <c r="G855" s="78">
        <v>1.4570000000000001</v>
      </c>
    </row>
    <row r="856" spans="1:14">
      <c r="A856" s="1">
        <v>13</v>
      </c>
      <c r="B856" s="71">
        <v>44958</v>
      </c>
      <c r="C856">
        <v>2023</v>
      </c>
      <c r="D856" s="4" t="s">
        <v>14</v>
      </c>
      <c r="E856" s="10">
        <v>2</v>
      </c>
      <c r="F856" s="78">
        <v>1.6619999999999999</v>
      </c>
      <c r="G856" s="78">
        <v>0.57199999999999995</v>
      </c>
      <c r="I856" s="21">
        <f t="shared" ref="I856:J856" si="57">AVERAGE(F854:F856)</f>
        <v>4.0326666666666666</v>
      </c>
      <c r="J856" s="21">
        <f t="shared" si="57"/>
        <v>1.2950000000000002</v>
      </c>
      <c r="L856">
        <f t="shared" ref="L856" si="58">+J856/I856</f>
        <v>0.32112745908414619</v>
      </c>
      <c r="M856">
        <f t="shared" ref="M856" si="59">+(L856-$L$927)/$L$928</f>
        <v>-0.20653553462955462</v>
      </c>
      <c r="N856">
        <f>+N853+M856</f>
        <v>7.3253580330582482</v>
      </c>
    </row>
    <row r="857" spans="1:14">
      <c r="A857" s="1">
        <v>11</v>
      </c>
      <c r="B857" s="71">
        <v>44986</v>
      </c>
      <c r="C857">
        <v>2023</v>
      </c>
      <c r="D857" s="4" t="s">
        <v>15</v>
      </c>
      <c r="E857" s="10">
        <v>3</v>
      </c>
      <c r="F857" s="78">
        <v>3.274</v>
      </c>
      <c r="G857" s="78">
        <v>1.1639999999999999</v>
      </c>
    </row>
    <row r="858" spans="1:14">
      <c r="A858" s="1">
        <v>12</v>
      </c>
      <c r="B858" s="71">
        <v>44986</v>
      </c>
      <c r="C858">
        <v>2023</v>
      </c>
      <c r="D858" s="4" t="s">
        <v>15</v>
      </c>
      <c r="E858" s="10">
        <v>3</v>
      </c>
      <c r="F858" s="78">
        <v>3.3069999999999999</v>
      </c>
      <c r="G858" s="78">
        <v>1.2230000000000001</v>
      </c>
    </row>
    <row r="859" spans="1:14">
      <c r="A859" s="1">
        <v>13</v>
      </c>
      <c r="B859" s="71">
        <v>44986</v>
      </c>
      <c r="C859">
        <v>2023</v>
      </c>
      <c r="D859" s="4" t="s">
        <v>15</v>
      </c>
      <c r="E859" s="10">
        <v>3</v>
      </c>
      <c r="F859" s="78">
        <v>2.4289999999999998</v>
      </c>
      <c r="G859" s="78">
        <v>0.85499999999999998</v>
      </c>
      <c r="I859" s="21">
        <f t="shared" ref="I859:J859" si="60">AVERAGE(F857:F859)</f>
        <v>3.0033333333333334</v>
      </c>
      <c r="J859" s="21">
        <f t="shared" si="60"/>
        <v>1.0806666666666667</v>
      </c>
      <c r="L859">
        <f t="shared" ref="L859" si="61">+J859/I859</f>
        <v>0.35982241953385125</v>
      </c>
      <c r="M859">
        <f t="shared" ref="M859" si="62">+(L859-$L$927)/$L$928</f>
        <v>0.27801099635962934</v>
      </c>
      <c r="N859">
        <f t="shared" ref="N859" si="63">+N856+M859</f>
        <v>7.6033690294178777</v>
      </c>
    </row>
    <row r="860" spans="1:14">
      <c r="A860" s="1">
        <v>11</v>
      </c>
      <c r="B860" s="71">
        <v>45017</v>
      </c>
      <c r="C860">
        <v>2023</v>
      </c>
      <c r="D860" s="4" t="s">
        <v>16</v>
      </c>
      <c r="E860" s="10">
        <v>4</v>
      </c>
      <c r="F860" s="78">
        <v>3.097</v>
      </c>
      <c r="G860" s="78">
        <v>1.1599999999999999</v>
      </c>
    </row>
    <row r="861" spans="1:14">
      <c r="A861" s="1">
        <v>12</v>
      </c>
      <c r="B861" s="71">
        <v>45017</v>
      </c>
      <c r="C861">
        <v>2023</v>
      </c>
      <c r="D861" s="4" t="s">
        <v>16</v>
      </c>
      <c r="E861" s="10">
        <v>4</v>
      </c>
      <c r="F861" s="78">
        <v>2.92</v>
      </c>
      <c r="G861" s="78">
        <v>1.04</v>
      </c>
    </row>
    <row r="862" spans="1:14">
      <c r="A862" s="1">
        <v>13</v>
      </c>
      <c r="B862" s="71">
        <v>45017</v>
      </c>
      <c r="C862">
        <v>2023</v>
      </c>
      <c r="D862" s="4" t="s">
        <v>16</v>
      </c>
      <c r="E862" s="10">
        <v>4</v>
      </c>
      <c r="F862" s="78">
        <v>2.7730000000000001</v>
      </c>
      <c r="G862" s="78">
        <v>0.96099999999999997</v>
      </c>
      <c r="I862" s="21">
        <f t="shared" ref="I862:J862" si="64">AVERAGE(F860:F862)</f>
        <v>2.9299999999999997</v>
      </c>
      <c r="J862" s="21">
        <f t="shared" si="64"/>
        <v>1.0536666666666668</v>
      </c>
      <c r="L862">
        <f t="shared" ref="L862" si="65">+J862/I862</f>
        <v>0.35961319681456205</v>
      </c>
      <c r="M862">
        <f t="shared" ref="M862" si="66">+(L862-$L$927)/$L$928</f>
        <v>0.27539106493554971</v>
      </c>
      <c r="N862">
        <f t="shared" ref="N862" si="67">+N859+M862</f>
        <v>7.8787600943534271</v>
      </c>
    </row>
    <row r="863" spans="1:14">
      <c r="A863" s="1">
        <v>11</v>
      </c>
      <c r="B863" s="71">
        <v>45047</v>
      </c>
      <c r="C863">
        <v>2023</v>
      </c>
      <c r="D863" s="4" t="s">
        <v>17</v>
      </c>
      <c r="E863" s="10">
        <v>5</v>
      </c>
      <c r="F863" s="78">
        <v>4.18</v>
      </c>
      <c r="G863" s="78">
        <v>1.5189999999999999</v>
      </c>
    </row>
    <row r="864" spans="1:14">
      <c r="A864" s="1">
        <v>12</v>
      </c>
      <c r="B864" s="71">
        <v>45047</v>
      </c>
      <c r="C864">
        <v>2023</v>
      </c>
      <c r="D864" s="4" t="s">
        <v>17</v>
      </c>
      <c r="E864" s="10">
        <v>5</v>
      </c>
      <c r="F864" s="78">
        <v>6.6950000000000003</v>
      </c>
      <c r="G864" s="78">
        <v>2.5209999999999999</v>
      </c>
    </row>
    <row r="865" spans="1:14">
      <c r="A865" s="1">
        <v>13</v>
      </c>
      <c r="B865" s="71">
        <v>45047</v>
      </c>
      <c r="C865">
        <v>2023</v>
      </c>
      <c r="D865" s="4" t="s">
        <v>17</v>
      </c>
      <c r="E865" s="10">
        <v>5</v>
      </c>
      <c r="F865" s="78">
        <v>6.1070000000000002</v>
      </c>
      <c r="G865" s="78">
        <v>2.2509999999999999</v>
      </c>
      <c r="I865" s="21">
        <f t="shared" ref="I865:J865" si="68">AVERAGE(F863:F865)</f>
        <v>5.6606666666666667</v>
      </c>
      <c r="J865" s="21">
        <f t="shared" si="68"/>
        <v>2.097</v>
      </c>
      <c r="L865">
        <f t="shared" ref="L865" si="69">+J865/I865</f>
        <v>0.3704510658344129</v>
      </c>
      <c r="M865">
        <f t="shared" ref="M865" si="70">+(L865-$L$927)/$L$928</f>
        <v>0.4111051676469249</v>
      </c>
      <c r="N865">
        <f t="shared" ref="N865" si="71">+N862+M865</f>
        <v>8.2898652620003528</v>
      </c>
    </row>
    <row r="866" spans="1:14">
      <c r="A866" s="1">
        <v>11</v>
      </c>
      <c r="B866" s="71">
        <v>45078</v>
      </c>
      <c r="C866">
        <v>2023</v>
      </c>
      <c r="D866" s="4" t="s">
        <v>18</v>
      </c>
      <c r="E866" s="10">
        <v>6</v>
      </c>
      <c r="F866" s="78">
        <v>4.3869999999999996</v>
      </c>
      <c r="G866" s="78">
        <v>1.1140000000000001</v>
      </c>
    </row>
    <row r="867" spans="1:14">
      <c r="A867" s="1">
        <v>12</v>
      </c>
      <c r="B867" s="71">
        <v>45078</v>
      </c>
      <c r="C867">
        <v>2023</v>
      </c>
      <c r="D867" s="4" t="s">
        <v>18</v>
      </c>
      <c r="E867" s="10">
        <v>6</v>
      </c>
      <c r="F867" s="78">
        <v>5.0940000000000003</v>
      </c>
      <c r="G867" s="78">
        <v>1.306</v>
      </c>
    </row>
    <row r="868" spans="1:14">
      <c r="A868" s="1">
        <v>13</v>
      </c>
      <c r="B868" s="71">
        <v>45078</v>
      </c>
      <c r="C868">
        <v>2023</v>
      </c>
      <c r="D868" s="4" t="s">
        <v>18</v>
      </c>
      <c r="E868" s="10">
        <v>6</v>
      </c>
      <c r="F868" s="78">
        <v>6.2880000000000003</v>
      </c>
      <c r="G868" s="78">
        <v>1.474</v>
      </c>
      <c r="I868" s="21">
        <f t="shared" ref="I868:J868" si="72">AVERAGE(F866:F868)</f>
        <v>5.2563333333333331</v>
      </c>
      <c r="J868" s="21">
        <f t="shared" si="72"/>
        <v>1.298</v>
      </c>
      <c r="L868">
        <f t="shared" ref="L868" si="73">+J868/I868</f>
        <v>0.24694019912486526</v>
      </c>
      <c r="M868">
        <f t="shared" ref="M868" si="74">+(L868-$L$927)/$L$928</f>
        <v>-1.1355241946279491</v>
      </c>
      <c r="N868">
        <f t="shared" ref="N868" si="75">+N865+M868</f>
        <v>7.1543410673724033</v>
      </c>
    </row>
    <row r="869" spans="1:14">
      <c r="A869" s="1">
        <v>11</v>
      </c>
      <c r="B869" s="71">
        <v>45108</v>
      </c>
      <c r="C869">
        <v>2023</v>
      </c>
      <c r="D869" s="4" t="s">
        <v>19</v>
      </c>
      <c r="E869" s="10">
        <v>7</v>
      </c>
      <c r="F869" s="78">
        <v>8.6859999999999999</v>
      </c>
      <c r="G869" s="78">
        <v>2.9670000000000001</v>
      </c>
    </row>
    <row r="870" spans="1:14">
      <c r="A870" s="1">
        <v>12</v>
      </c>
      <c r="B870" s="71">
        <v>45108</v>
      </c>
      <c r="C870">
        <v>2023</v>
      </c>
      <c r="D870" s="4" t="s">
        <v>19</v>
      </c>
      <c r="E870" s="10">
        <v>7</v>
      </c>
      <c r="F870" s="78">
        <v>9.9160000000000004</v>
      </c>
      <c r="G870" s="78">
        <v>3.43</v>
      </c>
    </row>
    <row r="871" spans="1:14">
      <c r="A871" s="1">
        <v>13</v>
      </c>
      <c r="B871" s="71">
        <v>45108</v>
      </c>
      <c r="C871">
        <v>2023</v>
      </c>
      <c r="D871" s="4" t="s">
        <v>19</v>
      </c>
      <c r="E871" s="10">
        <v>7</v>
      </c>
      <c r="F871" s="78">
        <v>9.5730000000000004</v>
      </c>
      <c r="G871" s="78">
        <v>2.8580000000000001</v>
      </c>
      <c r="I871" s="21">
        <f t="shared" ref="I871:J871" si="76">AVERAGE(F869:F871)</f>
        <v>9.3916666666666675</v>
      </c>
      <c r="J871" s="21">
        <f t="shared" si="76"/>
        <v>3.0850000000000004</v>
      </c>
      <c r="L871">
        <f t="shared" ref="L871" si="77">+J871/I871</f>
        <v>0.32848269742679681</v>
      </c>
      <c r="M871">
        <f t="shared" ref="M871" si="78">+(L871-$L$927)/$L$928</f>
        <v>-0.1144316745374284</v>
      </c>
      <c r="N871">
        <f t="shared" ref="N871" si="79">+N868+M871</f>
        <v>7.039909392834975</v>
      </c>
    </row>
    <row r="872" spans="1:14">
      <c r="A872" s="1">
        <v>11</v>
      </c>
      <c r="B872" s="71">
        <v>45139</v>
      </c>
      <c r="C872">
        <v>2023</v>
      </c>
      <c r="D872" s="4" t="s">
        <v>20</v>
      </c>
      <c r="E872" s="10">
        <v>8</v>
      </c>
      <c r="F872" s="78">
        <v>5.7679999999999998</v>
      </c>
      <c r="G872" s="78">
        <v>1.6970000000000001</v>
      </c>
    </row>
    <row r="873" spans="1:14">
      <c r="A873" s="1">
        <v>12</v>
      </c>
      <c r="B873" s="71">
        <v>45139</v>
      </c>
      <c r="C873">
        <v>2023</v>
      </c>
      <c r="D873" s="4" t="s">
        <v>20</v>
      </c>
      <c r="E873" s="10">
        <v>8</v>
      </c>
      <c r="F873" s="78">
        <v>7.024</v>
      </c>
      <c r="G873" s="78">
        <v>2.1349999999999998</v>
      </c>
    </row>
    <row r="874" spans="1:14">
      <c r="A874" s="1">
        <v>13</v>
      </c>
      <c r="B874" s="71">
        <v>45139</v>
      </c>
      <c r="C874">
        <v>2023</v>
      </c>
      <c r="D874" s="4" t="s">
        <v>20</v>
      </c>
      <c r="E874" s="10">
        <v>8</v>
      </c>
      <c r="F874" s="78">
        <v>10.022</v>
      </c>
      <c r="G874" s="78">
        <v>3.109</v>
      </c>
      <c r="I874" s="21">
        <f t="shared" ref="I874:J874" si="80">AVERAGE(F872:F874)</f>
        <v>7.6046666666666667</v>
      </c>
      <c r="J874" s="21">
        <f t="shared" si="80"/>
        <v>2.3136666666666668</v>
      </c>
      <c r="L874">
        <f t="shared" ref="L874" si="81">+J874/I874</f>
        <v>0.30424300867888138</v>
      </c>
      <c r="M874">
        <f t="shared" ref="M874" si="82">+(L874-$L$927)/$L$928</f>
        <v>-0.41796621646637633</v>
      </c>
      <c r="N874">
        <f t="shared" ref="N874" si="83">+N871+M874</f>
        <v>6.6219431763685987</v>
      </c>
    </row>
    <row r="875" spans="1:14">
      <c r="A875" s="1">
        <v>11</v>
      </c>
      <c r="B875" s="71">
        <v>45170</v>
      </c>
      <c r="C875">
        <v>2023</v>
      </c>
      <c r="D875" s="4" t="s">
        <v>26</v>
      </c>
      <c r="E875" s="10">
        <v>9</v>
      </c>
      <c r="F875" s="78">
        <v>1.7250000000000001</v>
      </c>
      <c r="G875" s="78">
        <v>0.376</v>
      </c>
    </row>
    <row r="876" spans="1:14">
      <c r="A876" s="1">
        <v>12</v>
      </c>
      <c r="B876" s="71">
        <v>45170</v>
      </c>
      <c r="C876">
        <v>2023</v>
      </c>
      <c r="D876" s="4" t="s">
        <v>26</v>
      </c>
      <c r="E876" s="10">
        <v>9</v>
      </c>
      <c r="F876" s="78">
        <v>2.2709999999999999</v>
      </c>
      <c r="G876" s="78">
        <v>0.56699999999999995</v>
      </c>
    </row>
    <row r="877" spans="1:14">
      <c r="A877" s="1">
        <v>13</v>
      </c>
      <c r="B877" s="71">
        <v>45170</v>
      </c>
      <c r="C877">
        <v>2023</v>
      </c>
      <c r="D877" s="4" t="s">
        <v>26</v>
      </c>
      <c r="E877" s="10">
        <v>9</v>
      </c>
      <c r="F877" s="78">
        <v>2.9049999999999998</v>
      </c>
      <c r="G877" s="78">
        <v>0.72799999999999998</v>
      </c>
      <c r="I877" s="21">
        <f t="shared" ref="I877:J877" si="84">AVERAGE(F875:F877)</f>
        <v>2.3003333333333331</v>
      </c>
      <c r="J877" s="21">
        <f t="shared" si="84"/>
        <v>0.55699999999999994</v>
      </c>
      <c r="L877">
        <f t="shared" ref="L877" si="85">+J877/I877</f>
        <v>0.24213882046080279</v>
      </c>
      <c r="M877">
        <f t="shared" ref="M877" si="86">+(L877-$L$927)/$L$928</f>
        <v>-1.1956480802347293</v>
      </c>
      <c r="N877">
        <f t="shared" ref="N877" si="87">+N874+M877</f>
        <v>5.4262950961338694</v>
      </c>
    </row>
    <row r="878" spans="1:14">
      <c r="A878" s="1">
        <v>11</v>
      </c>
      <c r="B878" s="71">
        <v>45200</v>
      </c>
      <c r="C878">
        <v>2023</v>
      </c>
      <c r="D878" s="4" t="s">
        <v>22</v>
      </c>
      <c r="E878" s="10">
        <v>10</v>
      </c>
      <c r="F878" s="78">
        <v>3.6230000000000002</v>
      </c>
      <c r="G878" s="78">
        <v>1.0580000000000001</v>
      </c>
    </row>
    <row r="879" spans="1:14">
      <c r="A879" s="1">
        <v>12</v>
      </c>
      <c r="B879" s="71">
        <v>45200</v>
      </c>
      <c r="C879">
        <v>2023</v>
      </c>
      <c r="D879" s="4" t="s">
        <v>22</v>
      </c>
      <c r="E879" s="10">
        <v>10</v>
      </c>
      <c r="F879" s="78">
        <v>1.3759999999999999</v>
      </c>
      <c r="G879" s="78">
        <v>0.312</v>
      </c>
    </row>
    <row r="880" spans="1:14">
      <c r="A880" s="1">
        <v>13</v>
      </c>
      <c r="B880" s="71">
        <v>45200</v>
      </c>
      <c r="C880">
        <v>2023</v>
      </c>
      <c r="D880" s="4" t="s">
        <v>22</v>
      </c>
      <c r="E880" s="10">
        <v>10</v>
      </c>
      <c r="F880" s="78">
        <v>1.7110000000000001</v>
      </c>
      <c r="G880" s="78">
        <v>0.29099999999999998</v>
      </c>
      <c r="I880" s="21">
        <f t="shared" ref="I880:J880" si="88">AVERAGE(F878:F880)</f>
        <v>2.2366666666666668</v>
      </c>
      <c r="J880" s="21">
        <f t="shared" si="88"/>
        <v>0.55366666666666664</v>
      </c>
      <c r="L880">
        <f t="shared" ref="L880" si="89">+J880/I880</f>
        <v>0.24754098360655735</v>
      </c>
      <c r="M880">
        <f t="shared" ref="M880" si="90">+(L880-$L$927)/$L$928</f>
        <v>-1.1280010434709808</v>
      </c>
      <c r="N880">
        <f t="shared" ref="N880" si="91">+N877+M880</f>
        <v>4.2982940526628886</v>
      </c>
    </row>
    <row r="881" spans="1:14">
      <c r="A881" s="1">
        <v>11</v>
      </c>
      <c r="B881" s="71">
        <v>45231</v>
      </c>
      <c r="C881">
        <v>2023</v>
      </c>
      <c r="D881" s="4" t="s">
        <v>23</v>
      </c>
      <c r="E881" s="10">
        <v>11</v>
      </c>
      <c r="F881" s="78">
        <v>4.5209999999999999</v>
      </c>
      <c r="G881" s="78">
        <v>1.0569999999999999</v>
      </c>
    </row>
    <row r="882" spans="1:14">
      <c r="A882" s="1">
        <v>12</v>
      </c>
      <c r="B882" s="71">
        <v>45231</v>
      </c>
      <c r="C882">
        <v>2023</v>
      </c>
      <c r="D882" s="4" t="s">
        <v>23</v>
      </c>
      <c r="E882" s="10">
        <v>11</v>
      </c>
      <c r="F882" s="78">
        <v>2.919</v>
      </c>
      <c r="G882" s="78">
        <v>0.61299999999999999</v>
      </c>
    </row>
    <row r="883" spans="1:14">
      <c r="A883" s="1">
        <v>13</v>
      </c>
      <c r="B883" s="71">
        <v>45231</v>
      </c>
      <c r="C883">
        <v>2023</v>
      </c>
      <c r="D883" s="4" t="s">
        <v>23</v>
      </c>
      <c r="E883" s="10">
        <v>11</v>
      </c>
      <c r="F883" s="78">
        <v>3.2759999999999998</v>
      </c>
      <c r="G883" s="78">
        <v>0.752</v>
      </c>
      <c r="I883" s="21">
        <f t="shared" ref="I883:J883" si="92">AVERAGE(F881:F883)</f>
        <v>3.5719999999999996</v>
      </c>
      <c r="J883" s="21">
        <f t="shared" si="92"/>
        <v>0.80733333333333324</v>
      </c>
      <c r="L883">
        <f t="shared" ref="L883" si="93">+J883/I883</f>
        <v>0.22601717058603957</v>
      </c>
      <c r="M883">
        <f t="shared" ref="M883" si="94">+(L883-$L$927)/$L$928</f>
        <v>-1.3975268114662087</v>
      </c>
      <c r="N883">
        <f t="shared" ref="N883" si="95">+N880+M883</f>
        <v>2.9007672411966796</v>
      </c>
    </row>
    <row r="884" spans="1:14">
      <c r="A884" s="1">
        <v>11</v>
      </c>
      <c r="B884" s="72">
        <v>45261</v>
      </c>
      <c r="C884">
        <v>2023</v>
      </c>
      <c r="D884" s="4" t="s">
        <v>24</v>
      </c>
      <c r="E884" s="10">
        <v>12</v>
      </c>
      <c r="F884" s="78">
        <v>1.452</v>
      </c>
      <c r="G884" s="78">
        <v>0.41499999999999998</v>
      </c>
    </row>
    <row r="885" spans="1:14">
      <c r="A885" s="1">
        <v>12</v>
      </c>
      <c r="B885" s="71">
        <v>45261</v>
      </c>
      <c r="C885">
        <v>2023</v>
      </c>
      <c r="D885" s="4" t="s">
        <v>24</v>
      </c>
      <c r="E885" s="10">
        <v>12</v>
      </c>
      <c r="F885" s="78">
        <v>1.127</v>
      </c>
      <c r="G885" s="78">
        <v>0.34300000000000003</v>
      </c>
    </row>
    <row r="886" spans="1:14">
      <c r="A886" s="1">
        <v>13</v>
      </c>
      <c r="B886" s="71">
        <v>45261</v>
      </c>
      <c r="C886">
        <v>2023</v>
      </c>
      <c r="D886" s="4" t="s">
        <v>24</v>
      </c>
      <c r="E886" s="10">
        <v>12</v>
      </c>
      <c r="F886" s="78">
        <v>1.2290000000000001</v>
      </c>
      <c r="G886" s="78">
        <v>0.36099999999999999</v>
      </c>
      <c r="I886" s="21">
        <f t="shared" ref="I886:J886" si="96">AVERAGE(F884:F886)</f>
        <v>1.2693333333333332</v>
      </c>
      <c r="J886" s="21">
        <f t="shared" si="96"/>
        <v>0.373</v>
      </c>
      <c r="L886">
        <f t="shared" ref="L886" si="97">+J886/I886</f>
        <v>0.29385504201680673</v>
      </c>
      <c r="M886">
        <f t="shared" ref="M886" si="98">+(L886-$L$927)/$L$928</f>
        <v>-0.54804654609177927</v>
      </c>
      <c r="N886">
        <f t="shared" ref="N886" si="99">+N883+M886</f>
        <v>2.3527206951049005</v>
      </c>
    </row>
    <row r="887" spans="1:14">
      <c r="A887" s="91">
        <v>11</v>
      </c>
      <c r="B887" s="86">
        <v>45292</v>
      </c>
      <c r="C887" s="87">
        <v>2024</v>
      </c>
      <c r="D887" s="88" t="s">
        <v>25</v>
      </c>
      <c r="E887" s="89">
        <v>1</v>
      </c>
      <c r="F887" s="78">
        <v>0.82899999999999996</v>
      </c>
      <c r="G887" s="78">
        <v>0.21</v>
      </c>
    </row>
    <row r="888" spans="1:14">
      <c r="A888" s="1">
        <v>12</v>
      </c>
      <c r="B888" s="73">
        <v>45292</v>
      </c>
      <c r="C888">
        <v>2024</v>
      </c>
      <c r="D888" s="4" t="s">
        <v>25</v>
      </c>
      <c r="E888" s="10">
        <v>1</v>
      </c>
      <c r="F888" s="78">
        <v>1.4950000000000001</v>
      </c>
      <c r="G888" s="78">
        <v>0.371</v>
      </c>
    </row>
    <row r="889" spans="1:14">
      <c r="A889" s="1">
        <v>13</v>
      </c>
      <c r="B889" s="73">
        <v>45292</v>
      </c>
      <c r="C889">
        <v>2024</v>
      </c>
      <c r="D889" s="4" t="s">
        <v>25</v>
      </c>
      <c r="E889" s="10">
        <v>1</v>
      </c>
      <c r="F889" s="78">
        <v>3.0529999999999999</v>
      </c>
      <c r="G889" s="78">
        <v>0.84399999999999997</v>
      </c>
      <c r="I889" s="21">
        <f t="shared" ref="I889:J889" si="100">AVERAGE(F887:F889)</f>
        <v>1.7923333333333333</v>
      </c>
      <c r="J889" s="21">
        <f t="shared" si="100"/>
        <v>0.47499999999999992</v>
      </c>
      <c r="L889">
        <f t="shared" ref="L889" si="101">+J889/I889</f>
        <v>0.26501766784452291</v>
      </c>
      <c r="M889">
        <f t="shared" ref="M889" si="102">+(L889-$L$927)/$L$928</f>
        <v>-0.90915428352386973</v>
      </c>
      <c r="N889">
        <f t="shared" ref="N889" si="103">+N886+M889</f>
        <v>1.4435664115810307</v>
      </c>
    </row>
    <row r="890" spans="1:14">
      <c r="A890" s="1">
        <v>11</v>
      </c>
      <c r="B890" s="71">
        <v>45323</v>
      </c>
      <c r="C890">
        <v>2024</v>
      </c>
      <c r="D890" s="4" t="s">
        <v>14</v>
      </c>
      <c r="E890" s="10">
        <v>2</v>
      </c>
    </row>
    <row r="891" spans="1:14">
      <c r="A891" s="1">
        <v>12</v>
      </c>
      <c r="B891" s="71">
        <v>45323</v>
      </c>
      <c r="C891">
        <v>2024</v>
      </c>
      <c r="D891" s="4" t="s">
        <v>14</v>
      </c>
      <c r="E891" s="10">
        <v>2</v>
      </c>
    </row>
    <row r="892" spans="1:14">
      <c r="A892" s="1">
        <v>13</v>
      </c>
      <c r="B892" s="71">
        <v>45323</v>
      </c>
      <c r="C892">
        <v>2024</v>
      </c>
      <c r="D892" s="4" t="s">
        <v>14</v>
      </c>
      <c r="E892" s="10">
        <v>2</v>
      </c>
      <c r="I892" s="21"/>
      <c r="J892" s="21"/>
    </row>
    <row r="893" spans="1:14">
      <c r="A893" s="1">
        <v>11</v>
      </c>
      <c r="B893" s="71">
        <v>45352</v>
      </c>
      <c r="C893">
        <v>2024</v>
      </c>
      <c r="D893" s="4" t="s">
        <v>15</v>
      </c>
      <c r="E893" s="10">
        <v>3</v>
      </c>
      <c r="F893" s="78">
        <v>0.95699999999999996</v>
      </c>
      <c r="G893" s="78">
        <v>0.23899999999999999</v>
      </c>
    </row>
    <row r="894" spans="1:14">
      <c r="A894" s="1">
        <v>12</v>
      </c>
      <c r="B894" s="71">
        <v>45352</v>
      </c>
      <c r="C894">
        <v>2024</v>
      </c>
      <c r="D894" s="4" t="s">
        <v>15</v>
      </c>
      <c r="E894" s="10">
        <v>3</v>
      </c>
      <c r="F894" s="78">
        <v>1.077</v>
      </c>
      <c r="G894" s="78">
        <v>0.26700000000000002</v>
      </c>
    </row>
    <row r="895" spans="1:14">
      <c r="A895" s="1">
        <v>13</v>
      </c>
      <c r="B895" s="71">
        <v>45352</v>
      </c>
      <c r="C895">
        <v>2024</v>
      </c>
      <c r="D895" s="4" t="s">
        <v>15</v>
      </c>
      <c r="E895" s="10">
        <v>3</v>
      </c>
      <c r="F895" s="78">
        <v>1.827</v>
      </c>
      <c r="G895" s="78">
        <v>0.52900000000000003</v>
      </c>
      <c r="I895" s="21">
        <f t="shared" ref="I895:J895" si="104">AVERAGE(F893:F895)</f>
        <v>1.2869999999999999</v>
      </c>
      <c r="J895" s="21">
        <f t="shared" si="104"/>
        <v>0.34500000000000003</v>
      </c>
      <c r="L895">
        <f t="shared" ref="L895" si="105">+J895/I895</f>
        <v>0.26806526806526809</v>
      </c>
      <c r="M895">
        <f t="shared" ref="M895" si="106">+(L895-$L$927)/$L$928</f>
        <v>-0.87099158487675932</v>
      </c>
      <c r="N895">
        <f>+N889+M895</f>
        <v>0.5725748267042714</v>
      </c>
    </row>
    <row r="896" spans="1:14">
      <c r="A896" s="1">
        <v>11</v>
      </c>
      <c r="B896" s="71">
        <v>45383</v>
      </c>
      <c r="C896">
        <v>2024</v>
      </c>
      <c r="D896" s="4" t="s">
        <v>16</v>
      </c>
      <c r="E896" s="10">
        <v>4</v>
      </c>
      <c r="F896" s="78">
        <v>4.2469999999999999</v>
      </c>
      <c r="G896" s="78">
        <v>1.238</v>
      </c>
    </row>
    <row r="897" spans="1:14">
      <c r="A897" s="1">
        <v>12</v>
      </c>
      <c r="B897" s="71">
        <v>45383</v>
      </c>
      <c r="C897">
        <v>2024</v>
      </c>
      <c r="D897" s="4" t="s">
        <v>16</v>
      </c>
      <c r="E897" s="10">
        <v>4</v>
      </c>
      <c r="F897" s="78">
        <v>5.33</v>
      </c>
      <c r="G897" s="78">
        <v>1.5569999999999999</v>
      </c>
    </row>
    <row r="898" spans="1:14">
      <c r="A898" s="1">
        <v>13</v>
      </c>
      <c r="B898" s="71">
        <v>45383</v>
      </c>
      <c r="C898">
        <v>2024</v>
      </c>
      <c r="D898" s="4" t="s">
        <v>16</v>
      </c>
      <c r="E898" s="10">
        <v>4</v>
      </c>
      <c r="F898" s="78">
        <v>4.0339999999999998</v>
      </c>
      <c r="G898" s="78">
        <v>1.1779999999999999</v>
      </c>
      <c r="I898" s="21">
        <f t="shared" ref="I898:J898" si="107">AVERAGE(F896:F898)</f>
        <v>4.5369999999999999</v>
      </c>
      <c r="J898" s="21">
        <f t="shared" si="107"/>
        <v>1.3243333333333334</v>
      </c>
      <c r="L898">
        <f t="shared" ref="L898" si="108">+J898/I898</f>
        <v>0.29189626037763577</v>
      </c>
      <c r="M898">
        <f t="shared" ref="M898" si="109">+(L898-$L$927)/$L$928</f>
        <v>-0.57257482670494186</v>
      </c>
      <c r="N898">
        <f t="shared" ref="N898" si="110">+N895+M898</f>
        <v>-6.7046368457113203E-13</v>
      </c>
    </row>
    <row r="899" spans="1:14">
      <c r="A899" s="1">
        <v>11</v>
      </c>
      <c r="B899" s="71">
        <v>45413</v>
      </c>
      <c r="C899">
        <v>2024</v>
      </c>
      <c r="D899" s="4" t="s">
        <v>17</v>
      </c>
      <c r="E899" s="10">
        <v>5</v>
      </c>
    </row>
    <row r="900" spans="1:14">
      <c r="A900" s="1">
        <v>12</v>
      </c>
      <c r="B900" s="71">
        <v>45413</v>
      </c>
      <c r="C900">
        <v>2024</v>
      </c>
      <c r="D900" s="4" t="s">
        <v>17</v>
      </c>
      <c r="E900" s="10">
        <v>5</v>
      </c>
    </row>
    <row r="901" spans="1:14">
      <c r="A901" s="1">
        <v>13</v>
      </c>
      <c r="B901" s="71">
        <v>45413</v>
      </c>
      <c r="C901">
        <v>2024</v>
      </c>
      <c r="D901" s="4" t="s">
        <v>17</v>
      </c>
      <c r="E901" s="10">
        <v>5</v>
      </c>
    </row>
    <row r="902" spans="1:14">
      <c r="A902" s="1">
        <v>11</v>
      </c>
      <c r="B902" s="71">
        <v>45444</v>
      </c>
      <c r="C902">
        <v>2024</v>
      </c>
      <c r="D902" s="4" t="s">
        <v>18</v>
      </c>
      <c r="E902" s="10">
        <v>6</v>
      </c>
      <c r="H902" s="90" t="s">
        <v>93</v>
      </c>
    </row>
    <row r="903" spans="1:14">
      <c r="A903" s="1">
        <v>12</v>
      </c>
      <c r="B903" s="71">
        <v>45444</v>
      </c>
      <c r="C903">
        <v>2024</v>
      </c>
      <c r="D903" s="4" t="s">
        <v>18</v>
      </c>
      <c r="E903" s="10">
        <v>6</v>
      </c>
      <c r="H903" s="90" t="s">
        <v>94</v>
      </c>
    </row>
    <row r="904" spans="1:14">
      <c r="A904" s="1">
        <v>13</v>
      </c>
      <c r="B904" s="71">
        <v>45444</v>
      </c>
      <c r="C904">
        <v>2024</v>
      </c>
      <c r="D904" s="4" t="s">
        <v>18</v>
      </c>
      <c r="E904" s="10">
        <v>6</v>
      </c>
    </row>
    <row r="905" spans="1:14">
      <c r="A905" s="1">
        <v>11</v>
      </c>
      <c r="B905" s="71">
        <v>45474</v>
      </c>
      <c r="C905">
        <v>2024</v>
      </c>
      <c r="D905" s="4" t="s">
        <v>19</v>
      </c>
      <c r="E905" s="10">
        <v>7</v>
      </c>
    </row>
    <row r="906" spans="1:14">
      <c r="A906" s="1">
        <v>12</v>
      </c>
      <c r="B906" s="71">
        <v>45474</v>
      </c>
      <c r="C906">
        <v>2024</v>
      </c>
      <c r="D906" s="4" t="s">
        <v>19</v>
      </c>
      <c r="E906" s="10">
        <v>7</v>
      </c>
    </row>
    <row r="907" spans="1:14">
      <c r="A907" s="1">
        <v>13</v>
      </c>
      <c r="B907" s="71">
        <v>45474</v>
      </c>
      <c r="C907">
        <v>2024</v>
      </c>
      <c r="D907" s="4" t="s">
        <v>19</v>
      </c>
      <c r="E907" s="10">
        <v>7</v>
      </c>
    </row>
    <row r="908" spans="1:14">
      <c r="A908" s="1">
        <v>11</v>
      </c>
      <c r="B908" s="71">
        <v>45505</v>
      </c>
      <c r="C908">
        <v>2024</v>
      </c>
      <c r="D908" s="4" t="s">
        <v>20</v>
      </c>
      <c r="E908" s="10">
        <v>8</v>
      </c>
    </row>
    <row r="909" spans="1:14">
      <c r="A909" s="1">
        <v>12</v>
      </c>
      <c r="B909" s="71">
        <v>45505</v>
      </c>
      <c r="C909">
        <v>2024</v>
      </c>
      <c r="D909" s="4" t="s">
        <v>20</v>
      </c>
      <c r="E909" s="10">
        <v>8</v>
      </c>
    </row>
    <row r="910" spans="1:14">
      <c r="A910" s="1">
        <v>13</v>
      </c>
      <c r="B910" s="71">
        <v>45505</v>
      </c>
      <c r="C910">
        <v>2024</v>
      </c>
      <c r="D910" s="4" t="s">
        <v>20</v>
      </c>
      <c r="E910" s="10">
        <v>8</v>
      </c>
    </row>
    <row r="911" spans="1:14">
      <c r="A911" s="1">
        <v>11</v>
      </c>
      <c r="B911" s="71">
        <v>45536</v>
      </c>
      <c r="C911">
        <v>2024</v>
      </c>
      <c r="D911" s="4" t="s">
        <v>26</v>
      </c>
      <c r="E911" s="10">
        <v>9</v>
      </c>
    </row>
    <row r="912" spans="1:14">
      <c r="A912" s="1">
        <v>12</v>
      </c>
      <c r="B912" s="71">
        <v>45536</v>
      </c>
      <c r="C912">
        <v>2024</v>
      </c>
      <c r="D912" s="4" t="s">
        <v>26</v>
      </c>
      <c r="E912" s="10">
        <v>9</v>
      </c>
    </row>
    <row r="913" spans="1:12">
      <c r="A913" s="1">
        <v>13</v>
      </c>
      <c r="B913" s="71">
        <v>45536</v>
      </c>
      <c r="C913">
        <v>2024</v>
      </c>
      <c r="D913" s="4" t="s">
        <v>26</v>
      </c>
      <c r="E913" s="10">
        <v>9</v>
      </c>
    </row>
    <row r="914" spans="1:12">
      <c r="A914" s="1">
        <v>11</v>
      </c>
      <c r="B914" s="71">
        <v>45566</v>
      </c>
      <c r="C914">
        <v>2024</v>
      </c>
      <c r="D914" s="4" t="s">
        <v>22</v>
      </c>
      <c r="E914" s="10">
        <v>10</v>
      </c>
    </row>
    <row r="915" spans="1:12">
      <c r="A915" s="1">
        <v>12</v>
      </c>
      <c r="B915" s="71">
        <v>45566</v>
      </c>
      <c r="C915">
        <v>2024</v>
      </c>
      <c r="D915" s="4" t="s">
        <v>22</v>
      </c>
      <c r="E915" s="10">
        <v>10</v>
      </c>
    </row>
    <row r="916" spans="1:12">
      <c r="A916" s="1">
        <v>13</v>
      </c>
      <c r="B916" s="71">
        <v>45566</v>
      </c>
      <c r="C916">
        <v>2024</v>
      </c>
      <c r="D916" s="4" t="s">
        <v>22</v>
      </c>
      <c r="E916" s="10">
        <v>10</v>
      </c>
    </row>
    <row r="917" spans="1:12">
      <c r="A917" s="1">
        <v>11</v>
      </c>
      <c r="B917" s="71">
        <v>45597</v>
      </c>
      <c r="C917">
        <v>2024</v>
      </c>
      <c r="D917" s="4" t="s">
        <v>23</v>
      </c>
      <c r="E917" s="10">
        <v>11</v>
      </c>
    </row>
    <row r="918" spans="1:12">
      <c r="A918" s="1">
        <v>12</v>
      </c>
      <c r="B918" s="71">
        <v>45597</v>
      </c>
      <c r="C918">
        <v>2024</v>
      </c>
      <c r="D918" s="4" t="s">
        <v>23</v>
      </c>
      <c r="E918" s="10">
        <v>11</v>
      </c>
    </row>
    <row r="919" spans="1:12">
      <c r="A919" s="1">
        <v>13</v>
      </c>
      <c r="B919" s="71">
        <v>45597</v>
      </c>
      <c r="C919">
        <v>2024</v>
      </c>
      <c r="D919" s="4" t="s">
        <v>23</v>
      </c>
      <c r="E919" s="10">
        <v>11</v>
      </c>
    </row>
    <row r="920" spans="1:12">
      <c r="A920" s="1">
        <v>11</v>
      </c>
      <c r="B920" s="72">
        <v>45627</v>
      </c>
      <c r="C920">
        <v>2024</v>
      </c>
      <c r="D920" s="4" t="s">
        <v>24</v>
      </c>
      <c r="E920" s="10">
        <v>12</v>
      </c>
    </row>
    <row r="921" spans="1:12">
      <c r="A921" s="1">
        <v>12</v>
      </c>
      <c r="B921" s="71">
        <v>45627</v>
      </c>
      <c r="C921">
        <v>2024</v>
      </c>
      <c r="D921" s="4" t="s">
        <v>24</v>
      </c>
      <c r="E921" s="10">
        <v>12</v>
      </c>
    </row>
    <row r="922" spans="1:12">
      <c r="A922" s="1">
        <v>13</v>
      </c>
      <c r="B922" s="71">
        <v>45627</v>
      </c>
      <c r="C922">
        <v>2024</v>
      </c>
      <c r="D922" s="4" t="s">
        <v>24</v>
      </c>
      <c r="E922" s="10">
        <v>12</v>
      </c>
    </row>
    <row r="927" spans="1:12">
      <c r="K927" s="85" t="s">
        <v>90</v>
      </c>
      <c r="L927" s="85">
        <f>AVERAGE(L4:L922)</f>
        <v>0.3376209923834852</v>
      </c>
    </row>
    <row r="928" spans="1:12">
      <c r="K928" s="85" t="s">
        <v>91</v>
      </c>
      <c r="L928" s="85">
        <f>+STDEV(L4:L922)</f>
        <v>7.9858089935574833E-2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EEF4-8EAE-E84F-ABA2-44BA467C0C99}">
  <sheetPr>
    <tabColor theme="9" tint="0.39997558519241921"/>
  </sheetPr>
  <dimension ref="A1:Q928"/>
  <sheetViews>
    <sheetView workbookViewId="0">
      <pane ySplit="2" topLeftCell="A910" activePane="bottomLeft" state="frozen"/>
      <selection activeCell="D1" sqref="D1"/>
      <selection pane="bottomLeft" activeCell="L927" sqref="L927"/>
    </sheetView>
  </sheetViews>
  <sheetFormatPr defaultColWidth="11.42578125" defaultRowHeight="15"/>
  <cols>
    <col min="2" max="2" width="10.85546875" style="70"/>
  </cols>
  <sheetData>
    <row r="1" spans="1:17" ht="18">
      <c r="F1" s="28" t="s">
        <v>28</v>
      </c>
      <c r="G1" s="28" t="s">
        <v>29</v>
      </c>
      <c r="I1" s="68" t="s">
        <v>82</v>
      </c>
    </row>
    <row r="2" spans="1:17">
      <c r="A2" s="29" t="s">
        <v>30</v>
      </c>
      <c r="B2" s="73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37</v>
      </c>
      <c r="I2" s="33" t="s">
        <v>35</v>
      </c>
      <c r="J2" s="33" t="s">
        <v>37</v>
      </c>
      <c r="L2" s="67" t="s">
        <v>85</v>
      </c>
      <c r="M2" s="69" t="s">
        <v>86</v>
      </c>
      <c r="N2" s="69" t="s">
        <v>87</v>
      </c>
    </row>
    <row r="3" spans="1:17">
      <c r="A3" s="1">
        <v>11</v>
      </c>
      <c r="B3" s="74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0</v>
      </c>
    </row>
    <row r="4" spans="1:17">
      <c r="A4" s="1">
        <v>12</v>
      </c>
      <c r="B4" s="74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0</v>
      </c>
      <c r="Q4" t="s">
        <v>100</v>
      </c>
    </row>
    <row r="5" spans="1:17">
      <c r="A5" s="1">
        <v>13</v>
      </c>
      <c r="B5" s="74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0</v>
      </c>
      <c r="I5" s="21">
        <f>AVERAGE(F3:F5)</f>
        <v>4.3436182486310626</v>
      </c>
      <c r="J5" s="21">
        <f>AVERAGE(G3:G5)</f>
        <v>0</v>
      </c>
      <c r="L5">
        <f>+J5/I5</f>
        <v>0</v>
      </c>
      <c r="M5">
        <f>+(L5-$L$927)/$L$928</f>
        <v>-0.43753089105951098</v>
      </c>
      <c r="N5">
        <f>+M5</f>
        <v>-0.43753089105951098</v>
      </c>
    </row>
    <row r="6" spans="1:17">
      <c r="A6" s="1">
        <v>11</v>
      </c>
      <c r="B6" s="74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1.8425821166666669E-2</v>
      </c>
    </row>
    <row r="7" spans="1:17">
      <c r="A7" s="1">
        <v>12</v>
      </c>
      <c r="B7" s="74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0</v>
      </c>
    </row>
    <row r="8" spans="1:17">
      <c r="A8" s="1">
        <v>13</v>
      </c>
      <c r="B8" s="74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0</v>
      </c>
      <c r="I8" s="21">
        <f>AVERAGE(F6:F8)</f>
        <v>3.9763873870031197</v>
      </c>
      <c r="J8" s="21">
        <f>AVERAGE(G6:G8)</f>
        <v>6.1419403888888892E-3</v>
      </c>
      <c r="L8">
        <f>+J8/I8</f>
        <v>1.5446031261853186E-3</v>
      </c>
      <c r="M8">
        <f>+(L8-$L$927)/$L$928</f>
        <v>-0.27889209868347337</v>
      </c>
      <c r="N8">
        <f>+N5+M8</f>
        <v>-0.71642298974298435</v>
      </c>
    </row>
    <row r="9" spans="1:17">
      <c r="A9" s="1">
        <v>11</v>
      </c>
      <c r="B9" s="74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2.0884791833333333E-2</v>
      </c>
    </row>
    <row r="10" spans="1:17">
      <c r="A10" s="1">
        <v>12</v>
      </c>
      <c r="B10" s="74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0</v>
      </c>
    </row>
    <row r="11" spans="1:17">
      <c r="A11" s="1">
        <v>13</v>
      </c>
      <c r="B11" s="74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0</v>
      </c>
      <c r="I11" s="21">
        <f>AVERAGE(F9:F11)</f>
        <v>3.4663078451070866</v>
      </c>
      <c r="J11" s="21">
        <f>AVERAGE(G9:G11)</f>
        <v>6.9615972777777773E-3</v>
      </c>
      <c r="L11">
        <f>+J11/I11</f>
        <v>2.0083609387448126E-3</v>
      </c>
      <c r="M11">
        <f>+(L11-$L$927)/$L$928</f>
        <v>-0.23126175397409446</v>
      </c>
      <c r="N11">
        <f>+N8+M11</f>
        <v>-0.94768474371707878</v>
      </c>
    </row>
    <row r="12" spans="1:17">
      <c r="A12" s="1">
        <v>11</v>
      </c>
      <c r="B12" s="74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0</v>
      </c>
    </row>
    <row r="13" spans="1:17">
      <c r="A13" s="1">
        <v>12</v>
      </c>
      <c r="B13" s="74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0</v>
      </c>
    </row>
    <row r="14" spans="1:17">
      <c r="A14" s="1">
        <v>13</v>
      </c>
      <c r="B14" s="74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0</v>
      </c>
      <c r="I14" s="21">
        <f>AVERAGE(F12:F14)</f>
        <v>3.3871081085015358</v>
      </c>
      <c r="J14" s="21">
        <f>AVERAGE(G12:G14)</f>
        <v>0</v>
      </c>
      <c r="L14">
        <f>+J14/I14</f>
        <v>0</v>
      </c>
      <c r="M14">
        <f>+(L14-$L$927)/$L$928</f>
        <v>-0.43753089105951098</v>
      </c>
      <c r="N14">
        <f>+N11+M14</f>
        <v>-1.3852156347765898</v>
      </c>
    </row>
    <row r="15" spans="1:17">
      <c r="A15" s="1">
        <v>11</v>
      </c>
      <c r="B15" s="74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0</v>
      </c>
    </row>
    <row r="16" spans="1:17">
      <c r="A16" s="1">
        <v>12</v>
      </c>
      <c r="B16" s="74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1.2289716500000001E-2</v>
      </c>
    </row>
    <row r="17" spans="1:14">
      <c r="A17" s="1">
        <v>13</v>
      </c>
      <c r="B17" s="74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0</v>
      </c>
      <c r="I17" s="21">
        <f>AVERAGE(F15:F17)</f>
        <v>4.9699267107728504</v>
      </c>
      <c r="J17" s="21">
        <f>AVERAGE(G15:G17)</f>
        <v>4.0965721666666672E-3</v>
      </c>
      <c r="L17">
        <f>+J17/I17</f>
        <v>8.2427214827673543E-4</v>
      </c>
      <c r="M17">
        <f>+(L17-$L$927)/$L$928</f>
        <v>-0.35287384487395573</v>
      </c>
      <c r="N17">
        <f>+N14+M17</f>
        <v>-1.7380894796505455</v>
      </c>
    </row>
    <row r="18" spans="1:14">
      <c r="A18" s="1">
        <v>11</v>
      </c>
      <c r="B18" s="74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1.7073785666666664E-2</v>
      </c>
    </row>
    <row r="19" spans="1:14">
      <c r="A19" s="1">
        <v>12</v>
      </c>
      <c r="B19" s="74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0</v>
      </c>
    </row>
    <row r="20" spans="1:14">
      <c r="A20" s="1">
        <v>13</v>
      </c>
      <c r="B20" s="74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0</v>
      </c>
      <c r="I20" s="21">
        <f>AVERAGE(F18:F20)</f>
        <v>2.4738625495730591</v>
      </c>
      <c r="J20" s="21">
        <f>AVERAGE(G18:G20)</f>
        <v>5.6912618888888883E-3</v>
      </c>
      <c r="L20">
        <f>+J20/I20</f>
        <v>2.3005570337248891E-3</v>
      </c>
      <c r="M20">
        <f>+(L20-$L$927)/$L$928</f>
        <v>-0.20125169193368403</v>
      </c>
      <c r="N20">
        <f>+N17+M20</f>
        <v>-1.9393411715842295</v>
      </c>
    </row>
    <row r="21" spans="1:14">
      <c r="A21" s="1">
        <v>11</v>
      </c>
      <c r="B21" s="74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0</v>
      </c>
    </row>
    <row r="22" spans="1:14">
      <c r="A22" s="1">
        <v>12</v>
      </c>
      <c r="B22" s="74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0</v>
      </c>
    </row>
    <row r="23" spans="1:14">
      <c r="A23" s="1">
        <v>13</v>
      </c>
      <c r="B23" s="74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0</v>
      </c>
      <c r="I23" s="21">
        <f>AVERAGE(F21:F23)</f>
        <v>3.2826370251484334</v>
      </c>
      <c r="J23" s="21">
        <f>AVERAGE(G21:G23)</f>
        <v>0</v>
      </c>
      <c r="L23">
        <f>+J23/I23</f>
        <v>0</v>
      </c>
      <c r="M23">
        <f>+(L23-$L$927)/$L$928</f>
        <v>-0.43753089105951098</v>
      </c>
      <c r="N23">
        <f>+N20+M23</f>
        <v>-2.3768720626437405</v>
      </c>
    </row>
    <row r="24" spans="1:14">
      <c r="A24" s="1">
        <v>11</v>
      </c>
      <c r="B24" s="74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0</v>
      </c>
    </row>
    <row r="25" spans="1:14">
      <c r="A25" s="1">
        <v>12</v>
      </c>
      <c r="B25" s="74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0</v>
      </c>
    </row>
    <row r="26" spans="1:14">
      <c r="A26" s="1">
        <v>13</v>
      </c>
      <c r="B26" s="74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0</v>
      </c>
      <c r="I26" s="21">
        <f>AVERAGE(F24:F26)</f>
        <v>1.6371818626430468</v>
      </c>
      <c r="J26" s="21">
        <f>AVERAGE(G24:G26)</f>
        <v>0</v>
      </c>
      <c r="L26">
        <f>+J26/I26</f>
        <v>0</v>
      </c>
      <c r="M26">
        <f>+(L26-$L$927)/$L$928</f>
        <v>-0.43753089105951098</v>
      </c>
      <c r="N26">
        <f>+N23+M26</f>
        <v>-2.8144029537032513</v>
      </c>
    </row>
    <row r="27" spans="1:14">
      <c r="A27" s="1">
        <v>11</v>
      </c>
      <c r="B27" s="74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0</v>
      </c>
    </row>
    <row r="28" spans="1:14">
      <c r="A28" s="1">
        <v>12</v>
      </c>
      <c r="B28" s="74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2.0004715999999999E-2</v>
      </c>
    </row>
    <row r="29" spans="1:14">
      <c r="A29" s="1">
        <v>13</v>
      </c>
      <c r="B29" s="74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0.19263754</v>
      </c>
      <c r="I29" s="21">
        <f>AVERAGE(F27:F29)</f>
        <v>3.736656357471503</v>
      </c>
      <c r="J29" s="21">
        <f>AVERAGE(G27:G29)</f>
        <v>7.0880752000000005E-2</v>
      </c>
      <c r="L29">
        <f>+J29/I29</f>
        <v>1.8969031459977002E-2</v>
      </c>
      <c r="M29">
        <f>+(L29-$L$927)/$L$928</f>
        <v>1.510687516853239</v>
      </c>
      <c r="N29">
        <f>+N26+M29</f>
        <v>-1.3037154368500123</v>
      </c>
    </row>
    <row r="30" spans="1:14">
      <c r="A30" s="1">
        <v>11</v>
      </c>
      <c r="B30" s="74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2.8658078666666666E-2</v>
      </c>
    </row>
    <row r="31" spans="1:14">
      <c r="A31" s="1">
        <v>12</v>
      </c>
      <c r="B31" s="74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6.1780065499999995E-2</v>
      </c>
    </row>
    <row r="32" spans="1:14">
      <c r="A32" s="1">
        <v>13</v>
      </c>
      <c r="B32" s="74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0.22492274716666669</v>
      </c>
      <c r="I32" s="21">
        <f>AVERAGE(F30:F32)</f>
        <v>9.1378453037807379</v>
      </c>
      <c r="J32" s="21">
        <f>AVERAGE(G30:G32)</f>
        <v>0.10512029711111111</v>
      </c>
      <c r="L32">
        <f>+J32/I32</f>
        <v>1.1503838554546127E-2</v>
      </c>
      <c r="M32">
        <f>+(L32-$L$927)/$L$928</f>
        <v>0.74397329279460434</v>
      </c>
      <c r="N32">
        <f>+N29+M32</f>
        <v>-0.55974214405540801</v>
      </c>
    </row>
    <row r="33" spans="1:14">
      <c r="A33" s="1">
        <v>11</v>
      </c>
      <c r="B33" s="74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0</v>
      </c>
    </row>
    <row r="34" spans="1:14">
      <c r="A34" s="1">
        <v>12</v>
      </c>
      <c r="B34" s="74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0</v>
      </c>
    </row>
    <row r="35" spans="1:14">
      <c r="A35" s="1">
        <v>13</v>
      </c>
      <c r="B35" s="74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0</v>
      </c>
      <c r="I35" s="21">
        <f>AVERAGE(F33:F35)</f>
        <v>3.5199391851087971</v>
      </c>
      <c r="J35" s="21">
        <f>AVERAGE(G33:G35)</f>
        <v>0</v>
      </c>
      <c r="L35">
        <f>+J35/I35</f>
        <v>0</v>
      </c>
      <c r="M35">
        <f>+(L35-$L$927)/$L$928</f>
        <v>-0.43753089105951098</v>
      </c>
      <c r="N35">
        <f>+N32+M35</f>
        <v>-0.99727303511491905</v>
      </c>
    </row>
    <row r="36" spans="1:14">
      <c r="A36" s="1">
        <v>11</v>
      </c>
      <c r="B36" s="74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3.7777829666666665E-2</v>
      </c>
    </row>
    <row r="37" spans="1:14">
      <c r="A37" s="1">
        <v>12</v>
      </c>
      <c r="B37" s="74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1.2722887833333332E-2</v>
      </c>
    </row>
    <row r="38" spans="1:14">
      <c r="A38" s="1">
        <v>13</v>
      </c>
      <c r="B38" s="74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0</v>
      </c>
      <c r="I38" s="21">
        <f>AVERAGE(F36:F38)</f>
        <v>6.3006138651251291</v>
      </c>
      <c r="J38" s="21">
        <f>AVERAGE(G36:G38)</f>
        <v>1.6833572500000001E-2</v>
      </c>
      <c r="L38">
        <f>+J38/I38</f>
        <v>2.6717353039481476E-3</v>
      </c>
      <c r="M38">
        <f>+(L38-$L$927)/$L$928</f>
        <v>-0.16312974879747702</v>
      </c>
      <c r="N38">
        <f>+N35+M38</f>
        <v>-1.160402783912396</v>
      </c>
    </row>
    <row r="39" spans="1:14">
      <c r="A39" s="1">
        <v>11</v>
      </c>
      <c r="B39" s="74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0</v>
      </c>
    </row>
    <row r="40" spans="1:14">
      <c r="A40" s="1">
        <v>12</v>
      </c>
      <c r="B40" s="74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0</v>
      </c>
    </row>
    <row r="41" spans="1:14">
      <c r="A41" s="1">
        <v>13</v>
      </c>
      <c r="B41" s="74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0</v>
      </c>
      <c r="I41" s="21">
        <f>AVERAGE(F39:F41)</f>
        <v>3.9984268788627837</v>
      </c>
      <c r="J41" s="21">
        <f>AVERAGE(G39:G41)</f>
        <v>0</v>
      </c>
      <c r="L41">
        <f>+J41/I41</f>
        <v>0</v>
      </c>
      <c r="M41">
        <f>+(L41-$L$927)/$L$928</f>
        <v>-0.43753089105951098</v>
      </c>
      <c r="N41">
        <f>+N38+M41</f>
        <v>-1.5979336749719071</v>
      </c>
    </row>
    <row r="42" spans="1:14">
      <c r="A42" s="1">
        <v>11</v>
      </c>
      <c r="B42" s="74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0</v>
      </c>
    </row>
    <row r="43" spans="1:14">
      <c r="A43" s="1">
        <v>12</v>
      </c>
      <c r="B43" s="74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1.4805611666666668E-2</v>
      </c>
    </row>
    <row r="44" spans="1:14">
      <c r="A44" s="1">
        <v>13</v>
      </c>
      <c r="B44" s="74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0</v>
      </c>
      <c r="I44" s="21">
        <f>AVERAGE(F42:F44)</f>
        <v>1.1461411668887538</v>
      </c>
      <c r="J44" s="21">
        <f>AVERAGE(G42:G44)</f>
        <v>4.9352038888888896E-3</v>
      </c>
      <c r="L44">
        <f>+J44/I44</f>
        <v>4.305930221741968E-3</v>
      </c>
      <c r="M44">
        <f>+(L44-$L$927)/$L$928</f>
        <v>4.7105875782023354E-3</v>
      </c>
      <c r="N44">
        <f>+N41+M44</f>
        <v>-1.5932230873937048</v>
      </c>
    </row>
    <row r="45" spans="1:14">
      <c r="A45" s="1">
        <v>11</v>
      </c>
      <c r="B45" s="74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6.3601512333333332E-2</v>
      </c>
    </row>
    <row r="46" spans="1:14">
      <c r="A46" s="1">
        <v>12</v>
      </c>
      <c r="B46" s="74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0</v>
      </c>
    </row>
    <row r="47" spans="1:14">
      <c r="A47" s="1">
        <v>13</v>
      </c>
      <c r="B47" s="74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0</v>
      </c>
      <c r="I47" s="21">
        <f>AVERAGE(F45:F47)</f>
        <v>4.2553168118899842</v>
      </c>
      <c r="J47" s="21">
        <f>AVERAGE(G45:G47)</f>
        <v>2.1200504111111112E-2</v>
      </c>
      <c r="L47">
        <f>+J47/I47</f>
        <v>4.9821212023212396E-3</v>
      </c>
      <c r="M47">
        <f>+(L47-$L$927)/$L$928</f>
        <v>7.415892596114193E-2</v>
      </c>
      <c r="N47">
        <f>+N44+M47</f>
        <v>-1.5190641614325628</v>
      </c>
    </row>
    <row r="48" spans="1:14">
      <c r="A48" s="1">
        <v>11</v>
      </c>
      <c r="B48" s="74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2.2087963999999998E-2</v>
      </c>
    </row>
    <row r="49" spans="1:14">
      <c r="A49" s="1">
        <v>12</v>
      </c>
      <c r="B49" s="74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0</v>
      </c>
    </row>
    <row r="50" spans="1:14">
      <c r="A50" s="1">
        <v>13</v>
      </c>
      <c r="B50" s="74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0</v>
      </c>
      <c r="I50" s="21">
        <f>AVERAGE(F48:F50)</f>
        <v>3.1257342077279611</v>
      </c>
      <c r="J50" s="21">
        <f>AVERAGE(G48:G50)</f>
        <v>7.362654666666666E-3</v>
      </c>
      <c r="L50">
        <f>+J50/I50</f>
        <v>2.3554960778378034E-3</v>
      </c>
      <c r="M50">
        <f>+(L50-$L$927)/$L$928</f>
        <v>-0.19560916573092343</v>
      </c>
      <c r="N50">
        <f>+N47+M50</f>
        <v>-1.7146733271634862</v>
      </c>
    </row>
    <row r="51" spans="1:14">
      <c r="A51" s="5">
        <v>11</v>
      </c>
      <c r="B51" s="74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0</v>
      </c>
    </row>
    <row r="52" spans="1:14">
      <c r="A52" s="5">
        <v>12</v>
      </c>
      <c r="B52" s="74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0</v>
      </c>
    </row>
    <row r="53" spans="1:14">
      <c r="A53" s="5">
        <v>13</v>
      </c>
      <c r="B53" s="74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0</v>
      </c>
      <c r="I53" s="21">
        <f>AVERAGE(F51:F53)</f>
        <v>3.1678240591031659</v>
      </c>
      <c r="J53" s="21">
        <f>AVERAGE(G51:G53)</f>
        <v>0</v>
      </c>
      <c r="L53">
        <f>+J53/I53</f>
        <v>0</v>
      </c>
      <c r="M53">
        <f>+(L53-$L$927)/$L$928</f>
        <v>-0.43753089105951098</v>
      </c>
      <c r="N53">
        <f>+N50+M53</f>
        <v>-2.1522042182229972</v>
      </c>
    </row>
    <row r="54" spans="1:14">
      <c r="A54" s="1">
        <v>11</v>
      </c>
      <c r="B54" s="74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0</v>
      </c>
    </row>
    <row r="55" spans="1:14">
      <c r="A55" s="1">
        <v>12</v>
      </c>
      <c r="B55" s="74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0</v>
      </c>
    </row>
    <row r="56" spans="1:14">
      <c r="A56" s="1">
        <v>13</v>
      </c>
      <c r="B56" s="74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0</v>
      </c>
      <c r="I56" s="21">
        <f>AVERAGE(F54:F56)</f>
        <v>3.2428774202097359</v>
      </c>
      <c r="J56" s="21">
        <f>AVERAGE(G54:G56)</f>
        <v>0</v>
      </c>
      <c r="L56">
        <f>+J56/I56</f>
        <v>0</v>
      </c>
      <c r="M56">
        <f>+(L56-$L$927)/$L$928</f>
        <v>-0.43753089105951098</v>
      </c>
      <c r="N56">
        <f>+N53+M56</f>
        <v>-2.5897351092825081</v>
      </c>
    </row>
    <row r="57" spans="1:14">
      <c r="A57" s="1">
        <v>11</v>
      </c>
      <c r="B57" s="74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</v>
      </c>
    </row>
    <row r="58" spans="1:14">
      <c r="A58" s="1">
        <v>12</v>
      </c>
      <c r="B58" s="74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</v>
      </c>
    </row>
    <row r="59" spans="1:14">
      <c r="A59" s="1">
        <v>13</v>
      </c>
      <c r="B59" s="74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0</v>
      </c>
      <c r="I59" s="21">
        <f>AVERAGE(F57:F59)</f>
        <v>1.0415669659472375</v>
      </c>
      <c r="J59" s="21">
        <f>AVERAGE(G57:G59)</f>
        <v>0</v>
      </c>
      <c r="L59">
        <f>+J59/I59</f>
        <v>0</v>
      </c>
      <c r="M59">
        <f>+(L59-$L$927)/$L$928</f>
        <v>-0.43753089105951098</v>
      </c>
      <c r="N59">
        <f>+N56+M59</f>
        <v>-3.0272660003420189</v>
      </c>
    </row>
    <row r="60" spans="1:14">
      <c r="A60" s="1">
        <v>11</v>
      </c>
      <c r="B60" s="74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</v>
      </c>
    </row>
    <row r="61" spans="1:14">
      <c r="A61" s="1">
        <v>12</v>
      </c>
      <c r="B61" s="74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</v>
      </c>
    </row>
    <row r="62" spans="1:14">
      <c r="A62" s="1">
        <v>13</v>
      </c>
      <c r="B62" s="74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</v>
      </c>
      <c r="I62" s="21">
        <f>AVERAGE(F60:F62)</f>
        <v>1.0519999372377684</v>
      </c>
      <c r="J62" s="21">
        <f>AVERAGE(G60:G62)</f>
        <v>0</v>
      </c>
      <c r="L62">
        <f>+J62/I62</f>
        <v>0</v>
      </c>
      <c r="M62">
        <f>+(L62-$L$927)/$L$928</f>
        <v>-0.43753089105951098</v>
      </c>
      <c r="N62">
        <f>+N59+M62</f>
        <v>-3.4647968914015297</v>
      </c>
    </row>
    <row r="63" spans="1:14">
      <c r="A63" s="1">
        <v>11</v>
      </c>
      <c r="B63" s="74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0</v>
      </c>
    </row>
    <row r="64" spans="1:14">
      <c r="A64" s="1">
        <v>12</v>
      </c>
      <c r="B64" s="74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0</v>
      </c>
    </row>
    <row r="65" spans="1:14">
      <c r="A65" s="1">
        <v>13</v>
      </c>
      <c r="B65" s="74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0</v>
      </c>
      <c r="I65" s="21">
        <f>AVERAGE(F63:F65)</f>
        <v>2.0816760914865617</v>
      </c>
      <c r="J65" s="21">
        <f>AVERAGE(G63:G65)</f>
        <v>0</v>
      </c>
      <c r="L65">
        <f>+J65/I65</f>
        <v>0</v>
      </c>
      <c r="M65">
        <f>+(L65-$L$927)/$L$928</f>
        <v>-0.43753089105951098</v>
      </c>
      <c r="N65">
        <f>+N62+M65</f>
        <v>-3.9023277824610405</v>
      </c>
    </row>
    <row r="66" spans="1:14">
      <c r="A66" s="1">
        <v>11</v>
      </c>
      <c r="B66" s="74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6.0692314833333337E-2</v>
      </c>
    </row>
    <row r="67" spans="1:14">
      <c r="A67" s="1">
        <v>12</v>
      </c>
      <c r="B67" s="74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3.8277166000000001E-2</v>
      </c>
    </row>
    <row r="68" spans="1:14">
      <c r="A68" s="1">
        <v>13</v>
      </c>
      <c r="B68" s="74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5.3596356166666664E-2</v>
      </c>
      <c r="I68" s="21">
        <f>AVERAGE(F66:F68)</f>
        <v>6.5725514687452025</v>
      </c>
      <c r="J68" s="21">
        <f>AVERAGE(G66:G68)</f>
        <v>5.0855279000000003E-2</v>
      </c>
      <c r="L68">
        <f>+J68/I68</f>
        <v>7.7375246495725095E-3</v>
      </c>
      <c r="M68">
        <f>+(L68-$L$927)/$L$928</f>
        <v>0.35715322266455835</v>
      </c>
      <c r="N68">
        <f>+N65+M68</f>
        <v>-3.5451745597964823</v>
      </c>
    </row>
    <row r="69" spans="1:14">
      <c r="A69" s="1">
        <v>11</v>
      </c>
      <c r="B69" s="74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1.5954165666666666E-2</v>
      </c>
    </row>
    <row r="70" spans="1:14">
      <c r="A70" s="1">
        <v>12</v>
      </c>
      <c r="B70" s="74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2.7598213666666663E-2</v>
      </c>
    </row>
    <row r="71" spans="1:14">
      <c r="A71" s="1">
        <v>13</v>
      </c>
      <c r="B71" s="74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0</v>
      </c>
      <c r="I71" s="21">
        <f>AVERAGE(F69:F71)</f>
        <v>5.1939496956832594</v>
      </c>
      <c r="J71" s="21">
        <f>AVERAGE(G69:G71)</f>
        <v>1.4517459777777776E-2</v>
      </c>
      <c r="L71">
        <f>+J71/I71</f>
        <v>2.7950713095745562E-3</v>
      </c>
      <c r="M71">
        <f>+(L71-$L$927)/$L$928</f>
        <v>-0.15046249812488569</v>
      </c>
      <c r="N71">
        <f>+N68+M71</f>
        <v>-3.6956370579213682</v>
      </c>
    </row>
    <row r="72" spans="1:14">
      <c r="A72" s="1">
        <v>11</v>
      </c>
      <c r="B72" s="74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1.9176322999999999E-2</v>
      </c>
    </row>
    <row r="73" spans="1:14">
      <c r="A73" s="1">
        <v>12</v>
      </c>
      <c r="B73" s="74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2.0248139000000002E-2</v>
      </c>
    </row>
    <row r="74" spans="1:14">
      <c r="A74" s="1">
        <v>13</v>
      </c>
      <c r="B74" s="74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0</v>
      </c>
      <c r="I74" s="21">
        <f>AVERAGE(F72:F74)</f>
        <v>5.904270321687398</v>
      </c>
      <c r="J74" s="21">
        <f>AVERAGE(G72:G74)</f>
        <v>1.3141487333333333E-2</v>
      </c>
      <c r="L74">
        <f>+J74/I74</f>
        <v>2.2257597666323638E-3</v>
      </c>
      <c r="M74">
        <f>+(L74-$L$927)/$L$928</f>
        <v>-0.20893376114837661</v>
      </c>
      <c r="N74">
        <f>+N71+M74</f>
        <v>-3.904570819069745</v>
      </c>
    </row>
    <row r="75" spans="1:14">
      <c r="A75" s="1">
        <v>11</v>
      </c>
      <c r="B75" s="74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12">
        <v>0</v>
      </c>
    </row>
    <row r="76" spans="1:14">
      <c r="A76" s="1">
        <v>12</v>
      </c>
      <c r="B76" s="74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12">
        <v>0</v>
      </c>
    </row>
    <row r="77" spans="1:14">
      <c r="A77" s="1">
        <v>13</v>
      </c>
      <c r="B77" s="74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12">
        <v>0</v>
      </c>
      <c r="I77" s="21">
        <f>AVERAGE(F75:F77)</f>
        <v>2.5662165226420637</v>
      </c>
      <c r="J77" s="21">
        <f>AVERAGE(G75:G77)</f>
        <v>0</v>
      </c>
      <c r="L77">
        <f>+J77/I77</f>
        <v>0</v>
      </c>
      <c r="M77">
        <f>+(L77-$L$927)/$L$928</f>
        <v>-0.43753089105951098</v>
      </c>
      <c r="N77">
        <f>+N74+M77</f>
        <v>-4.3421017101292563</v>
      </c>
    </row>
    <row r="78" spans="1:14">
      <c r="A78" s="1">
        <v>11</v>
      </c>
      <c r="B78" s="74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12">
        <v>1.5633345651921628E-2</v>
      </c>
    </row>
    <row r="79" spans="1:14">
      <c r="A79" s="1">
        <v>12</v>
      </c>
      <c r="B79" s="74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12">
        <v>0</v>
      </c>
    </row>
    <row r="80" spans="1:14">
      <c r="A80" s="1">
        <v>13</v>
      </c>
      <c r="B80" s="74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12">
        <v>0</v>
      </c>
      <c r="I80" s="21">
        <f>AVERAGE(F78:F80)</f>
        <v>2.3465076796477864</v>
      </c>
      <c r="J80" s="21">
        <f>AVERAGE(G78:G80)</f>
        <v>5.2111152173072092E-3</v>
      </c>
      <c r="L80">
        <f>+J80/I80</f>
        <v>2.2207961484657932E-3</v>
      </c>
      <c r="M80">
        <f>+(L80-$L$927)/$L$928</f>
        <v>-0.20944355060717773</v>
      </c>
      <c r="N80">
        <f>+N77+M80</f>
        <v>-4.5515452607364342</v>
      </c>
    </row>
    <row r="81" spans="1:14">
      <c r="A81" s="1">
        <v>11</v>
      </c>
      <c r="B81" s="74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12">
        <v>0.12744717450832838</v>
      </c>
    </row>
    <row r="82" spans="1:14">
      <c r="A82" s="1">
        <v>12</v>
      </c>
      <c r="B82" s="74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12">
        <v>2.8387595358926612E-2</v>
      </c>
    </row>
    <row r="83" spans="1:14">
      <c r="A83" s="1">
        <v>13</v>
      </c>
      <c r="B83" s="74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12">
        <v>0.12793014017879878</v>
      </c>
      <c r="I83" s="21">
        <f>AVERAGE(F81:F83)</f>
        <v>3.6882212667442942</v>
      </c>
      <c r="J83" s="21">
        <f>AVERAGE(G81:G83)</f>
        <v>9.458830334868458E-2</v>
      </c>
      <c r="L83">
        <f>+J83/I83</f>
        <v>2.5646049005129394E-2</v>
      </c>
      <c r="M83">
        <f>+(L83-$L$927)/$L$928</f>
        <v>2.1964520230099525</v>
      </c>
      <c r="N83">
        <f>+N80+M83</f>
        <v>-2.3550932377264817</v>
      </c>
    </row>
    <row r="84" spans="1:14">
      <c r="A84" s="1">
        <v>11</v>
      </c>
      <c r="B84" s="74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12">
        <v>4.0012212780907976E-2</v>
      </c>
    </row>
    <row r="85" spans="1:14">
      <c r="A85" s="1">
        <v>12</v>
      </c>
      <c r="B85" s="74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12">
        <v>1.920073739531605E-2</v>
      </c>
    </row>
    <row r="86" spans="1:14">
      <c r="A86" s="1">
        <v>13</v>
      </c>
      <c r="B86" s="74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12">
        <v>1.8448080229036889E-2</v>
      </c>
      <c r="I86" s="21">
        <f>AVERAGE(F84:F86)</f>
        <v>4.1539263973359724</v>
      </c>
      <c r="J86" s="21">
        <f>AVERAGE(G84:G86)</f>
        <v>2.5887010135086971E-2</v>
      </c>
      <c r="L86">
        <f>+J86/I86</f>
        <v>6.2319376076786113E-3</v>
      </c>
      <c r="M86">
        <f>+(L86-$L$927)/$L$928</f>
        <v>0.20252158551843316</v>
      </c>
      <c r="N86">
        <f>+N83+M86</f>
        <v>-2.1525716522080485</v>
      </c>
    </row>
    <row r="87" spans="1:14">
      <c r="A87" s="1">
        <v>11</v>
      </c>
      <c r="B87" s="74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12">
        <v>2.9611332725921664E-2</v>
      </c>
    </row>
    <row r="88" spans="1:14">
      <c r="A88" s="1">
        <v>12</v>
      </c>
      <c r="B88" s="74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12">
        <v>1.01412986230793E-2</v>
      </c>
    </row>
    <row r="89" spans="1:14">
      <c r="A89" s="1">
        <v>13</v>
      </c>
      <c r="B89" s="74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12">
        <v>1.0468099733325567E-2</v>
      </c>
      <c r="I89" s="21">
        <f>AVERAGE(F87:F89)</f>
        <v>2.8247363168547728</v>
      </c>
      <c r="J89" s="21">
        <f>AVERAGE(G87:G89)</f>
        <v>1.6740243694108845E-2</v>
      </c>
      <c r="L89">
        <f>+J89/I89</f>
        <v>5.9263031364104159E-3</v>
      </c>
      <c r="M89">
        <f>+(L89-$L$927)/$L$928</f>
        <v>0.1711313321850613</v>
      </c>
      <c r="N89">
        <f>+N86+M89</f>
        <v>-1.9814403200229871</v>
      </c>
    </row>
    <row r="90" spans="1:14">
      <c r="A90" s="1">
        <v>11</v>
      </c>
      <c r="B90" s="70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12">
        <v>4.4272253462644955E-2</v>
      </c>
    </row>
    <row r="91" spans="1:14">
      <c r="A91" s="1">
        <v>12</v>
      </c>
      <c r="B91" s="70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12">
        <v>2.2462544403207881E-2</v>
      </c>
    </row>
    <row r="92" spans="1:14">
      <c r="A92" s="1">
        <v>13</v>
      </c>
      <c r="B92" s="70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12">
        <v>8.5967295313819428E-3</v>
      </c>
      <c r="I92" s="21">
        <f>AVERAGE(F90:F92)</f>
        <v>2.5546582578791779</v>
      </c>
      <c r="J92" s="21">
        <f>AVERAGE(G90:G92)</f>
        <v>2.5110509132411595E-2</v>
      </c>
      <c r="L92">
        <f>+J92/I92</f>
        <v>9.8293026297998059E-3</v>
      </c>
      <c r="M92">
        <f>+(L92-$L$927)/$L$928</f>
        <v>0.57198972472549758</v>
      </c>
      <c r="N92">
        <f>+N89+M92</f>
        <v>-1.4094505952974896</v>
      </c>
    </row>
    <row r="93" spans="1:14">
      <c r="A93" s="1">
        <v>11</v>
      </c>
      <c r="B93" s="70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12">
        <v>0</v>
      </c>
    </row>
    <row r="94" spans="1:14">
      <c r="A94" s="1">
        <v>12</v>
      </c>
      <c r="B94" s="70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12">
        <v>0</v>
      </c>
    </row>
    <row r="95" spans="1:14">
      <c r="A95" s="1">
        <v>13</v>
      </c>
      <c r="B95" s="70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0</v>
      </c>
      <c r="I95" s="21">
        <f>AVERAGE(F93:F95)</f>
        <v>2.1749932778823258</v>
      </c>
      <c r="J95" s="21">
        <f>AVERAGE(G93:G95)</f>
        <v>0</v>
      </c>
      <c r="L95">
        <f>+J95/I95</f>
        <v>0</v>
      </c>
      <c r="M95">
        <f>+(L95-$L$927)/$L$928</f>
        <v>-0.43753089105951098</v>
      </c>
      <c r="N95">
        <f>+N92+M95</f>
        <v>-1.8469814863570007</v>
      </c>
    </row>
    <row r="96" spans="1:14">
      <c r="A96" s="1">
        <v>11</v>
      </c>
      <c r="B96" s="70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6">
        <v>0</v>
      </c>
    </row>
    <row r="97" spans="1:12">
      <c r="A97" s="1">
        <v>12</v>
      </c>
      <c r="B97" s="70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6">
        <v>0</v>
      </c>
    </row>
    <row r="98" spans="1:12">
      <c r="A98" s="1">
        <v>13</v>
      </c>
      <c r="B98" s="70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6">
        <v>0</v>
      </c>
      <c r="I98" s="21">
        <f>AVERAGE(F96:F98)</f>
        <v>3.4494796312748774</v>
      </c>
      <c r="J98" s="21">
        <f>AVERAGE(G96:G98)</f>
        <v>0</v>
      </c>
      <c r="L98">
        <f>+J98/I98</f>
        <v>0</v>
      </c>
    </row>
    <row r="99" spans="1:12">
      <c r="A99" s="1">
        <v>11</v>
      </c>
      <c r="B99" s="70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6">
        <v>6.6396537304238556E-2</v>
      </c>
    </row>
    <row r="100" spans="1:12">
      <c r="A100" s="1">
        <v>12</v>
      </c>
      <c r="B100" s="70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6">
        <v>6.1979478963799364E-2</v>
      </c>
    </row>
    <row r="101" spans="1:12">
      <c r="A101" s="1">
        <v>13</v>
      </c>
      <c r="B101" s="70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6">
        <v>6.8415155217588564E-2</v>
      </c>
      <c r="I101" s="21">
        <f>AVERAGE(F99:F101)</f>
        <v>6.4463063558178026</v>
      </c>
      <c r="J101" s="21">
        <f>AVERAGE(G99:G101)</f>
        <v>6.5597057161875486E-2</v>
      </c>
      <c r="L101">
        <f>+J101/I101</f>
        <v>1.0175913700203532E-2</v>
      </c>
    </row>
    <row r="102" spans="1:12">
      <c r="A102" s="1">
        <v>11</v>
      </c>
      <c r="B102" s="70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6">
        <v>2.6123136294288644E-2</v>
      </c>
    </row>
    <row r="103" spans="1:12">
      <c r="A103" s="1">
        <v>12</v>
      </c>
      <c r="B103" s="70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6">
        <v>0</v>
      </c>
    </row>
    <row r="104" spans="1:12">
      <c r="A104" s="1">
        <v>13</v>
      </c>
      <c r="B104" s="70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6">
        <v>0</v>
      </c>
      <c r="I104" s="21">
        <f>AVERAGE(F102:F104)</f>
        <v>7.2469507265443438</v>
      </c>
      <c r="J104" s="21">
        <f>AVERAGE(G102:G104)</f>
        <v>8.7077120980962146E-3</v>
      </c>
      <c r="L104">
        <f>+J104/I104</f>
        <v>1.2015691049480095E-3</v>
      </c>
    </row>
    <row r="105" spans="1:12">
      <c r="A105" s="1">
        <v>11</v>
      </c>
      <c r="B105" s="70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6">
        <v>2.4440125564759305E-2</v>
      </c>
    </row>
    <row r="106" spans="1:12">
      <c r="A106" s="1">
        <v>12</v>
      </c>
      <c r="B106" s="70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6">
        <v>0</v>
      </c>
    </row>
    <row r="107" spans="1:12">
      <c r="A107" s="1">
        <v>13</v>
      </c>
      <c r="B107" s="70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6">
        <v>0</v>
      </c>
      <c r="I107" s="21">
        <f>AVERAGE(F105:F107)</f>
        <v>7.8241637346353476</v>
      </c>
      <c r="J107" s="21">
        <f>AVERAGE(G105:G107)</f>
        <v>8.1467085215864345E-3</v>
      </c>
      <c r="L107">
        <f>+J107/I107</f>
        <v>1.0412241867489649E-3</v>
      </c>
    </row>
    <row r="108" spans="1:12">
      <c r="A108" s="1">
        <v>11</v>
      </c>
      <c r="B108" s="70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6">
        <v>0</v>
      </c>
    </row>
    <row r="109" spans="1:12">
      <c r="A109" s="1">
        <v>12</v>
      </c>
      <c r="B109" s="70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6">
        <v>9.3248677408630451E-3</v>
      </c>
    </row>
    <row r="110" spans="1:12">
      <c r="A110" s="1">
        <v>13</v>
      </c>
      <c r="B110" s="70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6">
        <v>0</v>
      </c>
      <c r="I110" s="21">
        <f>AVERAGE(F108:F110)</f>
        <v>5.3863247610326406</v>
      </c>
      <c r="J110" s="21">
        <f>AVERAGE(G108:G110)</f>
        <v>3.1082892469543482E-3</v>
      </c>
      <c r="L110">
        <f>+J110/I110</f>
        <v>5.7707052301065524E-4</v>
      </c>
    </row>
    <row r="111" spans="1:12">
      <c r="A111" s="1">
        <v>11</v>
      </c>
      <c r="B111" s="70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0</v>
      </c>
    </row>
    <row r="112" spans="1:12">
      <c r="A112" s="1">
        <v>12</v>
      </c>
      <c r="B112" s="70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0</v>
      </c>
    </row>
    <row r="113" spans="1:14">
      <c r="A113" s="1">
        <v>13</v>
      </c>
      <c r="B113" s="70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0</v>
      </c>
      <c r="I113" s="21">
        <f>AVERAGE(F111:F113)</f>
        <v>3.522187213638885</v>
      </c>
      <c r="J113" s="21">
        <f>AVERAGE(G111:G113)</f>
        <v>0</v>
      </c>
      <c r="L113">
        <f>+J113/I113</f>
        <v>0</v>
      </c>
      <c r="M113">
        <f>+(L113-$L$927)/$L$928</f>
        <v>-0.43753089105951098</v>
      </c>
      <c r="N113">
        <f>+N95+M113</f>
        <v>-2.2845123774165117</v>
      </c>
    </row>
    <row r="114" spans="1:14">
      <c r="A114" s="1">
        <v>11</v>
      </c>
      <c r="B114" s="70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0</v>
      </c>
    </row>
    <row r="115" spans="1:14">
      <c r="A115" s="1">
        <v>12</v>
      </c>
      <c r="B115" s="70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0</v>
      </c>
    </row>
    <row r="116" spans="1:14">
      <c r="A116" s="1">
        <v>13</v>
      </c>
      <c r="B116" s="70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0</v>
      </c>
      <c r="I116" s="21">
        <f>AVERAGE(F114:F116)</f>
        <v>1.6391637974175726</v>
      </c>
      <c r="J116" s="21">
        <f>AVERAGE(G114:G116)</f>
        <v>0</v>
      </c>
      <c r="L116">
        <f>+J116/I116</f>
        <v>0</v>
      </c>
      <c r="M116">
        <f>+(L116-$L$927)/$L$928</f>
        <v>-0.43753089105951098</v>
      </c>
      <c r="N116">
        <f>+N113+M116</f>
        <v>-2.7220432684760225</v>
      </c>
    </row>
    <row r="117" spans="1:14">
      <c r="A117" s="1">
        <v>11</v>
      </c>
      <c r="B117" s="70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0</v>
      </c>
    </row>
    <row r="118" spans="1:14">
      <c r="A118" s="1">
        <v>12</v>
      </c>
      <c r="B118" s="70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0</v>
      </c>
    </row>
    <row r="119" spans="1:14">
      <c r="A119" s="1">
        <v>13</v>
      </c>
      <c r="B119" s="70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0</v>
      </c>
      <c r="I119" s="21">
        <f>AVERAGE(F117:F119)</f>
        <v>2.6098651465827802</v>
      </c>
      <c r="J119" s="21">
        <f>AVERAGE(G117:G119)</f>
        <v>0</v>
      </c>
      <c r="L119">
        <f>+J119/I119</f>
        <v>0</v>
      </c>
      <c r="M119">
        <f>+(L119-$L$927)/$L$928</f>
        <v>-0.43753089105951098</v>
      </c>
      <c r="N119">
        <f>+N116+M119</f>
        <v>-3.1595741595355333</v>
      </c>
    </row>
    <row r="120" spans="1:14">
      <c r="A120" s="1">
        <v>11</v>
      </c>
      <c r="B120" s="70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0</v>
      </c>
    </row>
    <row r="121" spans="1:14">
      <c r="A121" s="1">
        <v>12</v>
      </c>
      <c r="B121" s="70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0</v>
      </c>
    </row>
    <row r="122" spans="1:14">
      <c r="A122" s="1">
        <v>13</v>
      </c>
      <c r="B122" s="70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0</v>
      </c>
      <c r="I122" s="21">
        <f>AVERAGE(F120:F122)</f>
        <v>4.4444379299631862</v>
      </c>
      <c r="J122" s="21">
        <f>AVERAGE(G120:G122)</f>
        <v>0</v>
      </c>
      <c r="L122">
        <f>+J122/I122</f>
        <v>0</v>
      </c>
      <c r="M122">
        <f>+(L122-$L$927)/$L$928</f>
        <v>-0.43753089105951098</v>
      </c>
      <c r="N122">
        <f>+N119+M122</f>
        <v>-3.5971050505950442</v>
      </c>
    </row>
    <row r="123" spans="1:14">
      <c r="A123" s="1">
        <v>11</v>
      </c>
      <c r="B123" s="70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0</v>
      </c>
    </row>
    <row r="124" spans="1:14">
      <c r="A124" s="1">
        <v>12</v>
      </c>
      <c r="B124" s="70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0</v>
      </c>
    </row>
    <row r="125" spans="1:14">
      <c r="A125" s="1">
        <v>13</v>
      </c>
      <c r="B125" s="70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0</v>
      </c>
      <c r="I125" s="21">
        <f>AVERAGE(F123:F125)</f>
        <v>3.8453174849234446</v>
      </c>
      <c r="J125" s="21">
        <f>AVERAGE(G123:G125)</f>
        <v>0</v>
      </c>
      <c r="L125">
        <f>+J125/I125</f>
        <v>0</v>
      </c>
      <c r="M125">
        <f>+(L125-$L$927)/$L$928</f>
        <v>-0.43753089105951098</v>
      </c>
      <c r="N125">
        <f>+N122+M125</f>
        <v>-4.034635941654555</v>
      </c>
    </row>
    <row r="126" spans="1:14">
      <c r="A126" s="1">
        <v>11</v>
      </c>
      <c r="B126" s="70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2.2807955042198055E-2</v>
      </c>
    </row>
    <row r="127" spans="1:14">
      <c r="A127" s="1">
        <v>12</v>
      </c>
      <c r="B127" s="70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0</v>
      </c>
    </row>
    <row r="128" spans="1:14">
      <c r="A128" s="1">
        <v>13</v>
      </c>
      <c r="B128" s="70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0</v>
      </c>
      <c r="I128" s="21">
        <f>AVERAGE(F126:F128)</f>
        <v>5.6311639857649434</v>
      </c>
      <c r="J128" s="21">
        <f>AVERAGE(G126:G128)</f>
        <v>7.6026516807326848E-3</v>
      </c>
      <c r="L128">
        <f>+J128/I128</f>
        <v>1.350103051509684E-3</v>
      </c>
      <c r="M128">
        <f>+(L128-$L$927)/$L$928</f>
        <v>-0.29886827019349388</v>
      </c>
      <c r="N128">
        <f>+N125+M128</f>
        <v>-4.3335042118480489</v>
      </c>
    </row>
    <row r="129" spans="1:14">
      <c r="A129" s="1">
        <v>11</v>
      </c>
      <c r="B129" s="70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0</v>
      </c>
    </row>
    <row r="130" spans="1:14">
      <c r="A130" s="1">
        <v>12</v>
      </c>
      <c r="B130" s="70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0</v>
      </c>
    </row>
    <row r="131" spans="1:14">
      <c r="A131" s="1">
        <v>13</v>
      </c>
      <c r="B131" s="70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0</v>
      </c>
      <c r="I131" s="21">
        <f>AVERAGE(F129:F131)</f>
        <v>9.9240777034895604</v>
      </c>
      <c r="J131" s="21">
        <f>AVERAGE(G129:G131)</f>
        <v>0</v>
      </c>
      <c r="L131">
        <f>+J131/I131</f>
        <v>0</v>
      </c>
      <c r="M131">
        <f>+(L131-$L$927)/$L$928</f>
        <v>-0.43753089105951098</v>
      </c>
      <c r="N131">
        <f>+N128+M131</f>
        <v>-4.7710351029075602</v>
      </c>
    </row>
    <row r="132" spans="1:14">
      <c r="A132" s="1">
        <v>11</v>
      </c>
      <c r="B132" s="70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0</v>
      </c>
    </row>
    <row r="133" spans="1:14">
      <c r="A133" s="1">
        <v>12</v>
      </c>
      <c r="B133" s="70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0</v>
      </c>
    </row>
    <row r="134" spans="1:14">
      <c r="A134" s="1">
        <v>13</v>
      </c>
      <c r="B134" s="70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0</v>
      </c>
      <c r="I134" s="21">
        <f>AVERAGE(F132:F134)</f>
        <v>3.899478827564264</v>
      </c>
      <c r="J134" s="21">
        <f>AVERAGE(G132:G134)</f>
        <v>0</v>
      </c>
      <c r="L134">
        <f>+J134/I134</f>
        <v>0</v>
      </c>
      <c r="M134">
        <f>+(L134-$L$927)/$L$928</f>
        <v>-0.43753089105951098</v>
      </c>
      <c r="N134">
        <f>+N131+M134</f>
        <v>-5.2085659939670714</v>
      </c>
    </row>
    <row r="135" spans="1:14">
      <c r="A135" s="1">
        <v>11</v>
      </c>
      <c r="B135" s="70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6.1029871841645059E-2</v>
      </c>
    </row>
    <row r="136" spans="1:14">
      <c r="A136" s="1">
        <v>12</v>
      </c>
      <c r="B136" s="70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0</v>
      </c>
    </row>
    <row r="137" spans="1:14">
      <c r="A137" s="1">
        <v>13</v>
      </c>
      <c r="B137" s="70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0</v>
      </c>
      <c r="I137" s="21">
        <f>AVERAGE(F135:F137)</f>
        <v>3.2011788828747592</v>
      </c>
      <c r="J137" s="21">
        <f>AVERAGE(G135:G137)</f>
        <v>2.0343290613881685E-2</v>
      </c>
      <c r="L137">
        <f>+J137/I137</f>
        <v>6.3549371522820903E-3</v>
      </c>
      <c r="M137">
        <f>+(L137-$L$927)/$L$928</f>
        <v>0.21515427989015062</v>
      </c>
      <c r="N137">
        <f>+N134+M137</f>
        <v>-4.9934117140769212</v>
      </c>
    </row>
    <row r="138" spans="1:14">
      <c r="A138" s="1">
        <v>11</v>
      </c>
      <c r="B138" s="70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4.8255559293576916E-2</v>
      </c>
    </row>
    <row r="139" spans="1:14">
      <c r="A139" s="1">
        <v>12</v>
      </c>
      <c r="B139" s="70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0</v>
      </c>
    </row>
    <row r="140" spans="1:14">
      <c r="A140" s="1">
        <v>13</v>
      </c>
      <c r="B140" s="70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4.9092442272546312E-2</v>
      </c>
      <c r="I140" s="21">
        <f>AVERAGE(F138:F140)</f>
        <v>6.3806909515822534</v>
      </c>
      <c r="J140" s="21">
        <f>AVERAGE(G138:G140)</f>
        <v>3.2449333855374407E-2</v>
      </c>
      <c r="L140">
        <f>+J140/I140</f>
        <v>5.0855517218441329E-3</v>
      </c>
      <c r="M140">
        <f>+(L140-$L$927)/$L$928</f>
        <v>8.478177945261503E-2</v>
      </c>
      <c r="N140">
        <f>+N137+M140</f>
        <v>-4.9086299346243063</v>
      </c>
    </row>
    <row r="141" spans="1:14">
      <c r="A141" s="1">
        <v>11</v>
      </c>
      <c r="B141" s="70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0</v>
      </c>
    </row>
    <row r="142" spans="1:14">
      <c r="A142" s="1">
        <v>12</v>
      </c>
      <c r="B142" s="70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0</v>
      </c>
    </row>
    <row r="143" spans="1:14">
      <c r="A143" s="1">
        <v>13</v>
      </c>
      <c r="B143" s="70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0</v>
      </c>
      <c r="I143" s="21">
        <f>AVERAGE(F141:F143)</f>
        <v>6.3236060605238791</v>
      </c>
      <c r="J143" s="21">
        <f>AVERAGE(G141:G143)</f>
        <v>0</v>
      </c>
      <c r="L143">
        <f>+J143/I143</f>
        <v>0</v>
      </c>
      <c r="M143">
        <f>+(L143-$L$927)/$L$928</f>
        <v>-0.43753089105951098</v>
      </c>
      <c r="N143">
        <f>+N140+M143</f>
        <v>-5.3461608256838176</v>
      </c>
    </row>
    <row r="144" spans="1:14">
      <c r="A144" s="1">
        <v>11</v>
      </c>
      <c r="B144" s="70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0</v>
      </c>
    </row>
    <row r="145" spans="1:14">
      <c r="A145" s="1">
        <v>12</v>
      </c>
      <c r="B145" s="70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0</v>
      </c>
    </row>
    <row r="146" spans="1:14">
      <c r="A146" s="1">
        <v>13</v>
      </c>
      <c r="B146" s="70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0</v>
      </c>
      <c r="I146" s="21">
        <f>AVERAGE(F144:F146)</f>
        <v>6.8328743028596763</v>
      </c>
      <c r="J146" s="21">
        <f>AVERAGE(G144:G146)</f>
        <v>0</v>
      </c>
      <c r="L146">
        <f>+J146/I146</f>
        <v>0</v>
      </c>
      <c r="M146">
        <f>+(L146-$L$927)/$L$928</f>
        <v>-0.43753089105951098</v>
      </c>
      <c r="N146">
        <f>+N143+M146</f>
        <v>-5.7836917167433288</v>
      </c>
    </row>
    <row r="147" spans="1:14">
      <c r="A147" s="1">
        <v>11</v>
      </c>
      <c r="B147" s="70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0</v>
      </c>
    </row>
    <row r="148" spans="1:14">
      <c r="A148" s="1">
        <v>12</v>
      </c>
      <c r="B148" s="70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0</v>
      </c>
    </row>
    <row r="149" spans="1:14">
      <c r="A149" s="1">
        <v>13</v>
      </c>
      <c r="B149" s="70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0</v>
      </c>
      <c r="I149" s="21">
        <f>AVERAGE(F147:F149)</f>
        <v>3.5559999999999996</v>
      </c>
      <c r="J149" s="21">
        <f>AVERAGE(G147:G149)</f>
        <v>0</v>
      </c>
      <c r="L149">
        <f>+J149/I149</f>
        <v>0</v>
      </c>
      <c r="M149">
        <f>+(L149-$L$927)/$L$928</f>
        <v>-0.43753089105951098</v>
      </c>
      <c r="N149">
        <f>+N146+M149</f>
        <v>-6.2212226078028401</v>
      </c>
    </row>
    <row r="150" spans="1:14">
      <c r="A150" s="1">
        <v>11</v>
      </c>
      <c r="B150" s="70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0</v>
      </c>
    </row>
    <row r="151" spans="1:14">
      <c r="A151" s="1">
        <v>12</v>
      </c>
      <c r="B151" s="70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0</v>
      </c>
    </row>
    <row r="152" spans="1:14">
      <c r="A152" s="1">
        <v>13</v>
      </c>
      <c r="B152" s="70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0</v>
      </c>
      <c r="I152" s="21">
        <f>AVERAGE(F150:F152)</f>
        <v>4.5434666666666672</v>
      </c>
      <c r="J152" s="21">
        <f>AVERAGE(G150:G152)</f>
        <v>0</v>
      </c>
      <c r="L152">
        <f>+J152/I152</f>
        <v>0</v>
      </c>
      <c r="M152">
        <f>+(L152-$L$927)/$L$928</f>
        <v>-0.43753089105951098</v>
      </c>
      <c r="N152">
        <f>+N149+M152</f>
        <v>-6.6587534988623513</v>
      </c>
    </row>
    <row r="153" spans="1:14">
      <c r="A153" s="1">
        <v>11</v>
      </c>
      <c r="B153" s="70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0</v>
      </c>
    </row>
    <row r="154" spans="1:14">
      <c r="A154" s="1">
        <v>12</v>
      </c>
      <c r="B154" s="70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0</v>
      </c>
    </row>
    <row r="155" spans="1:14">
      <c r="A155" s="1">
        <v>13</v>
      </c>
      <c r="B155" s="70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0</v>
      </c>
      <c r="I155" s="21">
        <f>AVERAGE(F153:F155)</f>
        <v>4.2573333333333325</v>
      </c>
      <c r="J155" s="21">
        <f>AVERAGE(G153:G155)</f>
        <v>0</v>
      </c>
      <c r="L155">
        <f>+J155/I155</f>
        <v>0</v>
      </c>
      <c r="M155">
        <f>+(L155-$L$927)/$L$928</f>
        <v>-0.43753089105951098</v>
      </c>
      <c r="N155">
        <f>+N152+M155</f>
        <v>-7.0962843899218626</v>
      </c>
    </row>
    <row r="156" spans="1:14">
      <c r="A156" s="1">
        <v>11</v>
      </c>
      <c r="B156" s="70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0</v>
      </c>
    </row>
    <row r="157" spans="1:14">
      <c r="A157" s="1">
        <v>12</v>
      </c>
      <c r="B157" s="70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0</v>
      </c>
    </row>
    <row r="158" spans="1:14">
      <c r="A158" s="1">
        <v>13</v>
      </c>
      <c r="B158" s="70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0</v>
      </c>
      <c r="I158" s="21">
        <f>AVERAGE(F156:F158)</f>
        <v>9.587133333333334</v>
      </c>
      <c r="J158" s="21">
        <f>AVERAGE(G156:G158)</f>
        <v>0</v>
      </c>
      <c r="L158">
        <f>+J158/I158</f>
        <v>0</v>
      </c>
      <c r="M158">
        <f>+(L158-$L$927)/$L$928</f>
        <v>-0.43753089105951098</v>
      </c>
      <c r="N158">
        <f>+N155+M158</f>
        <v>-7.5338152809813739</v>
      </c>
    </row>
    <row r="159" spans="1:14">
      <c r="A159" s="1">
        <v>11</v>
      </c>
      <c r="B159" s="70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0</v>
      </c>
    </row>
    <row r="160" spans="1:14">
      <c r="A160" s="1">
        <v>12</v>
      </c>
      <c r="B160" s="70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0</v>
      </c>
    </row>
    <row r="161" spans="1:14">
      <c r="A161" s="1">
        <v>13</v>
      </c>
      <c r="B161" s="70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0</v>
      </c>
      <c r="I161" s="21">
        <f>AVERAGE(F159:F161)</f>
        <v>8.7356999999999996</v>
      </c>
      <c r="J161" s="21">
        <f>AVERAGE(G159:G161)</f>
        <v>0</v>
      </c>
      <c r="L161">
        <f>+J161/I161</f>
        <v>0</v>
      </c>
      <c r="M161">
        <f>+(L161-$L$927)/$L$928</f>
        <v>-0.43753089105951098</v>
      </c>
      <c r="N161">
        <f>+N158+M161</f>
        <v>-7.9713461720408851</v>
      </c>
    </row>
    <row r="162" spans="1:14">
      <c r="A162" s="1">
        <v>11</v>
      </c>
      <c r="B162" s="70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0</v>
      </c>
    </row>
    <row r="163" spans="1:14">
      <c r="A163" s="1">
        <v>12</v>
      </c>
      <c r="B163" s="70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0</v>
      </c>
    </row>
    <row r="164" spans="1:14">
      <c r="A164" s="1">
        <v>13</v>
      </c>
      <c r="B164" s="70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0</v>
      </c>
      <c r="I164" s="21">
        <f>AVERAGE(F162:F164)</f>
        <v>6.6494666666666662</v>
      </c>
      <c r="J164" s="21">
        <f>AVERAGE(G162:G164)</f>
        <v>0</v>
      </c>
      <c r="L164">
        <f>+J164/I164</f>
        <v>0</v>
      </c>
      <c r="M164">
        <f>+(L164-$L$927)/$L$928</f>
        <v>-0.43753089105951098</v>
      </c>
      <c r="N164">
        <f>+N161+M164</f>
        <v>-8.4088770631003964</v>
      </c>
    </row>
    <row r="165" spans="1:14">
      <c r="A165" s="1">
        <v>11</v>
      </c>
      <c r="B165" s="70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0</v>
      </c>
    </row>
    <row r="166" spans="1:14">
      <c r="A166" s="1">
        <v>12</v>
      </c>
      <c r="B166" s="70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0</v>
      </c>
    </row>
    <row r="167" spans="1:14">
      <c r="A167" s="1">
        <v>13</v>
      </c>
      <c r="B167" s="70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2.2832210548346471E-2</v>
      </c>
      <c r="I167" s="21">
        <f>AVERAGE(F165:F167)</f>
        <v>2.5074999999999998</v>
      </c>
      <c r="J167" s="21">
        <f>AVERAGE(G165:G167)</f>
        <v>7.6107368494488237E-3</v>
      </c>
      <c r="L167">
        <f>+J167/I167</f>
        <v>3.0351891722627416E-3</v>
      </c>
      <c r="M167">
        <f>+(L167-$L$927)/$L$928</f>
        <v>-0.1258011420010999</v>
      </c>
      <c r="N167">
        <f>+N164+M167</f>
        <v>-8.5346782051014962</v>
      </c>
    </row>
    <row r="168" spans="1:14">
      <c r="A168" s="1">
        <v>11</v>
      </c>
      <c r="B168" s="70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0</v>
      </c>
    </row>
    <row r="169" spans="1:14">
      <c r="A169" s="1">
        <v>12</v>
      </c>
      <c r="B169" s="70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0</v>
      </c>
    </row>
    <row r="170" spans="1:14">
      <c r="A170" s="1">
        <v>13</v>
      </c>
      <c r="B170" s="70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0</v>
      </c>
      <c r="I170" s="21">
        <f>AVERAGE(F168:F170)</f>
        <v>3.6103999999999998</v>
      </c>
      <c r="J170" s="21">
        <f>AVERAGE(G168:G170)</f>
        <v>0</v>
      </c>
      <c r="L170">
        <f>+J170/I170</f>
        <v>0</v>
      </c>
      <c r="M170">
        <f>+(L170-$L$927)/$L$928</f>
        <v>-0.43753089105951098</v>
      </c>
      <c r="N170">
        <f>+N167+M170</f>
        <v>-8.9722090961610075</v>
      </c>
    </row>
    <row r="171" spans="1:14">
      <c r="A171" s="1">
        <v>11</v>
      </c>
      <c r="B171" s="70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0</v>
      </c>
    </row>
    <row r="172" spans="1:14">
      <c r="A172" s="1">
        <v>12</v>
      </c>
      <c r="B172" s="70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0</v>
      </c>
    </row>
    <row r="173" spans="1:14">
      <c r="A173" s="1">
        <v>13</v>
      </c>
      <c r="B173" s="70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0</v>
      </c>
      <c r="I173" s="21">
        <f>AVERAGE(F171:F173)</f>
        <v>8.4931999999999999</v>
      </c>
      <c r="J173" s="21">
        <f>AVERAGE(G171:G173)</f>
        <v>0</v>
      </c>
      <c r="L173">
        <f>+J173/I173</f>
        <v>0</v>
      </c>
      <c r="M173">
        <f>+(L173-$L$927)/$L$928</f>
        <v>-0.43753089105951098</v>
      </c>
      <c r="N173">
        <f>+N170+M173</f>
        <v>-9.4097399872205187</v>
      </c>
    </row>
    <row r="174" spans="1:14">
      <c r="A174" s="1">
        <v>11</v>
      </c>
      <c r="B174" s="70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0</v>
      </c>
    </row>
    <row r="175" spans="1:14">
      <c r="A175" s="1">
        <v>12</v>
      </c>
      <c r="B175" s="70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0</v>
      </c>
    </row>
    <row r="176" spans="1:14">
      <c r="A176" s="1">
        <v>13</v>
      </c>
      <c r="B176" s="70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0</v>
      </c>
      <c r="I176" s="21">
        <f>AVERAGE(F174:F176)</f>
        <v>11.336566666666664</v>
      </c>
      <c r="J176" s="21">
        <f>AVERAGE(G174:G176)</f>
        <v>0</v>
      </c>
      <c r="L176">
        <f>+J176/I176</f>
        <v>0</v>
      </c>
      <c r="M176">
        <f>+(L176-$L$927)/$L$928</f>
        <v>-0.43753089105951098</v>
      </c>
      <c r="N176">
        <f>+N173+M176</f>
        <v>-9.84727087828003</v>
      </c>
    </row>
    <row r="177" spans="1:14">
      <c r="A177" s="1">
        <v>11</v>
      </c>
      <c r="B177" s="70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</row>
    <row r="178" spans="1:14">
      <c r="A178" s="1">
        <v>12</v>
      </c>
      <c r="B178" s="70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</row>
    <row r="179" spans="1:14">
      <c r="A179" s="1">
        <v>13</v>
      </c>
      <c r="B179" s="70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I179" s="21">
        <f>AVERAGE(F177:F179)</f>
        <v>11.211766666666668</v>
      </c>
      <c r="J179" s="21" t="e">
        <f>AVERAGE(G177:G179)</f>
        <v>#DIV/0!</v>
      </c>
    </row>
    <row r="180" spans="1:14">
      <c r="A180" s="1">
        <v>11</v>
      </c>
      <c r="B180" s="70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0</v>
      </c>
    </row>
    <row r="181" spans="1:14">
      <c r="A181" s="1">
        <v>12</v>
      </c>
      <c r="B181" s="70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0</v>
      </c>
    </row>
    <row r="182" spans="1:14">
      <c r="A182" s="1">
        <v>13</v>
      </c>
      <c r="B182" s="70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</v>
      </c>
      <c r="I182" s="21">
        <f>AVERAGE(F180:F182)</f>
        <v>3.9800000000000004</v>
      </c>
      <c r="J182" s="21">
        <f>AVERAGE(G180:G182)</f>
        <v>0</v>
      </c>
      <c r="L182">
        <f>+J182/I182</f>
        <v>0</v>
      </c>
      <c r="M182">
        <f>+(L182-$L$927)/$L$928</f>
        <v>-0.43753089105951098</v>
      </c>
      <c r="N182">
        <f>+N176+M182</f>
        <v>-10.284801769339541</v>
      </c>
    </row>
    <row r="183" spans="1:14">
      <c r="A183" s="1">
        <v>11</v>
      </c>
      <c r="B183" s="70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0</v>
      </c>
    </row>
    <row r="184" spans="1:14">
      <c r="A184" s="1">
        <v>12</v>
      </c>
      <c r="B184" s="70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0</v>
      </c>
    </row>
    <row r="185" spans="1:14">
      <c r="A185" s="1">
        <v>13</v>
      </c>
      <c r="B185" s="70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0</v>
      </c>
      <c r="I185" s="21">
        <f>AVERAGE(F183:F185)</f>
        <v>5.8757566666666667</v>
      </c>
      <c r="J185" s="21">
        <f>AVERAGE(G183:G185)</f>
        <v>0</v>
      </c>
      <c r="L185">
        <f>+J185/I185</f>
        <v>0</v>
      </c>
      <c r="M185">
        <f>+(L185-$L$927)/$L$928</f>
        <v>-0.43753089105951098</v>
      </c>
      <c r="N185">
        <f>+N182+M185</f>
        <v>-10.722332660399053</v>
      </c>
    </row>
    <row r="186" spans="1:14">
      <c r="A186" s="1">
        <v>11</v>
      </c>
      <c r="B186" s="70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0</v>
      </c>
    </row>
    <row r="187" spans="1:14">
      <c r="A187" s="1">
        <v>12</v>
      </c>
      <c r="B187" s="70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0</v>
      </c>
    </row>
    <row r="188" spans="1:14">
      <c r="A188" s="1">
        <v>13</v>
      </c>
      <c r="B188" s="70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0</v>
      </c>
      <c r="I188" s="21">
        <f>AVERAGE(F186:F188)</f>
        <v>4.4954200000000002</v>
      </c>
      <c r="J188" s="21">
        <f>AVERAGE(G186:G188)</f>
        <v>0</v>
      </c>
      <c r="L188">
        <f>+J188/I188</f>
        <v>0</v>
      </c>
      <c r="M188">
        <f>+(L188-$L$927)/$L$928</f>
        <v>-0.43753089105951098</v>
      </c>
      <c r="N188">
        <f>+N185+M188</f>
        <v>-11.159863551458564</v>
      </c>
    </row>
    <row r="189" spans="1:14">
      <c r="A189" s="1">
        <v>11</v>
      </c>
      <c r="B189" s="70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0</v>
      </c>
    </row>
    <row r="190" spans="1:14">
      <c r="A190" s="1">
        <v>12</v>
      </c>
      <c r="B190" s="70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0</v>
      </c>
    </row>
    <row r="191" spans="1:14">
      <c r="A191" s="1">
        <v>13</v>
      </c>
      <c r="B191" s="70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0</v>
      </c>
      <c r="I191" s="21">
        <f>AVERAGE(F189:F191)</f>
        <v>8.2996399999999984</v>
      </c>
      <c r="J191" s="21">
        <f>AVERAGE(G189:G191)</f>
        <v>0</v>
      </c>
      <c r="L191">
        <f>+J191/I191</f>
        <v>0</v>
      </c>
      <c r="M191">
        <f>+(L191-$L$927)/$L$928</f>
        <v>-0.43753089105951098</v>
      </c>
      <c r="N191">
        <f>+N188+M191</f>
        <v>-11.597394442518075</v>
      </c>
    </row>
    <row r="192" spans="1:14">
      <c r="A192" s="1">
        <v>11</v>
      </c>
      <c r="B192" s="75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0</v>
      </c>
    </row>
    <row r="193" spans="1:14">
      <c r="A193" s="1">
        <v>12</v>
      </c>
      <c r="B193" s="75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0</v>
      </c>
    </row>
    <row r="194" spans="1:14">
      <c r="A194" s="1">
        <v>13</v>
      </c>
      <c r="B194" s="75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0</v>
      </c>
      <c r="I194" s="21">
        <f>AVERAGE(F192:F194)</f>
        <v>6.4998633333333329</v>
      </c>
      <c r="J194" s="21">
        <f>AVERAGE(G192:G194)</f>
        <v>0</v>
      </c>
      <c r="L194">
        <f>+J194/I194</f>
        <v>0</v>
      </c>
      <c r="M194">
        <f>+(L194-$L$927)/$L$928</f>
        <v>-0.43753089105951098</v>
      </c>
      <c r="N194">
        <f>+N191+M194</f>
        <v>-12.034925333577586</v>
      </c>
    </row>
    <row r="195" spans="1:14">
      <c r="A195" s="1">
        <v>11</v>
      </c>
      <c r="B195" s="75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0</v>
      </c>
    </row>
    <row r="196" spans="1:14">
      <c r="A196" s="1">
        <v>12</v>
      </c>
      <c r="B196" s="75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0</v>
      </c>
    </row>
    <row r="197" spans="1:14">
      <c r="A197" s="1">
        <v>13</v>
      </c>
      <c r="B197" s="75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0</v>
      </c>
      <c r="I197" s="21">
        <f>AVERAGE(F195:F197)</f>
        <v>6.8056066666666659</v>
      </c>
      <c r="J197" s="21">
        <f>AVERAGE(G195:G197)</f>
        <v>0</v>
      </c>
      <c r="L197">
        <f>+J197/I197</f>
        <v>0</v>
      </c>
      <c r="M197">
        <f>+(L197-$L$927)/$L$928</f>
        <v>-0.43753089105951098</v>
      </c>
      <c r="N197">
        <f>+N194+M197</f>
        <v>-12.472456224637098</v>
      </c>
    </row>
    <row r="198" spans="1:14">
      <c r="A198" s="1">
        <v>11</v>
      </c>
      <c r="B198" s="75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0</v>
      </c>
    </row>
    <row r="199" spans="1:14">
      <c r="A199" s="1">
        <v>12</v>
      </c>
      <c r="B199" s="75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0</v>
      </c>
    </row>
    <row r="200" spans="1:14">
      <c r="A200" s="1">
        <v>13</v>
      </c>
      <c r="B200" s="75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0</v>
      </c>
      <c r="I200" s="21">
        <f>AVERAGE(F198:F200)</f>
        <v>1.9632033333333332</v>
      </c>
      <c r="J200" s="21">
        <f>AVERAGE(G198:G200)</f>
        <v>0</v>
      </c>
      <c r="L200">
        <f>+J200/I200</f>
        <v>0</v>
      </c>
      <c r="M200">
        <f>+(L200-$L$927)/$L$928</f>
        <v>-0.43753089105951098</v>
      </c>
      <c r="N200">
        <f>+N197+M200</f>
        <v>-12.909987115696609</v>
      </c>
    </row>
    <row r="201" spans="1:14">
      <c r="A201" s="1">
        <v>11</v>
      </c>
      <c r="B201" s="75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0</v>
      </c>
    </row>
    <row r="202" spans="1:14">
      <c r="A202" s="1">
        <v>12</v>
      </c>
      <c r="B202" s="75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0</v>
      </c>
    </row>
    <row r="203" spans="1:14">
      <c r="A203" s="1">
        <v>13</v>
      </c>
      <c r="B203" s="75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5.427872567048974E-2</v>
      </c>
      <c r="I203" s="21">
        <f>AVERAGE(F201:F203)</f>
        <v>4.5291933333333327</v>
      </c>
      <c r="J203" s="21">
        <f>AVERAGE(G201:G203)</f>
        <v>1.8092908556829913E-2</v>
      </c>
      <c r="L203">
        <f>+J203/I203</f>
        <v>3.9947308991365458E-3</v>
      </c>
      <c r="M203">
        <f>+(L203-$L$927)/$L$928</f>
        <v>-2.7251204994553357E-2</v>
      </c>
      <c r="N203">
        <f>+N200+M203</f>
        <v>-12.937238320691161</v>
      </c>
    </row>
    <row r="204" spans="1:14">
      <c r="A204" s="1">
        <v>11</v>
      </c>
      <c r="B204" s="75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0</v>
      </c>
    </row>
    <row r="205" spans="1:14">
      <c r="A205" s="1">
        <v>12</v>
      </c>
      <c r="B205" s="75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0</v>
      </c>
    </row>
    <row r="206" spans="1:14">
      <c r="A206" s="1">
        <v>13</v>
      </c>
      <c r="B206" s="75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0</v>
      </c>
      <c r="I206" s="21">
        <f>AVERAGE(F204:F206)</f>
        <v>2.2742966666666669</v>
      </c>
      <c r="J206" s="21">
        <f>AVERAGE(G204:G206)</f>
        <v>0</v>
      </c>
      <c r="L206">
        <f>+J206/I206</f>
        <v>0</v>
      </c>
      <c r="M206">
        <f>+(L206-$L$927)/$L$928</f>
        <v>-0.43753089105951098</v>
      </c>
      <c r="N206">
        <f>+N203+M206</f>
        <v>-13.374769211750673</v>
      </c>
    </row>
    <row r="207" spans="1:14">
      <c r="A207" s="1">
        <v>11</v>
      </c>
      <c r="B207" s="75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0.14954562632813362</v>
      </c>
    </row>
    <row r="208" spans="1:14">
      <c r="A208" s="1">
        <v>12</v>
      </c>
      <c r="B208" s="75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0.12937845620708019</v>
      </c>
    </row>
    <row r="209" spans="1:14">
      <c r="A209" s="1">
        <v>13</v>
      </c>
      <c r="B209" s="75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0.1712906947359174</v>
      </c>
      <c r="I209" s="21">
        <f>AVERAGE(F207:F209)</f>
        <v>6.3977533333333341</v>
      </c>
      <c r="J209" s="21">
        <f>AVERAGE(G207:G209)</f>
        <v>0.1500715924237104</v>
      </c>
      <c r="L209">
        <f>+J209/I209</f>
        <v>2.345692067273257E-2</v>
      </c>
      <c r="M209">
        <f>+(L209-$L$927)/$L$928</f>
        <v>1.9716171323378906</v>
      </c>
      <c r="N209">
        <f>+N206+M209</f>
        <v>-11.403152079412783</v>
      </c>
    </row>
    <row r="210" spans="1:14">
      <c r="A210" s="1">
        <v>11</v>
      </c>
      <c r="B210" s="75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0</v>
      </c>
    </row>
    <row r="211" spans="1:14">
      <c r="A211" s="1">
        <v>12</v>
      </c>
      <c r="B211" s="75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7.5418472587968757E-2</v>
      </c>
    </row>
    <row r="212" spans="1:14">
      <c r="A212" s="1">
        <v>13</v>
      </c>
      <c r="B212" s="75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6.6751780080171713E-2</v>
      </c>
      <c r="I212" s="21">
        <f>AVERAGE(F210:F212)</f>
        <v>15.072253333333334</v>
      </c>
      <c r="J212" s="21">
        <f>AVERAGE(G210:G212)</f>
        <v>4.7390084222713492E-2</v>
      </c>
      <c r="L212">
        <f>+J212/I212</f>
        <v>3.1441937164038395E-3</v>
      </c>
      <c r="M212">
        <f>+(L212-$L$927)/$L$928</f>
        <v>-0.11460580712647041</v>
      </c>
      <c r="N212">
        <f>+N209+M212</f>
        <v>-11.517757886539252</v>
      </c>
    </row>
    <row r="213" spans="1:14">
      <c r="A213" s="1">
        <v>11</v>
      </c>
      <c r="B213" s="75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0</v>
      </c>
    </row>
    <row r="214" spans="1:14">
      <c r="A214" s="1">
        <v>12</v>
      </c>
      <c r="B214" s="75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0</v>
      </c>
    </row>
    <row r="215" spans="1:14">
      <c r="A215" s="1">
        <v>13</v>
      </c>
      <c r="B215" s="75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0</v>
      </c>
      <c r="I215" s="21">
        <f>AVERAGE(F213:F215)</f>
        <v>10.613483333333333</v>
      </c>
      <c r="J215" s="21">
        <f>AVERAGE(G213:G215)</f>
        <v>0</v>
      </c>
      <c r="L215">
        <f>+J215/I215</f>
        <v>0</v>
      </c>
      <c r="M215">
        <f>+(L215-$L$927)/$L$928</f>
        <v>-0.43753089105951098</v>
      </c>
      <c r="N215">
        <f>+N212+M215</f>
        <v>-11.955288777598764</v>
      </c>
    </row>
    <row r="216" spans="1:14">
      <c r="A216" s="1">
        <v>11</v>
      </c>
      <c r="B216" s="75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0</v>
      </c>
    </row>
    <row r="217" spans="1:14">
      <c r="A217" s="1">
        <v>12</v>
      </c>
      <c r="B217" s="75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0</v>
      </c>
    </row>
    <row r="218" spans="1:14">
      <c r="A218" s="1">
        <v>13</v>
      </c>
      <c r="B218" s="75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0</v>
      </c>
      <c r="I218" s="21">
        <f>AVERAGE(F216:F218)</f>
        <v>10.224086666666667</v>
      </c>
      <c r="J218" s="21">
        <f>AVERAGE(G216:G218)</f>
        <v>0</v>
      </c>
      <c r="L218">
        <f>+J218/I218</f>
        <v>0</v>
      </c>
      <c r="M218">
        <f>+(L218-$L$927)/$L$928</f>
        <v>-0.43753089105951098</v>
      </c>
      <c r="N218">
        <f>+N215+M218</f>
        <v>-12.392819668658275</v>
      </c>
    </row>
    <row r="219" spans="1:14">
      <c r="A219" s="1">
        <v>11</v>
      </c>
      <c r="B219" s="75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1E-4</v>
      </c>
    </row>
    <row r="220" spans="1:14">
      <c r="A220" s="1">
        <v>12</v>
      </c>
      <c r="B220" s="75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1E-4</v>
      </c>
    </row>
    <row r="221" spans="1:14">
      <c r="A221" s="1">
        <v>13</v>
      </c>
      <c r="B221" s="75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1E-4</v>
      </c>
      <c r="I221" s="21">
        <f>AVERAGE(F219:F221)</f>
        <v>5.7648000000000001</v>
      </c>
      <c r="J221" s="21">
        <f>AVERAGE(G219:G221)</f>
        <v>1E-4</v>
      </c>
      <c r="L221">
        <f>+J221/I221</f>
        <v>1.7346655564807107E-5</v>
      </c>
      <c r="M221">
        <f>+(L221-$L$927)/$L$928</f>
        <v>-0.43574929911274324</v>
      </c>
      <c r="N221">
        <f>+N218+M221</f>
        <v>-12.828568967771018</v>
      </c>
    </row>
    <row r="222" spans="1:14">
      <c r="A222" s="1">
        <v>11</v>
      </c>
      <c r="B222" s="75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1E-4</v>
      </c>
    </row>
    <row r="223" spans="1:14">
      <c r="A223" s="1">
        <v>12</v>
      </c>
      <c r="B223" s="75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1E-4</v>
      </c>
    </row>
    <row r="224" spans="1:14">
      <c r="A224" s="1">
        <v>13</v>
      </c>
      <c r="B224" s="75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1E-4</v>
      </c>
      <c r="I224" s="21">
        <f>AVERAGE(F222:F224)</f>
        <v>4.0482666666666667</v>
      </c>
      <c r="J224" s="21">
        <f>AVERAGE(G222:G224)</f>
        <v>1E-4</v>
      </c>
      <c r="L224">
        <f>+J224/I224</f>
        <v>2.4701930044134117E-5</v>
      </c>
      <c r="M224">
        <f>+(L224-$L$927)/$L$928</f>
        <v>-0.43499387408400048</v>
      </c>
      <c r="N224">
        <f>+N221+M224</f>
        <v>-13.263562841855018</v>
      </c>
    </row>
    <row r="225" spans="1:14">
      <c r="A225" s="1">
        <v>11</v>
      </c>
      <c r="B225" s="75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1E-4</v>
      </c>
    </row>
    <row r="226" spans="1:14">
      <c r="A226" s="1">
        <v>12</v>
      </c>
      <c r="B226" s="75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1E-4</v>
      </c>
    </row>
    <row r="227" spans="1:14">
      <c r="A227" s="1">
        <v>13</v>
      </c>
      <c r="B227" s="75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1E-4</v>
      </c>
      <c r="I227" s="21">
        <f>AVERAGE(F225:F227)</f>
        <v>5.0528000000000004</v>
      </c>
      <c r="J227" s="21">
        <f>AVERAGE(G225:G227)</f>
        <v>1E-4</v>
      </c>
      <c r="L227">
        <f>+J227/I227</f>
        <v>1.9791006966434452E-5</v>
      </c>
      <c r="M227">
        <f>+(L227-$L$927)/$L$928</f>
        <v>-0.43549825148249888</v>
      </c>
      <c r="N227">
        <f>+N224+M227</f>
        <v>-13.699061093337518</v>
      </c>
    </row>
    <row r="228" spans="1:14">
      <c r="A228" s="5">
        <v>11</v>
      </c>
      <c r="B228" s="75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2.8899999999999999E-2</v>
      </c>
    </row>
    <row r="229" spans="1:14">
      <c r="A229" s="5">
        <v>12</v>
      </c>
      <c r="B229" s="75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1E-4</v>
      </c>
    </row>
    <row r="230" spans="1:14">
      <c r="A230" s="5">
        <v>13</v>
      </c>
      <c r="B230" s="75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1E-4</v>
      </c>
      <c r="I230" s="21">
        <f>AVERAGE(F228:F230)</f>
        <v>4.2113666666666667</v>
      </c>
      <c r="J230" s="21">
        <f>AVERAGE(G228:G230)</f>
        <v>9.6999999999999986E-3</v>
      </c>
      <c r="L230">
        <f>+J230/I230</f>
        <v>2.3032903016439632E-3</v>
      </c>
      <c r="M230">
        <f>+(L230-$L$927)/$L$928</f>
        <v>-0.2009709710711069</v>
      </c>
      <c r="N230">
        <f>+N227+M230</f>
        <v>-13.900032064408624</v>
      </c>
    </row>
    <row r="231" spans="1:14">
      <c r="A231" s="5">
        <v>11</v>
      </c>
      <c r="B231" s="75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1E-4</v>
      </c>
    </row>
    <row r="232" spans="1:14">
      <c r="A232" s="5">
        <v>12</v>
      </c>
      <c r="B232" s="75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1E-4</v>
      </c>
    </row>
    <row r="233" spans="1:14">
      <c r="A233" s="5">
        <v>13</v>
      </c>
      <c r="B233" s="75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1E-4</v>
      </c>
      <c r="I233" s="21">
        <f>AVERAGE(F231:F233)</f>
        <v>3.5848666666666666</v>
      </c>
      <c r="J233" s="21">
        <f>AVERAGE(G231:G233)</f>
        <v>1E-4</v>
      </c>
      <c r="L233">
        <f>+J233/I233</f>
        <v>2.7895040261841448E-5</v>
      </c>
      <c r="M233">
        <f>+(L233-$L$927)/$L$928</f>
        <v>-0.43466592502040391</v>
      </c>
      <c r="N233">
        <f>+N230+M233</f>
        <v>-14.334697989429028</v>
      </c>
    </row>
    <row r="234" spans="1:14">
      <c r="A234" s="5">
        <v>11</v>
      </c>
      <c r="B234" s="75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1E-4</v>
      </c>
    </row>
    <row r="235" spans="1:14">
      <c r="A235" s="5">
        <v>12</v>
      </c>
      <c r="B235" s="75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1E-4</v>
      </c>
    </row>
    <row r="236" spans="1:14">
      <c r="A236" s="5">
        <v>13</v>
      </c>
      <c r="B236" s="75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1E-4</v>
      </c>
      <c r="I236" s="21">
        <f>AVERAGE(F234:F236)</f>
        <v>4.2099000000000002</v>
      </c>
      <c r="J236" s="21">
        <f>AVERAGE(G234:G236)</f>
        <v>1E-4</v>
      </c>
      <c r="L236">
        <f>+J236/I236</f>
        <v>2.3753533338084038E-5</v>
      </c>
      <c r="M236">
        <f>+(L236-$L$927)/$L$928</f>
        <v>-0.43509127936927444</v>
      </c>
      <c r="N236">
        <f>+N233+M236</f>
        <v>-14.769789268798302</v>
      </c>
    </row>
    <row r="237" spans="1:14">
      <c r="A237" s="5">
        <v>11</v>
      </c>
      <c r="B237" s="74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1E-4</v>
      </c>
    </row>
    <row r="238" spans="1:14">
      <c r="A238" s="5">
        <v>12</v>
      </c>
      <c r="B238" s="74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1.78E-2</v>
      </c>
    </row>
    <row r="239" spans="1:14">
      <c r="A239" s="5">
        <v>13</v>
      </c>
      <c r="B239" s="74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1E-4</v>
      </c>
      <c r="I239" s="21">
        <f>AVERAGE(F237:F239)</f>
        <v>3.2113</v>
      </c>
      <c r="J239" s="21">
        <f>AVERAGE(G237:G239)</f>
        <v>5.9999999999999993E-3</v>
      </c>
      <c r="L239">
        <f>+J239/I239</f>
        <v>1.8684022047146013E-3</v>
      </c>
      <c r="M239">
        <f>+(L239-$L$927)/$L$928</f>
        <v>-0.24563624550051388</v>
      </c>
      <c r="N239">
        <f>+N236+M239</f>
        <v>-15.015425514298816</v>
      </c>
    </row>
    <row r="240" spans="1:14">
      <c r="A240" s="5">
        <v>11</v>
      </c>
      <c r="B240" s="74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1E-4</v>
      </c>
    </row>
    <row r="241" spans="1:14">
      <c r="A241" s="5">
        <v>12</v>
      </c>
      <c r="B241" s="74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1E-4</v>
      </c>
    </row>
    <row r="242" spans="1:14">
      <c r="A242" s="5">
        <v>13</v>
      </c>
      <c r="B242" s="74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2.4E-2</v>
      </c>
      <c r="I242" s="21">
        <f>AVERAGE(F240:F242)</f>
        <v>4.9666000000000006</v>
      </c>
      <c r="J242" s="21">
        <f>AVERAGE(G240:G242)</f>
        <v>8.0666666666666664E-3</v>
      </c>
      <c r="L242">
        <f>+J242/I242</f>
        <v>1.6241828749379184E-3</v>
      </c>
      <c r="M242">
        <f>+(L242-$L$927)/$L$928</f>
        <v>-0.27071884367337939</v>
      </c>
      <c r="N242">
        <f>+N239+M242</f>
        <v>-15.286144357972194</v>
      </c>
    </row>
    <row r="243" spans="1:14">
      <c r="A243" s="5">
        <v>11</v>
      </c>
      <c r="B243" s="74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0.53859999999999997</v>
      </c>
    </row>
    <row r="244" spans="1:14">
      <c r="A244" s="5">
        <v>12</v>
      </c>
      <c r="B244" s="74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0.49280000000000002</v>
      </c>
    </row>
    <row r="245" spans="1:14">
      <c r="A245" s="5">
        <v>13</v>
      </c>
      <c r="B245" s="74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0.74660000000000004</v>
      </c>
      <c r="I245" s="21">
        <f>AVERAGE(F243:F245)</f>
        <v>9.6408333333333331</v>
      </c>
      <c r="J245" s="21">
        <f>AVERAGE(G243:G245)</f>
        <v>0.59266666666666667</v>
      </c>
      <c r="L245">
        <f>+J245/I245</f>
        <v>6.1474630478001557E-2</v>
      </c>
      <c r="M245">
        <f>+(L245-$L$927)/$L$928</f>
        <v>5.8762340984483927</v>
      </c>
      <c r="N245">
        <f>+N242+M245</f>
        <v>-9.4099102595238016</v>
      </c>
    </row>
    <row r="246" spans="1:14">
      <c r="A246" s="5">
        <v>11</v>
      </c>
      <c r="B246" s="74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0.81089999999999995</v>
      </c>
    </row>
    <row r="247" spans="1:14">
      <c r="A247" s="5">
        <v>12</v>
      </c>
      <c r="B247" s="74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0.71330000000000005</v>
      </c>
    </row>
    <row r="248" spans="1:14">
      <c r="A248" s="5">
        <v>13</v>
      </c>
      <c r="B248" s="74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0.55840000000000001</v>
      </c>
      <c r="I248" s="21">
        <f>AVERAGE(F246:F248)</f>
        <v>9.3822666666666663</v>
      </c>
      <c r="J248" s="21">
        <f>AVERAGE(G246:G248)</f>
        <v>0.69420000000000004</v>
      </c>
      <c r="L248">
        <f>+J248/I248</f>
        <v>7.3990649025821767E-2</v>
      </c>
      <c r="M248">
        <f>+(L248-$L$927)/$L$928</f>
        <v>7.1616944436478152</v>
      </c>
      <c r="N248">
        <f>+N245+M248</f>
        <v>-2.2482158158759864</v>
      </c>
    </row>
    <row r="249" spans="1:14">
      <c r="A249" s="5">
        <v>11</v>
      </c>
      <c r="B249" s="74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1E-4</v>
      </c>
    </row>
    <row r="250" spans="1:14">
      <c r="A250" s="5">
        <v>12</v>
      </c>
      <c r="B250" s="74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1E-4</v>
      </c>
    </row>
    <row r="251" spans="1:14">
      <c r="A251" s="5">
        <v>13</v>
      </c>
      <c r="B251" s="74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1E-4</v>
      </c>
      <c r="I251" s="21">
        <f>AVERAGE(F249:F251)</f>
        <v>9.8842999999999996</v>
      </c>
      <c r="J251" s="21">
        <f>AVERAGE(G249:G251)</f>
        <v>1E-4</v>
      </c>
      <c r="L251">
        <f>+J251/I251</f>
        <v>1.0117054318464636E-5</v>
      </c>
      <c r="M251">
        <f>+(L251-$L$927)/$L$928</f>
        <v>-0.43649181684538085</v>
      </c>
      <c r="N251">
        <f>+N248+M251</f>
        <v>-2.6847076327213673</v>
      </c>
    </row>
    <row r="252" spans="1:14">
      <c r="A252" s="5">
        <v>11</v>
      </c>
      <c r="B252" s="74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1E-4</v>
      </c>
    </row>
    <row r="253" spans="1:14">
      <c r="A253" s="5">
        <v>12</v>
      </c>
      <c r="B253" s="74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1E-4</v>
      </c>
    </row>
    <row r="254" spans="1:14">
      <c r="A254" s="5">
        <v>13</v>
      </c>
      <c r="B254" s="74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1E-4</v>
      </c>
      <c r="I254" s="21">
        <f>AVERAGE(F252:F254)</f>
        <v>3.7456999999999998</v>
      </c>
      <c r="J254" s="21">
        <f>AVERAGE(G252:G254)</f>
        <v>1E-4</v>
      </c>
      <c r="L254">
        <f>+J254/I254</f>
        <v>2.6697279547214142E-5</v>
      </c>
      <c r="M254">
        <f>+(L254-$L$927)/$L$928</f>
        <v>-0.4347889412891805</v>
      </c>
      <c r="N254">
        <f>+N251+M254</f>
        <v>-3.1194965740105478</v>
      </c>
    </row>
    <row r="255" spans="1:14">
      <c r="A255" s="5">
        <v>11</v>
      </c>
      <c r="B255" s="74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0.51800000000000002</v>
      </c>
    </row>
    <row r="256" spans="1:14">
      <c r="A256" s="5">
        <v>12</v>
      </c>
      <c r="B256" s="74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9.9989999999999996E-4</v>
      </c>
    </row>
    <row r="257" spans="1:14">
      <c r="A257" s="5">
        <v>13</v>
      </c>
      <c r="B257" s="74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0.18099999999999999</v>
      </c>
      <c r="I257" s="21">
        <f>AVERAGE(F255:F257)</f>
        <v>4.7063333333333333</v>
      </c>
      <c r="J257" s="21">
        <f>AVERAGE(G255:G257)</f>
        <v>0.23333330000000005</v>
      </c>
      <c r="L257">
        <f>+J257/I257</f>
        <v>4.9578574969898731E-2</v>
      </c>
      <c r="M257">
        <f>+(L257-$L$927)/$L$928</f>
        <v>4.6544471890145953</v>
      </c>
      <c r="N257">
        <f>+N254+M257</f>
        <v>1.5349506150040475</v>
      </c>
    </row>
    <row r="258" spans="1:14">
      <c r="A258" s="5">
        <v>11</v>
      </c>
      <c r="B258" s="74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9.9989999999999996E-4</v>
      </c>
    </row>
    <row r="259" spans="1:14">
      <c r="A259" s="5">
        <v>12</v>
      </c>
      <c r="B259" s="74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9.9989999999999996E-4</v>
      </c>
    </row>
    <row r="260" spans="1:14">
      <c r="A260" s="5">
        <v>13</v>
      </c>
      <c r="B260" s="74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9.9989999999999996E-4</v>
      </c>
      <c r="I260" s="21">
        <f>AVERAGE(F258:F260)</f>
        <v>3.7926666666666669</v>
      </c>
      <c r="J260" s="21">
        <f>AVERAGE(G258:G260)</f>
        <v>9.9989999999999996E-4</v>
      </c>
      <c r="L260">
        <f>+J260/I260</f>
        <v>2.6364035858674633E-4</v>
      </c>
      <c r="M260">
        <f>+(L260-$L$927)/$L$928</f>
        <v>-0.41045365199482126</v>
      </c>
      <c r="N260">
        <f>+N257+M260</f>
        <v>1.1244969630092263</v>
      </c>
    </row>
    <row r="261" spans="1:14">
      <c r="A261" s="5">
        <v>11</v>
      </c>
      <c r="B261" s="75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9.9989999999999996E-4</v>
      </c>
    </row>
    <row r="262" spans="1:14">
      <c r="A262" s="5">
        <v>12</v>
      </c>
      <c r="B262" s="75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9.9989999999999996E-4</v>
      </c>
    </row>
    <row r="263" spans="1:14">
      <c r="A263" s="5">
        <v>13</v>
      </c>
      <c r="B263" s="75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9.9989999999999996E-4</v>
      </c>
      <c r="I263" s="21">
        <f>AVERAGE(F261:F263)</f>
        <v>3.8180000000000001</v>
      </c>
      <c r="J263" s="21">
        <f>AVERAGE(G261:G263)</f>
        <v>9.9989999999999996E-4</v>
      </c>
      <c r="L263">
        <f>+J263/I263</f>
        <v>2.6189104243059191E-4</v>
      </c>
      <c r="M263">
        <f>+(L263-$L$927)/$L$928</f>
        <v>-0.41063331588245144</v>
      </c>
      <c r="N263">
        <f>+N260+M263</f>
        <v>0.71386364712677486</v>
      </c>
    </row>
    <row r="264" spans="1:14">
      <c r="A264" s="10">
        <v>11</v>
      </c>
      <c r="B264" s="75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9.9989999999999996E-4</v>
      </c>
    </row>
    <row r="265" spans="1:14">
      <c r="A265" s="10">
        <v>12</v>
      </c>
      <c r="B265" s="75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9.9989999999999996E-4</v>
      </c>
    </row>
    <row r="266" spans="1:14">
      <c r="A266" s="10">
        <v>13</v>
      </c>
      <c r="B266" s="75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9.9989999999999996E-4</v>
      </c>
      <c r="I266" s="21">
        <f>AVERAGE(F264:F266)</f>
        <v>3.5136666666666669</v>
      </c>
      <c r="J266" s="21">
        <f>AVERAGE(G264:G266)</f>
        <v>9.9989999999999996E-4</v>
      </c>
      <c r="L266">
        <f>+J266/I266</f>
        <v>2.8457451854662741E-4</v>
      </c>
      <c r="M266">
        <f>+(L266-$L$927)/$L$928</f>
        <v>-0.40830360464664317</v>
      </c>
      <c r="N266">
        <f>+N263+M266</f>
        <v>0.30556004248013169</v>
      </c>
    </row>
    <row r="267" spans="1:14">
      <c r="A267" s="10">
        <v>11</v>
      </c>
      <c r="B267" s="75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9.9989999999999996E-4</v>
      </c>
    </row>
    <row r="268" spans="1:14">
      <c r="A268" s="10">
        <v>12</v>
      </c>
      <c r="B268" s="75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9.9989999999999996E-4</v>
      </c>
    </row>
    <row r="269" spans="1:14">
      <c r="A269" s="10">
        <v>13</v>
      </c>
      <c r="B269" s="75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9.9989999999999996E-4</v>
      </c>
      <c r="I269" s="21">
        <f>AVERAGE(F267:F269)</f>
        <v>3.3679999999999999</v>
      </c>
      <c r="J269" s="21">
        <f>AVERAGE(G267:G269)</f>
        <v>9.9989999999999996E-4</v>
      </c>
      <c r="L269">
        <f>+J269/I269</f>
        <v>2.9688242280285034E-4</v>
      </c>
      <c r="M269">
        <f>+(L269-$L$927)/$L$928</f>
        <v>-0.40703951872399641</v>
      </c>
      <c r="N269">
        <f>+N266+M269</f>
        <v>-0.10147947624386472</v>
      </c>
    </row>
    <row r="270" spans="1:14">
      <c r="A270" s="10">
        <v>11</v>
      </c>
      <c r="B270" s="75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9.9989999999999996E-4</v>
      </c>
    </row>
    <row r="271" spans="1:14">
      <c r="A271" s="10">
        <v>12</v>
      </c>
      <c r="B271" s="75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0.01</v>
      </c>
    </row>
    <row r="272" spans="1:14">
      <c r="A272" s="10">
        <v>13</v>
      </c>
      <c r="B272" s="75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1.2999999999999999E-2</v>
      </c>
      <c r="I272" s="21">
        <f>AVERAGE(F270:F272)</f>
        <v>3.1379999999999999</v>
      </c>
      <c r="J272" s="21">
        <f>AVERAGE(G270:G272)</f>
        <v>7.9999666666666653E-3</v>
      </c>
      <c r="L272">
        <f>+J272/I272</f>
        <v>2.5493838963246227E-3</v>
      </c>
      <c r="M272">
        <f>+(L272-$L$927)/$L$928</f>
        <v>-0.17569587612290855</v>
      </c>
      <c r="N272">
        <f>+N269+M272</f>
        <v>-0.27717535236677326</v>
      </c>
    </row>
    <row r="273" spans="1:14">
      <c r="A273" s="10">
        <v>11</v>
      </c>
      <c r="B273" s="75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9.9989999999999996E-4</v>
      </c>
    </row>
    <row r="274" spans="1:14">
      <c r="A274" s="10">
        <v>12</v>
      </c>
      <c r="B274" s="75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9.9989999999999996E-4</v>
      </c>
    </row>
    <row r="275" spans="1:14">
      <c r="A275" s="10">
        <v>13</v>
      </c>
      <c r="B275" s="75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9.9989999999999996E-4</v>
      </c>
      <c r="I275" s="21">
        <f>AVERAGE(F273:F275)</f>
        <v>3.3476666666666666</v>
      </c>
      <c r="J275" s="21">
        <f>AVERAGE(G273:G275)</f>
        <v>9.9989999999999996E-4</v>
      </c>
      <c r="L275">
        <f>+J275/I275</f>
        <v>2.9868565169769991E-4</v>
      </c>
      <c r="M275">
        <f>+(L275-$L$927)/$L$928</f>
        <v>-0.40685431771707947</v>
      </c>
      <c r="N275">
        <f>+N272+M275</f>
        <v>-0.68402967008385274</v>
      </c>
    </row>
    <row r="276" spans="1:14">
      <c r="A276" s="10">
        <v>11</v>
      </c>
      <c r="B276" s="75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0.59299999999999997</v>
      </c>
    </row>
    <row r="277" spans="1:14">
      <c r="A277" s="10">
        <v>12</v>
      </c>
      <c r="B277" s="75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0.61799999999999999</v>
      </c>
    </row>
    <row r="278" spans="1:14">
      <c r="A278" s="10">
        <v>13</v>
      </c>
      <c r="B278" s="75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6.5000000000000002E-2</v>
      </c>
      <c r="I278" s="21">
        <f>AVERAGE(F276:F278)</f>
        <v>8.6986666666666661</v>
      </c>
      <c r="J278" s="21">
        <f>AVERAGE(G276:G278)</f>
        <v>0.42533333333333329</v>
      </c>
      <c r="L278">
        <f>+J278/I278</f>
        <v>4.8896382587369711E-2</v>
      </c>
      <c r="M278">
        <f>+(L278-$L$927)/$L$928</f>
        <v>4.5843824753688249</v>
      </c>
      <c r="N278">
        <f>+N275+M278</f>
        <v>3.9003528052849723</v>
      </c>
    </row>
    <row r="279" spans="1:14">
      <c r="A279" s="10">
        <v>11</v>
      </c>
      <c r="B279" s="75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4.4999999999999998E-2</v>
      </c>
    </row>
    <row r="280" spans="1:14">
      <c r="A280" s="10">
        <v>12</v>
      </c>
      <c r="B280" s="75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4.2000000000000003E-2</v>
      </c>
    </row>
    <row r="281" spans="1:14">
      <c r="A281" s="10">
        <v>13</v>
      </c>
      <c r="B281" s="75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3.7999999999999999E-2</v>
      </c>
      <c r="I281" s="21">
        <f>AVERAGE(F279:F281)</f>
        <v>5.1043333333333329</v>
      </c>
      <c r="J281" s="21">
        <f>AVERAGE(G279:G281)</f>
        <v>4.1666666666666664E-2</v>
      </c>
      <c r="L281">
        <f>+J281/I281</f>
        <v>8.1629987592241882E-3</v>
      </c>
      <c r="M281">
        <f>+(L281-$L$927)/$L$928</f>
        <v>0.40085163152969355</v>
      </c>
      <c r="N281">
        <f>+N278+M281</f>
        <v>4.3012044368146656</v>
      </c>
    </row>
    <row r="282" spans="1:14">
      <c r="A282" s="10">
        <v>11</v>
      </c>
      <c r="B282" s="75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8.6999999999999994E-2</v>
      </c>
    </row>
    <row r="283" spans="1:14">
      <c r="A283" s="10">
        <v>12</v>
      </c>
      <c r="B283" s="75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9.1999999999999998E-2</v>
      </c>
    </row>
    <row r="284" spans="1:14">
      <c r="A284" s="10">
        <v>13</v>
      </c>
      <c r="B284" s="75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0.28000000000000003</v>
      </c>
      <c r="I284" s="21">
        <f>AVERAGE(F282:F284)</f>
        <v>9.1116666666666664</v>
      </c>
      <c r="J284" s="21">
        <f>AVERAGE(G282:G284)</f>
        <v>0.153</v>
      </c>
      <c r="L284">
        <f>+J284/I284</f>
        <v>1.6791659045180173E-2</v>
      </c>
      <c r="M284">
        <f>+(L284-$L$927)/$L$928</f>
        <v>1.2870600201969726</v>
      </c>
      <c r="N284">
        <f>+N281+M284</f>
        <v>5.588264457011638</v>
      </c>
    </row>
    <row r="285" spans="1:14">
      <c r="A285" s="10">
        <v>11</v>
      </c>
      <c r="B285" s="75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9.9989999999999996E-4</v>
      </c>
    </row>
    <row r="286" spans="1:14">
      <c r="A286" s="10">
        <v>12</v>
      </c>
      <c r="B286" s="75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9.9989999999999996E-4</v>
      </c>
    </row>
    <row r="287" spans="1:14">
      <c r="A287" s="10">
        <v>13</v>
      </c>
      <c r="B287" s="75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9.9989999999999996E-4</v>
      </c>
      <c r="I287" s="21">
        <f>AVERAGE(F285:F287)</f>
        <v>15.113666666666665</v>
      </c>
      <c r="J287" s="21">
        <f>AVERAGE(G285:G287)</f>
        <v>9.9989999999999996E-4</v>
      </c>
      <c r="L287">
        <f>+J287/I287</f>
        <v>6.6158664343530138E-5</v>
      </c>
      <c r="M287">
        <f>+(L287-$L$927)/$L$928</f>
        <v>-0.43073605137626536</v>
      </c>
      <c r="N287">
        <f>+N284+M287</f>
        <v>5.1575284056353725</v>
      </c>
    </row>
    <row r="288" spans="1:14">
      <c r="A288" s="10">
        <v>11</v>
      </c>
      <c r="B288" s="75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9.9989999999999996E-4</v>
      </c>
    </row>
    <row r="289" spans="1:14">
      <c r="A289" s="10">
        <v>12</v>
      </c>
      <c r="B289" s="75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9.9989999999999996E-4</v>
      </c>
    </row>
    <row r="290" spans="1:14">
      <c r="A290" s="10">
        <v>13</v>
      </c>
      <c r="B290" s="75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9.9989999999999996E-4</v>
      </c>
      <c r="I290" s="21">
        <f>AVERAGE(F288:F290)</f>
        <v>9.1173333333333328</v>
      </c>
      <c r="J290" s="21">
        <f>AVERAGE(G288:G290)</f>
        <v>9.9989999999999996E-4</v>
      </c>
      <c r="L290">
        <f>+J290/I290</f>
        <v>1.0967022521205031E-4</v>
      </c>
      <c r="M290">
        <f>+(L290-$L$927)/$L$928</f>
        <v>-0.42626718726900059</v>
      </c>
      <c r="N290">
        <f>+N287+M290</f>
        <v>4.731261218366372</v>
      </c>
    </row>
    <row r="291" spans="1:14">
      <c r="A291" s="10">
        <v>11</v>
      </c>
      <c r="B291" s="75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9.9989999999999996E-4</v>
      </c>
    </row>
    <row r="292" spans="1:14">
      <c r="A292" s="10">
        <v>12</v>
      </c>
      <c r="B292" s="75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9.9989999999999996E-4</v>
      </c>
    </row>
    <row r="293" spans="1:14">
      <c r="A293" s="10">
        <v>13</v>
      </c>
      <c r="B293" s="75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9.9989999999999996E-4</v>
      </c>
      <c r="I293" s="21">
        <f>AVERAGE(F291:F293)</f>
        <v>4.8120000000000003</v>
      </c>
      <c r="J293" s="21">
        <f>AVERAGE(G291:G293)</f>
        <v>9.9989999999999996E-4</v>
      </c>
      <c r="L293">
        <f>+J293/I293</f>
        <v>2.0779301745635909E-4</v>
      </c>
      <c r="M293">
        <f>+(L293-$L$927)/$L$928</f>
        <v>-0.4161894650358175</v>
      </c>
      <c r="N293">
        <f>+N290+M293</f>
        <v>4.3150717533305549</v>
      </c>
    </row>
    <row r="294" spans="1:14">
      <c r="A294" s="10">
        <v>11</v>
      </c>
      <c r="B294" s="75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9.9989999999999996E-4</v>
      </c>
    </row>
    <row r="295" spans="1:14">
      <c r="A295" s="10">
        <v>12</v>
      </c>
      <c r="B295" s="75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9.9989999999999996E-4</v>
      </c>
    </row>
    <row r="296" spans="1:14">
      <c r="A296" s="10">
        <v>13</v>
      </c>
      <c r="B296" s="75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9.9989999999999996E-4</v>
      </c>
      <c r="I296" s="21">
        <f>AVERAGE(F294:F296)</f>
        <v>2.238</v>
      </c>
      <c r="J296" s="21">
        <f>AVERAGE(G294:G296)</f>
        <v>9.9989999999999996E-4</v>
      </c>
      <c r="L296">
        <f>+J296/I296</f>
        <v>4.4678284182305631E-4</v>
      </c>
      <c r="M296">
        <f>+(L296-$L$927)/$L$928</f>
        <v>-0.39164396432760157</v>
      </c>
      <c r="N296">
        <f>+N293+M296</f>
        <v>3.9234277890029534</v>
      </c>
    </row>
    <row r="297" spans="1:14">
      <c r="A297" s="10">
        <v>11</v>
      </c>
      <c r="B297" s="75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9.9989999999999996E-4</v>
      </c>
    </row>
    <row r="298" spans="1:14">
      <c r="A298" s="10">
        <v>12</v>
      </c>
      <c r="B298" s="75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9.9989999999999996E-4</v>
      </c>
    </row>
    <row r="299" spans="1:14">
      <c r="A299" s="10">
        <v>13</v>
      </c>
      <c r="B299" s="75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9.9989999999999996E-4</v>
      </c>
      <c r="I299" s="21">
        <f>AVERAGE(F297:F299)</f>
        <v>5.8593333333333328</v>
      </c>
      <c r="J299" s="21">
        <f>AVERAGE(G297:G299)</f>
        <v>9.9989999999999996E-4</v>
      </c>
      <c r="L299">
        <f>+J299/I299</f>
        <v>1.7065081351689613E-4</v>
      </c>
      <c r="M299">
        <f>+(L299-$L$927)/$L$928</f>
        <v>-0.42000416298589399</v>
      </c>
      <c r="N299">
        <f>+N296+M299</f>
        <v>3.5034236260170593</v>
      </c>
    </row>
    <row r="300" spans="1:14">
      <c r="A300" s="10">
        <v>11</v>
      </c>
      <c r="B300" s="75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9.9989999999999996E-4</v>
      </c>
    </row>
    <row r="301" spans="1:14">
      <c r="A301" s="10">
        <v>12</v>
      </c>
      <c r="B301" s="75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9.9989999999999996E-4</v>
      </c>
    </row>
    <row r="302" spans="1:14">
      <c r="A302" s="10">
        <v>13</v>
      </c>
      <c r="B302" s="75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9.9989999999999996E-4</v>
      </c>
      <c r="I302" s="21">
        <f>AVERAGE(F300:F302)</f>
        <v>2.4083333333333332</v>
      </c>
      <c r="J302" s="21">
        <f>AVERAGE(G300:G302)</f>
        <v>9.9989999999999996E-4</v>
      </c>
      <c r="L302">
        <f>+J302/I302</f>
        <v>4.151833910034602E-4</v>
      </c>
      <c r="M302">
        <f>+(L302-$L$927)/$L$928</f>
        <v>-0.39488939264040518</v>
      </c>
      <c r="N302">
        <f>+N299+M302</f>
        <v>3.1085342333766541</v>
      </c>
    </row>
    <row r="303" spans="1:14">
      <c r="A303" s="10">
        <v>11</v>
      </c>
      <c r="B303" s="75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9.9989999999999996E-4</v>
      </c>
    </row>
    <row r="304" spans="1:14">
      <c r="A304" s="10">
        <v>12</v>
      </c>
      <c r="B304" s="75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9.9989999999999996E-4</v>
      </c>
    </row>
    <row r="305" spans="1:14">
      <c r="A305" s="10">
        <v>13</v>
      </c>
      <c r="B305" s="75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9.9989999999999996E-4</v>
      </c>
      <c r="I305" s="21">
        <f>AVERAGE(F303:F305)</f>
        <v>2.4493333333333331</v>
      </c>
      <c r="J305" s="21">
        <f>AVERAGE(G303:G305)</f>
        <v>9.9989999999999996E-4</v>
      </c>
      <c r="L305">
        <f>+J305/I305</f>
        <v>4.0823353293413175E-4</v>
      </c>
      <c r="M305">
        <f>+(L305-$L$927)/$L$928</f>
        <v>-0.39560317929058886</v>
      </c>
      <c r="N305">
        <f>+N302+M305</f>
        <v>2.7129310540860652</v>
      </c>
    </row>
    <row r="306" spans="1:14">
      <c r="A306" s="10">
        <v>11</v>
      </c>
      <c r="B306" s="75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9.9989999999999996E-4</v>
      </c>
    </row>
    <row r="307" spans="1:14">
      <c r="A307" s="10">
        <v>12</v>
      </c>
      <c r="B307" s="75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9.9989999999999996E-4</v>
      </c>
    </row>
    <row r="308" spans="1:14">
      <c r="A308" s="10">
        <v>13</v>
      </c>
      <c r="B308" s="75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9.9989999999999996E-4</v>
      </c>
      <c r="I308" s="21">
        <f>AVERAGE(F306:F308)</f>
        <v>2.3610000000000002</v>
      </c>
      <c r="J308" s="21">
        <f>AVERAGE(G306:G308)</f>
        <v>9.9989999999999996E-4</v>
      </c>
      <c r="L308">
        <f>+J308/I308</f>
        <v>4.2350698856416768E-4</v>
      </c>
      <c r="M308">
        <f>+(L308-$L$927)/$L$928</f>
        <v>-0.39403451578377474</v>
      </c>
      <c r="N308">
        <f>+N305+M308</f>
        <v>2.3188965383022904</v>
      </c>
    </row>
    <row r="309" spans="1:14">
      <c r="A309" s="10">
        <v>11</v>
      </c>
      <c r="B309" s="75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9.9989999999999996E-4</v>
      </c>
    </row>
    <row r="310" spans="1:14">
      <c r="A310" s="10">
        <v>12</v>
      </c>
      <c r="B310" s="75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9.9989999999999996E-4</v>
      </c>
    </row>
    <row r="311" spans="1:14">
      <c r="A311" s="10">
        <v>13</v>
      </c>
      <c r="B311" s="75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9.9989999999999996E-4</v>
      </c>
      <c r="I311" s="21">
        <f>AVERAGE(F309:F311)</f>
        <v>1.7116666666666667</v>
      </c>
      <c r="J311" s="21">
        <f>AVERAGE(G309:G311)</f>
        <v>9.9989999999999996E-4</v>
      </c>
      <c r="L311">
        <f>+J311/I311</f>
        <v>5.8416747809152873E-4</v>
      </c>
      <c r="M311">
        <f>+(L311-$L$927)/$L$928</f>
        <v>-0.37753384605891904</v>
      </c>
      <c r="N311">
        <f>+N308+M311</f>
        <v>1.9413626922433713</v>
      </c>
    </row>
    <row r="312" spans="1:14">
      <c r="A312" s="10">
        <v>11</v>
      </c>
      <c r="B312" s="75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9.9989999999999996E-4</v>
      </c>
    </row>
    <row r="313" spans="1:14">
      <c r="A313" s="10">
        <v>12</v>
      </c>
      <c r="B313" s="75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9.9989999999999996E-4</v>
      </c>
    </row>
    <row r="314" spans="1:14">
      <c r="A314" s="10">
        <v>13</v>
      </c>
      <c r="B314" s="75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9.9989999999999996E-4</v>
      </c>
      <c r="I314" s="21">
        <f>AVERAGE(F312:F314)</f>
        <v>2.0786666666666669</v>
      </c>
      <c r="J314" s="21">
        <f>AVERAGE(G312:G314)</f>
        <v>9.9989999999999996E-4</v>
      </c>
      <c r="L314">
        <f>+J314/I314</f>
        <v>4.8102950609364969E-4</v>
      </c>
      <c r="M314">
        <f>+(L314-$L$927)/$L$928</f>
        <v>-0.38812665339465535</v>
      </c>
      <c r="N314">
        <f>+N311+M314</f>
        <v>1.5532360388487159</v>
      </c>
    </row>
    <row r="315" spans="1:14">
      <c r="A315" s="10">
        <v>11</v>
      </c>
      <c r="B315" s="75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9.9989999999999996E-4</v>
      </c>
    </row>
    <row r="316" spans="1:14">
      <c r="A316" s="10">
        <v>12</v>
      </c>
      <c r="B316" s="75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9.9989999999999996E-4</v>
      </c>
    </row>
    <row r="317" spans="1:14">
      <c r="A317" s="10">
        <v>13</v>
      </c>
      <c r="B317" s="75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9.9989999999999996E-4</v>
      </c>
      <c r="I317" s="21">
        <f>AVERAGE(F315:F317)</f>
        <v>4.4799999999999995</v>
      </c>
      <c r="J317" s="21">
        <f>AVERAGE(G315:G317)</f>
        <v>9.9989999999999996E-4</v>
      </c>
      <c r="L317">
        <f>+J317/I317</f>
        <v>2.2319196428571429E-4</v>
      </c>
      <c r="M317">
        <f>+(L317-$L$927)/$L$928</f>
        <v>-0.41460791292870447</v>
      </c>
      <c r="N317">
        <f>+N314+M317</f>
        <v>1.1386281259200115</v>
      </c>
    </row>
    <row r="318" spans="1:14">
      <c r="A318" s="10">
        <v>11</v>
      </c>
      <c r="B318" s="75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9.9989999999999996E-4</v>
      </c>
    </row>
    <row r="319" spans="1:14">
      <c r="A319" s="10">
        <v>12</v>
      </c>
      <c r="B319" s="75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9.9989999999999996E-4</v>
      </c>
    </row>
    <row r="320" spans="1:14">
      <c r="A320" s="10">
        <v>13</v>
      </c>
      <c r="B320" s="75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9.9989999999999996E-4</v>
      </c>
      <c r="I320" s="21">
        <f>AVERAGE(F318:F320)</f>
        <v>4.9279999999999999</v>
      </c>
      <c r="J320" s="21">
        <f>AVERAGE(G318:G320)</f>
        <v>9.9989999999999996E-4</v>
      </c>
      <c r="L320">
        <f>+J320/I320</f>
        <v>2.0290178571428572E-4</v>
      </c>
      <c r="M320">
        <f>+(L320-$L$927)/$L$928</f>
        <v>-0.41669182003150507</v>
      </c>
      <c r="N320">
        <f>+N317+M320</f>
        <v>0.72193630588850644</v>
      </c>
    </row>
    <row r="321" spans="1:14">
      <c r="A321" s="10">
        <v>11</v>
      </c>
      <c r="B321" s="75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9.9989999999999996E-4</v>
      </c>
    </row>
    <row r="322" spans="1:14">
      <c r="A322" s="10">
        <v>12</v>
      </c>
      <c r="B322" s="75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9.9989999999999996E-4</v>
      </c>
    </row>
    <row r="323" spans="1:14">
      <c r="A323" s="10">
        <v>13</v>
      </c>
      <c r="B323" s="75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4.2999999999999997E-2</v>
      </c>
      <c r="I323" s="21">
        <f>AVERAGE(F321:F323)</f>
        <v>10.154999999999999</v>
      </c>
      <c r="J323" s="21">
        <f>AVERAGE(G321:G323)</f>
        <v>1.4999933333333333E-2</v>
      </c>
      <c r="L323">
        <f>+J323/I323</f>
        <v>1.4770983095355327E-3</v>
      </c>
      <c r="M323">
        <f>+(L323-$L$927)/$L$928</f>
        <v>-0.28582519522545397</v>
      </c>
      <c r="N323">
        <f>+N320+M323</f>
        <v>0.43611111066305247</v>
      </c>
    </row>
    <row r="324" spans="1:14">
      <c r="A324" s="10">
        <v>11</v>
      </c>
      <c r="B324" s="75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0.55400000000000005</v>
      </c>
    </row>
    <row r="325" spans="1:14">
      <c r="A325" s="10">
        <v>12</v>
      </c>
      <c r="B325" s="75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1.171</v>
      </c>
    </row>
    <row r="326" spans="1:14">
      <c r="A326" s="10">
        <v>13</v>
      </c>
      <c r="B326" s="75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1.4770000000000001</v>
      </c>
      <c r="I326" s="21">
        <f>AVERAGE(F324:F326)</f>
        <v>17.096999999999998</v>
      </c>
      <c r="J326" s="21">
        <f>AVERAGE(G324:G326)</f>
        <v>1.0673333333333332</v>
      </c>
      <c r="L326">
        <f>+J326/I326</f>
        <v>6.2428106295451445E-2</v>
      </c>
      <c r="M326">
        <f>+(L326-$L$927)/$L$928</f>
        <v>5.9741610349382643</v>
      </c>
      <c r="N326">
        <f>+N323+M326</f>
        <v>6.4102721456013168</v>
      </c>
    </row>
    <row r="327" spans="1:14">
      <c r="A327" s="10">
        <v>11</v>
      </c>
      <c r="B327" s="75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9.9989999999999996E-4</v>
      </c>
    </row>
    <row r="328" spans="1:14">
      <c r="A328" s="10">
        <v>12</v>
      </c>
      <c r="B328" s="75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9.9989999999999996E-4</v>
      </c>
    </row>
    <row r="329" spans="1:14">
      <c r="A329" s="10">
        <v>13</v>
      </c>
      <c r="B329" s="75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9.9989999999999996E-4</v>
      </c>
      <c r="I329" s="21">
        <f>AVERAGE(F327:F329)</f>
        <v>6.5926666666666662</v>
      </c>
      <c r="J329" s="21">
        <f>AVERAGE(G327:G329)</f>
        <v>9.9989999999999996E-4</v>
      </c>
      <c r="L329">
        <f>+J329/I329</f>
        <v>1.5166852057842047E-4</v>
      </c>
      <c r="M329">
        <f>+(L329-$L$927)/$L$928</f>
        <v>-0.42195374341677461</v>
      </c>
      <c r="N329">
        <f>+N326+M329</f>
        <v>5.9883184021845421</v>
      </c>
    </row>
    <row r="330" spans="1:14">
      <c r="A330" s="10">
        <v>11</v>
      </c>
      <c r="B330" s="75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9.9989999999999996E-4</v>
      </c>
    </row>
    <row r="331" spans="1:14">
      <c r="A331" s="10">
        <v>12</v>
      </c>
      <c r="B331" s="75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9.9989999999999996E-4</v>
      </c>
    </row>
    <row r="332" spans="1:14">
      <c r="A332" s="10">
        <v>13</v>
      </c>
      <c r="B332" s="75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9.9989999999999996E-4</v>
      </c>
      <c r="I332" s="21">
        <f>AVERAGE(F330:F332)</f>
        <v>2.1003333333333334</v>
      </c>
      <c r="J332" s="21">
        <f>AVERAGE(G330:G332)</f>
        <v>9.9989999999999996E-4</v>
      </c>
      <c r="L332">
        <f>+J332/I332</f>
        <v>4.7606729090620531E-4</v>
      </c>
      <c r="M332">
        <f>+(L332-$L$927)/$L$928</f>
        <v>-0.38863629876018713</v>
      </c>
      <c r="N332">
        <f>+N329+M332</f>
        <v>5.5996821034243549</v>
      </c>
    </row>
    <row r="333" spans="1:14">
      <c r="A333" s="10">
        <v>11</v>
      </c>
      <c r="B333" s="75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9.9989999999999996E-4</v>
      </c>
    </row>
    <row r="334" spans="1:14">
      <c r="A334" s="10">
        <v>12</v>
      </c>
      <c r="B334" s="75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9.9989999999999996E-4</v>
      </c>
    </row>
    <row r="335" spans="1:14">
      <c r="A335" s="10">
        <v>13</v>
      </c>
      <c r="B335" s="75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9.9989999999999996E-4</v>
      </c>
      <c r="I335" s="21">
        <f>AVERAGE(F333:F335)</f>
        <v>4.6689999999999996</v>
      </c>
      <c r="J335" s="21">
        <f>AVERAGE(G333:G335)</f>
        <v>9.9989999999999996E-4</v>
      </c>
      <c r="L335">
        <f>+J335/I335</f>
        <v>2.1415720711073037E-4</v>
      </c>
      <c r="M335">
        <f>+(L335-$L$927)/$L$928</f>
        <v>-0.41553582958467417</v>
      </c>
      <c r="N335">
        <f>+N332+M335</f>
        <v>5.1841462738396809</v>
      </c>
    </row>
    <row r="336" spans="1:14">
      <c r="A336" s="10">
        <v>11</v>
      </c>
      <c r="B336" s="75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9.9989999999999996E-4</v>
      </c>
    </row>
    <row r="337" spans="1:14">
      <c r="A337" s="10">
        <v>12</v>
      </c>
      <c r="B337" s="75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9.9989999999999996E-4</v>
      </c>
    </row>
    <row r="338" spans="1:14">
      <c r="A338" s="10">
        <v>13</v>
      </c>
      <c r="B338" s="75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9.9989999999999996E-4</v>
      </c>
      <c r="I338" s="21">
        <f>AVERAGE(F336:F338)</f>
        <v>4.085</v>
      </c>
      <c r="J338" s="21">
        <f>AVERAGE(G336:G338)</f>
        <v>9.9989999999999996E-4</v>
      </c>
      <c r="L338">
        <f>+J338/I338</f>
        <v>2.4477356181150552E-4</v>
      </c>
      <c r="M338">
        <f>+(L338-$L$927)/$L$928</f>
        <v>-0.41239137036770845</v>
      </c>
      <c r="N338">
        <f>+N335+M338</f>
        <v>4.7717549034719724</v>
      </c>
    </row>
    <row r="339" spans="1:14">
      <c r="A339" s="5">
        <v>11</v>
      </c>
      <c r="B339" s="75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1E-3</v>
      </c>
    </row>
    <row r="340" spans="1:14">
      <c r="A340" s="5">
        <v>12</v>
      </c>
      <c r="B340" s="75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1E-3</v>
      </c>
    </row>
    <row r="341" spans="1:14">
      <c r="A341" s="5">
        <v>13</v>
      </c>
      <c r="B341" s="75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9.9989999999999996E-4</v>
      </c>
      <c r="I341" s="21">
        <f>AVERAGE(F339:F341)</f>
        <v>3.6169999999999995</v>
      </c>
      <c r="J341" s="21">
        <f>AVERAGE(G339:G341)</f>
        <v>9.9996666666666667E-4</v>
      </c>
      <c r="L341">
        <f>+J341/I341</f>
        <v>2.7646299880195379E-4</v>
      </c>
      <c r="M341">
        <f>+(L341-$L$927)/$L$928</f>
        <v>-0.40913670000610125</v>
      </c>
      <c r="N341">
        <f>+N338+M341</f>
        <v>4.3626182034658711</v>
      </c>
    </row>
    <row r="342" spans="1:14">
      <c r="A342" s="5">
        <v>11</v>
      </c>
      <c r="B342" s="75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1E-3</v>
      </c>
    </row>
    <row r="343" spans="1:14">
      <c r="A343" s="5">
        <v>12</v>
      </c>
      <c r="B343" s="75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1E-3</v>
      </c>
    </row>
    <row r="344" spans="1:14">
      <c r="A344" s="5">
        <v>13</v>
      </c>
      <c r="B344" s="75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9.9989999999999996E-4</v>
      </c>
      <c r="I344" s="21">
        <f>AVERAGE(F342:F344)</f>
        <v>5.4849999999999994</v>
      </c>
      <c r="J344" s="21">
        <f>AVERAGE(G342:G344)</f>
        <v>9.9996666666666667E-4</v>
      </c>
      <c r="L344">
        <f>+J344/I344</f>
        <v>1.8230932847158919E-4</v>
      </c>
      <c r="M344">
        <f>+(L344-$L$927)/$L$928</f>
        <v>-0.41880677272948669</v>
      </c>
      <c r="N344">
        <f>+N341+M344</f>
        <v>3.9438114307363845</v>
      </c>
    </row>
    <row r="345" spans="1:14">
      <c r="A345" s="5">
        <v>11</v>
      </c>
      <c r="B345" s="75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1E-3</v>
      </c>
    </row>
    <row r="346" spans="1:14">
      <c r="A346" s="5">
        <v>12</v>
      </c>
      <c r="B346" s="75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9.9989999999999996E-4</v>
      </c>
    </row>
    <row r="347" spans="1:14">
      <c r="A347" s="5">
        <v>13</v>
      </c>
      <c r="B347" s="75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9.9989999999999996E-4</v>
      </c>
      <c r="I347" s="21">
        <f>AVERAGE(F345:F347)</f>
        <v>0.96566666666666656</v>
      </c>
      <c r="J347" s="21">
        <f>AVERAGE(G345:G347)</f>
        <v>9.999333333333331E-4</v>
      </c>
      <c r="L347">
        <f>+J347/I347</f>
        <v>1.0354849844666895E-3</v>
      </c>
      <c r="M347">
        <f>+(L347-$L$927)/$L$928</f>
        <v>-0.3311811856403552</v>
      </c>
      <c r="N347">
        <f>+N344+M347</f>
        <v>3.6126302450960295</v>
      </c>
    </row>
    <row r="348" spans="1:14">
      <c r="A348" s="5">
        <v>11</v>
      </c>
      <c r="B348" s="75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1E-3</v>
      </c>
    </row>
    <row r="349" spans="1:14">
      <c r="A349" s="5">
        <v>12</v>
      </c>
      <c r="B349" s="75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9.9989999999999996E-4</v>
      </c>
    </row>
    <row r="350" spans="1:14">
      <c r="A350" s="5">
        <v>13</v>
      </c>
      <c r="B350" s="75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9.9989999999999996E-4</v>
      </c>
      <c r="I350" s="21">
        <f>AVERAGE(F348:F350)</f>
        <v>1.389</v>
      </c>
      <c r="J350" s="21">
        <f>AVERAGE(G348:G350)</f>
        <v>9.999333333333331E-4</v>
      </c>
      <c r="L350">
        <f>+J350/I350</f>
        <v>7.1989440844732403E-4</v>
      </c>
      <c r="M350">
        <f>+(L350-$L$927)/$L$928</f>
        <v>-0.36359398282833882</v>
      </c>
      <c r="N350">
        <f>+N347+M350</f>
        <v>3.2490362622676905</v>
      </c>
    </row>
    <row r="351" spans="1:14">
      <c r="A351" s="10">
        <v>11</v>
      </c>
      <c r="B351" s="75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1E-3</v>
      </c>
    </row>
    <row r="352" spans="1:14">
      <c r="A352" s="10">
        <v>12</v>
      </c>
      <c r="B352" s="75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1E-3</v>
      </c>
    </row>
    <row r="353" spans="1:14">
      <c r="A353" s="10">
        <v>13</v>
      </c>
      <c r="B353" s="75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0.03</v>
      </c>
      <c r="I353" s="21">
        <f>AVERAGE(F351:F353)</f>
        <v>3.4943333333333335</v>
      </c>
      <c r="J353" s="21">
        <f>AVERAGE(G351:G353)</f>
        <v>1.0666666666666666E-2</v>
      </c>
      <c r="L353">
        <f>+J353/I353</f>
        <v>3.0525612897071446E-3</v>
      </c>
      <c r="M353">
        <f>+(L353-$L$927)/$L$928</f>
        <v>-0.1240169349865764</v>
      </c>
      <c r="N353">
        <f>+N350+M353</f>
        <v>3.1250193272811142</v>
      </c>
    </row>
    <row r="354" spans="1:14">
      <c r="A354" s="10">
        <v>11</v>
      </c>
      <c r="B354" s="75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0.107</v>
      </c>
    </row>
    <row r="355" spans="1:14">
      <c r="A355" s="10">
        <v>12</v>
      </c>
      <c r="B355" s="75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6.8000000000000005E-2</v>
      </c>
    </row>
    <row r="356" spans="1:14">
      <c r="A356" s="10">
        <v>13</v>
      </c>
      <c r="B356" s="75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0.186</v>
      </c>
      <c r="I356" s="21">
        <f>AVERAGE(F354:F356)</f>
        <v>7.1093333333333328</v>
      </c>
      <c r="J356" s="21">
        <f>AVERAGE(G354:G356)</f>
        <v>0.12033333333333333</v>
      </c>
      <c r="L356">
        <f>+J356/I356</f>
        <v>1.6926106526631658E-2</v>
      </c>
      <c r="M356">
        <f>+(L356-$L$927)/$L$928</f>
        <v>1.3008684773558923</v>
      </c>
      <c r="N356">
        <f>+N353+M356</f>
        <v>4.4258878046370063</v>
      </c>
    </row>
    <row r="357" spans="1:14">
      <c r="A357" s="10">
        <v>11</v>
      </c>
      <c r="B357" s="75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1E-3</v>
      </c>
    </row>
    <row r="358" spans="1:14">
      <c r="A358" s="10">
        <v>12</v>
      </c>
      <c r="B358" s="75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9.9989999999999996E-4</v>
      </c>
    </row>
    <row r="359" spans="1:14">
      <c r="A359" s="10">
        <v>13</v>
      </c>
      <c r="B359" s="75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4.8000000000000001E-2</v>
      </c>
      <c r="I359" s="21">
        <f>AVERAGE(F357:F359)</f>
        <v>9.8573333333333331</v>
      </c>
      <c r="J359" s="21">
        <f>AVERAGE(G357:G359)</f>
        <v>1.6666633333333333E-2</v>
      </c>
      <c r="L359">
        <f>+J359/I359</f>
        <v>1.6907852022183146E-3</v>
      </c>
      <c r="M359">
        <f>+(L359-$L$927)/$L$928</f>
        <v>-0.26387843749390361</v>
      </c>
      <c r="N359">
        <f>+N356+M359</f>
        <v>4.1620093671431029</v>
      </c>
    </row>
    <row r="360" spans="1:14">
      <c r="A360" s="10">
        <v>11</v>
      </c>
      <c r="B360" s="75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1E-3</v>
      </c>
    </row>
    <row r="361" spans="1:14">
      <c r="A361" s="10">
        <v>12</v>
      </c>
      <c r="B361" s="75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1E-3</v>
      </c>
    </row>
    <row r="362" spans="1:14">
      <c r="A362" s="10">
        <v>13</v>
      </c>
      <c r="B362" s="75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1E-3</v>
      </c>
      <c r="I362" s="21">
        <f>AVERAGE(F360:F362)</f>
        <v>9.9670000000000005</v>
      </c>
      <c r="J362" s="21">
        <f>AVERAGE(G360:G362)</f>
        <v>1E-3</v>
      </c>
      <c r="L362">
        <f>+J362/I362</f>
        <v>1.0033109260559847E-4</v>
      </c>
      <c r="M362">
        <f>+(L362-$L$927)/$L$928</f>
        <v>-0.42722636486835341</v>
      </c>
      <c r="N362">
        <f>+N359+M362</f>
        <v>3.7347830022747495</v>
      </c>
    </row>
    <row r="363" spans="1:14">
      <c r="A363" s="10">
        <v>11</v>
      </c>
      <c r="B363" s="75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1E-3</v>
      </c>
    </row>
    <row r="364" spans="1:14">
      <c r="A364" s="10">
        <v>12</v>
      </c>
      <c r="B364" s="75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1E-3</v>
      </c>
    </row>
    <row r="365" spans="1:14">
      <c r="A365" s="10">
        <v>13</v>
      </c>
      <c r="B365" s="75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1E-3</v>
      </c>
      <c r="I365" s="21">
        <f>AVERAGE(F363:F365)</f>
        <v>4.9780000000000006</v>
      </c>
      <c r="J365" s="21">
        <f>AVERAGE(G363:G365)</f>
        <v>1E-3</v>
      </c>
      <c r="L365">
        <f>+J365/I365</f>
        <v>2.0088388911209318E-4</v>
      </c>
      <c r="M365">
        <f>+(L365-$L$927)/$L$928</f>
        <v>-0.41689906853093167</v>
      </c>
      <c r="N365">
        <f>+N362+M365</f>
        <v>3.317883933743818</v>
      </c>
    </row>
    <row r="366" spans="1:14">
      <c r="A366" s="10">
        <v>11</v>
      </c>
      <c r="B366" s="75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1E-3</v>
      </c>
    </row>
    <row r="367" spans="1:14">
      <c r="A367" s="10">
        <v>12</v>
      </c>
      <c r="B367" s="75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1E-3</v>
      </c>
    </row>
    <row r="368" spans="1:14">
      <c r="A368" s="10">
        <v>13</v>
      </c>
      <c r="B368" s="75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2.5000000000000001E-2</v>
      </c>
      <c r="I368" s="21">
        <f>AVERAGE(F366:F368)</f>
        <v>2.9256666666666669</v>
      </c>
      <c r="J368" s="21">
        <f>AVERAGE(G366:G368)</f>
        <v>9.0000000000000011E-3</v>
      </c>
      <c r="L368">
        <f>+J368/I368</f>
        <v>3.0762219437165321E-3</v>
      </c>
      <c r="M368">
        <f>+(L368-$L$927)/$L$928</f>
        <v>-0.12158686248753489</v>
      </c>
      <c r="N368">
        <f>+N365+M368</f>
        <v>3.196297071256283</v>
      </c>
    </row>
    <row r="369" spans="1:14">
      <c r="A369" s="10">
        <v>11</v>
      </c>
      <c r="B369" s="75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9.9989999999999996E-4</v>
      </c>
    </row>
    <row r="370" spans="1:14">
      <c r="A370" s="10">
        <v>12</v>
      </c>
      <c r="B370" s="75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1.2999999999999999E-2</v>
      </c>
    </row>
    <row r="371" spans="1:14">
      <c r="A371" s="10">
        <v>13</v>
      </c>
      <c r="B371" s="75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9.9989999999999996E-4</v>
      </c>
      <c r="I371" s="21">
        <f>AVERAGE(F369:F371)</f>
        <v>3.3103333333333338</v>
      </c>
      <c r="J371" s="21">
        <f>AVERAGE(G369:G371)</f>
        <v>4.999933333333333E-3</v>
      </c>
      <c r="L371">
        <f>+J371/I371</f>
        <v>1.5104017722283754E-3</v>
      </c>
      <c r="M371">
        <f>+(L371-$L$927)/$L$928</f>
        <v>-0.28240475601102549</v>
      </c>
      <c r="N371">
        <f>+N368+M371</f>
        <v>2.9138923152452576</v>
      </c>
    </row>
    <row r="372" spans="1:14">
      <c r="A372" s="10">
        <v>11</v>
      </c>
      <c r="B372" s="70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0</v>
      </c>
    </row>
    <row r="373" spans="1:14">
      <c r="A373" s="10">
        <v>11</v>
      </c>
      <c r="B373" s="70">
        <v>40197</v>
      </c>
      <c r="C373" s="10">
        <v>2010</v>
      </c>
      <c r="D373" s="4" t="s">
        <v>25</v>
      </c>
      <c r="E373" s="10">
        <v>1</v>
      </c>
      <c r="F373" s="20">
        <v>6.298</v>
      </c>
      <c r="G373" s="21">
        <v>0</v>
      </c>
    </row>
    <row r="374" spans="1:14">
      <c r="A374" s="10">
        <v>12</v>
      </c>
      <c r="B374" s="70">
        <v>40197</v>
      </c>
      <c r="C374" s="10">
        <v>2010</v>
      </c>
      <c r="D374" s="4" t="s">
        <v>25</v>
      </c>
      <c r="E374" s="10">
        <v>1</v>
      </c>
      <c r="F374" s="20">
        <v>5.3440000000000003</v>
      </c>
      <c r="G374" s="21">
        <v>0</v>
      </c>
      <c r="I374" s="21"/>
      <c r="J374" s="21"/>
    </row>
    <row r="375" spans="1:14">
      <c r="A375" s="10">
        <v>13</v>
      </c>
      <c r="B375" s="70">
        <v>40197</v>
      </c>
      <c r="C375" s="10">
        <v>2010</v>
      </c>
      <c r="D375" s="4" t="s">
        <v>25</v>
      </c>
      <c r="E375" s="10">
        <v>1</v>
      </c>
      <c r="F375" s="20">
        <v>4.0140000000000002</v>
      </c>
      <c r="G375" s="21">
        <v>0</v>
      </c>
      <c r="I375" s="21">
        <f>AVERAGE(F372:F375)</f>
        <v>5.4885000000000002</v>
      </c>
      <c r="J375" s="21">
        <f>AVERAGE(G372:G375)</f>
        <v>0</v>
      </c>
      <c r="L375">
        <f>+J375/I375</f>
        <v>0</v>
      </c>
      <c r="M375">
        <f>+(L375-$L$927)/$L$928</f>
        <v>-0.43753089105951098</v>
      </c>
      <c r="N375">
        <f>+N371+M375</f>
        <v>2.4763614241857468</v>
      </c>
    </row>
    <row r="376" spans="1:14">
      <c r="A376" s="10">
        <v>11</v>
      </c>
      <c r="B376" s="70">
        <v>40225</v>
      </c>
      <c r="C376" s="10">
        <v>2010</v>
      </c>
      <c r="D376" s="4" t="s">
        <v>14</v>
      </c>
      <c r="E376" s="10">
        <v>2</v>
      </c>
      <c r="F376" s="20">
        <v>8.09</v>
      </c>
      <c r="G376" s="21">
        <v>1.0725374999999999E-2</v>
      </c>
    </row>
    <row r="377" spans="1:14">
      <c r="A377" s="10">
        <v>12</v>
      </c>
      <c r="B377" s="70">
        <v>40225</v>
      </c>
      <c r="C377" s="10">
        <v>2010</v>
      </c>
      <c r="D377" s="4" t="s">
        <v>14</v>
      </c>
      <c r="E377" s="10">
        <v>2</v>
      </c>
      <c r="F377" s="20">
        <v>5.6180000000000003</v>
      </c>
      <c r="G377" s="21">
        <v>0</v>
      </c>
      <c r="I377" s="21"/>
      <c r="J377" s="21"/>
    </row>
    <row r="378" spans="1:14">
      <c r="A378" s="10">
        <v>13</v>
      </c>
      <c r="B378" s="70">
        <v>40225</v>
      </c>
      <c r="C378" s="10">
        <v>2010</v>
      </c>
      <c r="D378" s="4" t="s">
        <v>14</v>
      </c>
      <c r="E378" s="10">
        <v>2</v>
      </c>
      <c r="F378" s="20">
        <v>11.273</v>
      </c>
      <c r="G378" s="21">
        <v>0</v>
      </c>
      <c r="I378" s="21">
        <f>AVERAGE(F376:F378)</f>
        <v>8.327</v>
      </c>
      <c r="J378" s="21">
        <f>AVERAGE(G376:G378)</f>
        <v>3.5751249999999997E-3</v>
      </c>
      <c r="L378">
        <f>+J378/I378</f>
        <v>4.2934129938753448E-4</v>
      </c>
      <c r="M378">
        <f>+(L378-$L$927)/$L$928</f>
        <v>-0.39343530165059404</v>
      </c>
      <c r="N378">
        <f>+N375+M378</f>
        <v>2.0829261225351527</v>
      </c>
    </row>
    <row r="379" spans="1:14">
      <c r="A379" s="10">
        <v>11</v>
      </c>
      <c r="B379" s="70">
        <v>40255</v>
      </c>
      <c r="C379" s="10">
        <v>2010</v>
      </c>
      <c r="D379" s="4" t="s">
        <v>15</v>
      </c>
      <c r="E379" s="10">
        <v>3</v>
      </c>
      <c r="F379" s="20">
        <v>9.875</v>
      </c>
      <c r="G379" s="21">
        <v>0</v>
      </c>
    </row>
    <row r="380" spans="1:14">
      <c r="A380" s="10">
        <v>12</v>
      </c>
      <c r="B380" s="70">
        <v>40255</v>
      </c>
      <c r="C380" s="10">
        <v>2010</v>
      </c>
      <c r="D380" s="4" t="s">
        <v>15</v>
      </c>
      <c r="E380" s="10">
        <v>3</v>
      </c>
      <c r="F380" s="20">
        <v>7.36</v>
      </c>
      <c r="G380" s="21">
        <v>0</v>
      </c>
    </row>
    <row r="381" spans="1:14">
      <c r="A381" s="10">
        <v>13</v>
      </c>
      <c r="B381" s="70">
        <v>40255</v>
      </c>
      <c r="C381" s="10">
        <v>2010</v>
      </c>
      <c r="D381" s="4" t="s">
        <v>15</v>
      </c>
      <c r="E381" s="10">
        <v>3</v>
      </c>
      <c r="F381" s="20">
        <v>7.2409999999999997</v>
      </c>
      <c r="G381" s="21">
        <v>0</v>
      </c>
      <c r="I381" s="21">
        <f>AVERAGE(F379:F381)</f>
        <v>8.158666666666667</v>
      </c>
      <c r="J381" s="21">
        <f>AVERAGE(G379:G381)</f>
        <v>0</v>
      </c>
      <c r="L381">
        <f>+J381/I381</f>
        <v>0</v>
      </c>
      <c r="M381">
        <f>+(L381-$L$927)/$L$928</f>
        <v>-0.43753089105951098</v>
      </c>
      <c r="N381">
        <f>+N378+M381</f>
        <v>1.6453952314756417</v>
      </c>
    </row>
    <row r="382" spans="1:14">
      <c r="A382" s="10">
        <v>11</v>
      </c>
      <c r="B382" s="70">
        <v>40281</v>
      </c>
      <c r="C382" s="10">
        <v>2010</v>
      </c>
      <c r="D382" s="4" t="s">
        <v>16</v>
      </c>
      <c r="E382" s="10">
        <v>4</v>
      </c>
      <c r="F382" s="20">
        <v>7.1959999999999997</v>
      </c>
      <c r="G382" s="21">
        <v>0</v>
      </c>
    </row>
    <row r="383" spans="1:14">
      <c r="A383" s="10">
        <v>12</v>
      </c>
      <c r="B383" s="70">
        <v>40281</v>
      </c>
      <c r="C383" s="10">
        <v>2010</v>
      </c>
      <c r="D383" s="4" t="s">
        <v>16</v>
      </c>
      <c r="E383" s="10">
        <v>4</v>
      </c>
      <c r="F383" s="20">
        <v>2.206</v>
      </c>
      <c r="G383" s="21">
        <v>0</v>
      </c>
    </row>
    <row r="384" spans="1:14">
      <c r="A384" s="10">
        <v>13</v>
      </c>
      <c r="B384" s="70">
        <v>40281</v>
      </c>
      <c r="C384" s="10">
        <v>2010</v>
      </c>
      <c r="D384" s="4" t="s">
        <v>16</v>
      </c>
      <c r="E384" s="10">
        <v>4</v>
      </c>
      <c r="F384" s="20">
        <v>3.1669999999999998</v>
      </c>
      <c r="G384" s="21">
        <v>0</v>
      </c>
      <c r="I384" s="21">
        <f>AVERAGE(F382:F384)</f>
        <v>4.1896666666666667</v>
      </c>
      <c r="J384" s="21">
        <f>AVERAGE(G382:G384)</f>
        <v>0</v>
      </c>
      <c r="L384">
        <f>+J384/I384</f>
        <v>0</v>
      </c>
      <c r="M384">
        <f>+(L384-$L$927)/$L$928</f>
        <v>-0.43753089105951098</v>
      </c>
      <c r="N384">
        <f>+N381+M384</f>
        <v>1.2078643404161307</v>
      </c>
    </row>
    <row r="385" spans="1:14">
      <c r="A385" s="10">
        <v>11</v>
      </c>
      <c r="B385" s="75">
        <v>40317</v>
      </c>
      <c r="C385" s="10">
        <v>2010</v>
      </c>
      <c r="D385" s="4" t="s">
        <v>17</v>
      </c>
      <c r="E385" s="10">
        <v>5</v>
      </c>
      <c r="F385" s="22">
        <v>2.11</v>
      </c>
      <c r="G385" s="21">
        <v>0</v>
      </c>
    </row>
    <row r="386" spans="1:14">
      <c r="A386" s="10">
        <v>12</v>
      </c>
      <c r="B386" s="75">
        <v>40317</v>
      </c>
      <c r="C386" s="10">
        <v>2010</v>
      </c>
      <c r="D386" s="4" t="s">
        <v>17</v>
      </c>
      <c r="E386" s="10">
        <v>5</v>
      </c>
      <c r="F386" s="22">
        <v>1.224</v>
      </c>
      <c r="G386" s="21">
        <v>0</v>
      </c>
    </row>
    <row r="387" spans="1:14">
      <c r="A387" s="10">
        <v>13</v>
      </c>
      <c r="B387" s="75">
        <v>40317</v>
      </c>
      <c r="C387" s="10">
        <v>2010</v>
      </c>
      <c r="D387" s="4" t="s">
        <v>17</v>
      </c>
      <c r="E387" s="10">
        <v>5</v>
      </c>
      <c r="F387" s="22">
        <v>2.8039999999999998</v>
      </c>
      <c r="G387" s="21">
        <v>0</v>
      </c>
      <c r="I387" s="21">
        <f>AVERAGE(F385:F387)</f>
        <v>2.0459999999999998</v>
      </c>
      <c r="J387" s="21">
        <f>AVERAGE(G385:G387)</f>
        <v>0</v>
      </c>
      <c r="L387">
        <f>+J387/I387</f>
        <v>0</v>
      </c>
      <c r="M387">
        <f>+(L387-$L$927)/$L$928</f>
        <v>-0.43753089105951098</v>
      </c>
      <c r="N387">
        <f>+N384+M387</f>
        <v>0.77033344935661963</v>
      </c>
    </row>
    <row r="388" spans="1:14">
      <c r="A388" s="10">
        <v>11</v>
      </c>
      <c r="B388" s="75">
        <v>40345</v>
      </c>
      <c r="C388" s="10">
        <v>2010</v>
      </c>
      <c r="D388" s="4" t="s">
        <v>18</v>
      </c>
      <c r="E388" s="10">
        <v>6</v>
      </c>
      <c r="F388" s="22">
        <v>7.0090000000000003</v>
      </c>
      <c r="G388" s="21">
        <v>0</v>
      </c>
    </row>
    <row r="389" spans="1:14">
      <c r="A389" s="10">
        <v>12</v>
      </c>
      <c r="B389" s="75">
        <v>40345</v>
      </c>
      <c r="C389" s="10">
        <v>2010</v>
      </c>
      <c r="D389" s="4" t="s">
        <v>18</v>
      </c>
      <c r="E389" s="10">
        <v>6</v>
      </c>
      <c r="F389" s="22">
        <v>7.4489999999999998</v>
      </c>
      <c r="G389" s="21">
        <v>0</v>
      </c>
      <c r="I389" s="21"/>
      <c r="J389" s="21"/>
    </row>
    <row r="390" spans="1:14">
      <c r="A390" s="10">
        <v>13</v>
      </c>
      <c r="B390" s="75">
        <v>40345</v>
      </c>
      <c r="C390" s="10">
        <v>2010</v>
      </c>
      <c r="D390" s="4" t="s">
        <v>18</v>
      </c>
      <c r="E390" s="10">
        <v>6</v>
      </c>
      <c r="F390" s="22">
        <v>9.2870000000000008</v>
      </c>
      <c r="G390" s="21">
        <v>1.947525E-2</v>
      </c>
      <c r="I390" s="21">
        <f>AVERAGE(F388:F390)</f>
        <v>7.915</v>
      </c>
      <c r="J390" s="21">
        <f>AVERAGE(G388:G390)</f>
        <v>6.4917500000000001E-3</v>
      </c>
      <c r="L390">
        <f>+J390/I390</f>
        <v>8.2018319646241311E-4</v>
      </c>
      <c r="M390">
        <f>+(L390-$L$927)/$L$928</f>
        <v>-0.35329380153914125</v>
      </c>
      <c r="N390">
        <f>+N387+M390</f>
        <v>0.41703964781747838</v>
      </c>
    </row>
    <row r="391" spans="1:14">
      <c r="A391" s="10">
        <v>11</v>
      </c>
      <c r="B391" s="75">
        <v>40374</v>
      </c>
      <c r="C391" s="10">
        <v>2010</v>
      </c>
      <c r="D391" s="4" t="s">
        <v>19</v>
      </c>
      <c r="E391" s="10">
        <v>7</v>
      </c>
      <c r="F391" s="22">
        <v>9.1110000000000007</v>
      </c>
      <c r="G391" s="21">
        <v>0.10064674999999997</v>
      </c>
    </row>
    <row r="392" spans="1:14">
      <c r="A392" s="10">
        <v>12</v>
      </c>
      <c r="B392" s="75">
        <v>40374</v>
      </c>
      <c r="C392" s="10">
        <v>2010</v>
      </c>
      <c r="D392" s="4" t="s">
        <v>19</v>
      </c>
      <c r="E392" s="10">
        <v>7</v>
      </c>
      <c r="F392" s="22">
        <v>9.8789999999999996</v>
      </c>
      <c r="G392" s="21">
        <v>0</v>
      </c>
    </row>
    <row r="393" spans="1:14">
      <c r="A393" s="10">
        <v>13</v>
      </c>
      <c r="B393" s="75">
        <v>40374</v>
      </c>
      <c r="C393" s="10">
        <v>2010</v>
      </c>
      <c r="D393" s="4" t="s">
        <v>19</v>
      </c>
      <c r="E393" s="10">
        <v>7</v>
      </c>
      <c r="F393" s="22">
        <v>11.994</v>
      </c>
      <c r="G393" s="21">
        <v>0</v>
      </c>
      <c r="I393" s="21">
        <f>AVERAGE(F391:F393)</f>
        <v>10.328000000000001</v>
      </c>
      <c r="J393" s="21">
        <f>AVERAGE(G391:G393)</f>
        <v>3.3548916666666657E-2</v>
      </c>
      <c r="L393">
        <f>+J393/I393</f>
        <v>3.2483459204750826E-3</v>
      </c>
      <c r="M393">
        <f>+(L393-$L$927)/$L$928</f>
        <v>-0.10390883287006696</v>
      </c>
      <c r="N393">
        <f>+N390+M393</f>
        <v>0.31313081494741141</v>
      </c>
    </row>
    <row r="394" spans="1:14">
      <c r="A394" s="10">
        <v>11</v>
      </c>
      <c r="B394" s="75">
        <v>40409</v>
      </c>
      <c r="C394" s="10">
        <v>2010</v>
      </c>
      <c r="D394" s="4" t="s">
        <v>20</v>
      </c>
      <c r="E394" s="10">
        <v>8</v>
      </c>
      <c r="F394" s="22">
        <v>8.5289999999999999</v>
      </c>
      <c r="G394" s="21">
        <v>9.5084125000000005E-2</v>
      </c>
    </row>
    <row r="395" spans="1:14">
      <c r="A395" s="10">
        <v>12</v>
      </c>
      <c r="B395" s="75">
        <v>40409</v>
      </c>
      <c r="C395" s="10">
        <v>2010</v>
      </c>
      <c r="D395" s="4" t="s">
        <v>20</v>
      </c>
      <c r="E395" s="10">
        <v>8</v>
      </c>
      <c r="F395" s="22">
        <v>4.7140000000000004</v>
      </c>
      <c r="G395" s="21">
        <v>0</v>
      </c>
    </row>
    <row r="396" spans="1:14">
      <c r="A396" s="10">
        <v>13</v>
      </c>
      <c r="B396" s="75">
        <v>40409</v>
      </c>
      <c r="C396" s="10">
        <v>2010</v>
      </c>
      <c r="D396" s="4" t="s">
        <v>20</v>
      </c>
      <c r="E396" s="10">
        <v>8</v>
      </c>
      <c r="F396" s="22">
        <v>14.83</v>
      </c>
      <c r="G396" s="21">
        <v>0</v>
      </c>
      <c r="I396" s="21">
        <f>AVERAGE(F394:F396)</f>
        <v>9.3576666666666668</v>
      </c>
      <c r="J396" s="21">
        <f>AVERAGE(G394:G396)</f>
        <v>3.1694708333333335E-2</v>
      </c>
      <c r="L396">
        <f>+J396/I396</f>
        <v>3.3870311331172303E-3</v>
      </c>
      <c r="M396">
        <f>+(L396-$L$927)/$L$928</f>
        <v>-8.9665138628492125E-2</v>
      </c>
      <c r="N396">
        <f>+N393+M396</f>
        <v>0.22346567631891928</v>
      </c>
    </row>
    <row r="397" spans="1:14">
      <c r="A397" s="10">
        <v>11</v>
      </c>
      <c r="B397" s="75">
        <v>40434</v>
      </c>
      <c r="C397" s="10">
        <v>2010</v>
      </c>
      <c r="D397" s="4" t="s">
        <v>26</v>
      </c>
      <c r="E397" s="10">
        <v>9</v>
      </c>
      <c r="F397" s="22">
        <v>7.556</v>
      </c>
      <c r="G397" s="21">
        <v>6.2443249999999992E-2</v>
      </c>
    </row>
    <row r="398" spans="1:14">
      <c r="A398" s="10">
        <v>11</v>
      </c>
      <c r="B398" s="75">
        <v>40434</v>
      </c>
      <c r="C398" s="10">
        <v>2010</v>
      </c>
      <c r="D398" s="4" t="s">
        <v>26</v>
      </c>
      <c r="E398" s="10">
        <v>9</v>
      </c>
      <c r="F398" s="22">
        <v>7.556</v>
      </c>
      <c r="G398" s="21">
        <v>6.3302625000000001E-2</v>
      </c>
    </row>
    <row r="399" spans="1:14">
      <c r="A399" s="10">
        <v>12</v>
      </c>
      <c r="B399" s="75">
        <v>40434</v>
      </c>
      <c r="C399" s="10">
        <v>2010</v>
      </c>
      <c r="D399" s="4" t="s">
        <v>26</v>
      </c>
      <c r="E399" s="10">
        <v>9</v>
      </c>
      <c r="F399" s="22">
        <v>7.0720000000000001</v>
      </c>
      <c r="G399" s="21">
        <v>5.8952374999999994E-2</v>
      </c>
      <c r="I399" s="21"/>
      <c r="J399" s="21"/>
    </row>
    <row r="400" spans="1:14">
      <c r="A400" s="10">
        <v>13</v>
      </c>
      <c r="B400" s="75">
        <v>40434</v>
      </c>
      <c r="C400" s="10">
        <v>2010</v>
      </c>
      <c r="D400" s="4" t="s">
        <v>26</v>
      </c>
      <c r="E400" s="10">
        <v>9</v>
      </c>
      <c r="F400" s="22">
        <v>6.4009999999999998</v>
      </c>
      <c r="G400" s="21">
        <v>0</v>
      </c>
      <c r="I400" s="21">
        <f>AVERAGE(F397:F400)</f>
        <v>7.1462500000000002</v>
      </c>
      <c r="J400" s="21">
        <f>AVERAGE(G397:G400)</f>
        <v>4.6174562500000002E-2</v>
      </c>
      <c r="L400">
        <f>+J400/I400</f>
        <v>6.4613695994402663E-3</v>
      </c>
      <c r="M400">
        <f>+(L400-$L$927)/$L$928</f>
        <v>0.22608544699745695</v>
      </c>
      <c r="N400">
        <f>+N396+M400</f>
        <v>0.44955112331637626</v>
      </c>
    </row>
    <row r="401" spans="1:14">
      <c r="A401" s="10">
        <v>11</v>
      </c>
      <c r="B401" s="75">
        <v>40463</v>
      </c>
      <c r="C401" s="10">
        <v>2010</v>
      </c>
      <c r="D401" s="4" t="s">
        <v>22</v>
      </c>
      <c r="E401" s="10">
        <v>10</v>
      </c>
      <c r="F401" s="20">
        <v>4.1390000000000002</v>
      </c>
      <c r="G401" s="21">
        <v>0</v>
      </c>
    </row>
    <row r="402" spans="1:14">
      <c r="A402" s="10">
        <v>12</v>
      </c>
      <c r="B402" s="75">
        <v>40463</v>
      </c>
      <c r="C402" s="10">
        <v>2010</v>
      </c>
      <c r="D402" s="4" t="s">
        <v>22</v>
      </c>
      <c r="E402" s="10">
        <v>10</v>
      </c>
      <c r="F402" s="20">
        <v>4.9029999999999996</v>
      </c>
      <c r="G402" s="21">
        <v>0</v>
      </c>
    </row>
    <row r="403" spans="1:14">
      <c r="A403" s="10">
        <v>13</v>
      </c>
      <c r="B403" s="75">
        <v>40463</v>
      </c>
      <c r="C403" s="10">
        <v>2010</v>
      </c>
      <c r="D403" s="4" t="s">
        <v>22</v>
      </c>
      <c r="E403" s="10">
        <v>10</v>
      </c>
      <c r="F403" s="20">
        <v>4.6959999999999997</v>
      </c>
      <c r="G403" s="21">
        <v>0</v>
      </c>
      <c r="I403" s="21">
        <f>AVERAGE(F401:F403)</f>
        <v>4.5793333333333335</v>
      </c>
      <c r="J403" s="21">
        <f>AVERAGE(G401:G403)</f>
        <v>0</v>
      </c>
      <c r="L403">
        <f>+J403/I403</f>
        <v>0</v>
      </c>
      <c r="M403">
        <f>+(L403-$L$927)/$L$928</f>
        <v>-0.43753089105951098</v>
      </c>
      <c r="N403">
        <f>+N400+M403</f>
        <v>1.2020232256865271E-2</v>
      </c>
    </row>
    <row r="404" spans="1:14">
      <c r="A404" s="10">
        <v>11</v>
      </c>
      <c r="B404" s="75">
        <v>40500</v>
      </c>
      <c r="C404" s="10">
        <v>2010</v>
      </c>
      <c r="D404" s="4" t="s">
        <v>23</v>
      </c>
      <c r="E404" s="10">
        <v>11</v>
      </c>
      <c r="F404" s="20">
        <v>1.873</v>
      </c>
      <c r="G404" s="21">
        <v>0</v>
      </c>
    </row>
    <row r="405" spans="1:14">
      <c r="A405" s="10">
        <v>12</v>
      </c>
      <c r="B405" s="75">
        <v>40500</v>
      </c>
      <c r="C405" s="10">
        <v>2010</v>
      </c>
      <c r="D405" s="4" t="s">
        <v>23</v>
      </c>
      <c r="E405" s="10">
        <v>11</v>
      </c>
      <c r="F405" s="20">
        <v>2.181</v>
      </c>
      <c r="G405" s="21">
        <v>0</v>
      </c>
    </row>
    <row r="406" spans="1:14">
      <c r="A406" s="10">
        <v>13</v>
      </c>
      <c r="B406" s="75">
        <v>40500</v>
      </c>
      <c r="C406" s="10">
        <v>2010</v>
      </c>
      <c r="D406" s="4" t="s">
        <v>23</v>
      </c>
      <c r="E406" s="10">
        <v>11</v>
      </c>
      <c r="F406" s="20">
        <v>2.2469999999999999</v>
      </c>
      <c r="G406" s="21">
        <v>0</v>
      </c>
      <c r="I406" s="21"/>
      <c r="J406" s="21"/>
    </row>
    <row r="407" spans="1:14">
      <c r="A407" s="10">
        <v>13</v>
      </c>
      <c r="B407" s="75">
        <v>40500</v>
      </c>
      <c r="C407" s="10">
        <v>2010</v>
      </c>
      <c r="D407" s="4" t="s">
        <v>23</v>
      </c>
      <c r="E407" s="10">
        <v>11</v>
      </c>
      <c r="F407" s="20">
        <v>2.2469999999999999</v>
      </c>
      <c r="G407" s="21">
        <v>0</v>
      </c>
      <c r="I407" s="21">
        <f>AVERAGE(F404:F407)</f>
        <v>2.137</v>
      </c>
      <c r="J407" s="21">
        <f>AVERAGE(G404:G407)</f>
        <v>0</v>
      </c>
      <c r="L407">
        <f>+J407/I407</f>
        <v>0</v>
      </c>
      <c r="M407">
        <f>+(L407-$L$927)/$L$928</f>
        <v>-0.43753089105951098</v>
      </c>
      <c r="N407">
        <f>+N403+M407</f>
        <v>-0.42551065880264571</v>
      </c>
    </row>
    <row r="408" spans="1:14">
      <c r="A408" s="10">
        <v>11</v>
      </c>
      <c r="B408" s="75">
        <v>40521</v>
      </c>
      <c r="C408" s="10">
        <v>2010</v>
      </c>
      <c r="D408" s="4" t="s">
        <v>24</v>
      </c>
      <c r="E408" s="10">
        <v>12</v>
      </c>
      <c r="F408" s="20">
        <v>3.871</v>
      </c>
      <c r="G408" s="21">
        <v>0</v>
      </c>
    </row>
    <row r="409" spans="1:14">
      <c r="A409" s="10">
        <v>12</v>
      </c>
      <c r="B409" s="75">
        <v>40521</v>
      </c>
      <c r="C409" s="10">
        <v>2010</v>
      </c>
      <c r="D409" s="4" t="s">
        <v>24</v>
      </c>
      <c r="E409" s="10">
        <v>12</v>
      </c>
      <c r="F409" s="20">
        <v>2.9849999999999999</v>
      </c>
      <c r="G409" s="21">
        <v>0</v>
      </c>
    </row>
    <row r="410" spans="1:14">
      <c r="A410" s="10">
        <v>13</v>
      </c>
      <c r="B410" s="75">
        <v>40521</v>
      </c>
      <c r="C410" s="10">
        <v>2010</v>
      </c>
      <c r="D410" s="4" t="s">
        <v>24</v>
      </c>
      <c r="E410" s="10">
        <v>12</v>
      </c>
      <c r="F410" s="20">
        <v>3.0150000000000001</v>
      </c>
      <c r="G410" s="21">
        <v>0</v>
      </c>
      <c r="I410" s="21">
        <f>AVERAGE(F408:F410)</f>
        <v>3.2903333333333333</v>
      </c>
      <c r="J410" s="21">
        <f>AVERAGE(G408:G410)</f>
        <v>0</v>
      </c>
      <c r="L410">
        <f>+J410/I410</f>
        <v>0</v>
      </c>
      <c r="M410">
        <f>+(L410-$L$927)/$L$928</f>
        <v>-0.43753089105951098</v>
      </c>
      <c r="N410">
        <f>+N407+M410</f>
        <v>-0.86304154986215664</v>
      </c>
    </row>
    <row r="411" spans="1:14">
      <c r="A411" s="10">
        <v>11</v>
      </c>
      <c r="B411" s="75">
        <v>40563</v>
      </c>
      <c r="C411" s="10">
        <v>2011</v>
      </c>
      <c r="D411" s="4" t="s">
        <v>25</v>
      </c>
      <c r="E411" s="10">
        <v>1</v>
      </c>
      <c r="F411" s="20">
        <v>4.7370000000000001</v>
      </c>
      <c r="G411" s="21">
        <v>0</v>
      </c>
    </row>
    <row r="412" spans="1:14">
      <c r="A412" s="10">
        <v>12</v>
      </c>
      <c r="B412" s="75">
        <v>40563</v>
      </c>
      <c r="C412" s="10">
        <v>2011</v>
      </c>
      <c r="D412" s="4" t="s">
        <v>25</v>
      </c>
      <c r="E412" s="10">
        <v>1</v>
      </c>
      <c r="F412" s="20">
        <v>4.4649999999999999</v>
      </c>
      <c r="G412" s="21">
        <v>0</v>
      </c>
    </row>
    <row r="413" spans="1:14">
      <c r="A413" s="10">
        <v>13</v>
      </c>
      <c r="B413" s="75">
        <v>40563</v>
      </c>
      <c r="C413" s="10">
        <v>2011</v>
      </c>
      <c r="D413" s="4" t="s">
        <v>25</v>
      </c>
      <c r="E413" s="10">
        <v>1</v>
      </c>
      <c r="F413" s="20">
        <v>2.9350000000000001</v>
      </c>
      <c r="G413" s="21">
        <v>0</v>
      </c>
      <c r="I413" s="21">
        <f>AVERAGE(F411:F413)</f>
        <v>4.0456666666666665</v>
      </c>
      <c r="J413" s="21">
        <f>AVERAGE(G411:G413)</f>
        <v>0</v>
      </c>
      <c r="L413">
        <f>+J413/I413</f>
        <v>0</v>
      </c>
      <c r="M413">
        <f>+(L413-$L$927)/$L$928</f>
        <v>-0.43753089105951098</v>
      </c>
      <c r="N413">
        <f>+N410+M413</f>
        <v>-1.3005724409216677</v>
      </c>
    </row>
    <row r="414" spans="1:14">
      <c r="A414" s="10">
        <v>11</v>
      </c>
      <c r="B414" s="75">
        <v>40598</v>
      </c>
      <c r="C414" s="10">
        <v>2011</v>
      </c>
      <c r="D414" s="4" t="s">
        <v>14</v>
      </c>
      <c r="E414" s="10">
        <v>2</v>
      </c>
      <c r="F414" s="20">
        <v>4.5720000000000001</v>
      </c>
      <c r="G414" s="21">
        <v>0</v>
      </c>
    </row>
    <row r="415" spans="1:14">
      <c r="A415" s="10">
        <v>12</v>
      </c>
      <c r="B415" s="75">
        <v>40598</v>
      </c>
      <c r="C415" s="10">
        <v>2011</v>
      </c>
      <c r="D415" s="4" t="s">
        <v>14</v>
      </c>
      <c r="E415" s="10">
        <v>2</v>
      </c>
      <c r="F415" s="20">
        <v>4.8120000000000003</v>
      </c>
      <c r="G415" s="21">
        <v>0</v>
      </c>
    </row>
    <row r="416" spans="1:14">
      <c r="A416" s="10">
        <v>13</v>
      </c>
      <c r="B416" s="75">
        <v>40598</v>
      </c>
      <c r="C416" s="10">
        <v>2011</v>
      </c>
      <c r="D416" s="4" t="s">
        <v>14</v>
      </c>
      <c r="E416" s="10">
        <v>2</v>
      </c>
      <c r="F416" s="20">
        <v>3.6349999999999998</v>
      </c>
      <c r="G416" s="21">
        <v>0</v>
      </c>
      <c r="I416" s="21">
        <f>AVERAGE(F414:F416)</f>
        <v>4.339666666666667</v>
      </c>
      <c r="J416" s="21">
        <f>AVERAGE(G414:G416)</f>
        <v>0</v>
      </c>
      <c r="L416">
        <f>+J416/I416</f>
        <v>0</v>
      </c>
      <c r="M416">
        <f>+(L416-$L$927)/$L$928</f>
        <v>-0.43753089105951098</v>
      </c>
      <c r="N416">
        <f>+N413+M416</f>
        <v>-1.7381033319811787</v>
      </c>
    </row>
    <row r="417" spans="1:14">
      <c r="A417" s="10">
        <v>11</v>
      </c>
      <c r="B417" s="75">
        <v>40617</v>
      </c>
      <c r="C417" s="10">
        <v>2011</v>
      </c>
      <c r="D417" s="4" t="s">
        <v>15</v>
      </c>
      <c r="E417" s="10">
        <v>3</v>
      </c>
      <c r="F417" s="20">
        <v>4.766</v>
      </c>
      <c r="G417" s="21">
        <v>0</v>
      </c>
    </row>
    <row r="418" spans="1:14">
      <c r="A418" s="10">
        <v>12</v>
      </c>
      <c r="B418" s="75">
        <v>40617</v>
      </c>
      <c r="C418" s="10">
        <v>2011</v>
      </c>
      <c r="D418" s="4" t="s">
        <v>15</v>
      </c>
      <c r="E418" s="10">
        <v>3</v>
      </c>
      <c r="F418" s="20">
        <v>3.7519999999999998</v>
      </c>
      <c r="G418" s="21">
        <v>0</v>
      </c>
      <c r="I418" s="21"/>
      <c r="J418" s="21"/>
    </row>
    <row r="419" spans="1:14">
      <c r="A419" s="10">
        <v>13</v>
      </c>
      <c r="B419" s="75">
        <v>40617</v>
      </c>
      <c r="C419" s="10">
        <v>2011</v>
      </c>
      <c r="D419" s="4" t="s">
        <v>15</v>
      </c>
      <c r="E419" s="10">
        <v>3</v>
      </c>
      <c r="F419" s="20">
        <v>4.41</v>
      </c>
      <c r="G419" s="21">
        <v>0</v>
      </c>
      <c r="I419" s="21">
        <f>AVERAGE(F417:F419)</f>
        <v>4.3093333333333339</v>
      </c>
      <c r="J419" s="21">
        <f>AVERAGE(G417:G419)</f>
        <v>0</v>
      </c>
      <c r="L419">
        <f>+J419/I419</f>
        <v>0</v>
      </c>
      <c r="M419">
        <f>+(L419-$L$927)/$L$928</f>
        <v>-0.43753089105951098</v>
      </c>
      <c r="N419">
        <f>+N416+M419</f>
        <v>-2.1756342230406895</v>
      </c>
    </row>
    <row r="420" spans="1:14">
      <c r="A420" s="10">
        <v>11</v>
      </c>
      <c r="B420" s="75">
        <v>40647</v>
      </c>
      <c r="C420" s="10">
        <v>2011</v>
      </c>
      <c r="D420" s="4" t="s">
        <v>16</v>
      </c>
      <c r="E420" s="10">
        <v>4</v>
      </c>
      <c r="F420" s="20">
        <v>4.5590000000000002</v>
      </c>
      <c r="G420" s="21">
        <v>0</v>
      </c>
    </row>
    <row r="421" spans="1:14">
      <c r="A421" s="10">
        <v>11</v>
      </c>
      <c r="B421" s="75">
        <v>40647</v>
      </c>
      <c r="C421" s="10">
        <v>2011</v>
      </c>
      <c r="D421" s="4" t="s">
        <v>16</v>
      </c>
      <c r="E421" s="10">
        <v>4</v>
      </c>
      <c r="F421" s="20">
        <v>4.5590000000000002</v>
      </c>
      <c r="G421" s="21">
        <v>0</v>
      </c>
      <c r="H421" t="s">
        <v>41</v>
      </c>
    </row>
    <row r="422" spans="1:14">
      <c r="A422" s="10">
        <v>12</v>
      </c>
      <c r="B422" s="75">
        <v>40647</v>
      </c>
      <c r="C422" s="10">
        <v>2011</v>
      </c>
      <c r="D422" s="4" t="s">
        <v>16</v>
      </c>
      <c r="E422" s="10">
        <v>4</v>
      </c>
      <c r="F422" s="20">
        <v>3.8530000000000002</v>
      </c>
      <c r="G422" s="21">
        <v>0</v>
      </c>
    </row>
    <row r="423" spans="1:14">
      <c r="A423" s="10">
        <v>13</v>
      </c>
      <c r="B423" s="75">
        <v>40647</v>
      </c>
      <c r="C423" s="10">
        <v>2011</v>
      </c>
      <c r="D423" s="4" t="s">
        <v>16</v>
      </c>
      <c r="E423" s="10">
        <v>4</v>
      </c>
      <c r="F423" s="20">
        <v>2.294</v>
      </c>
      <c r="G423" s="21">
        <v>0</v>
      </c>
      <c r="I423" s="21">
        <f>AVERAGE(F420:F423)</f>
        <v>3.8162500000000001</v>
      </c>
      <c r="J423" s="21">
        <f>AVERAGE(G420:G423)</f>
        <v>0</v>
      </c>
      <c r="L423">
        <f>+J423/I423</f>
        <v>0</v>
      </c>
      <c r="M423">
        <f>+(L423-$L$927)/$L$928</f>
        <v>-0.43753089105951098</v>
      </c>
      <c r="N423">
        <f>+N419+M423</f>
        <v>-2.6131651141002004</v>
      </c>
    </row>
    <row r="424" spans="1:14">
      <c r="A424" s="10">
        <v>11</v>
      </c>
      <c r="B424" s="75">
        <v>40682</v>
      </c>
      <c r="C424" s="10">
        <v>2011</v>
      </c>
      <c r="D424" s="4" t="s">
        <v>17</v>
      </c>
      <c r="E424" s="10">
        <v>5</v>
      </c>
      <c r="F424" s="20">
        <v>2.02</v>
      </c>
      <c r="G424" s="21">
        <v>0</v>
      </c>
    </row>
    <row r="425" spans="1:14">
      <c r="A425" s="10">
        <v>12</v>
      </c>
      <c r="B425" s="75">
        <v>40682</v>
      </c>
      <c r="C425" s="10">
        <v>2011</v>
      </c>
      <c r="D425" s="4" t="s">
        <v>17</v>
      </c>
      <c r="E425" s="10">
        <v>5</v>
      </c>
      <c r="F425" s="20">
        <v>1.5920000000000001</v>
      </c>
      <c r="G425" s="21">
        <v>0</v>
      </c>
    </row>
    <row r="426" spans="1:14">
      <c r="A426" s="10">
        <v>13</v>
      </c>
      <c r="B426" s="75">
        <v>40682</v>
      </c>
      <c r="C426" s="10">
        <v>2011</v>
      </c>
      <c r="D426" s="4" t="s">
        <v>17</v>
      </c>
      <c r="E426" s="10">
        <v>5</v>
      </c>
      <c r="F426" s="20">
        <v>2.5779999999999998</v>
      </c>
      <c r="G426" s="21">
        <v>4.6396499999999993E-2</v>
      </c>
      <c r="I426" s="21">
        <f>AVERAGE(F424:F426)</f>
        <v>2.063333333333333</v>
      </c>
      <c r="J426" s="21">
        <f>AVERAGE(G424:G426)</f>
        <v>1.5465499999999998E-2</v>
      </c>
      <c r="L426">
        <f>+J426/I426</f>
        <v>7.4953957996768987E-3</v>
      </c>
      <c r="M426">
        <f>+(L426-$L$927)/$L$928</f>
        <v>0.33228532767220409</v>
      </c>
      <c r="N426">
        <f>+N423+M426</f>
        <v>-2.2808797864279962</v>
      </c>
    </row>
    <row r="427" spans="1:14">
      <c r="A427" s="10">
        <v>11</v>
      </c>
      <c r="B427" s="75">
        <v>40709</v>
      </c>
      <c r="C427" s="10">
        <v>2011</v>
      </c>
      <c r="D427" s="4" t="s">
        <v>18</v>
      </c>
      <c r="E427" s="10">
        <v>6</v>
      </c>
      <c r="F427" s="20">
        <v>4.0220000000000002</v>
      </c>
      <c r="G427" s="21">
        <v>0</v>
      </c>
    </row>
    <row r="428" spans="1:14">
      <c r="A428" s="10">
        <v>12</v>
      </c>
      <c r="B428" s="75">
        <v>40709</v>
      </c>
      <c r="C428" s="10">
        <v>2011</v>
      </c>
      <c r="D428" s="4" t="s">
        <v>18</v>
      </c>
      <c r="E428" s="10">
        <v>6</v>
      </c>
      <c r="F428" s="20">
        <v>4.2</v>
      </c>
      <c r="G428" s="21">
        <v>0</v>
      </c>
    </row>
    <row r="429" spans="1:14">
      <c r="A429" s="10">
        <v>13</v>
      </c>
      <c r="B429" s="75">
        <v>40709</v>
      </c>
      <c r="C429" s="10">
        <v>2011</v>
      </c>
      <c r="D429" s="4" t="s">
        <v>18</v>
      </c>
      <c r="E429" s="10">
        <v>6</v>
      </c>
      <c r="F429" s="20">
        <v>7.6539999999999999</v>
      </c>
      <c r="G429" s="21">
        <v>0</v>
      </c>
      <c r="I429" s="21">
        <f>AVERAGE(F427:F429)</f>
        <v>5.2920000000000007</v>
      </c>
      <c r="J429" s="21">
        <f>AVERAGE(G427:G429)</f>
        <v>0</v>
      </c>
      <c r="L429">
        <f>+J429/I429</f>
        <v>0</v>
      </c>
      <c r="M429">
        <f>+(L429-$L$927)/$L$928</f>
        <v>-0.43753089105951098</v>
      </c>
      <c r="N429">
        <f>+N426+M429</f>
        <v>-2.718410677487507</v>
      </c>
    </row>
    <row r="430" spans="1:14">
      <c r="A430" s="10">
        <v>11</v>
      </c>
      <c r="B430" s="75">
        <v>40736</v>
      </c>
      <c r="C430" s="10">
        <v>2011</v>
      </c>
      <c r="D430" s="4" t="s">
        <v>19</v>
      </c>
      <c r="E430" s="10">
        <v>7</v>
      </c>
      <c r="F430" s="20">
        <v>7.407</v>
      </c>
      <c r="G430" s="21">
        <v>0</v>
      </c>
    </row>
    <row r="431" spans="1:14">
      <c r="A431" s="10">
        <v>12</v>
      </c>
      <c r="B431" s="75">
        <v>40736</v>
      </c>
      <c r="C431" s="10">
        <v>2011</v>
      </c>
      <c r="D431" s="4" t="s">
        <v>19</v>
      </c>
      <c r="E431" s="10">
        <v>7</v>
      </c>
      <c r="F431" s="20">
        <v>8.0679999999999996</v>
      </c>
      <c r="G431" s="21">
        <v>0</v>
      </c>
    </row>
    <row r="432" spans="1:14">
      <c r="A432" s="10">
        <v>13</v>
      </c>
      <c r="B432" s="75">
        <v>40736</v>
      </c>
      <c r="C432" s="10">
        <v>2011</v>
      </c>
      <c r="D432" s="4" t="s">
        <v>19</v>
      </c>
      <c r="E432" s="10">
        <v>7</v>
      </c>
      <c r="F432" s="20">
        <v>8.9009999999999998</v>
      </c>
      <c r="G432" s="21">
        <v>0</v>
      </c>
      <c r="I432" s="21">
        <f>AVERAGE(F430:F432)</f>
        <v>8.125333333333332</v>
      </c>
      <c r="J432" s="21">
        <f>AVERAGE(G430:G432)</f>
        <v>0</v>
      </c>
      <c r="L432">
        <f>+J432/I432</f>
        <v>0</v>
      </c>
      <c r="M432">
        <f>+(L432-$L$927)/$L$928</f>
        <v>-0.43753089105951098</v>
      </c>
      <c r="N432">
        <f>+N429+M432</f>
        <v>-3.1559415685470178</v>
      </c>
    </row>
    <row r="433" spans="1:14">
      <c r="A433" s="10">
        <v>11</v>
      </c>
      <c r="B433" s="75">
        <v>40772</v>
      </c>
      <c r="C433" s="10">
        <v>2011</v>
      </c>
      <c r="D433" s="4" t="s">
        <v>20</v>
      </c>
      <c r="E433" s="10">
        <v>8</v>
      </c>
      <c r="F433" s="20">
        <v>14.526999999999999</v>
      </c>
      <c r="G433" s="21">
        <v>0</v>
      </c>
    </row>
    <row r="434" spans="1:14">
      <c r="A434" s="10">
        <v>12</v>
      </c>
      <c r="B434" s="75">
        <v>40772</v>
      </c>
      <c r="C434" s="10">
        <v>2011</v>
      </c>
      <c r="D434" s="4" t="s">
        <v>20</v>
      </c>
      <c r="E434" s="10">
        <v>8</v>
      </c>
      <c r="F434" s="20">
        <v>11.542999999999999</v>
      </c>
      <c r="G434" s="21">
        <v>0</v>
      </c>
    </row>
    <row r="435" spans="1:14">
      <c r="A435" s="10">
        <v>13</v>
      </c>
      <c r="B435" s="75">
        <v>40772</v>
      </c>
      <c r="C435" s="10">
        <v>2011</v>
      </c>
      <c r="D435" s="4" t="s">
        <v>20</v>
      </c>
      <c r="E435" s="10">
        <v>8</v>
      </c>
      <c r="F435" s="20">
        <v>10.285</v>
      </c>
      <c r="G435" s="21">
        <v>0</v>
      </c>
      <c r="I435" s="21">
        <f>AVERAGE(F433:F435)</f>
        <v>12.118333333333334</v>
      </c>
      <c r="J435" s="21">
        <f>AVERAGE(G433:G435)</f>
        <v>0</v>
      </c>
      <c r="L435">
        <f>+J435/I435</f>
        <v>0</v>
      </c>
      <c r="M435">
        <f>+(L435-$L$927)/$L$928</f>
        <v>-0.43753089105951098</v>
      </c>
      <c r="N435">
        <f>+N432+M435</f>
        <v>-3.5934724596065286</v>
      </c>
    </row>
    <row r="436" spans="1:14">
      <c r="A436" s="10">
        <v>11</v>
      </c>
      <c r="B436" s="75">
        <v>40798</v>
      </c>
      <c r="C436" s="10">
        <v>2011</v>
      </c>
      <c r="D436" s="4" t="s">
        <v>26</v>
      </c>
      <c r="E436" s="10">
        <v>9</v>
      </c>
      <c r="F436" s="20">
        <v>6.1180000000000003</v>
      </c>
      <c r="G436" s="21">
        <v>0</v>
      </c>
    </row>
    <row r="437" spans="1:14">
      <c r="A437" s="10">
        <v>12</v>
      </c>
      <c r="B437" s="75">
        <v>40798</v>
      </c>
      <c r="C437" s="10">
        <v>2011</v>
      </c>
      <c r="D437" s="4" t="s">
        <v>26</v>
      </c>
      <c r="E437" s="10">
        <v>9</v>
      </c>
      <c r="F437" s="20">
        <v>5.444</v>
      </c>
      <c r="G437" s="21">
        <v>0</v>
      </c>
    </row>
    <row r="438" spans="1:14">
      <c r="A438" s="10">
        <v>13</v>
      </c>
      <c r="B438" s="75">
        <v>40798</v>
      </c>
      <c r="C438" s="10">
        <v>2011</v>
      </c>
      <c r="D438" s="4" t="s">
        <v>26</v>
      </c>
      <c r="E438" s="10">
        <v>9</v>
      </c>
      <c r="F438" s="20">
        <v>7.492</v>
      </c>
      <c r="G438" s="21">
        <v>0</v>
      </c>
      <c r="I438" s="21">
        <f>AVERAGE(F436:F438)</f>
        <v>6.3513333333333337</v>
      </c>
      <c r="J438" s="21">
        <f>AVERAGE(G436:G438)</f>
        <v>0</v>
      </c>
      <c r="L438">
        <f>+J438/I438</f>
        <v>0</v>
      </c>
      <c r="M438">
        <f>+(L438-$L$927)/$L$928</f>
        <v>-0.43753089105951098</v>
      </c>
      <c r="N438">
        <f>+N435+M438</f>
        <v>-4.0310033506660394</v>
      </c>
    </row>
    <row r="439" spans="1:14">
      <c r="A439" s="10">
        <v>11</v>
      </c>
      <c r="B439" s="75">
        <v>40829</v>
      </c>
      <c r="C439" s="10">
        <v>2011</v>
      </c>
      <c r="D439" s="4" t="s">
        <v>22</v>
      </c>
      <c r="E439" s="10">
        <v>10</v>
      </c>
      <c r="F439" s="22">
        <v>4.2300000000000004</v>
      </c>
      <c r="G439" s="21">
        <v>0</v>
      </c>
    </row>
    <row r="440" spans="1:14">
      <c r="A440" s="10">
        <v>12</v>
      </c>
      <c r="B440" s="75">
        <v>40829</v>
      </c>
      <c r="C440" s="10">
        <v>2011</v>
      </c>
      <c r="D440" s="4" t="s">
        <v>22</v>
      </c>
      <c r="E440" s="10">
        <v>10</v>
      </c>
      <c r="F440" s="22">
        <v>4.702</v>
      </c>
      <c r="G440" s="21">
        <v>0</v>
      </c>
    </row>
    <row r="441" spans="1:14">
      <c r="A441" s="10">
        <v>13</v>
      </c>
      <c r="B441" s="75">
        <v>40829</v>
      </c>
      <c r="C441" s="10">
        <v>2011</v>
      </c>
      <c r="D441" s="4" t="s">
        <v>22</v>
      </c>
      <c r="E441" s="10">
        <v>10</v>
      </c>
      <c r="F441" s="22">
        <v>2.5640000000000001</v>
      </c>
      <c r="G441" s="21">
        <v>0</v>
      </c>
      <c r="I441" s="21">
        <f>AVERAGE(F439:F441)</f>
        <v>3.8320000000000003</v>
      </c>
      <c r="J441" s="21">
        <f>AVERAGE(G439:G441)</f>
        <v>0</v>
      </c>
      <c r="L441">
        <f>+J441/I441</f>
        <v>0</v>
      </c>
      <c r="M441">
        <f>+(L441-$L$927)/$L$928</f>
        <v>-0.43753089105951098</v>
      </c>
      <c r="N441">
        <f>+N438+M441</f>
        <v>-4.4685342417255507</v>
      </c>
    </row>
    <row r="442" spans="1:14">
      <c r="A442" s="10">
        <v>11</v>
      </c>
      <c r="B442" s="76">
        <v>40877</v>
      </c>
      <c r="C442" s="10">
        <v>2011</v>
      </c>
      <c r="D442" s="4" t="s">
        <v>23</v>
      </c>
      <c r="E442" s="10">
        <v>11</v>
      </c>
      <c r="F442" s="22">
        <v>5.2469999999999999</v>
      </c>
      <c r="G442" s="21">
        <v>0</v>
      </c>
    </row>
    <row r="443" spans="1:14">
      <c r="A443" s="10">
        <v>12</v>
      </c>
      <c r="B443" s="76">
        <v>40877</v>
      </c>
      <c r="C443" s="10">
        <v>2011</v>
      </c>
      <c r="D443" s="4" t="s">
        <v>23</v>
      </c>
      <c r="E443" s="10">
        <v>11</v>
      </c>
      <c r="F443" s="22">
        <v>3.9009999999999998</v>
      </c>
      <c r="G443" s="21">
        <v>2.0942624999999996E-2</v>
      </c>
    </row>
    <row r="444" spans="1:14">
      <c r="A444" s="10">
        <v>12</v>
      </c>
      <c r="B444" s="76">
        <v>40877</v>
      </c>
      <c r="C444" s="10">
        <v>2011</v>
      </c>
      <c r="D444" s="4" t="s">
        <v>23</v>
      </c>
      <c r="E444" s="10">
        <v>11</v>
      </c>
      <c r="F444" s="22">
        <v>3.9009999999999998</v>
      </c>
      <c r="G444" s="21">
        <v>0</v>
      </c>
      <c r="H444" t="s">
        <v>41</v>
      </c>
      <c r="I444" s="21"/>
      <c r="J444" s="21"/>
    </row>
    <row r="445" spans="1:14">
      <c r="A445" s="10">
        <v>13</v>
      </c>
      <c r="B445" s="76">
        <v>40877</v>
      </c>
      <c r="C445" s="10">
        <v>2011</v>
      </c>
      <c r="D445" s="4" t="s">
        <v>23</v>
      </c>
      <c r="E445" s="10">
        <v>11</v>
      </c>
      <c r="F445" s="22">
        <v>4.9690000000000003</v>
      </c>
      <c r="G445" s="21">
        <v>0</v>
      </c>
      <c r="I445" s="21">
        <f>AVERAGE(F442:F445)</f>
        <v>4.5045000000000002</v>
      </c>
      <c r="J445" s="21">
        <f>AVERAGE(G442:G445)</f>
        <v>5.235656249999999E-3</v>
      </c>
      <c r="L445">
        <f>+J445/I445</f>
        <v>1.1623168498168495E-3</v>
      </c>
      <c r="M445">
        <f>+(L445-$L$927)/$L$928</f>
        <v>-0.31815489195180052</v>
      </c>
      <c r="N445">
        <f>+N441+M445</f>
        <v>-4.7866891336773509</v>
      </c>
    </row>
    <row r="446" spans="1:14">
      <c r="A446" s="10">
        <v>11</v>
      </c>
      <c r="B446" s="76">
        <v>40891</v>
      </c>
      <c r="C446" s="10">
        <v>2011</v>
      </c>
      <c r="D446" s="4" t="s">
        <v>24</v>
      </c>
      <c r="E446" s="10">
        <v>12</v>
      </c>
      <c r="F446" s="22">
        <v>5.8280000000000003</v>
      </c>
      <c r="G446" s="21">
        <v>0</v>
      </c>
    </row>
    <row r="447" spans="1:14">
      <c r="A447" s="10">
        <v>12</v>
      </c>
      <c r="B447" s="76">
        <v>40891</v>
      </c>
      <c r="C447" s="10">
        <v>2011</v>
      </c>
      <c r="D447" s="4" t="s">
        <v>24</v>
      </c>
      <c r="E447" s="10">
        <v>12</v>
      </c>
      <c r="F447" s="22">
        <v>3.7679999999999998</v>
      </c>
      <c r="G447" s="21">
        <v>0</v>
      </c>
    </row>
    <row r="448" spans="1:14">
      <c r="A448" s="10">
        <v>13</v>
      </c>
      <c r="B448" s="76">
        <v>40891</v>
      </c>
      <c r="C448" s="10">
        <v>2011</v>
      </c>
      <c r="D448" s="4" t="s">
        <v>24</v>
      </c>
      <c r="E448" s="10">
        <v>12</v>
      </c>
      <c r="F448" s="22">
        <v>2.89</v>
      </c>
      <c r="G448" s="21">
        <v>0</v>
      </c>
      <c r="I448" s="21">
        <f>AVERAGE(F446:F448)</f>
        <v>4.1619999999999999</v>
      </c>
      <c r="J448" s="21">
        <f>AVERAGE(G446:G448)</f>
        <v>0</v>
      </c>
      <c r="L448">
        <f>+J448/I448</f>
        <v>0</v>
      </c>
      <c r="M448">
        <f>+(L448-$L$927)/$L$928</f>
        <v>-0.43753089105951098</v>
      </c>
      <c r="N448">
        <f>+N445+M448</f>
        <v>-5.2242200247368622</v>
      </c>
    </row>
    <row r="449" spans="1:14">
      <c r="A449" s="10">
        <v>11</v>
      </c>
      <c r="B449" s="75">
        <v>40919</v>
      </c>
      <c r="C449" s="10">
        <v>2012</v>
      </c>
      <c r="D449" s="4" t="s">
        <v>25</v>
      </c>
      <c r="E449" s="10">
        <v>1</v>
      </c>
      <c r="F449" s="24">
        <v>3.1659999999999999</v>
      </c>
      <c r="G449" s="21">
        <v>0</v>
      </c>
    </row>
    <row r="450" spans="1:14">
      <c r="A450" s="10">
        <v>12</v>
      </c>
      <c r="B450" s="75">
        <v>40919</v>
      </c>
      <c r="C450" s="10">
        <v>2012</v>
      </c>
      <c r="D450" s="4" t="s">
        <v>25</v>
      </c>
      <c r="E450" s="10">
        <v>1</v>
      </c>
      <c r="F450" s="24">
        <v>1.8680000000000001</v>
      </c>
      <c r="G450" s="21">
        <v>0</v>
      </c>
    </row>
    <row r="451" spans="1:14">
      <c r="A451" s="10">
        <v>13</v>
      </c>
      <c r="B451" s="75">
        <v>40919</v>
      </c>
      <c r="C451" s="10">
        <v>2012</v>
      </c>
      <c r="D451" s="4" t="s">
        <v>25</v>
      </c>
      <c r="E451" s="10">
        <v>1</v>
      </c>
      <c r="F451" s="24">
        <v>1.752</v>
      </c>
      <c r="G451" s="21">
        <v>0</v>
      </c>
      <c r="I451" s="21">
        <f>AVERAGE(F449:F451)</f>
        <v>2.262</v>
      </c>
      <c r="J451" s="21">
        <f>AVERAGE(G449:G451)</f>
        <v>0</v>
      </c>
      <c r="L451">
        <f>+J451/I451</f>
        <v>0</v>
      </c>
      <c r="M451">
        <f>+(L451-$L$927)/$L$928</f>
        <v>-0.43753089105951098</v>
      </c>
      <c r="N451">
        <f>+N448+M451</f>
        <v>-5.6617509157963735</v>
      </c>
    </row>
    <row r="452" spans="1:14">
      <c r="A452" s="10">
        <v>11</v>
      </c>
      <c r="B452" s="75">
        <v>40960</v>
      </c>
      <c r="C452" s="10">
        <v>2012</v>
      </c>
      <c r="D452" s="4" t="s">
        <v>14</v>
      </c>
      <c r="E452" s="10">
        <v>2</v>
      </c>
      <c r="F452" s="24">
        <v>10.074</v>
      </c>
      <c r="G452" s="21">
        <v>0</v>
      </c>
    </row>
    <row r="453" spans="1:14">
      <c r="A453" s="10">
        <v>12</v>
      </c>
      <c r="B453" s="75">
        <v>40960</v>
      </c>
      <c r="C453" s="10">
        <v>2012</v>
      </c>
      <c r="D453" s="4" t="s">
        <v>14</v>
      </c>
      <c r="E453" s="10">
        <v>2</v>
      </c>
      <c r="F453" s="24">
        <v>3.7719999999999998</v>
      </c>
      <c r="G453" s="21">
        <v>0</v>
      </c>
    </row>
    <row r="454" spans="1:14">
      <c r="A454" s="10">
        <v>13</v>
      </c>
      <c r="B454" s="75">
        <v>40960</v>
      </c>
      <c r="C454" s="10">
        <v>2012</v>
      </c>
      <c r="D454" s="4" t="s">
        <v>14</v>
      </c>
      <c r="E454" s="10">
        <v>2</v>
      </c>
      <c r="F454" s="24">
        <v>2.944</v>
      </c>
      <c r="G454" s="21">
        <v>0</v>
      </c>
      <c r="I454" s="21">
        <f>AVERAGE(F452:F454)</f>
        <v>5.5966666666666667</v>
      </c>
      <c r="J454" s="21">
        <f>AVERAGE(G452:G454)</f>
        <v>0</v>
      </c>
      <c r="L454">
        <f>+J454/I454</f>
        <v>0</v>
      </c>
      <c r="M454">
        <f>+(L454-$L$927)/$L$928</f>
        <v>-0.43753089105951098</v>
      </c>
      <c r="N454">
        <f>+N451+M454</f>
        <v>-6.0992818068558847</v>
      </c>
    </row>
    <row r="455" spans="1:14">
      <c r="A455" s="10">
        <v>11</v>
      </c>
      <c r="B455" s="75">
        <v>40982</v>
      </c>
      <c r="C455" s="10">
        <v>2012</v>
      </c>
      <c r="D455" s="4" t="s">
        <v>15</v>
      </c>
      <c r="E455" s="10">
        <v>3</v>
      </c>
      <c r="F455" s="24">
        <v>4.5389999999999997</v>
      </c>
      <c r="G455" s="21">
        <v>0</v>
      </c>
    </row>
    <row r="456" spans="1:14">
      <c r="A456" s="10">
        <v>12</v>
      </c>
      <c r="B456" s="75">
        <v>40982</v>
      </c>
      <c r="C456" s="10">
        <v>2012</v>
      </c>
      <c r="D456" s="4" t="s">
        <v>15</v>
      </c>
      <c r="E456" s="10">
        <v>3</v>
      </c>
      <c r="F456" s="24">
        <v>4.1820000000000004</v>
      </c>
      <c r="G456" s="21">
        <v>0</v>
      </c>
    </row>
    <row r="457" spans="1:14">
      <c r="A457" s="10">
        <v>13</v>
      </c>
      <c r="B457" s="75">
        <v>40982</v>
      </c>
      <c r="C457" s="10">
        <v>2012</v>
      </c>
      <c r="D457" s="4" t="s">
        <v>15</v>
      </c>
      <c r="E457" s="10">
        <v>3</v>
      </c>
      <c r="F457" s="24">
        <v>4.2619999999999996</v>
      </c>
      <c r="G457" s="21">
        <v>2.7018875000000001E-2</v>
      </c>
      <c r="I457" s="21">
        <f>AVERAGE(F455:F457)</f>
        <v>4.3276666666666666</v>
      </c>
      <c r="J457" s="21">
        <f>AVERAGE(G455:G457)</f>
        <v>9.0062916666666677E-3</v>
      </c>
      <c r="L457">
        <f>+J457/I457</f>
        <v>2.0810964337980441E-3</v>
      </c>
      <c r="M457">
        <f>+(L457-$L$927)/$L$928</f>
        <v>-0.22379143949492158</v>
      </c>
      <c r="N457">
        <f>+N454+M457</f>
        <v>-6.3230732463508064</v>
      </c>
    </row>
    <row r="458" spans="1:14">
      <c r="A458" s="10">
        <v>11</v>
      </c>
      <c r="B458" s="75">
        <v>41016</v>
      </c>
      <c r="C458" s="10">
        <v>2012</v>
      </c>
      <c r="D458" s="4" t="s">
        <v>16</v>
      </c>
      <c r="E458" s="10">
        <v>4</v>
      </c>
      <c r="F458" s="20">
        <v>2.2309999999999999</v>
      </c>
      <c r="G458" s="21">
        <v>0</v>
      </c>
    </row>
    <row r="459" spans="1:14">
      <c r="A459" s="10">
        <v>12</v>
      </c>
      <c r="B459" s="75">
        <v>41016</v>
      </c>
      <c r="C459" s="10">
        <v>2012</v>
      </c>
      <c r="D459" s="4" t="s">
        <v>16</v>
      </c>
      <c r="E459" s="10">
        <v>4</v>
      </c>
      <c r="F459" s="20">
        <v>3.3519999999999999</v>
      </c>
      <c r="G459" s="21">
        <v>3.5607999999999994E-2</v>
      </c>
    </row>
    <row r="460" spans="1:14">
      <c r="A460" s="10">
        <v>13</v>
      </c>
      <c r="B460" s="75">
        <v>41016</v>
      </c>
      <c r="C460" s="10">
        <v>2012</v>
      </c>
      <c r="D460" s="4" t="s">
        <v>16</v>
      </c>
      <c r="E460" s="10">
        <v>4</v>
      </c>
      <c r="F460" s="20">
        <v>3.3849999999999998</v>
      </c>
      <c r="G460" s="21">
        <v>0</v>
      </c>
      <c r="I460" s="21">
        <f>AVERAGE(F458:F460)</f>
        <v>2.9893333333333332</v>
      </c>
      <c r="J460" s="21">
        <f>AVERAGE(G458:G460)</f>
        <v>1.1869333333333331E-2</v>
      </c>
      <c r="L460">
        <f>+J460/I460</f>
        <v>3.9705619982158781E-3</v>
      </c>
      <c r="M460">
        <f>+(L460-$L$927)/$L$928</f>
        <v>-2.973347710064439E-2</v>
      </c>
      <c r="N460">
        <f>+N457+M460</f>
        <v>-6.3528067234514509</v>
      </c>
    </row>
    <row r="461" spans="1:14">
      <c r="A461" s="10">
        <v>11</v>
      </c>
      <c r="B461" s="75">
        <v>41051</v>
      </c>
      <c r="C461" s="10">
        <v>2012</v>
      </c>
      <c r="D461" s="4" t="s">
        <v>17</v>
      </c>
      <c r="E461" s="10">
        <v>5</v>
      </c>
      <c r="F461" s="20">
        <v>4.1159999999999997</v>
      </c>
      <c r="G461" s="21">
        <v>0</v>
      </c>
    </row>
    <row r="462" spans="1:14">
      <c r="A462" s="10">
        <v>12</v>
      </c>
      <c r="B462" s="75">
        <v>41051</v>
      </c>
      <c r="C462" s="10">
        <v>2012</v>
      </c>
      <c r="D462" s="4" t="s">
        <v>17</v>
      </c>
      <c r="E462" s="10">
        <v>5</v>
      </c>
      <c r="F462" s="20">
        <v>3.0649999999999999</v>
      </c>
      <c r="G462" s="21">
        <v>0</v>
      </c>
    </row>
    <row r="463" spans="1:14">
      <c r="A463" s="10">
        <v>13</v>
      </c>
      <c r="B463" s="75">
        <v>41051</v>
      </c>
      <c r="C463" s="10">
        <v>2012</v>
      </c>
      <c r="D463" s="4" t="s">
        <v>17</v>
      </c>
      <c r="E463" s="10">
        <v>5</v>
      </c>
      <c r="F463" s="20">
        <v>3.484</v>
      </c>
      <c r="G463" s="21">
        <v>0</v>
      </c>
      <c r="I463" s="21">
        <f>AVERAGE(F461:F463)</f>
        <v>3.5549999999999997</v>
      </c>
      <c r="J463" s="21">
        <f>AVERAGE(G461:G463)</f>
        <v>0</v>
      </c>
      <c r="L463">
        <f>+J463/I463</f>
        <v>0</v>
      </c>
      <c r="M463">
        <f>+(L463-$L$927)/$L$928</f>
        <v>-0.43753089105951098</v>
      </c>
      <c r="N463">
        <f>+N460+M463</f>
        <v>-6.7903376145109622</v>
      </c>
    </row>
    <row r="464" spans="1:14">
      <c r="A464" s="10">
        <v>11</v>
      </c>
      <c r="B464" s="75">
        <v>41080</v>
      </c>
      <c r="C464" s="10">
        <v>2012</v>
      </c>
      <c r="D464" s="4" t="s">
        <v>18</v>
      </c>
      <c r="E464" s="10">
        <v>6</v>
      </c>
      <c r="F464" s="20">
        <v>6.0650000000000004</v>
      </c>
      <c r="G464" s="21">
        <v>9.1619499999999993E-2</v>
      </c>
    </row>
    <row r="465" spans="1:14">
      <c r="A465" s="10">
        <v>12</v>
      </c>
      <c r="B465" s="75">
        <v>41080</v>
      </c>
      <c r="C465" s="10">
        <v>2012</v>
      </c>
      <c r="D465" s="4" t="s">
        <v>18</v>
      </c>
      <c r="E465" s="10">
        <v>6</v>
      </c>
      <c r="F465" s="20">
        <v>7.391</v>
      </c>
      <c r="G465" s="21">
        <v>0.14106712499999996</v>
      </c>
    </row>
    <row r="466" spans="1:14">
      <c r="A466" s="10">
        <v>13</v>
      </c>
      <c r="B466" s="75">
        <v>41080</v>
      </c>
      <c r="C466" s="10">
        <v>2012</v>
      </c>
      <c r="D466" s="4" t="s">
        <v>18</v>
      </c>
      <c r="E466" s="10">
        <v>6</v>
      </c>
      <c r="F466" s="20">
        <v>3.9510000000000001</v>
      </c>
      <c r="G466" s="21">
        <v>9.9630499999999983E-2</v>
      </c>
      <c r="I466" s="21">
        <f>AVERAGE(F464:F466)</f>
        <v>5.8023333333333333</v>
      </c>
      <c r="J466" s="21">
        <f>AVERAGE(G464:G466)</f>
        <v>0.11077237499999998</v>
      </c>
      <c r="L466">
        <f>+J466/I466</f>
        <v>1.9091005055437465E-2</v>
      </c>
      <c r="M466">
        <f>+(L466-$L$927)/$L$928</f>
        <v>1.5232148409001602</v>
      </c>
      <c r="N466">
        <f>+N463+M466</f>
        <v>-5.2671227736108017</v>
      </c>
    </row>
    <row r="467" spans="1:14">
      <c r="A467" s="10">
        <v>11</v>
      </c>
      <c r="B467" s="75">
        <v>41106</v>
      </c>
      <c r="C467" s="10">
        <v>2012</v>
      </c>
      <c r="D467" s="4" t="s">
        <v>19</v>
      </c>
      <c r="E467" s="10">
        <v>7</v>
      </c>
      <c r="F467" s="20">
        <v>11.896000000000001</v>
      </c>
      <c r="G467" s="21">
        <v>0</v>
      </c>
    </row>
    <row r="468" spans="1:14">
      <c r="A468" s="10">
        <v>12</v>
      </c>
      <c r="B468" s="75">
        <v>41106</v>
      </c>
      <c r="C468" s="10">
        <v>2012</v>
      </c>
      <c r="D468" s="4" t="s">
        <v>19</v>
      </c>
      <c r="E468" s="10">
        <v>7</v>
      </c>
      <c r="F468" s="20">
        <v>14.032999999999999</v>
      </c>
      <c r="G468" s="21">
        <v>0</v>
      </c>
    </row>
    <row r="469" spans="1:14">
      <c r="A469" s="10">
        <v>13</v>
      </c>
      <c r="B469" s="75">
        <v>41106</v>
      </c>
      <c r="C469" s="10">
        <v>2012</v>
      </c>
      <c r="D469" s="4" t="s">
        <v>19</v>
      </c>
      <c r="E469" s="10">
        <v>7</v>
      </c>
      <c r="F469" s="20">
        <v>17.782</v>
      </c>
      <c r="G469" s="21">
        <v>0</v>
      </c>
      <c r="I469" s="21">
        <f>AVERAGE(F467:F469)</f>
        <v>14.570333333333332</v>
      </c>
      <c r="J469" s="21">
        <f>AVERAGE(G467:G469)</f>
        <v>0</v>
      </c>
      <c r="L469">
        <f>+J469/I469</f>
        <v>0</v>
      </c>
      <c r="M469">
        <f>+(L469-$L$927)/$L$928</f>
        <v>-0.43753089105951098</v>
      </c>
      <c r="N469">
        <f>+N466+M469</f>
        <v>-5.704653664670313</v>
      </c>
    </row>
    <row r="470" spans="1:14">
      <c r="A470" s="10">
        <v>11</v>
      </c>
      <c r="B470" s="75">
        <v>41137</v>
      </c>
      <c r="C470" s="10">
        <v>2012</v>
      </c>
      <c r="D470" s="4" t="s">
        <v>20</v>
      </c>
      <c r="E470" s="10">
        <v>8</v>
      </c>
      <c r="F470" s="20">
        <v>7.7460000000000004</v>
      </c>
      <c r="G470" s="21">
        <v>0</v>
      </c>
    </row>
    <row r="471" spans="1:14">
      <c r="A471" s="10">
        <v>12</v>
      </c>
      <c r="B471" s="75">
        <v>41137</v>
      </c>
      <c r="C471" s="10">
        <v>2012</v>
      </c>
      <c r="D471" s="4" t="s">
        <v>20</v>
      </c>
      <c r="E471" s="10">
        <v>8</v>
      </c>
      <c r="F471" s="20">
        <v>9.8290000000000006</v>
      </c>
      <c r="G471" s="21">
        <v>0</v>
      </c>
    </row>
    <row r="472" spans="1:14">
      <c r="A472" s="10">
        <v>13</v>
      </c>
      <c r="B472" s="75">
        <v>41137</v>
      </c>
      <c r="C472" s="10">
        <v>2012</v>
      </c>
      <c r="D472" s="4" t="s">
        <v>20</v>
      </c>
      <c r="E472" s="10">
        <v>8</v>
      </c>
      <c r="F472" s="20">
        <v>11.077</v>
      </c>
      <c r="G472" s="21">
        <v>3.976387499999999E-2</v>
      </c>
      <c r="I472" s="21">
        <f>AVERAGE(F470:F472)</f>
        <v>9.5506666666666664</v>
      </c>
      <c r="J472" s="21">
        <f>AVERAGE(G470:G472)</f>
        <v>1.3254624999999997E-2</v>
      </c>
      <c r="L472">
        <f>+J472/I472</f>
        <v>1.3878219670529106E-3</v>
      </c>
      <c r="M472">
        <f>+(L472-$L$927)/$L$928</f>
        <v>-0.29499434095557431</v>
      </c>
      <c r="N472">
        <f>+N469+M472</f>
        <v>-5.999648005625887</v>
      </c>
    </row>
    <row r="473" spans="1:14">
      <c r="A473" s="10">
        <v>11</v>
      </c>
      <c r="B473" s="75">
        <v>41163</v>
      </c>
      <c r="C473" s="10">
        <v>2012</v>
      </c>
      <c r="D473" s="4" t="s">
        <v>26</v>
      </c>
      <c r="E473" s="10">
        <v>9</v>
      </c>
      <c r="F473" s="20">
        <v>17.579999999999998</v>
      </c>
      <c r="G473" s="21">
        <v>0</v>
      </c>
    </row>
    <row r="474" spans="1:14">
      <c r="A474" s="10">
        <v>12</v>
      </c>
      <c r="B474" s="75">
        <v>41163</v>
      </c>
      <c r="C474" s="10">
        <v>2012</v>
      </c>
      <c r="D474" s="4" t="s">
        <v>26</v>
      </c>
      <c r="E474" s="10">
        <v>9</v>
      </c>
      <c r="F474" s="20">
        <v>11.577999999999999</v>
      </c>
      <c r="G474" s="21">
        <v>0</v>
      </c>
    </row>
    <row r="475" spans="1:14">
      <c r="A475" s="10">
        <v>13</v>
      </c>
      <c r="B475" s="75">
        <v>41163</v>
      </c>
      <c r="C475" s="10">
        <v>2012</v>
      </c>
      <c r="D475" s="4" t="s">
        <v>26</v>
      </c>
      <c r="E475" s="10">
        <v>9</v>
      </c>
      <c r="F475" s="20">
        <v>11.763</v>
      </c>
      <c r="G475" s="21">
        <v>0</v>
      </c>
      <c r="I475" s="21">
        <f>AVERAGE(F473:F475)</f>
        <v>13.640333333333333</v>
      </c>
      <c r="J475" s="21">
        <f>AVERAGE(G473:G475)</f>
        <v>0</v>
      </c>
      <c r="L475">
        <f>+J475/I475</f>
        <v>0</v>
      </c>
      <c r="M475">
        <f>+(L475-$L$927)/$L$928</f>
        <v>-0.43753089105951098</v>
      </c>
      <c r="N475">
        <f>+N472+M475</f>
        <v>-6.4371788966853982</v>
      </c>
    </row>
    <row r="476" spans="1:14">
      <c r="A476" s="10">
        <v>11</v>
      </c>
      <c r="B476" s="75">
        <v>41199</v>
      </c>
      <c r="C476" s="10">
        <v>2012</v>
      </c>
      <c r="D476" s="4" t="s">
        <v>22</v>
      </c>
      <c r="E476" s="10">
        <v>10</v>
      </c>
      <c r="F476" s="20">
        <v>4.9379999999999997</v>
      </c>
      <c r="G476" s="21">
        <v>0</v>
      </c>
    </row>
    <row r="477" spans="1:14">
      <c r="A477" s="10">
        <v>11</v>
      </c>
      <c r="B477" s="75">
        <v>41199</v>
      </c>
      <c r="C477" s="10">
        <v>2012</v>
      </c>
      <c r="D477" s="4" t="s">
        <v>22</v>
      </c>
      <c r="E477" s="10">
        <v>10</v>
      </c>
      <c r="F477" s="20">
        <v>4.9379999999999997</v>
      </c>
      <c r="G477" s="21">
        <v>0</v>
      </c>
      <c r="H477" t="s">
        <v>41</v>
      </c>
    </row>
    <row r="478" spans="1:14">
      <c r="A478" s="10">
        <v>12</v>
      </c>
      <c r="B478" s="75">
        <v>41199</v>
      </c>
      <c r="C478" s="10">
        <v>2012</v>
      </c>
      <c r="D478" s="4" t="s">
        <v>22</v>
      </c>
      <c r="E478" s="10">
        <v>10</v>
      </c>
      <c r="F478" s="20">
        <v>7.0069999999999997</v>
      </c>
      <c r="G478" s="21">
        <v>0</v>
      </c>
    </row>
    <row r="479" spans="1:14">
      <c r="A479" s="10">
        <v>13</v>
      </c>
      <c r="B479" s="75">
        <v>41199</v>
      </c>
      <c r="C479" s="10">
        <v>2012</v>
      </c>
      <c r="D479" s="4" t="s">
        <v>22</v>
      </c>
      <c r="E479" s="10">
        <v>10</v>
      </c>
      <c r="F479" s="20">
        <v>3.952</v>
      </c>
      <c r="G479" s="21">
        <v>0</v>
      </c>
      <c r="I479" s="21">
        <f>AVERAGE(F476:F479)</f>
        <v>5.2087500000000002</v>
      </c>
      <c r="J479" s="21">
        <f>AVERAGE(G476:G479)</f>
        <v>0</v>
      </c>
      <c r="L479">
        <f>+J479/I479</f>
        <v>0</v>
      </c>
      <c r="M479">
        <f>+(L479-$L$927)/$L$928</f>
        <v>-0.43753089105951098</v>
      </c>
      <c r="N479">
        <f>+N475+M479</f>
        <v>-6.8747097877449095</v>
      </c>
    </row>
    <row r="480" spans="1:14">
      <c r="A480" s="10">
        <v>11</v>
      </c>
      <c r="B480" s="75">
        <v>41225</v>
      </c>
      <c r="C480" s="10">
        <v>2012</v>
      </c>
      <c r="D480" s="4" t="s">
        <v>23</v>
      </c>
      <c r="E480" s="10">
        <v>11</v>
      </c>
      <c r="F480" s="20">
        <v>3.0910000000000002</v>
      </c>
      <c r="G480" s="21">
        <v>0</v>
      </c>
    </row>
    <row r="481" spans="1:14">
      <c r="A481" s="10">
        <v>12</v>
      </c>
      <c r="B481" s="75">
        <v>41225</v>
      </c>
      <c r="C481" s="10">
        <v>2012</v>
      </c>
      <c r="D481" s="4" t="s">
        <v>23</v>
      </c>
      <c r="E481" s="10">
        <v>11</v>
      </c>
      <c r="F481" s="20">
        <v>2.972</v>
      </c>
      <c r="G481" s="21">
        <v>0</v>
      </c>
    </row>
    <row r="482" spans="1:14">
      <c r="A482" s="10">
        <v>13</v>
      </c>
      <c r="B482" s="75">
        <v>41225</v>
      </c>
      <c r="C482" s="10">
        <v>2012</v>
      </c>
      <c r="D482" s="4" t="s">
        <v>23</v>
      </c>
      <c r="E482" s="10">
        <v>11</v>
      </c>
      <c r="F482" s="20">
        <v>3.5569999999999999</v>
      </c>
      <c r="G482" s="21">
        <v>0</v>
      </c>
      <c r="I482" s="21">
        <f>AVERAGE(F480:F482)</f>
        <v>3.206666666666667</v>
      </c>
      <c r="J482" s="21">
        <f>AVERAGE(G480:G482)</f>
        <v>0</v>
      </c>
      <c r="L482">
        <f>+J482/I482</f>
        <v>0</v>
      </c>
      <c r="M482">
        <f>+(L482-$L$927)/$L$928</f>
        <v>-0.43753089105951098</v>
      </c>
      <c r="N482">
        <f>+N479+M482</f>
        <v>-7.3122406788044207</v>
      </c>
    </row>
    <row r="483" spans="1:14">
      <c r="A483" s="10">
        <v>11</v>
      </c>
      <c r="B483" s="75">
        <v>41255</v>
      </c>
      <c r="C483" s="10">
        <v>2012</v>
      </c>
      <c r="D483" s="4" t="s">
        <v>24</v>
      </c>
      <c r="E483" s="10">
        <v>12</v>
      </c>
      <c r="F483" s="20">
        <v>4.9489999999999998</v>
      </c>
      <c r="G483" s="21">
        <v>0</v>
      </c>
    </row>
    <row r="484" spans="1:14">
      <c r="A484" s="10">
        <v>12</v>
      </c>
      <c r="B484" s="75">
        <v>41255</v>
      </c>
      <c r="C484" s="10">
        <v>2012</v>
      </c>
      <c r="D484" s="4" t="s">
        <v>24</v>
      </c>
      <c r="E484" s="10">
        <v>12</v>
      </c>
      <c r="F484" s="20">
        <v>3.1360000000000001</v>
      </c>
      <c r="G484" s="21">
        <v>9.1177499999999991E-3</v>
      </c>
    </row>
    <row r="485" spans="1:14">
      <c r="A485" s="10">
        <v>12</v>
      </c>
      <c r="B485" s="75">
        <v>41255</v>
      </c>
      <c r="C485" s="10">
        <v>2012</v>
      </c>
      <c r="D485" s="4" t="s">
        <v>24</v>
      </c>
      <c r="E485" s="10">
        <v>12</v>
      </c>
      <c r="F485" s="20">
        <v>3.1360000000000001</v>
      </c>
      <c r="G485" s="21">
        <v>5.728375E-3</v>
      </c>
      <c r="H485" t="s">
        <v>41</v>
      </c>
    </row>
    <row r="486" spans="1:14">
      <c r="A486" s="10">
        <v>13</v>
      </c>
      <c r="B486" s="75">
        <v>41255</v>
      </c>
      <c r="C486" s="10">
        <v>2012</v>
      </c>
      <c r="D486" s="4" t="s">
        <v>24</v>
      </c>
      <c r="E486" s="10">
        <v>12</v>
      </c>
      <c r="F486" s="20">
        <v>3.4969999999999999</v>
      </c>
      <c r="G486" s="21">
        <v>0</v>
      </c>
      <c r="I486" s="21">
        <f>AVERAGE(F483:F486)</f>
        <v>3.6795</v>
      </c>
      <c r="J486" s="21">
        <f>AVERAGE(G483:G486)</f>
        <v>3.7115312499999996E-3</v>
      </c>
      <c r="L486">
        <f>+J486/I486</f>
        <v>1.0087053268107078E-3</v>
      </c>
      <c r="M486">
        <f>+(L486-$L$927)/$L$928</f>
        <v>-0.33393159607185591</v>
      </c>
      <c r="N486">
        <f>+N482+M486</f>
        <v>-7.6461722748762764</v>
      </c>
    </row>
    <row r="487" spans="1:14">
      <c r="A487" s="10">
        <v>11</v>
      </c>
      <c r="B487" s="75">
        <v>41297</v>
      </c>
      <c r="C487" s="10">
        <v>2013</v>
      </c>
      <c r="D487" s="4" t="s">
        <v>25</v>
      </c>
      <c r="E487" s="10">
        <v>1</v>
      </c>
      <c r="F487" s="20">
        <v>4.6619999999999999</v>
      </c>
      <c r="G487" s="21">
        <v>0</v>
      </c>
    </row>
    <row r="488" spans="1:14">
      <c r="A488" s="10">
        <v>12</v>
      </c>
      <c r="B488" s="75">
        <v>41297</v>
      </c>
      <c r="C488" s="10">
        <v>2013</v>
      </c>
      <c r="D488" s="4" t="s">
        <v>25</v>
      </c>
      <c r="E488" s="10">
        <v>1</v>
      </c>
      <c r="F488" s="20">
        <v>2.7789999999999999</v>
      </c>
      <c r="G488" s="21">
        <v>0</v>
      </c>
    </row>
    <row r="489" spans="1:14">
      <c r="A489" s="10">
        <v>13</v>
      </c>
      <c r="B489" s="75">
        <v>41297</v>
      </c>
      <c r="C489" s="10">
        <v>2013</v>
      </c>
      <c r="D489" s="4" t="s">
        <v>25</v>
      </c>
      <c r="E489" s="10">
        <v>1</v>
      </c>
      <c r="F489" s="20">
        <v>5.9459999999999997</v>
      </c>
      <c r="G489" s="21">
        <v>0</v>
      </c>
      <c r="I489" s="21">
        <f>AVERAGE(F487:F489)</f>
        <v>4.4623333333333335</v>
      </c>
      <c r="J489" s="21">
        <f>AVERAGE(G487:G489)</f>
        <v>0</v>
      </c>
      <c r="L489">
        <f>+J489/I489</f>
        <v>0</v>
      </c>
      <c r="M489">
        <f>+(L489-$L$927)/$L$928</f>
        <v>-0.43753089105951098</v>
      </c>
      <c r="N489">
        <f>+N486+M489</f>
        <v>-8.0837031659357876</v>
      </c>
    </row>
    <row r="490" spans="1:14">
      <c r="A490" s="10">
        <v>11</v>
      </c>
      <c r="B490" s="75">
        <v>41319</v>
      </c>
      <c r="C490" s="10">
        <v>2013</v>
      </c>
      <c r="D490" s="4" t="s">
        <v>14</v>
      </c>
      <c r="E490" s="10">
        <v>2</v>
      </c>
      <c r="F490" s="25">
        <v>7.484</v>
      </c>
      <c r="G490" s="21">
        <v>0</v>
      </c>
    </row>
    <row r="491" spans="1:14">
      <c r="A491" s="10">
        <v>12</v>
      </c>
      <c r="B491" s="75">
        <v>41319</v>
      </c>
      <c r="C491" s="10">
        <v>2013</v>
      </c>
      <c r="D491" s="4" t="s">
        <v>14</v>
      </c>
      <c r="E491" s="10">
        <v>2</v>
      </c>
      <c r="F491" s="25">
        <v>4.5819999999999999</v>
      </c>
      <c r="G491" s="21">
        <v>0</v>
      </c>
    </row>
    <row r="492" spans="1:14">
      <c r="A492" s="10">
        <v>13</v>
      </c>
      <c r="B492" s="75">
        <v>41319</v>
      </c>
      <c r="C492" s="10">
        <v>2013</v>
      </c>
      <c r="D492" s="4" t="s">
        <v>14</v>
      </c>
      <c r="E492" s="10">
        <v>2</v>
      </c>
      <c r="F492" s="25">
        <v>1.8879999999999999</v>
      </c>
      <c r="G492" s="21">
        <v>0</v>
      </c>
      <c r="I492" s="21">
        <f>AVERAGE(F490:F492)</f>
        <v>4.6513333333333327</v>
      </c>
      <c r="J492" s="21">
        <f>AVERAGE(G490:G492)</f>
        <v>0</v>
      </c>
      <c r="L492">
        <f>+J492/I492</f>
        <v>0</v>
      </c>
      <c r="M492">
        <f>+(L492-$L$927)/$L$928</f>
        <v>-0.43753089105951098</v>
      </c>
      <c r="N492">
        <f>+N489+M492</f>
        <v>-8.5212340569952989</v>
      </c>
    </row>
    <row r="493" spans="1:14">
      <c r="A493" s="10">
        <v>11</v>
      </c>
      <c r="B493" s="75">
        <v>41346</v>
      </c>
      <c r="C493" s="10">
        <v>2013</v>
      </c>
      <c r="D493" s="4" t="s">
        <v>15</v>
      </c>
      <c r="E493" s="10">
        <v>3</v>
      </c>
      <c r="F493" s="25">
        <v>13.848000000000001</v>
      </c>
      <c r="G493" s="21">
        <v>0</v>
      </c>
    </row>
    <row r="494" spans="1:14">
      <c r="A494" s="10">
        <v>12</v>
      </c>
      <c r="B494" s="75">
        <v>41346</v>
      </c>
      <c r="C494" s="10">
        <v>2013</v>
      </c>
      <c r="D494" s="4" t="s">
        <v>15</v>
      </c>
      <c r="E494" s="10">
        <v>3</v>
      </c>
      <c r="F494" s="25">
        <v>9.6890000000000001</v>
      </c>
      <c r="G494" s="21">
        <v>0</v>
      </c>
    </row>
    <row r="495" spans="1:14">
      <c r="A495" s="10">
        <v>13</v>
      </c>
      <c r="B495" s="75">
        <v>41346</v>
      </c>
      <c r="C495" s="10">
        <v>2013</v>
      </c>
      <c r="D495" s="4" t="s">
        <v>15</v>
      </c>
      <c r="E495" s="10">
        <v>3</v>
      </c>
      <c r="F495" s="25">
        <v>5.9370000000000003</v>
      </c>
      <c r="G495" s="21">
        <v>0</v>
      </c>
      <c r="I495" s="21">
        <f>AVERAGE(F493:F495)</f>
        <v>9.8246666666666673</v>
      </c>
      <c r="J495" s="21">
        <f>AVERAGE(G493:G495)</f>
        <v>0</v>
      </c>
      <c r="L495">
        <f>+J495/I495</f>
        <v>0</v>
      </c>
      <c r="M495">
        <f>+(L495-$L$927)/$L$928</f>
        <v>-0.43753089105951098</v>
      </c>
      <c r="N495">
        <f>+N492+M495</f>
        <v>-8.9587649480548102</v>
      </c>
    </row>
    <row r="496" spans="1:14">
      <c r="A496" s="10">
        <v>11</v>
      </c>
      <c r="B496" s="75">
        <v>41380</v>
      </c>
      <c r="C496" s="10">
        <v>2013</v>
      </c>
      <c r="D496" s="4" t="s">
        <v>16</v>
      </c>
      <c r="E496" s="10">
        <v>4</v>
      </c>
      <c r="F496" s="26">
        <v>1.5489999999999999</v>
      </c>
      <c r="G496" s="21">
        <v>0</v>
      </c>
    </row>
    <row r="497" spans="1:14">
      <c r="A497" s="10">
        <v>12</v>
      </c>
      <c r="B497" s="75">
        <v>41380</v>
      </c>
      <c r="C497" s="10">
        <v>2013</v>
      </c>
      <c r="D497" s="4" t="s">
        <v>16</v>
      </c>
      <c r="E497" s="10">
        <v>4</v>
      </c>
      <c r="F497" s="26">
        <v>2.6190000000000002</v>
      </c>
      <c r="G497" s="21">
        <v>0</v>
      </c>
    </row>
    <row r="498" spans="1:14">
      <c r="A498" s="10">
        <v>13</v>
      </c>
      <c r="B498" s="75">
        <v>41380</v>
      </c>
      <c r="C498" s="10">
        <v>2013</v>
      </c>
      <c r="D498" s="4" t="s">
        <v>16</v>
      </c>
      <c r="E498" s="10">
        <v>4</v>
      </c>
      <c r="F498" s="26">
        <v>2.4119999999999999</v>
      </c>
      <c r="G498" s="21">
        <v>0</v>
      </c>
      <c r="I498" s="21">
        <f>AVERAGE(F496:F498)</f>
        <v>2.1933333333333334</v>
      </c>
      <c r="J498" s="21">
        <f>AVERAGE(G496:G498)</f>
        <v>0</v>
      </c>
      <c r="L498">
        <f>+J498/I498</f>
        <v>0</v>
      </c>
      <c r="M498">
        <f>+(L498-$L$927)/$L$928</f>
        <v>-0.43753089105951098</v>
      </c>
      <c r="N498">
        <f>+N495+M498</f>
        <v>-9.3962958391143214</v>
      </c>
    </row>
    <row r="499" spans="1:14">
      <c r="A499" s="10">
        <v>11</v>
      </c>
      <c r="B499" s="75">
        <v>41407</v>
      </c>
      <c r="C499" s="10">
        <v>2013</v>
      </c>
      <c r="D499" s="4" t="s">
        <v>17</v>
      </c>
      <c r="E499" s="10">
        <v>5</v>
      </c>
      <c r="F499" s="26">
        <v>2.3940000000000001</v>
      </c>
      <c r="G499" s="21">
        <v>0</v>
      </c>
    </row>
    <row r="500" spans="1:14">
      <c r="A500" s="10">
        <v>12</v>
      </c>
      <c r="B500" s="75">
        <v>41407</v>
      </c>
      <c r="C500" s="10">
        <v>2013</v>
      </c>
      <c r="D500" s="4" t="s">
        <v>17</v>
      </c>
      <c r="E500" s="10">
        <v>5</v>
      </c>
      <c r="F500" s="26">
        <v>2.3199999999999998</v>
      </c>
      <c r="G500" s="21">
        <v>0</v>
      </c>
    </row>
    <row r="501" spans="1:14">
      <c r="A501" s="10">
        <v>13</v>
      </c>
      <c r="B501" s="75">
        <v>41407</v>
      </c>
      <c r="C501" s="10">
        <v>2013</v>
      </c>
      <c r="D501" s="4" t="s">
        <v>17</v>
      </c>
      <c r="E501" s="10">
        <v>5</v>
      </c>
      <c r="F501" s="26">
        <v>5.3440000000000003</v>
      </c>
      <c r="G501" s="21">
        <v>0</v>
      </c>
      <c r="I501" s="21">
        <f>AVERAGE(F499:F501)</f>
        <v>3.3526666666666665</v>
      </c>
      <c r="J501" s="21">
        <f>AVERAGE(G499:G501)</f>
        <v>0</v>
      </c>
      <c r="L501">
        <f>+J501/I501</f>
        <v>0</v>
      </c>
      <c r="M501">
        <f>+(L501-$L$927)/$L$928</f>
        <v>-0.43753089105951098</v>
      </c>
      <c r="N501">
        <f>+N498+M501</f>
        <v>-9.8338267301738327</v>
      </c>
    </row>
    <row r="502" spans="1:14">
      <c r="A502" s="10">
        <v>11</v>
      </c>
      <c r="B502" s="75">
        <v>41437</v>
      </c>
      <c r="C502" s="10">
        <v>2013</v>
      </c>
      <c r="D502" s="4" t="s">
        <v>18</v>
      </c>
      <c r="E502" s="10">
        <v>6</v>
      </c>
      <c r="F502" s="26">
        <v>5.2050000000000001</v>
      </c>
      <c r="G502" s="21">
        <v>0</v>
      </c>
    </row>
    <row r="503" spans="1:14">
      <c r="A503" s="10">
        <v>12</v>
      </c>
      <c r="B503" s="75">
        <v>41437</v>
      </c>
      <c r="C503" s="10">
        <v>2013</v>
      </c>
      <c r="D503" s="4" t="s">
        <v>18</v>
      </c>
      <c r="E503" s="10">
        <v>6</v>
      </c>
      <c r="F503" s="26">
        <v>8.9550000000000001</v>
      </c>
      <c r="G503" s="21">
        <v>0</v>
      </c>
    </row>
    <row r="504" spans="1:14">
      <c r="A504" s="10">
        <v>13</v>
      </c>
      <c r="B504" s="75">
        <v>41437</v>
      </c>
      <c r="C504" s="10">
        <v>2013</v>
      </c>
      <c r="D504" s="4" t="s">
        <v>18</v>
      </c>
      <c r="E504" s="10">
        <v>6</v>
      </c>
      <c r="F504" s="26">
        <v>9.2710000000000008</v>
      </c>
      <c r="G504" s="21">
        <v>0</v>
      </c>
      <c r="I504" s="21">
        <f>AVERAGE(F502:F504)</f>
        <v>7.8103333333333333</v>
      </c>
      <c r="J504" s="21">
        <f>AVERAGE(G502:G504)</f>
        <v>0</v>
      </c>
      <c r="L504">
        <f>+J504/I504</f>
        <v>0</v>
      </c>
      <c r="M504">
        <f>+(L504-$L$927)/$L$928</f>
        <v>-0.43753089105951098</v>
      </c>
      <c r="N504">
        <f>+N501+M504</f>
        <v>-10.271357621233344</v>
      </c>
    </row>
    <row r="505" spans="1:14">
      <c r="A505" s="10">
        <v>11</v>
      </c>
      <c r="B505" s="75">
        <v>41470</v>
      </c>
      <c r="C505" s="10">
        <v>2013</v>
      </c>
      <c r="D505" s="4" t="s">
        <v>19</v>
      </c>
      <c r="E505" s="10">
        <v>7</v>
      </c>
      <c r="F505" s="26">
        <v>8.0090000000000003</v>
      </c>
      <c r="G505" s="21">
        <v>0</v>
      </c>
    </row>
    <row r="506" spans="1:14">
      <c r="A506" s="10">
        <v>12</v>
      </c>
      <c r="B506" s="75">
        <v>41470</v>
      </c>
      <c r="C506" s="10">
        <v>2013</v>
      </c>
      <c r="D506" s="4" t="s">
        <v>19</v>
      </c>
      <c r="E506" s="10">
        <v>7</v>
      </c>
      <c r="F506" s="26">
        <v>14.608000000000001</v>
      </c>
      <c r="G506" s="21">
        <v>0</v>
      </c>
    </row>
    <row r="507" spans="1:14">
      <c r="A507" s="10">
        <v>13</v>
      </c>
      <c r="B507" s="75">
        <v>41470</v>
      </c>
      <c r="C507" s="10">
        <v>2013</v>
      </c>
      <c r="D507" s="4" t="s">
        <v>19</v>
      </c>
      <c r="E507" s="10">
        <v>7</v>
      </c>
      <c r="F507" s="26">
        <v>14.583</v>
      </c>
      <c r="G507" s="21">
        <v>0</v>
      </c>
      <c r="I507" s="21">
        <f>AVERAGE(F505:F507)</f>
        <v>12.4</v>
      </c>
      <c r="J507" s="21">
        <f>AVERAGE(G505:G507)</f>
        <v>0</v>
      </c>
      <c r="L507">
        <f>+J507/I507</f>
        <v>0</v>
      </c>
      <c r="M507">
        <f>+(L507-$L$927)/$L$928</f>
        <v>-0.43753089105951098</v>
      </c>
      <c r="N507">
        <f>+N504+M507</f>
        <v>-10.708888512292855</v>
      </c>
    </row>
    <row r="508" spans="1:14">
      <c r="A508" s="10">
        <v>11</v>
      </c>
      <c r="B508" s="75">
        <v>41498</v>
      </c>
      <c r="C508" s="10">
        <v>2013</v>
      </c>
      <c r="D508" s="4" t="s">
        <v>20</v>
      </c>
      <c r="E508" s="10">
        <v>8</v>
      </c>
      <c r="F508" s="26">
        <v>7.4829999999999997</v>
      </c>
      <c r="G508" s="21">
        <v>0</v>
      </c>
    </row>
    <row r="509" spans="1:14">
      <c r="A509" s="10">
        <v>11</v>
      </c>
      <c r="B509" s="75">
        <v>41498</v>
      </c>
      <c r="C509" s="10">
        <v>2013</v>
      </c>
      <c r="D509" s="4" t="s">
        <v>20</v>
      </c>
      <c r="E509" s="10">
        <v>8</v>
      </c>
      <c r="F509" s="26">
        <v>7.4829999999999997</v>
      </c>
      <c r="G509" s="21">
        <v>0</v>
      </c>
      <c r="H509" t="s">
        <v>41</v>
      </c>
    </row>
    <row r="510" spans="1:14">
      <c r="A510" s="10">
        <v>12</v>
      </c>
      <c r="B510" s="75">
        <v>41498</v>
      </c>
      <c r="C510" s="10">
        <v>2013</v>
      </c>
      <c r="D510" s="4" t="s">
        <v>20</v>
      </c>
      <c r="E510" s="10">
        <v>8</v>
      </c>
      <c r="F510" s="26">
        <v>11.888</v>
      </c>
      <c r="G510" s="21">
        <v>0</v>
      </c>
    </row>
    <row r="511" spans="1:14">
      <c r="A511" s="10">
        <v>13</v>
      </c>
      <c r="B511" s="75">
        <v>41498</v>
      </c>
      <c r="C511" s="10">
        <v>2013</v>
      </c>
      <c r="D511" s="4" t="s">
        <v>20</v>
      </c>
      <c r="E511" s="10">
        <v>8</v>
      </c>
      <c r="F511" s="26">
        <v>14.917999999999999</v>
      </c>
      <c r="G511" s="21">
        <v>0</v>
      </c>
      <c r="I511" s="21">
        <f>AVERAGE(F508:F511)</f>
        <v>10.443</v>
      </c>
      <c r="J511" s="21">
        <f>AVERAGE(G508:G511)</f>
        <v>0</v>
      </c>
      <c r="L511">
        <f>+J511/I511</f>
        <v>0</v>
      </c>
      <c r="M511">
        <f>+(L511-$L$927)/$L$928</f>
        <v>-0.43753089105951098</v>
      </c>
      <c r="N511">
        <f>+N507+M511</f>
        <v>-11.146419403352366</v>
      </c>
    </row>
    <row r="512" spans="1:14">
      <c r="A512" s="10">
        <v>11</v>
      </c>
      <c r="B512" s="75">
        <v>41535</v>
      </c>
      <c r="C512" s="10">
        <v>2013</v>
      </c>
      <c r="D512" s="4" t="s">
        <v>26</v>
      </c>
      <c r="E512" s="10">
        <v>9</v>
      </c>
      <c r="F512" s="26">
        <v>8.3040000000000003</v>
      </c>
      <c r="G512" s="21">
        <v>0.17777499999999996</v>
      </c>
    </row>
    <row r="513" spans="1:14">
      <c r="A513" s="10">
        <v>12</v>
      </c>
      <c r="B513" s="75">
        <v>41535</v>
      </c>
      <c r="C513" s="10">
        <v>2013</v>
      </c>
      <c r="D513" s="4" t="s">
        <v>26</v>
      </c>
      <c r="E513" s="10">
        <v>9</v>
      </c>
      <c r="F513" s="26">
        <v>8.327</v>
      </c>
      <c r="G513" s="21">
        <v>0.30158425</v>
      </c>
    </row>
    <row r="514" spans="1:14">
      <c r="A514" s="10">
        <v>12</v>
      </c>
      <c r="B514" s="75">
        <v>41535</v>
      </c>
      <c r="C514" s="10">
        <v>2013</v>
      </c>
      <c r="D514" s="4" t="s">
        <v>26</v>
      </c>
      <c r="E514" s="10">
        <v>9</v>
      </c>
      <c r="F514" s="26">
        <v>8.327</v>
      </c>
      <c r="G514" s="21">
        <v>0.29666724999999999</v>
      </c>
      <c r="H514" t="s">
        <v>41</v>
      </c>
    </row>
    <row r="515" spans="1:14">
      <c r="A515" s="10">
        <v>13</v>
      </c>
      <c r="B515" s="75">
        <v>41535</v>
      </c>
      <c r="C515" s="10">
        <v>2013</v>
      </c>
      <c r="D515" s="4" t="s">
        <v>26</v>
      </c>
      <c r="E515" s="10">
        <v>9</v>
      </c>
      <c r="F515" s="26">
        <v>10.843999999999999</v>
      </c>
      <c r="G515" s="21">
        <v>0.63232975000000002</v>
      </c>
      <c r="I515" s="21">
        <f>AVERAGE(F512:F515)</f>
        <v>8.9504999999999999</v>
      </c>
      <c r="J515" s="21">
        <f>AVERAGE(G512:G515)</f>
        <v>0.35208906249999999</v>
      </c>
      <c r="L515">
        <f>+J515/I515</f>
        <v>3.9337362437852637E-2</v>
      </c>
      <c r="M515">
        <f>+(L515-$L$927)/$L$928</f>
        <v>3.6026212791690573</v>
      </c>
      <c r="N515">
        <f>+N511+M515</f>
        <v>-7.5437981241833096</v>
      </c>
    </row>
    <row r="516" spans="1:14">
      <c r="A516" s="10">
        <v>11</v>
      </c>
      <c r="B516" s="75">
        <v>406810</v>
      </c>
      <c r="C516" s="10">
        <v>2013</v>
      </c>
      <c r="D516" s="4" t="s">
        <v>22</v>
      </c>
      <c r="E516" s="10">
        <v>10</v>
      </c>
      <c r="F516" s="20">
        <v>4.2169999999999996</v>
      </c>
      <c r="G516" s="21">
        <v>0</v>
      </c>
    </row>
    <row r="517" spans="1:14">
      <c r="A517" s="10">
        <v>12</v>
      </c>
      <c r="B517" s="75">
        <v>406810</v>
      </c>
      <c r="C517" s="10">
        <v>2013</v>
      </c>
      <c r="D517" s="4" t="s">
        <v>22</v>
      </c>
      <c r="E517" s="10">
        <v>10</v>
      </c>
      <c r="F517" s="20">
        <v>3.31</v>
      </c>
      <c r="G517" s="21">
        <v>0</v>
      </c>
    </row>
    <row r="518" spans="1:14">
      <c r="A518" s="10">
        <v>13</v>
      </c>
      <c r="B518" s="75">
        <v>406810</v>
      </c>
      <c r="C518" s="10">
        <v>2013</v>
      </c>
      <c r="D518" s="4" t="s">
        <v>22</v>
      </c>
      <c r="E518" s="10">
        <v>10</v>
      </c>
      <c r="F518" s="20">
        <v>2.3879999999999999</v>
      </c>
      <c r="G518" s="21">
        <v>0</v>
      </c>
      <c r="I518" s="21">
        <f>AVERAGE(F516:F518)</f>
        <v>3.3049999999999997</v>
      </c>
      <c r="J518" s="21">
        <f>AVERAGE(G516:G518)</f>
        <v>0</v>
      </c>
      <c r="L518">
        <f>+J518/I518</f>
        <v>0</v>
      </c>
      <c r="M518">
        <f>+(L518-$L$927)/$L$928</f>
        <v>-0.43753089105951098</v>
      </c>
      <c r="N518">
        <f>+N515+M518</f>
        <v>-7.9813290152428209</v>
      </c>
    </row>
    <row r="519" spans="1:14">
      <c r="A519" s="10">
        <v>11</v>
      </c>
      <c r="B519" s="75">
        <v>41599</v>
      </c>
      <c r="C519" s="10">
        <v>2013</v>
      </c>
      <c r="D519" s="4" t="s">
        <v>23</v>
      </c>
      <c r="E519" s="10">
        <v>11</v>
      </c>
      <c r="F519" s="20">
        <v>7.8630000000000004</v>
      </c>
      <c r="G519" s="21">
        <v>7.3660875000000001E-2</v>
      </c>
    </row>
    <row r="520" spans="1:14">
      <c r="A520" s="10">
        <v>12</v>
      </c>
      <c r="B520" s="75">
        <v>41599</v>
      </c>
      <c r="C520" s="10">
        <v>2013</v>
      </c>
      <c r="D520" s="4" t="s">
        <v>23</v>
      </c>
      <c r="E520" s="10">
        <v>11</v>
      </c>
      <c r="F520" s="20">
        <v>2.5579999999999998</v>
      </c>
      <c r="G520" s="21">
        <v>0</v>
      </c>
    </row>
    <row r="521" spans="1:14">
      <c r="A521" s="10">
        <v>13</v>
      </c>
      <c r="B521" s="75">
        <v>41599</v>
      </c>
      <c r="C521" s="10">
        <v>2013</v>
      </c>
      <c r="D521" s="4" t="s">
        <v>23</v>
      </c>
      <c r="E521" s="10">
        <v>11</v>
      </c>
      <c r="F521" s="20">
        <v>3.8180000000000001</v>
      </c>
      <c r="G521" s="21">
        <v>0</v>
      </c>
      <c r="I521" s="21">
        <f>AVERAGE(F519:F521)</f>
        <v>4.7463333333333333</v>
      </c>
      <c r="J521" s="21">
        <f>AVERAGE(G519:G521)</f>
        <v>2.4553624999999999E-2</v>
      </c>
      <c r="L521">
        <f>+J521/I521</f>
        <v>5.1731775405576231E-3</v>
      </c>
      <c r="M521">
        <f>+(L521-$L$927)/$L$928</f>
        <v>9.3781407788212423E-2</v>
      </c>
      <c r="N521">
        <f>+N518+M521</f>
        <v>-7.8875476074546089</v>
      </c>
    </row>
    <row r="522" spans="1:14">
      <c r="A522" s="10">
        <v>11</v>
      </c>
      <c r="B522" s="75">
        <v>41627</v>
      </c>
      <c r="C522" s="10">
        <v>2013</v>
      </c>
      <c r="D522" s="4" t="s">
        <v>24</v>
      </c>
      <c r="E522" s="10">
        <v>12</v>
      </c>
      <c r="F522" s="20">
        <v>6.5869999999999997</v>
      </c>
      <c r="G522" s="21">
        <v>0</v>
      </c>
    </row>
    <row r="523" spans="1:14">
      <c r="A523" s="10">
        <v>12</v>
      </c>
      <c r="B523" s="75">
        <v>41627</v>
      </c>
      <c r="C523" s="10">
        <v>2013</v>
      </c>
      <c r="D523" s="4" t="s">
        <v>24</v>
      </c>
      <c r="E523" s="10">
        <v>12</v>
      </c>
      <c r="F523" s="20">
        <v>4.4809999999999999</v>
      </c>
      <c r="G523" s="21">
        <v>0</v>
      </c>
    </row>
    <row r="524" spans="1:14">
      <c r="A524" s="10">
        <v>13</v>
      </c>
      <c r="B524" s="75">
        <v>41627</v>
      </c>
      <c r="C524" s="10">
        <v>2013</v>
      </c>
      <c r="D524" s="4" t="s">
        <v>24</v>
      </c>
      <c r="E524" s="10">
        <v>12</v>
      </c>
      <c r="F524" s="20">
        <v>4.6399999999999997</v>
      </c>
      <c r="G524" s="21">
        <v>0</v>
      </c>
      <c r="I524" s="21">
        <f>AVERAGE(F522:F524)</f>
        <v>5.2359999999999998</v>
      </c>
      <c r="J524" s="21">
        <f>AVERAGE(G522:G524)</f>
        <v>0</v>
      </c>
      <c r="L524">
        <f>+J524/I524</f>
        <v>0</v>
      </c>
      <c r="M524">
        <f>+(L524-$L$927)/$L$928</f>
        <v>-0.43753089105951098</v>
      </c>
      <c r="N524">
        <f>+N521+M524</f>
        <v>-8.3250784985141202</v>
      </c>
    </row>
    <row r="525" spans="1:14">
      <c r="A525" s="10">
        <v>11</v>
      </c>
      <c r="B525" s="75">
        <v>41655</v>
      </c>
      <c r="C525" s="10">
        <v>2014</v>
      </c>
      <c r="D525" s="4" t="s">
        <v>25</v>
      </c>
      <c r="E525" s="10">
        <v>1</v>
      </c>
      <c r="F525" s="20">
        <v>8.5459999999999994</v>
      </c>
      <c r="G525" s="21">
        <v>0</v>
      </c>
    </row>
    <row r="526" spans="1:14">
      <c r="A526" s="10">
        <v>12</v>
      </c>
      <c r="B526" s="75">
        <v>41655</v>
      </c>
      <c r="C526" s="10">
        <v>2014</v>
      </c>
      <c r="D526" s="4" t="s">
        <v>25</v>
      </c>
      <c r="E526" s="10">
        <v>1</v>
      </c>
      <c r="F526" s="20">
        <v>5.734</v>
      </c>
      <c r="G526" s="21">
        <v>0</v>
      </c>
    </row>
    <row r="527" spans="1:14">
      <c r="A527" s="10">
        <v>13</v>
      </c>
      <c r="B527" s="75">
        <v>41655</v>
      </c>
      <c r="C527" s="10">
        <v>2014</v>
      </c>
      <c r="D527" s="4" t="s">
        <v>25</v>
      </c>
      <c r="E527" s="10">
        <v>1</v>
      </c>
      <c r="F527" s="20">
        <v>5.601</v>
      </c>
      <c r="G527" s="21">
        <v>0</v>
      </c>
      <c r="I527" s="21">
        <f>AVERAGE(F525:F527)</f>
        <v>6.6269999999999998</v>
      </c>
      <c r="J527" s="21">
        <f>AVERAGE(G525:G527)</f>
        <v>0</v>
      </c>
      <c r="L527">
        <f>+J527/I527</f>
        <v>0</v>
      </c>
      <c r="M527">
        <f>+(L527-$L$927)/$L$928</f>
        <v>-0.43753089105951098</v>
      </c>
      <c r="N527">
        <f>+N524+M527</f>
        <v>-8.7626093895736314</v>
      </c>
    </row>
    <row r="528" spans="1:14">
      <c r="A528" s="10">
        <v>11</v>
      </c>
      <c r="B528" s="75">
        <v>41690</v>
      </c>
      <c r="C528" s="10">
        <v>2014</v>
      </c>
      <c r="D528" s="4" t="s">
        <v>14</v>
      </c>
      <c r="E528" s="10">
        <v>2</v>
      </c>
      <c r="F528" s="20">
        <v>10.32</v>
      </c>
      <c r="G528" s="21">
        <v>0</v>
      </c>
    </row>
    <row r="529" spans="1:14">
      <c r="A529" s="10">
        <v>12</v>
      </c>
      <c r="B529" s="75">
        <v>41690</v>
      </c>
      <c r="C529" s="10">
        <v>2014</v>
      </c>
      <c r="D529" s="4" t="s">
        <v>14</v>
      </c>
      <c r="E529" s="10">
        <v>2</v>
      </c>
      <c r="F529" s="20">
        <v>11.166</v>
      </c>
      <c r="G529" s="21">
        <v>0</v>
      </c>
    </row>
    <row r="530" spans="1:14">
      <c r="A530" s="10">
        <v>13</v>
      </c>
      <c r="B530" s="75">
        <v>41690</v>
      </c>
      <c r="C530" s="10">
        <v>2014</v>
      </c>
      <c r="D530" s="4" t="s">
        <v>14</v>
      </c>
      <c r="E530" s="10">
        <v>2</v>
      </c>
      <c r="F530" s="20">
        <v>8.5</v>
      </c>
      <c r="G530" s="21">
        <v>0</v>
      </c>
      <c r="I530" s="21">
        <f>AVERAGE(F528:F530)</f>
        <v>9.995333333333333</v>
      </c>
      <c r="J530" s="21">
        <f>AVERAGE(G528:G530)</f>
        <v>0</v>
      </c>
      <c r="L530">
        <f>+J530/I530</f>
        <v>0</v>
      </c>
      <c r="M530">
        <f>+(L530-$L$927)/$L$928</f>
        <v>-0.43753089105951098</v>
      </c>
      <c r="N530">
        <f>+N527+M530</f>
        <v>-9.2001402806331427</v>
      </c>
    </row>
    <row r="531" spans="1:14">
      <c r="A531" s="10">
        <v>11</v>
      </c>
      <c r="B531" s="75">
        <v>41718</v>
      </c>
      <c r="C531" s="10">
        <v>2014</v>
      </c>
      <c r="D531" s="4" t="s">
        <v>15</v>
      </c>
      <c r="E531" s="10">
        <v>3</v>
      </c>
      <c r="F531" s="20">
        <v>6.4219999999999997</v>
      </c>
      <c r="G531" s="21">
        <v>0</v>
      </c>
    </row>
    <row r="532" spans="1:14">
      <c r="A532" s="10">
        <v>12</v>
      </c>
      <c r="B532" s="75">
        <v>41718</v>
      </c>
      <c r="C532" s="10">
        <v>2014</v>
      </c>
      <c r="D532" s="4" t="s">
        <v>15</v>
      </c>
      <c r="E532" s="10">
        <v>3</v>
      </c>
      <c r="F532" s="20">
        <v>3.379</v>
      </c>
      <c r="G532" s="21">
        <v>0</v>
      </c>
    </row>
    <row r="533" spans="1:14">
      <c r="A533" s="10">
        <v>13</v>
      </c>
      <c r="B533" s="75">
        <v>41718</v>
      </c>
      <c r="C533" s="10">
        <v>2014</v>
      </c>
      <c r="D533" s="4" t="s">
        <v>15</v>
      </c>
      <c r="E533" s="10">
        <v>3</v>
      </c>
      <c r="F533" s="20">
        <v>2.87</v>
      </c>
      <c r="G533" s="21">
        <v>0</v>
      </c>
      <c r="I533" s="21">
        <f>AVERAGE(F531:F533)</f>
        <v>4.2236666666666665</v>
      </c>
      <c r="J533" s="21">
        <f>AVERAGE(G531:G533)</f>
        <v>0</v>
      </c>
      <c r="L533">
        <f>+J533/I533</f>
        <v>0</v>
      </c>
      <c r="M533">
        <f>+(L533-$L$927)/$L$928</f>
        <v>-0.43753089105951098</v>
      </c>
      <c r="N533">
        <f>+N530+M533</f>
        <v>-9.637671171692654</v>
      </c>
    </row>
    <row r="534" spans="1:14">
      <c r="A534" s="10">
        <v>11</v>
      </c>
      <c r="B534" s="75">
        <v>41750</v>
      </c>
      <c r="C534" s="10">
        <v>2014</v>
      </c>
      <c r="D534" s="4" t="s">
        <v>16</v>
      </c>
      <c r="E534" s="10">
        <v>4</v>
      </c>
      <c r="F534" s="27">
        <v>3.4980000000000002</v>
      </c>
      <c r="G534" s="21">
        <v>0</v>
      </c>
    </row>
    <row r="535" spans="1:14">
      <c r="A535" s="10">
        <v>12</v>
      </c>
      <c r="B535" s="75">
        <v>41750</v>
      </c>
      <c r="C535" s="10">
        <v>2014</v>
      </c>
      <c r="D535" s="4" t="s">
        <v>16</v>
      </c>
      <c r="E535" s="10">
        <v>4</v>
      </c>
      <c r="F535" s="27">
        <v>3.8290000000000002</v>
      </c>
      <c r="G535" s="21">
        <v>0</v>
      </c>
    </row>
    <row r="536" spans="1:14">
      <c r="A536" s="10">
        <v>13</v>
      </c>
      <c r="B536" s="75">
        <v>41750</v>
      </c>
      <c r="C536" s="10">
        <v>2014</v>
      </c>
      <c r="D536" s="4" t="s">
        <v>16</v>
      </c>
      <c r="E536" s="10">
        <v>4</v>
      </c>
      <c r="F536" s="27">
        <v>2.5150000000000001</v>
      </c>
      <c r="G536" s="21">
        <v>0</v>
      </c>
      <c r="I536" s="21">
        <f>AVERAGE(F534:F536)</f>
        <v>3.2806666666666668</v>
      </c>
      <c r="J536" s="21">
        <f>AVERAGE(G534:G536)</f>
        <v>0</v>
      </c>
      <c r="L536">
        <f>+J536/I536</f>
        <v>0</v>
      </c>
      <c r="M536">
        <f>+(L536-$L$927)/$L$928</f>
        <v>-0.43753089105951098</v>
      </c>
      <c r="N536">
        <f>+N533+M536</f>
        <v>-10.075202062752165</v>
      </c>
    </row>
    <row r="537" spans="1:14">
      <c r="A537" s="10">
        <v>11</v>
      </c>
      <c r="B537" s="75">
        <v>41406</v>
      </c>
      <c r="C537" s="10">
        <v>2014</v>
      </c>
      <c r="D537" s="4" t="s">
        <v>17</v>
      </c>
      <c r="E537" s="10">
        <v>5</v>
      </c>
      <c r="F537" s="27">
        <v>3.577</v>
      </c>
      <c r="G537" s="21">
        <v>0</v>
      </c>
    </row>
    <row r="538" spans="1:14">
      <c r="A538" s="10">
        <v>11</v>
      </c>
      <c r="B538" s="75">
        <v>41406</v>
      </c>
      <c r="C538" s="10">
        <v>2014</v>
      </c>
      <c r="D538" s="4" t="s">
        <v>17</v>
      </c>
      <c r="E538" s="10">
        <v>5</v>
      </c>
      <c r="F538" s="27">
        <v>3.577</v>
      </c>
      <c r="G538" s="21">
        <v>0</v>
      </c>
      <c r="H538" t="s">
        <v>41</v>
      </c>
    </row>
    <row r="539" spans="1:14">
      <c r="A539" s="10">
        <v>12</v>
      </c>
      <c r="B539" s="75">
        <v>41406</v>
      </c>
      <c r="C539" s="10">
        <v>2014</v>
      </c>
      <c r="D539" s="4" t="s">
        <v>17</v>
      </c>
      <c r="E539" s="10">
        <v>5</v>
      </c>
      <c r="F539" s="27">
        <v>3.3809999999999998</v>
      </c>
      <c r="G539" s="21">
        <v>0</v>
      </c>
      <c r="I539" s="21"/>
      <c r="J539" s="21"/>
    </row>
    <row r="540" spans="1:14">
      <c r="A540" s="10">
        <v>13</v>
      </c>
      <c r="B540" s="75">
        <v>41406</v>
      </c>
      <c r="C540" s="10">
        <v>2014</v>
      </c>
      <c r="D540" s="4" t="s">
        <v>17</v>
      </c>
      <c r="E540" s="10">
        <v>5</v>
      </c>
      <c r="F540" s="27">
        <v>4.5170000000000003</v>
      </c>
      <c r="G540" s="21">
        <v>0</v>
      </c>
      <c r="I540" s="21">
        <f>AVERAGE(F537:F540)</f>
        <v>3.7629999999999999</v>
      </c>
      <c r="J540" s="21">
        <f>AVERAGE(G537:G540)</f>
        <v>0</v>
      </c>
      <c r="L540">
        <f>+J540/I540</f>
        <v>0</v>
      </c>
      <c r="M540">
        <f>+(L540-$L$927)/$L$928</f>
        <v>-0.43753089105951098</v>
      </c>
      <c r="N540">
        <f>+N536+M540</f>
        <v>-10.512732953811676</v>
      </c>
    </row>
    <row r="541" spans="1:14">
      <c r="A541" s="10">
        <v>11</v>
      </c>
      <c r="B541" s="75">
        <v>41807</v>
      </c>
      <c r="C541" s="10">
        <v>2014</v>
      </c>
      <c r="D541" s="4" t="s">
        <v>18</v>
      </c>
      <c r="E541" s="10">
        <v>6</v>
      </c>
      <c r="F541" s="27">
        <v>6.2009999999999996</v>
      </c>
      <c r="G541" s="21">
        <v>0</v>
      </c>
    </row>
    <row r="542" spans="1:14">
      <c r="A542" s="10">
        <v>12</v>
      </c>
      <c r="B542" s="75">
        <v>41807</v>
      </c>
      <c r="C542" s="10">
        <v>2014</v>
      </c>
      <c r="D542" s="4" t="s">
        <v>18</v>
      </c>
      <c r="E542" s="10">
        <v>6</v>
      </c>
      <c r="F542" s="27">
        <v>8.0289999999999999</v>
      </c>
      <c r="G542" s="21">
        <v>0</v>
      </c>
    </row>
    <row r="543" spans="1:14">
      <c r="A543" s="10">
        <v>13</v>
      </c>
      <c r="B543" s="75">
        <v>41807</v>
      </c>
      <c r="C543" s="10">
        <v>2014</v>
      </c>
      <c r="D543" s="4" t="s">
        <v>18</v>
      </c>
      <c r="E543" s="10">
        <v>6</v>
      </c>
      <c r="F543" s="27">
        <v>4.383</v>
      </c>
      <c r="G543" s="21">
        <v>7.668562499999998E-2</v>
      </c>
      <c r="I543" s="21">
        <f>AVERAGE(F541:F543)</f>
        <v>6.2043333333333335</v>
      </c>
      <c r="J543" s="21">
        <f>AVERAGE(G541:G543)</f>
        <v>2.5561874999999994E-2</v>
      </c>
      <c r="L543">
        <f>+J543/I543</f>
        <v>4.1200034921828818E-3</v>
      </c>
      <c r="M543">
        <f>+(L543-$L$927)/$L$928</f>
        <v>-1.4385056699382014E-2</v>
      </c>
      <c r="N543">
        <f>+N540+M543</f>
        <v>-10.527118010511058</v>
      </c>
    </row>
    <row r="544" spans="1:14">
      <c r="A544" s="10">
        <v>11</v>
      </c>
      <c r="B544" s="75">
        <v>41837</v>
      </c>
      <c r="C544" s="10">
        <v>2014</v>
      </c>
      <c r="D544" s="4" t="s">
        <v>19</v>
      </c>
      <c r="E544" s="10">
        <v>7</v>
      </c>
      <c r="F544" s="27">
        <v>9.3789999999999996</v>
      </c>
      <c r="G544" s="21">
        <v>0</v>
      </c>
    </row>
    <row r="545" spans="1:14">
      <c r="A545" s="10">
        <v>12</v>
      </c>
      <c r="B545" s="75">
        <v>41837</v>
      </c>
      <c r="C545" s="10">
        <v>2014</v>
      </c>
      <c r="D545" s="4" t="s">
        <v>19</v>
      </c>
      <c r="E545" s="10">
        <v>7</v>
      </c>
      <c r="F545" s="27">
        <v>11.09</v>
      </c>
      <c r="G545" s="21">
        <v>0</v>
      </c>
    </row>
    <row r="546" spans="1:14">
      <c r="A546" s="10">
        <v>13</v>
      </c>
      <c r="B546" s="75">
        <v>41837</v>
      </c>
      <c r="C546" s="10">
        <v>2014</v>
      </c>
      <c r="D546" s="4" t="s">
        <v>19</v>
      </c>
      <c r="E546" s="10">
        <v>7</v>
      </c>
      <c r="F546" s="27">
        <v>8.7759999999999998</v>
      </c>
      <c r="G546" s="21">
        <v>0</v>
      </c>
      <c r="I546" s="21">
        <f>AVERAGE(F544:F546)</f>
        <v>9.7483333333333331</v>
      </c>
      <c r="J546" s="21">
        <f>AVERAGE(G544:G546)</f>
        <v>0</v>
      </c>
      <c r="L546">
        <f>+J546/I546</f>
        <v>0</v>
      </c>
      <c r="M546">
        <f>+(L546-$L$927)/$L$928</f>
        <v>-0.43753089105951098</v>
      </c>
      <c r="N546">
        <f>+N543+M546</f>
        <v>-10.96464890157057</v>
      </c>
    </row>
    <row r="547" spans="1:14">
      <c r="A547" s="10">
        <v>11</v>
      </c>
      <c r="B547" s="75">
        <v>41862</v>
      </c>
      <c r="C547" s="10">
        <v>2014</v>
      </c>
      <c r="D547" s="4" t="s">
        <v>20</v>
      </c>
      <c r="E547" s="10">
        <v>8</v>
      </c>
      <c r="F547" s="27">
        <v>5.7380000000000004</v>
      </c>
      <c r="G547" s="21">
        <v>0</v>
      </c>
    </row>
    <row r="548" spans="1:14">
      <c r="A548" s="10">
        <v>12</v>
      </c>
      <c r="B548" s="75">
        <v>41862</v>
      </c>
      <c r="C548" s="10">
        <v>2014</v>
      </c>
      <c r="D548" s="4" t="s">
        <v>20</v>
      </c>
      <c r="E548" s="10">
        <v>8</v>
      </c>
      <c r="F548" s="27">
        <v>7.4029999999999996</v>
      </c>
      <c r="G548" s="21">
        <v>0</v>
      </c>
    </row>
    <row r="549" spans="1:14">
      <c r="A549" s="10">
        <v>13</v>
      </c>
      <c r="B549" s="75">
        <v>41862</v>
      </c>
      <c r="C549" s="10">
        <v>2014</v>
      </c>
      <c r="D549" s="4" t="s">
        <v>20</v>
      </c>
      <c r="E549" s="10">
        <v>8</v>
      </c>
      <c r="F549" s="27">
        <v>5.2350000000000003</v>
      </c>
      <c r="G549" s="21">
        <v>0</v>
      </c>
      <c r="I549" s="21">
        <f>AVERAGE(F547:F549)</f>
        <v>6.1253333333333337</v>
      </c>
      <c r="J549" s="21">
        <f>AVERAGE(G547:G549)</f>
        <v>0</v>
      </c>
      <c r="L549">
        <f>+J549/I549</f>
        <v>0</v>
      </c>
      <c r="M549">
        <f>+(L549-$L$927)/$L$928</f>
        <v>-0.43753089105951098</v>
      </c>
      <c r="N549">
        <f>+N546+M549</f>
        <v>-11.402179792630081</v>
      </c>
    </row>
    <row r="550" spans="1:14">
      <c r="A550" s="10">
        <v>11</v>
      </c>
      <c r="B550" s="75">
        <v>41897</v>
      </c>
      <c r="C550" s="10">
        <v>2014</v>
      </c>
      <c r="D550" s="4" t="s">
        <v>26</v>
      </c>
      <c r="E550" s="10">
        <v>9</v>
      </c>
      <c r="F550" s="27">
        <v>4.7690000000000001</v>
      </c>
      <c r="G550" s="21">
        <v>0</v>
      </c>
    </row>
    <row r="551" spans="1:14">
      <c r="A551" s="10">
        <v>12</v>
      </c>
      <c r="B551" s="75">
        <v>41897</v>
      </c>
      <c r="C551" s="10">
        <v>2014</v>
      </c>
      <c r="D551" s="4" t="s">
        <v>26</v>
      </c>
      <c r="E551" s="10">
        <v>9</v>
      </c>
      <c r="F551" s="27">
        <v>3.3559999999999999</v>
      </c>
      <c r="G551" s="21">
        <v>0</v>
      </c>
    </row>
    <row r="552" spans="1:14">
      <c r="A552" s="10">
        <v>13</v>
      </c>
      <c r="B552" s="75">
        <v>41897</v>
      </c>
      <c r="C552" s="10">
        <v>2014</v>
      </c>
      <c r="D552" s="4" t="s">
        <v>26</v>
      </c>
      <c r="E552" s="10">
        <v>9</v>
      </c>
      <c r="F552" s="27">
        <v>6.6619999999999999</v>
      </c>
      <c r="G552" s="21">
        <v>0</v>
      </c>
      <c r="I552" s="21">
        <f>AVERAGE(F550:F552)</f>
        <v>4.9289999999999994</v>
      </c>
      <c r="J552" s="21">
        <f>AVERAGE(G550:G552)</f>
        <v>0</v>
      </c>
      <c r="L552">
        <f>+J552/I552</f>
        <v>0</v>
      </c>
      <c r="M552">
        <f>+(L552-$L$927)/$L$928</f>
        <v>-0.43753089105951098</v>
      </c>
      <c r="N552">
        <f>+N549+M552</f>
        <v>-11.839710683689592</v>
      </c>
    </row>
    <row r="553" spans="1:14">
      <c r="A553" s="10">
        <v>11</v>
      </c>
      <c r="B553" s="75">
        <v>41928</v>
      </c>
      <c r="C553" s="10">
        <v>2014</v>
      </c>
      <c r="D553" s="4" t="s">
        <v>22</v>
      </c>
      <c r="E553" s="10">
        <v>10</v>
      </c>
      <c r="F553" s="20">
        <v>2.2810000000000001</v>
      </c>
      <c r="G553" s="21">
        <v>0</v>
      </c>
    </row>
    <row r="554" spans="1:14">
      <c r="A554" s="10">
        <v>12</v>
      </c>
      <c r="B554" s="75">
        <v>41928</v>
      </c>
      <c r="C554" s="10">
        <v>2014</v>
      </c>
      <c r="D554" s="4" t="s">
        <v>22</v>
      </c>
      <c r="E554" s="10">
        <v>10</v>
      </c>
      <c r="F554" s="20">
        <v>3.64</v>
      </c>
      <c r="G554" s="21">
        <v>4.5113999999999994E-2</v>
      </c>
    </row>
    <row r="555" spans="1:14">
      <c r="A555" s="10">
        <v>13</v>
      </c>
      <c r="B555" s="75">
        <v>41928</v>
      </c>
      <c r="C555" s="10">
        <v>2014</v>
      </c>
      <c r="D555" s="4" t="s">
        <v>22</v>
      </c>
      <c r="E555" s="10">
        <v>10</v>
      </c>
      <c r="F555" s="20">
        <v>6.1680000000000001</v>
      </c>
      <c r="G555" s="21">
        <v>0</v>
      </c>
    </row>
    <row r="556" spans="1:14">
      <c r="A556" s="10">
        <v>13</v>
      </c>
      <c r="B556" s="75">
        <v>41928</v>
      </c>
      <c r="C556" s="10">
        <v>2014</v>
      </c>
      <c r="D556" s="4" t="s">
        <v>22</v>
      </c>
      <c r="E556" s="10">
        <v>10</v>
      </c>
      <c r="F556" s="20">
        <v>6.1680000000000001</v>
      </c>
      <c r="G556" s="21">
        <v>4.013775E-2</v>
      </c>
      <c r="H556" t="s">
        <v>41</v>
      </c>
      <c r="I556" s="21">
        <f>AVERAGE(F553:F556)</f>
        <v>4.5642500000000004</v>
      </c>
      <c r="J556" s="21">
        <f>AVERAGE(G553:G556)</f>
        <v>2.1312937499999997E-2</v>
      </c>
      <c r="L556">
        <f>+J556/I556</f>
        <v>4.6695377115626869E-3</v>
      </c>
      <c r="M556">
        <f>+(L556-$L$927)/$L$928</f>
        <v>4.2054972104017825E-2</v>
      </c>
      <c r="N556">
        <f>+N552+M556</f>
        <v>-11.797655711585575</v>
      </c>
    </row>
    <row r="557" spans="1:14">
      <c r="A557" s="10">
        <v>11</v>
      </c>
      <c r="B557" s="75">
        <v>41955</v>
      </c>
      <c r="C557" s="10">
        <v>2014</v>
      </c>
      <c r="D557" s="4" t="s">
        <v>23</v>
      </c>
      <c r="E557" s="10">
        <v>11</v>
      </c>
      <c r="F557" s="20">
        <v>6.0449999999999999</v>
      </c>
      <c r="G557" s="21">
        <v>0</v>
      </c>
    </row>
    <row r="558" spans="1:14">
      <c r="A558" s="10">
        <v>12</v>
      </c>
      <c r="B558" s="75">
        <v>41955</v>
      </c>
      <c r="C558" s="10">
        <v>2014</v>
      </c>
      <c r="D558" s="4" t="s">
        <v>23</v>
      </c>
      <c r="E558" s="10">
        <v>11</v>
      </c>
      <c r="F558" s="20">
        <v>4.6319999999999997</v>
      </c>
      <c r="G558" s="21">
        <v>0</v>
      </c>
    </row>
    <row r="559" spans="1:14">
      <c r="A559" s="10">
        <v>13</v>
      </c>
      <c r="B559" s="75">
        <v>41955</v>
      </c>
      <c r="C559" s="10">
        <v>2014</v>
      </c>
      <c r="D559" s="4" t="s">
        <v>23</v>
      </c>
      <c r="E559" s="10">
        <v>11</v>
      </c>
      <c r="F559" s="20">
        <v>5.8710000000000004</v>
      </c>
      <c r="G559" s="21">
        <v>0</v>
      </c>
      <c r="I559" s="21">
        <f>AVERAGE(F557:F559)</f>
        <v>5.5160000000000009</v>
      </c>
      <c r="J559" s="21">
        <f>AVERAGE(G557:G559)</f>
        <v>0</v>
      </c>
      <c r="L559">
        <f>+J559/I559</f>
        <v>0</v>
      </c>
      <c r="M559">
        <f>+(L559-$L$927)/$L$928</f>
        <v>-0.43753089105951098</v>
      </c>
      <c r="N559">
        <f>+N556+M559</f>
        <v>-12.235186602645086</v>
      </c>
    </row>
    <row r="560" spans="1:14">
      <c r="A560" s="1">
        <v>11</v>
      </c>
      <c r="B560" s="70">
        <v>41987</v>
      </c>
      <c r="D560" s="4" t="s">
        <v>24</v>
      </c>
      <c r="E560" s="10">
        <v>12</v>
      </c>
    </row>
    <row r="561" spans="1:14">
      <c r="A561" s="1">
        <v>12</v>
      </c>
      <c r="B561" s="70">
        <v>41987</v>
      </c>
      <c r="D561" s="4" t="s">
        <v>24</v>
      </c>
      <c r="E561" s="10">
        <v>12</v>
      </c>
    </row>
    <row r="562" spans="1:14">
      <c r="A562" s="1">
        <v>13</v>
      </c>
      <c r="B562" s="70">
        <v>41987</v>
      </c>
      <c r="D562" s="4" t="s">
        <v>24</v>
      </c>
      <c r="E562" s="10">
        <v>12</v>
      </c>
    </row>
    <row r="563" spans="1:14">
      <c r="A563" s="1">
        <v>11</v>
      </c>
      <c r="B563" s="70">
        <v>42014</v>
      </c>
      <c r="E563" s="3">
        <v>1</v>
      </c>
      <c r="F563" s="79">
        <v>13.555</v>
      </c>
      <c r="G563" s="80">
        <v>4.2999999999999997E-2</v>
      </c>
    </row>
    <row r="564" spans="1:14">
      <c r="A564" s="1">
        <v>12</v>
      </c>
      <c r="B564" s="70">
        <v>42009</v>
      </c>
      <c r="E564" s="3">
        <v>1</v>
      </c>
      <c r="F564" s="79">
        <v>10.689</v>
      </c>
      <c r="G564" s="80">
        <v>2.5000000000000001E-2</v>
      </c>
    </row>
    <row r="565" spans="1:14">
      <c r="A565" s="1">
        <v>13</v>
      </c>
      <c r="B565" s="70">
        <v>42009</v>
      </c>
      <c r="E565" s="3">
        <v>1</v>
      </c>
      <c r="F565" s="79">
        <v>7.84</v>
      </c>
      <c r="G565" s="80">
        <v>1.0999999999999999E-2</v>
      </c>
      <c r="I565" s="21">
        <f>AVERAGE(F563:F565)</f>
        <v>10.694666666666668</v>
      </c>
      <c r="J565" s="21">
        <f>AVERAGE(G563:G565)</f>
        <v>2.6333333333333334E-2</v>
      </c>
      <c r="L565">
        <f>+J565/I565</f>
        <v>2.4622864979428993E-3</v>
      </c>
      <c r="M565">
        <f>+(L565-$L$927)/$L$928</f>
        <v>-0.18464123293601753</v>
      </c>
      <c r="N565">
        <f>+N559+M565</f>
        <v>-12.419827835581104</v>
      </c>
    </row>
    <row r="566" spans="1:14">
      <c r="A566" s="1">
        <v>11</v>
      </c>
      <c r="B566" s="71">
        <v>42036</v>
      </c>
      <c r="E566" s="5">
        <v>2</v>
      </c>
    </row>
    <row r="567" spans="1:14">
      <c r="A567" s="1">
        <v>12</v>
      </c>
      <c r="B567" s="71">
        <v>42036</v>
      </c>
      <c r="E567" s="5">
        <v>2</v>
      </c>
    </row>
    <row r="568" spans="1:14">
      <c r="A568" s="1">
        <v>13</v>
      </c>
      <c r="B568" s="71">
        <v>42036</v>
      </c>
      <c r="E568" s="5">
        <v>2</v>
      </c>
      <c r="I568" s="21"/>
      <c r="J568" s="21"/>
    </row>
    <row r="569" spans="1:14">
      <c r="A569" s="1">
        <v>11</v>
      </c>
      <c r="B569" s="71">
        <v>42064</v>
      </c>
      <c r="E569" s="5">
        <v>3</v>
      </c>
      <c r="F569" s="79">
        <v>6.0410000000000004</v>
      </c>
      <c r="G569" s="80">
        <v>2.4E-2</v>
      </c>
    </row>
    <row r="570" spans="1:14">
      <c r="A570" s="1">
        <v>12</v>
      </c>
      <c r="B570" s="71">
        <v>42064</v>
      </c>
      <c r="E570" s="5">
        <v>3</v>
      </c>
      <c r="F570" s="79">
        <v>8.9909999999999997</v>
      </c>
      <c r="G570" s="80">
        <v>2.7E-2</v>
      </c>
    </row>
    <row r="571" spans="1:14">
      <c r="A571" s="1">
        <v>13</v>
      </c>
      <c r="B571" s="71">
        <v>42064</v>
      </c>
      <c r="E571" s="5">
        <v>3</v>
      </c>
      <c r="F571" s="79">
        <v>5.2249999999999996</v>
      </c>
      <c r="G571" s="80">
        <v>1.6E-2</v>
      </c>
      <c r="I571" s="21">
        <f>AVERAGE(F569:F571)</f>
        <v>6.7523333333333326</v>
      </c>
      <c r="J571" s="21">
        <f>AVERAGE(G569:G571)</f>
        <v>2.2333333333333334E-2</v>
      </c>
      <c r="L571">
        <f>+J571/I571</f>
        <v>3.3074986424445874E-3</v>
      </c>
      <c r="M571">
        <f>+(L571-$L$927)/$L$928</f>
        <v>-9.783353998743953E-2</v>
      </c>
      <c r="N571">
        <f>+N565+M571</f>
        <v>-12.517661375568544</v>
      </c>
    </row>
    <row r="572" spans="1:14">
      <c r="A572" s="1">
        <v>11</v>
      </c>
      <c r="B572" s="71">
        <v>42095</v>
      </c>
      <c r="E572" s="5">
        <v>4</v>
      </c>
      <c r="F572" s="79">
        <v>3.56</v>
      </c>
      <c r="G572" s="80">
        <v>2.9000000000000001E-2</v>
      </c>
    </row>
    <row r="573" spans="1:14">
      <c r="A573" s="1">
        <v>12</v>
      </c>
      <c r="B573" s="71">
        <v>42095</v>
      </c>
      <c r="E573" s="5">
        <v>4</v>
      </c>
      <c r="F573" s="79">
        <v>2.726</v>
      </c>
      <c r="G573" s="80">
        <v>0.03</v>
      </c>
    </row>
    <row r="574" spans="1:14">
      <c r="A574" s="1">
        <v>13</v>
      </c>
      <c r="B574" s="71">
        <v>42095</v>
      </c>
      <c r="E574" s="5">
        <v>4</v>
      </c>
      <c r="F574" s="79">
        <v>1.62</v>
      </c>
      <c r="G574" s="80">
        <v>1.2999999999999999E-2</v>
      </c>
      <c r="I574" s="21">
        <f>AVERAGE(F572:F574)</f>
        <v>2.6353333333333331</v>
      </c>
      <c r="J574" s="21">
        <f>AVERAGE(G572:G574)</f>
        <v>2.3999999999999997E-2</v>
      </c>
      <c r="L574">
        <f>+J574/I574</f>
        <v>9.1070073362003543E-3</v>
      </c>
      <c r="M574">
        <f>+(L574-$L$927)/$L$928</f>
        <v>0.49780623307447464</v>
      </c>
      <c r="N574">
        <f>+N571+M574</f>
        <v>-12.01985514249407</v>
      </c>
    </row>
    <row r="575" spans="1:14">
      <c r="A575" s="1">
        <v>11</v>
      </c>
      <c r="B575" s="71">
        <v>42125</v>
      </c>
      <c r="E575" s="5">
        <v>5</v>
      </c>
      <c r="F575" s="79">
        <v>7.9779999999999998</v>
      </c>
      <c r="G575" s="80">
        <v>5.8000000000000003E-2</v>
      </c>
    </row>
    <row r="576" spans="1:14">
      <c r="A576" s="1">
        <v>12</v>
      </c>
      <c r="B576" s="71">
        <v>42125</v>
      </c>
      <c r="E576" s="5">
        <v>5</v>
      </c>
      <c r="F576" s="79">
        <v>6.3070000000000004</v>
      </c>
      <c r="G576" s="80">
        <v>4.2999999999999997E-2</v>
      </c>
    </row>
    <row r="577" spans="1:14">
      <c r="A577" s="1">
        <v>13</v>
      </c>
      <c r="B577" s="71">
        <v>42125</v>
      </c>
      <c r="E577" s="5">
        <v>5</v>
      </c>
      <c r="F577" s="79">
        <v>7.58</v>
      </c>
      <c r="G577" s="80">
        <v>2.8000000000000001E-2</v>
      </c>
      <c r="I577" s="21">
        <f>AVERAGE(F575:F577)</f>
        <v>7.288333333333334</v>
      </c>
      <c r="J577" s="21">
        <f>AVERAGE(G575:G577)</f>
        <v>4.3000000000000003E-2</v>
      </c>
      <c r="L577">
        <f>+J577/I577</f>
        <v>5.8998399268236912E-3</v>
      </c>
      <c r="M577">
        <f>+(L577-$L$927)/$L$928</f>
        <v>0.16841342261977385</v>
      </c>
      <c r="N577">
        <f>+N574+M577</f>
        <v>-11.851441719874297</v>
      </c>
    </row>
    <row r="578" spans="1:14">
      <c r="A578" s="1">
        <v>11</v>
      </c>
      <c r="B578" s="71">
        <v>42156</v>
      </c>
      <c r="E578" s="5">
        <v>6</v>
      </c>
      <c r="F578" s="79">
        <v>7.2409999999999997</v>
      </c>
      <c r="G578" s="80">
        <v>3.3000000000000002E-2</v>
      </c>
    </row>
    <row r="579" spans="1:14">
      <c r="A579" s="1">
        <v>12</v>
      </c>
      <c r="B579" s="71">
        <v>42156</v>
      </c>
      <c r="E579" s="5">
        <v>6</v>
      </c>
      <c r="F579" s="79">
        <v>7.2489999999999997</v>
      </c>
      <c r="G579" s="80">
        <v>1.6E-2</v>
      </c>
    </row>
    <row r="580" spans="1:14">
      <c r="A580" s="1">
        <v>13</v>
      </c>
      <c r="B580" s="71">
        <v>42156</v>
      </c>
      <c r="E580" s="5">
        <v>6</v>
      </c>
      <c r="F580" s="79">
        <v>12.542</v>
      </c>
      <c r="G580" s="80">
        <v>1.4E-2</v>
      </c>
      <c r="I580" s="21">
        <f>AVERAGE(F578:F580)</f>
        <v>9.0106666666666655</v>
      </c>
      <c r="J580" s="21">
        <f>AVERAGE(G578:G580)</f>
        <v>2.1000000000000001E-2</v>
      </c>
      <c r="L580">
        <f>+J580/I580</f>
        <v>2.330571174903818E-3</v>
      </c>
      <c r="M580">
        <f>+(L580-$L$927)/$L$928</f>
        <v>-0.19816908318447843</v>
      </c>
      <c r="N580">
        <f>+N577+M580</f>
        <v>-12.049610803058775</v>
      </c>
    </row>
    <row r="581" spans="1:14">
      <c r="A581" s="1">
        <v>11</v>
      </c>
      <c r="B581" s="71">
        <v>42186</v>
      </c>
      <c r="E581" s="5">
        <v>7</v>
      </c>
      <c r="F581" s="79">
        <v>11.587</v>
      </c>
      <c r="G581" s="80">
        <v>3.1E-2</v>
      </c>
    </row>
    <row r="582" spans="1:14">
      <c r="A582" s="1">
        <v>12</v>
      </c>
      <c r="B582" s="71">
        <v>42186</v>
      </c>
      <c r="E582" s="5">
        <v>7</v>
      </c>
      <c r="F582" s="79">
        <v>9.7639999999999993</v>
      </c>
      <c r="G582" s="80">
        <v>3.1E-2</v>
      </c>
    </row>
    <row r="583" spans="1:14">
      <c r="A583" s="1">
        <v>13</v>
      </c>
      <c r="B583" s="71">
        <v>42186</v>
      </c>
      <c r="E583" s="5">
        <v>7</v>
      </c>
      <c r="F583" s="79">
        <v>12.468</v>
      </c>
      <c r="G583" s="80">
        <v>0.03</v>
      </c>
      <c r="I583" s="21">
        <f>AVERAGE(F581:F583)</f>
        <v>11.273000000000001</v>
      </c>
      <c r="J583" s="21">
        <f>AVERAGE(G581:G583)</f>
        <v>3.0666666666666665E-2</v>
      </c>
      <c r="L583">
        <f>+J583/I583</f>
        <v>2.7203642922617459E-3</v>
      </c>
      <c r="M583">
        <f>+(L583-$L$927)/$L$928</f>
        <v>-0.1581352982167703</v>
      </c>
      <c r="N583">
        <f>+N580+M583</f>
        <v>-12.207746101275545</v>
      </c>
    </row>
    <row r="584" spans="1:14">
      <c r="A584" s="1">
        <v>11</v>
      </c>
      <c r="B584" s="71">
        <v>42217</v>
      </c>
      <c r="E584" s="5">
        <v>8</v>
      </c>
      <c r="F584" s="79">
        <v>8.31</v>
      </c>
      <c r="G584" s="80">
        <v>2.5000000000000001E-2</v>
      </c>
    </row>
    <row r="585" spans="1:14">
      <c r="A585" s="1">
        <v>12</v>
      </c>
      <c r="B585" s="71">
        <v>42217</v>
      </c>
      <c r="E585" s="5">
        <v>8</v>
      </c>
      <c r="F585" s="79">
        <v>3.1019999999999999</v>
      </c>
      <c r="G585" s="80">
        <v>3.4000000000000002E-2</v>
      </c>
    </row>
    <row r="586" spans="1:14">
      <c r="A586" s="1">
        <v>13</v>
      </c>
      <c r="B586" s="71">
        <v>42217</v>
      </c>
      <c r="E586" s="5">
        <v>8</v>
      </c>
      <c r="F586" s="79">
        <v>7.0839999999999996</v>
      </c>
      <c r="G586" s="80">
        <v>1.9E-2</v>
      </c>
      <c r="I586" s="21">
        <f>AVERAGE(F584:F586)</f>
        <v>6.1653333333333338</v>
      </c>
      <c r="J586" s="21">
        <f>AVERAGE(G584:G586)</f>
        <v>2.5999999999999999E-2</v>
      </c>
      <c r="L586">
        <f>+J586/I586</f>
        <v>4.2171280276816605E-3</v>
      </c>
      <c r="M586">
        <f>+(L586-$L$927)/$L$928</f>
        <v>-4.4098606374252851E-3</v>
      </c>
      <c r="N586">
        <f>+N583+M586</f>
        <v>-12.21215596191297</v>
      </c>
    </row>
    <row r="587" spans="1:14">
      <c r="A587" s="1">
        <v>11</v>
      </c>
      <c r="B587" s="71">
        <v>42248</v>
      </c>
      <c r="E587" s="5">
        <v>9</v>
      </c>
      <c r="F587" s="79">
        <v>3.8239999999999998</v>
      </c>
      <c r="G587" s="80">
        <v>5.5E-2</v>
      </c>
    </row>
    <row r="588" spans="1:14">
      <c r="A588" s="1">
        <v>12</v>
      </c>
      <c r="B588" s="71">
        <v>42248</v>
      </c>
      <c r="E588" s="5">
        <v>9</v>
      </c>
      <c r="F588" s="79">
        <v>4.8499999999999996</v>
      </c>
      <c r="G588" s="80">
        <v>3.5999999999999997E-2</v>
      </c>
    </row>
    <row r="589" spans="1:14">
      <c r="A589" s="1">
        <v>13</v>
      </c>
      <c r="B589" s="71">
        <v>42248</v>
      </c>
      <c r="E589" s="5">
        <v>9</v>
      </c>
      <c r="F589" s="79">
        <v>6.0039999999999996</v>
      </c>
      <c r="G589" s="80">
        <v>7.5999999999999998E-2</v>
      </c>
      <c r="I589" s="21">
        <f>AVERAGE(F587:F589)</f>
        <v>4.8926666666666661</v>
      </c>
      <c r="J589" s="21">
        <f>AVERAGE(G587:G589)</f>
        <v>5.5666666666666663E-2</v>
      </c>
      <c r="L589">
        <f>+J589/I589</f>
        <v>1.1377571876277423E-2</v>
      </c>
      <c r="M589">
        <f>+(L589-$L$927)/$L$928</f>
        <v>0.7310050467653797</v>
      </c>
      <c r="N589">
        <f>+N586+M589</f>
        <v>-11.481150915147591</v>
      </c>
    </row>
    <row r="590" spans="1:14">
      <c r="A590" s="1">
        <v>11</v>
      </c>
      <c r="B590" s="71">
        <v>42278</v>
      </c>
      <c r="E590" s="5">
        <v>10</v>
      </c>
      <c r="F590" s="79">
        <v>5.8849999999999998</v>
      </c>
      <c r="G590" s="80">
        <v>3.5999999999999997E-2</v>
      </c>
    </row>
    <row r="591" spans="1:14">
      <c r="A591" s="1">
        <v>12</v>
      </c>
      <c r="B591" s="71">
        <v>42278</v>
      </c>
      <c r="E591" s="5">
        <v>10</v>
      </c>
      <c r="F591" s="79">
        <v>3.806</v>
      </c>
      <c r="G591" s="80">
        <v>2.4E-2</v>
      </c>
    </row>
    <row r="592" spans="1:14">
      <c r="A592" s="1">
        <v>13</v>
      </c>
      <c r="B592" s="71">
        <v>42278</v>
      </c>
      <c r="E592" s="5">
        <v>10</v>
      </c>
      <c r="F592" s="79">
        <v>5.2089999999999996</v>
      </c>
      <c r="G592" s="80">
        <v>1.7999999999999999E-2</v>
      </c>
      <c r="I592" s="21">
        <f>AVERAGE(F590:F592)</f>
        <v>4.9666666666666659</v>
      </c>
      <c r="J592" s="21">
        <f>AVERAGE(G590:G592)</f>
        <v>2.5999999999999999E-2</v>
      </c>
      <c r="L592">
        <f>+J592/I592</f>
        <v>5.234899328859061E-3</v>
      </c>
      <c r="M592">
        <f>+(L592-$L$927)/$L$928</f>
        <v>0.10012055717450907</v>
      </c>
      <c r="N592">
        <f>+N589+M592</f>
        <v>-11.381030357973081</v>
      </c>
    </row>
    <row r="593" spans="1:14">
      <c r="A593" s="1">
        <v>11</v>
      </c>
      <c r="B593" s="71">
        <v>42309</v>
      </c>
      <c r="E593" s="5">
        <v>11</v>
      </c>
      <c r="F593" s="79">
        <v>1.7250000000000001</v>
      </c>
      <c r="G593" s="80">
        <v>1.7999999999999999E-2</v>
      </c>
    </row>
    <row r="594" spans="1:14">
      <c r="A594" s="1">
        <v>12</v>
      </c>
      <c r="B594" s="71">
        <v>42309</v>
      </c>
      <c r="E594" s="5">
        <v>11</v>
      </c>
      <c r="F594" s="79">
        <v>1.4059999999999999</v>
      </c>
      <c r="G594" s="80">
        <v>8.0000000000000002E-3</v>
      </c>
    </row>
    <row r="595" spans="1:14">
      <c r="A595" s="1">
        <v>13</v>
      </c>
      <c r="B595" s="71">
        <v>42309</v>
      </c>
      <c r="E595" s="5">
        <v>11</v>
      </c>
      <c r="F595" s="79">
        <v>0.94499999999999995</v>
      </c>
      <c r="G595" s="80">
        <v>9.9989999999999996E-4</v>
      </c>
      <c r="I595" s="21">
        <f>AVERAGE(F593:F595)</f>
        <v>1.3586666666666669</v>
      </c>
      <c r="J595" s="21">
        <f>AVERAGE(G593:G595)</f>
        <v>8.9999666666666662E-3</v>
      </c>
      <c r="L595">
        <f>+J595/I595</f>
        <v>6.6241167811579961E-3</v>
      </c>
      <c r="M595">
        <f>+(L595-$L$927)/$L$928</f>
        <v>0.24280043088724523</v>
      </c>
      <c r="N595">
        <f>+N592+M595</f>
        <v>-11.138229927085836</v>
      </c>
    </row>
    <row r="596" spans="1:14">
      <c r="A596" s="1">
        <v>11</v>
      </c>
      <c r="B596" s="72">
        <v>42339</v>
      </c>
      <c r="E596" s="5">
        <v>12</v>
      </c>
      <c r="F596" s="79">
        <v>3.4</v>
      </c>
      <c r="G596" s="80">
        <v>3.4000000000000002E-2</v>
      </c>
    </row>
    <row r="597" spans="1:14">
      <c r="A597" s="1">
        <v>12</v>
      </c>
      <c r="B597" s="71">
        <v>42339</v>
      </c>
      <c r="E597" s="5">
        <v>12</v>
      </c>
      <c r="F597" s="79">
        <v>4.452</v>
      </c>
      <c r="G597" s="80">
        <v>3.5999999999999997E-2</v>
      </c>
    </row>
    <row r="598" spans="1:14">
      <c r="A598" s="1">
        <v>13</v>
      </c>
      <c r="B598" s="71">
        <v>42339</v>
      </c>
      <c r="E598" s="5">
        <v>12</v>
      </c>
      <c r="F598" s="79">
        <v>5.8179999999999996</v>
      </c>
      <c r="G598" s="80">
        <v>3.7999999999999999E-2</v>
      </c>
      <c r="I598" s="21">
        <f>AVERAGE(F596:F598)</f>
        <v>4.5566666666666666</v>
      </c>
      <c r="J598" s="21">
        <f>AVERAGE(G596:G598)</f>
        <v>3.6000000000000004E-2</v>
      </c>
      <c r="L598">
        <f>+J598/I598</f>
        <v>7.9005120702267742E-3</v>
      </c>
      <c r="M598">
        <f>+(L598-$L$927)/$L$928</f>
        <v>0.37389288034538554</v>
      </c>
      <c r="N598">
        <f>+N595+M598</f>
        <v>-10.764337046740451</v>
      </c>
    </row>
    <row r="599" spans="1:14">
      <c r="A599" s="1">
        <v>11</v>
      </c>
      <c r="B599" s="70">
        <v>42379</v>
      </c>
      <c r="E599" s="3">
        <v>1</v>
      </c>
      <c r="F599" s="81">
        <v>5.2149999999999999</v>
      </c>
      <c r="G599" s="82">
        <v>2.5000000000000001E-2</v>
      </c>
    </row>
    <row r="600" spans="1:14">
      <c r="A600" s="1">
        <v>12</v>
      </c>
      <c r="B600" s="70">
        <v>42374</v>
      </c>
      <c r="E600" s="3">
        <v>1</v>
      </c>
      <c r="F600" s="81">
        <v>8.0749999999999993</v>
      </c>
      <c r="G600" s="83">
        <v>2.5000000000000001E-2</v>
      </c>
    </row>
    <row r="601" spans="1:14">
      <c r="A601" s="1">
        <v>13</v>
      </c>
      <c r="B601" s="70">
        <v>42374</v>
      </c>
      <c r="E601" s="3">
        <v>1</v>
      </c>
      <c r="F601" s="81">
        <v>6.2149999999999999</v>
      </c>
      <c r="G601" s="83">
        <v>1.7000000000000001E-2</v>
      </c>
      <c r="I601" s="21">
        <f>AVERAGE(F599:F601)</f>
        <v>6.501666666666666</v>
      </c>
      <c r="J601" s="21">
        <f>AVERAGE(G599:G601)</f>
        <v>2.2333333333333334E-2</v>
      </c>
      <c r="L601">
        <f>+J601/I601</f>
        <v>3.4350166623942583E-3</v>
      </c>
      <c r="M601">
        <f>+(L601-$L$927)/$L$928</f>
        <v>-8.4736774644901827E-2</v>
      </c>
      <c r="N601">
        <f>+N598+M601</f>
        <v>-10.849073821385353</v>
      </c>
    </row>
    <row r="602" spans="1:14">
      <c r="A602" s="1">
        <v>11</v>
      </c>
      <c r="B602" s="71">
        <v>42401</v>
      </c>
      <c r="E602" s="5">
        <v>2</v>
      </c>
      <c r="F602" s="81">
        <v>5.5350000000000001</v>
      </c>
      <c r="G602" s="83">
        <v>2.1000000000000001E-2</v>
      </c>
    </row>
    <row r="603" spans="1:14">
      <c r="A603" s="1">
        <v>12</v>
      </c>
      <c r="B603" s="71">
        <v>42401</v>
      </c>
      <c r="E603" s="5">
        <v>2</v>
      </c>
      <c r="F603" s="81">
        <v>6.8559999999999999</v>
      </c>
      <c r="G603" s="83">
        <v>0.03</v>
      </c>
    </row>
    <row r="604" spans="1:14">
      <c r="A604" s="1">
        <v>13</v>
      </c>
      <c r="B604" s="71">
        <v>42401</v>
      </c>
      <c r="E604" s="5">
        <v>2</v>
      </c>
      <c r="F604" s="81">
        <v>7.1429999999999998</v>
      </c>
      <c r="G604" s="83">
        <v>0.03</v>
      </c>
      <c r="I604" s="21">
        <f>AVERAGE(F602:F604)</f>
        <v>6.511333333333333</v>
      </c>
      <c r="J604" s="21">
        <f>AVERAGE(G602:G604)</f>
        <v>2.7E-2</v>
      </c>
      <c r="L604">
        <f>+J604/I604</f>
        <v>4.1466161564451725E-3</v>
      </c>
      <c r="M604">
        <f>+(L604-$L$927)/$L$928</f>
        <v>-1.1651797359874372E-2</v>
      </c>
      <c r="N604">
        <f>+N601+M604</f>
        <v>-10.860725618745228</v>
      </c>
    </row>
    <row r="605" spans="1:14">
      <c r="A605" s="1">
        <v>11</v>
      </c>
      <c r="B605" s="71">
        <v>42430</v>
      </c>
      <c r="E605" s="5">
        <v>3</v>
      </c>
      <c r="F605" s="81">
        <v>5.6139999999999999</v>
      </c>
      <c r="G605" s="83">
        <v>0.01</v>
      </c>
    </row>
    <row r="606" spans="1:14">
      <c r="A606" s="1">
        <v>12</v>
      </c>
      <c r="B606" s="71">
        <v>42430</v>
      </c>
      <c r="E606" s="5">
        <v>3</v>
      </c>
      <c r="F606" s="81">
        <v>4.2729999999999997</v>
      </c>
      <c r="G606" s="83">
        <v>1.2999999999999999E-2</v>
      </c>
    </row>
    <row r="607" spans="1:14">
      <c r="A607" s="1">
        <v>13</v>
      </c>
      <c r="B607" s="71">
        <v>42430</v>
      </c>
      <c r="E607" s="5">
        <v>3</v>
      </c>
      <c r="F607" s="81">
        <v>2.7320000000000002</v>
      </c>
      <c r="G607" s="83">
        <v>8.0000000000000002E-3</v>
      </c>
      <c r="I607" s="21">
        <f>AVERAGE(F605:F607)</f>
        <v>4.2063333333333333</v>
      </c>
      <c r="J607" s="21">
        <f>AVERAGE(G605:G607)</f>
        <v>1.0333333333333333E-2</v>
      </c>
      <c r="L607">
        <f>+J607/I607</f>
        <v>2.4566130438228068E-3</v>
      </c>
      <c r="M607">
        <f>+(L607-$L$927)/$L$928</f>
        <v>-0.1852239262472988</v>
      </c>
      <c r="N607">
        <f>+N604+M607</f>
        <v>-11.045949544992526</v>
      </c>
    </row>
    <row r="608" spans="1:14">
      <c r="A608" s="1">
        <v>11</v>
      </c>
      <c r="B608" s="71">
        <v>42461</v>
      </c>
      <c r="E608" s="5">
        <v>4</v>
      </c>
      <c r="F608" s="81">
        <v>4.4889999999999999</v>
      </c>
      <c r="G608" s="83">
        <v>2.1000000000000001E-2</v>
      </c>
    </row>
    <row r="609" spans="1:14">
      <c r="A609" s="1">
        <v>12</v>
      </c>
      <c r="B609" s="71">
        <v>42461</v>
      </c>
      <c r="E609" s="5">
        <v>4</v>
      </c>
      <c r="F609" s="81">
        <v>4.5019999999999998</v>
      </c>
      <c r="G609" s="83">
        <v>1.7999999999999999E-2</v>
      </c>
    </row>
    <row r="610" spans="1:14">
      <c r="A610" s="1">
        <v>13</v>
      </c>
      <c r="B610" s="71">
        <v>42461</v>
      </c>
      <c r="E610" s="5">
        <v>4</v>
      </c>
      <c r="F610" s="81">
        <v>3.6019999999999999</v>
      </c>
      <c r="G610" s="83">
        <v>0.01</v>
      </c>
      <c r="I610" s="21">
        <f>AVERAGE(F608:F610)</f>
        <v>4.1976666666666667</v>
      </c>
      <c r="J610" s="21">
        <f>AVERAGE(G608:G610)</f>
        <v>1.6333333333333335E-2</v>
      </c>
      <c r="L610">
        <f>+J610/I610</f>
        <v>3.891050583657588E-3</v>
      </c>
      <c r="M610">
        <f>+(L610-$L$927)/$L$928</f>
        <v>-3.78997138327875E-2</v>
      </c>
      <c r="N610">
        <f>+N607+M610</f>
        <v>-11.083849258825314</v>
      </c>
    </row>
    <row r="611" spans="1:14">
      <c r="A611" s="1">
        <v>11</v>
      </c>
      <c r="B611" s="71">
        <v>42491</v>
      </c>
      <c r="E611" s="5">
        <v>5</v>
      </c>
      <c r="F611" s="81">
        <v>7.3659999999999997</v>
      </c>
      <c r="G611" s="83">
        <v>9.0999999999999998E-2</v>
      </c>
    </row>
    <row r="612" spans="1:14">
      <c r="A612" s="1">
        <v>12</v>
      </c>
      <c r="B612" s="71">
        <v>42491</v>
      </c>
      <c r="E612" s="5">
        <v>5</v>
      </c>
      <c r="F612" s="81">
        <v>7.1539999999999999</v>
      </c>
      <c r="G612" s="83">
        <v>0.16700000000000001</v>
      </c>
    </row>
    <row r="613" spans="1:14">
      <c r="A613" s="1">
        <v>13</v>
      </c>
      <c r="B613" s="71">
        <v>42491</v>
      </c>
      <c r="E613" s="5">
        <v>5</v>
      </c>
      <c r="F613" s="81">
        <v>8.9220000000000006</v>
      </c>
      <c r="G613" s="83">
        <v>0.19</v>
      </c>
      <c r="I613" s="21">
        <f>AVERAGE(F611:F613)</f>
        <v>7.8140000000000001</v>
      </c>
      <c r="J613" s="21">
        <f>AVERAGE(G611:G613)</f>
        <v>0.14933333333333335</v>
      </c>
      <c r="L613">
        <f>+J613/I613</f>
        <v>1.9110997355174474E-2</v>
      </c>
      <c r="M613">
        <f>+(L613-$L$927)/$L$928</f>
        <v>1.5252681542939586</v>
      </c>
      <c r="N613">
        <f>+N610+M613</f>
        <v>-9.5585811045313562</v>
      </c>
    </row>
    <row r="614" spans="1:14">
      <c r="A614" s="1">
        <v>11</v>
      </c>
      <c r="B614" s="71">
        <v>42522</v>
      </c>
      <c r="E614" s="5">
        <v>6</v>
      </c>
      <c r="F614" s="81">
        <v>5.7859999999999996</v>
      </c>
      <c r="G614" s="83">
        <v>3.6999999999999998E-2</v>
      </c>
    </row>
    <row r="615" spans="1:14">
      <c r="A615" s="1">
        <v>12</v>
      </c>
      <c r="B615" s="71">
        <v>42522</v>
      </c>
      <c r="E615" s="5">
        <v>6</v>
      </c>
      <c r="F615" s="81">
        <v>7.0030000000000001</v>
      </c>
      <c r="G615" s="83">
        <v>2.4E-2</v>
      </c>
    </row>
    <row r="616" spans="1:14">
      <c r="A616" s="1">
        <v>13</v>
      </c>
      <c r="B616" s="71">
        <v>42522</v>
      </c>
      <c r="E616" s="5">
        <v>6</v>
      </c>
      <c r="F616" s="81">
        <v>7.8079999999999998</v>
      </c>
      <c r="G616" s="83">
        <v>1.9E-2</v>
      </c>
      <c r="I616" s="21">
        <f>AVERAGE(F614:F616)</f>
        <v>6.8656666666666668</v>
      </c>
      <c r="J616" s="21">
        <f>AVERAGE(G614:G616)</f>
        <v>2.6666666666666668E-2</v>
      </c>
      <c r="L616">
        <f>+J616/I616</f>
        <v>3.8840607855512941E-3</v>
      </c>
      <c r="M616">
        <f>+(L616-$L$927)/$L$928</f>
        <v>-3.8617602532956909E-2</v>
      </c>
      <c r="N616">
        <f>+N613+M616</f>
        <v>-9.5971987070643134</v>
      </c>
    </row>
    <row r="617" spans="1:14">
      <c r="A617" s="1">
        <v>11</v>
      </c>
      <c r="B617" s="71">
        <v>42552</v>
      </c>
      <c r="E617" s="5">
        <v>7</v>
      </c>
      <c r="F617" s="81">
        <v>8.6720000000000006</v>
      </c>
      <c r="G617" s="83">
        <v>0.03</v>
      </c>
    </row>
    <row r="618" spans="1:14">
      <c r="A618" s="1">
        <v>12</v>
      </c>
      <c r="B618" s="71">
        <v>42552</v>
      </c>
      <c r="E618" s="5">
        <v>7</v>
      </c>
      <c r="F618" s="81">
        <v>8.9190000000000005</v>
      </c>
      <c r="G618" s="83">
        <v>2.5999999999999999E-2</v>
      </c>
    </row>
    <row r="619" spans="1:14">
      <c r="A619" s="1">
        <v>13</v>
      </c>
      <c r="B619" s="71">
        <v>42552</v>
      </c>
      <c r="E619" s="5">
        <v>7</v>
      </c>
      <c r="F619" s="81">
        <v>18.024999999999999</v>
      </c>
      <c r="G619" s="83">
        <v>4.8000000000000001E-2</v>
      </c>
      <c r="I619" s="21">
        <f>AVERAGE(F617:F619)</f>
        <v>11.872</v>
      </c>
      <c r="J619" s="21">
        <f>AVERAGE(G617:G619)</f>
        <v>3.4666666666666665E-2</v>
      </c>
      <c r="L619">
        <f>+J619/I619</f>
        <v>2.9200359389038632E-3</v>
      </c>
      <c r="M619">
        <f>+(L619-$L$927)/$L$928</f>
        <v>-0.13762797930872867</v>
      </c>
      <c r="N619">
        <f>+N616+M619</f>
        <v>-9.7348266863730419</v>
      </c>
    </row>
    <row r="620" spans="1:14">
      <c r="A620" s="1">
        <v>11</v>
      </c>
      <c r="B620" s="71">
        <v>42583</v>
      </c>
      <c r="E620" s="5">
        <v>8</v>
      </c>
      <c r="F620" s="81">
        <v>7.4160000000000004</v>
      </c>
      <c r="G620" s="83">
        <v>3.3000000000000002E-2</v>
      </c>
    </row>
    <row r="621" spans="1:14">
      <c r="A621" s="1">
        <v>12</v>
      </c>
      <c r="B621" s="71">
        <v>42583</v>
      </c>
      <c r="E621" s="5">
        <v>8</v>
      </c>
      <c r="F621" s="81">
        <v>7.9630000000000001</v>
      </c>
      <c r="G621" s="83">
        <v>5.2999999999999999E-2</v>
      </c>
    </row>
    <row r="622" spans="1:14">
      <c r="A622" s="1">
        <v>13</v>
      </c>
      <c r="B622" s="71">
        <v>42583</v>
      </c>
      <c r="E622" s="5">
        <v>8</v>
      </c>
      <c r="F622" s="81">
        <v>14.641</v>
      </c>
      <c r="G622" s="83">
        <v>2.1999999999999999E-2</v>
      </c>
      <c r="I622" s="21">
        <f>AVERAGE(F620:F622)</f>
        <v>10.006666666666668</v>
      </c>
      <c r="J622" s="21">
        <f>AVERAGE(G620:G622)</f>
        <v>3.5999999999999997E-2</v>
      </c>
      <c r="L622">
        <f>+J622/I622</f>
        <v>3.5976015989340432E-3</v>
      </c>
      <c r="M622">
        <f>+(L622-$L$927)/$L$928</f>
        <v>-6.8038454180599159E-2</v>
      </c>
      <c r="N622">
        <f>+N619+M622</f>
        <v>-9.8028651405536404</v>
      </c>
    </row>
    <row r="623" spans="1:14">
      <c r="A623" s="1">
        <v>11</v>
      </c>
      <c r="B623" s="71">
        <v>42614</v>
      </c>
      <c r="E623" s="5">
        <v>9</v>
      </c>
      <c r="F623" s="81">
        <v>6.0890000000000004</v>
      </c>
      <c r="G623" s="83">
        <v>3.6999999999999998E-2</v>
      </c>
    </row>
    <row r="624" spans="1:14">
      <c r="A624" s="1">
        <v>12</v>
      </c>
      <c r="B624" s="71">
        <v>42614</v>
      </c>
      <c r="E624" s="5">
        <v>9</v>
      </c>
      <c r="F624" s="81">
        <v>7.117</v>
      </c>
      <c r="G624" s="83">
        <v>5.1999999999999998E-2</v>
      </c>
    </row>
    <row r="625" spans="1:14">
      <c r="A625" s="1">
        <v>13</v>
      </c>
      <c r="B625" s="71">
        <v>42614</v>
      </c>
      <c r="E625" s="5">
        <v>9</v>
      </c>
      <c r="F625" s="81">
        <v>10.36</v>
      </c>
      <c r="G625" s="83">
        <v>2.5000000000000001E-2</v>
      </c>
      <c r="I625" s="21">
        <f>AVERAGE(F623:F625)</f>
        <v>7.8553333333333333</v>
      </c>
      <c r="J625" s="21">
        <f>AVERAGE(G623:G625)</f>
        <v>3.7999999999999999E-2</v>
      </c>
      <c r="L625">
        <f>+J625/I625</f>
        <v>4.837477722142069E-3</v>
      </c>
      <c r="M625">
        <f>+(L625-$L$927)/$L$928</f>
        <v>5.9303286585763684E-2</v>
      </c>
      <c r="N625">
        <f>+N622+M625</f>
        <v>-9.7435618539678774</v>
      </c>
    </row>
    <row r="626" spans="1:14">
      <c r="A626" s="1">
        <v>11</v>
      </c>
      <c r="B626" s="71">
        <v>42644</v>
      </c>
      <c r="E626" s="5">
        <v>10</v>
      </c>
      <c r="F626" s="81">
        <v>2.234</v>
      </c>
      <c r="G626" s="83">
        <v>2.1000000000000001E-2</v>
      </c>
    </row>
    <row r="627" spans="1:14">
      <c r="A627" s="1">
        <v>12</v>
      </c>
      <c r="B627" s="71">
        <v>42644</v>
      </c>
      <c r="E627" s="5">
        <v>10</v>
      </c>
      <c r="F627" s="81">
        <v>3.1469999999999998</v>
      </c>
      <c r="G627" s="83">
        <v>3.9E-2</v>
      </c>
    </row>
    <row r="628" spans="1:14">
      <c r="A628" s="1">
        <v>13</v>
      </c>
      <c r="B628" s="71">
        <v>42644</v>
      </c>
      <c r="E628" s="5">
        <v>10</v>
      </c>
      <c r="F628" s="81">
        <v>5.1710000000000003</v>
      </c>
      <c r="G628" s="83">
        <v>1.7000000000000001E-2</v>
      </c>
      <c r="I628" s="21">
        <f>AVERAGE(F626:F628)</f>
        <v>3.5173333333333332</v>
      </c>
      <c r="J628" s="21">
        <f>AVERAGE(G626:G628)</f>
        <v>2.5666666666666667E-2</v>
      </c>
      <c r="L628">
        <f>+J628/I628</f>
        <v>7.2971948445792268E-3</v>
      </c>
      <c r="M628">
        <f>+(L628-$L$927)/$L$928</f>
        <v>0.31192905645182623</v>
      </c>
      <c r="N628">
        <f>+N625+M628</f>
        <v>-9.4316327975160519</v>
      </c>
    </row>
    <row r="629" spans="1:14">
      <c r="A629" s="1">
        <v>11</v>
      </c>
      <c r="B629" s="71">
        <v>42675</v>
      </c>
      <c r="E629" s="5">
        <v>11</v>
      </c>
      <c r="F629" s="81">
        <v>4.2850000000000001</v>
      </c>
      <c r="G629" s="83">
        <v>5.1999999999999998E-2</v>
      </c>
    </row>
    <row r="630" spans="1:14">
      <c r="A630" s="1">
        <v>12</v>
      </c>
      <c r="B630" s="71">
        <v>42675</v>
      </c>
      <c r="E630" s="5">
        <v>11</v>
      </c>
      <c r="F630" s="81">
        <v>5.68</v>
      </c>
      <c r="G630" s="83">
        <v>0.10100000000000001</v>
      </c>
    </row>
    <row r="631" spans="1:14">
      <c r="A631" s="1">
        <v>13</v>
      </c>
      <c r="B631" s="71">
        <v>42675</v>
      </c>
      <c r="E631" s="5">
        <v>11</v>
      </c>
      <c r="F631" s="81">
        <v>2.0910000000000002</v>
      </c>
      <c r="G631" s="83">
        <v>1.4E-2</v>
      </c>
      <c r="I631" s="21">
        <f>AVERAGE(F629:F631)</f>
        <v>4.0186666666666673</v>
      </c>
      <c r="J631" s="21">
        <f>AVERAGE(G629:G631)</f>
        <v>5.566666666666667E-2</v>
      </c>
      <c r="L631">
        <f>+J631/I631</f>
        <v>1.3852023888520238E-2</v>
      </c>
      <c r="M631">
        <f>+(L631-$L$927)/$L$928</f>
        <v>0.98514416662079285</v>
      </c>
      <c r="N631">
        <f>+N628+M631</f>
        <v>-8.4464886308952583</v>
      </c>
    </row>
    <row r="632" spans="1:14">
      <c r="A632" s="1">
        <v>11</v>
      </c>
      <c r="B632" s="72">
        <v>42705</v>
      </c>
      <c r="E632" s="5">
        <v>12</v>
      </c>
      <c r="F632" s="81">
        <v>6.109</v>
      </c>
      <c r="G632" s="83">
        <v>0.14499999999999999</v>
      </c>
    </row>
    <row r="633" spans="1:14">
      <c r="A633" s="1">
        <v>12</v>
      </c>
      <c r="B633" s="71">
        <v>42705</v>
      </c>
      <c r="E633" s="5">
        <v>12</v>
      </c>
      <c r="F633" s="81">
        <v>3.9180000000000001</v>
      </c>
      <c r="G633" s="83">
        <v>3.5000000000000003E-2</v>
      </c>
    </row>
    <row r="634" spans="1:14">
      <c r="A634" s="1">
        <v>13</v>
      </c>
      <c r="B634" s="71">
        <v>42705</v>
      </c>
      <c r="E634" s="5">
        <v>12</v>
      </c>
      <c r="F634" s="81">
        <v>3.7839999999999998</v>
      </c>
      <c r="G634" s="83">
        <v>1.9E-2</v>
      </c>
      <c r="I634" s="21">
        <f>AVERAGE(F632:F634)</f>
        <v>4.6036666666666664</v>
      </c>
      <c r="J634" s="21">
        <f>AVERAGE(G632:G634)</f>
        <v>6.6333333333333327E-2</v>
      </c>
      <c r="L634">
        <f>+J634/I634</f>
        <v>1.4408804576062558E-2</v>
      </c>
      <c r="M634">
        <f>+(L634-$L$927)/$L$928</f>
        <v>1.0423284454770405</v>
      </c>
      <c r="N634">
        <f>+N631+M634</f>
        <v>-7.4041601854182177</v>
      </c>
    </row>
    <row r="635" spans="1:14">
      <c r="A635" s="1">
        <v>11</v>
      </c>
      <c r="B635" s="70">
        <v>42745</v>
      </c>
      <c r="E635" s="3">
        <v>1</v>
      </c>
    </row>
    <row r="636" spans="1:14">
      <c r="A636" s="1">
        <v>12</v>
      </c>
      <c r="B636" s="70">
        <v>42740</v>
      </c>
      <c r="E636" s="3">
        <v>1</v>
      </c>
    </row>
    <row r="637" spans="1:14">
      <c r="A637" s="1">
        <v>13</v>
      </c>
      <c r="B637" s="70">
        <v>42740</v>
      </c>
      <c r="E637" s="3">
        <v>1</v>
      </c>
    </row>
    <row r="638" spans="1:14">
      <c r="A638" s="1">
        <v>11</v>
      </c>
      <c r="B638" s="71">
        <v>42767</v>
      </c>
      <c r="E638" s="5">
        <v>2</v>
      </c>
    </row>
    <row r="639" spans="1:14">
      <c r="A639" s="1">
        <v>12</v>
      </c>
      <c r="B639" s="71">
        <v>42767</v>
      </c>
      <c r="E639" s="5">
        <v>2</v>
      </c>
    </row>
    <row r="640" spans="1:14">
      <c r="A640" s="1">
        <v>13</v>
      </c>
      <c r="B640" s="71">
        <v>42767</v>
      </c>
      <c r="E640" s="5">
        <v>2</v>
      </c>
    </row>
    <row r="641" spans="1:14">
      <c r="A641" s="1">
        <v>11</v>
      </c>
      <c r="B641" s="71">
        <v>42795</v>
      </c>
      <c r="E641" s="5">
        <v>3</v>
      </c>
      <c r="F641" s="81">
        <v>4.8869999999999996</v>
      </c>
      <c r="G641" s="81">
        <v>4.2999999999999997E-2</v>
      </c>
    </row>
    <row r="642" spans="1:14">
      <c r="A642" s="1">
        <v>12</v>
      </c>
      <c r="B642" s="71">
        <v>42795</v>
      </c>
      <c r="E642" s="5">
        <v>3</v>
      </c>
      <c r="F642" s="81">
        <v>5.0990000000000002</v>
      </c>
      <c r="G642" s="81">
        <v>3.2000000000000001E-2</v>
      </c>
    </row>
    <row r="643" spans="1:14">
      <c r="A643" s="1">
        <v>13</v>
      </c>
      <c r="B643" s="71">
        <v>42795</v>
      </c>
      <c r="E643" s="5">
        <v>3</v>
      </c>
      <c r="F643" s="81">
        <v>4.2910000000000004</v>
      </c>
      <c r="G643" s="81">
        <v>2.5999999999999999E-2</v>
      </c>
      <c r="I643" s="21">
        <f>AVERAGE(F641:F643)</f>
        <v>4.7590000000000003</v>
      </c>
      <c r="J643" s="21">
        <f>AVERAGE(G641:G643)</f>
        <v>3.3666666666666664E-2</v>
      </c>
      <c r="L643">
        <f>+J643/I643</f>
        <v>7.0743153323527342E-3</v>
      </c>
      <c r="M643">
        <f>+(L643-$L$927)/$L$928</f>
        <v>0.28903816877617289</v>
      </c>
      <c r="N643">
        <f>+N634+M643</f>
        <v>-7.1151220166420446</v>
      </c>
    </row>
    <row r="644" spans="1:14">
      <c r="A644" s="1">
        <v>11</v>
      </c>
      <c r="B644" s="71">
        <v>42826</v>
      </c>
      <c r="E644" s="5">
        <v>4</v>
      </c>
      <c r="F644" s="81">
        <v>1.1439999999999999</v>
      </c>
      <c r="G644" s="81">
        <v>3.5000000000000003E-2</v>
      </c>
    </row>
    <row r="645" spans="1:14">
      <c r="A645" s="1">
        <v>12</v>
      </c>
      <c r="B645" s="71">
        <v>42826</v>
      </c>
      <c r="E645" s="5">
        <v>4</v>
      </c>
      <c r="F645" s="81">
        <v>1.2629999999999999</v>
      </c>
      <c r="G645" s="81">
        <v>2.4E-2</v>
      </c>
    </row>
    <row r="646" spans="1:14">
      <c r="A646" s="1">
        <v>13</v>
      </c>
      <c r="B646" s="71">
        <v>42826</v>
      </c>
      <c r="E646" s="5">
        <v>4</v>
      </c>
      <c r="F646" s="81">
        <v>1.915</v>
      </c>
      <c r="G646" s="81">
        <v>5.0999999999999997E-2</v>
      </c>
      <c r="I646" s="21">
        <f>AVERAGE(F644:F646)</f>
        <v>1.4406666666666668</v>
      </c>
      <c r="J646" s="21">
        <f>AVERAGE(G644:G646)</f>
        <v>3.6666666666666667E-2</v>
      </c>
      <c r="L646">
        <f>+J646/I646</f>
        <v>2.5451180009254972E-2</v>
      </c>
      <c r="M646">
        <f>+(L646-$L$927)/$L$928</f>
        <v>2.1764379613697975</v>
      </c>
      <c r="N646">
        <f>+N643+M646</f>
        <v>-4.9386840552722475</v>
      </c>
    </row>
    <row r="647" spans="1:14">
      <c r="A647" s="1">
        <v>11</v>
      </c>
      <c r="B647" s="71">
        <v>42856</v>
      </c>
      <c r="E647" s="5">
        <v>5</v>
      </c>
      <c r="F647" s="81">
        <v>3.423</v>
      </c>
      <c r="G647" s="81">
        <v>9.9989999999999996E-4</v>
      </c>
    </row>
    <row r="648" spans="1:14">
      <c r="A648" s="1">
        <v>12</v>
      </c>
      <c r="B648" s="71">
        <v>42856</v>
      </c>
      <c r="E648" s="5">
        <v>5</v>
      </c>
      <c r="F648" s="81">
        <v>4.0819999999999999</v>
      </c>
      <c r="G648" s="81">
        <v>9.9989999999999996E-4</v>
      </c>
    </row>
    <row r="649" spans="1:14">
      <c r="A649" s="1">
        <v>13</v>
      </c>
      <c r="B649" s="71">
        <v>42856</v>
      </c>
      <c r="E649" s="5">
        <v>5</v>
      </c>
      <c r="F649" s="81">
        <v>4.6100000000000003</v>
      </c>
      <c r="G649" s="81">
        <v>0.01</v>
      </c>
      <c r="I649" s="21">
        <f>AVERAGE(F647:F649)</f>
        <v>4.0383333333333331</v>
      </c>
      <c r="J649" s="21">
        <f>AVERAGE(G647:G649)</f>
        <v>3.9999333333333329E-3</v>
      </c>
      <c r="L649">
        <f>+J649/I649</f>
        <v>9.9049112670243503E-4</v>
      </c>
      <c r="M649">
        <f>+(L649-$L$927)/$L$928</f>
        <v>-0.3358022893653545</v>
      </c>
      <c r="N649">
        <f>+N646+M649</f>
        <v>-5.2744863446376016</v>
      </c>
    </row>
    <row r="650" spans="1:14">
      <c r="A650" s="1">
        <v>11</v>
      </c>
      <c r="B650" s="71">
        <v>42887</v>
      </c>
      <c r="E650" s="5">
        <v>6</v>
      </c>
      <c r="F650" s="81">
        <v>4.7759999999999998</v>
      </c>
      <c r="G650" s="81">
        <v>4.9000000000000002E-2</v>
      </c>
    </row>
    <row r="651" spans="1:14">
      <c r="A651" s="1">
        <v>12</v>
      </c>
      <c r="B651" s="71">
        <v>42887</v>
      </c>
      <c r="E651" s="5">
        <v>6</v>
      </c>
      <c r="F651" s="81">
        <v>4.5810000000000004</v>
      </c>
      <c r="G651" s="81">
        <v>4.2000000000000003E-2</v>
      </c>
    </row>
    <row r="652" spans="1:14">
      <c r="A652" s="1">
        <v>13</v>
      </c>
      <c r="B652" s="71">
        <v>42887</v>
      </c>
      <c r="E652" s="5">
        <v>6</v>
      </c>
      <c r="F652" s="81">
        <v>3.6120000000000001</v>
      </c>
      <c r="G652" s="81">
        <v>5.1999999999999998E-2</v>
      </c>
      <c r="I652" s="21">
        <f>AVERAGE(F650:F652)</f>
        <v>4.3229999999999995</v>
      </c>
      <c r="J652" s="21">
        <f>AVERAGE(G650:G652)</f>
        <v>4.7666666666666663E-2</v>
      </c>
      <c r="L652">
        <f>+J652/I652</f>
        <v>1.102629346904156E-2</v>
      </c>
      <c r="M652">
        <f>+(L652-$L$927)/$L$928</f>
        <v>0.6949269232869546</v>
      </c>
      <c r="N652">
        <f>+N649+M652</f>
        <v>-4.5795594213506465</v>
      </c>
    </row>
    <row r="653" spans="1:14">
      <c r="A653" s="1">
        <v>11</v>
      </c>
      <c r="B653" s="71">
        <v>42917</v>
      </c>
      <c r="E653" s="5">
        <v>7</v>
      </c>
      <c r="F653" s="81">
        <v>3.9660000000000002</v>
      </c>
      <c r="G653" s="81">
        <v>1.9E-2</v>
      </c>
    </row>
    <row r="654" spans="1:14">
      <c r="A654" s="1">
        <v>12</v>
      </c>
      <c r="B654" s="71">
        <v>42917</v>
      </c>
      <c r="E654" s="5">
        <v>7</v>
      </c>
      <c r="F654" s="81">
        <v>3.403</v>
      </c>
      <c r="G654" s="81">
        <v>2.4E-2</v>
      </c>
    </row>
    <row r="655" spans="1:14">
      <c r="A655" s="1">
        <v>13</v>
      </c>
      <c r="B655" s="71">
        <v>42917</v>
      </c>
      <c r="E655" s="5">
        <v>7</v>
      </c>
      <c r="F655" s="81">
        <v>8.1620000000000008</v>
      </c>
      <c r="G655" s="81">
        <v>2.4E-2</v>
      </c>
      <c r="I655" s="21">
        <f>AVERAGE(F653:F655)</f>
        <v>5.1770000000000005</v>
      </c>
      <c r="J655" s="21">
        <f>AVERAGE(G653:G655)</f>
        <v>2.2333333333333334E-2</v>
      </c>
      <c r="L655">
        <f>+J655/I655</f>
        <v>4.3139527396819262E-3</v>
      </c>
      <c r="M655">
        <f>+(L655-$L$927)/$L$928</f>
        <v>5.5345419883900101E-3</v>
      </c>
      <c r="N655">
        <f>+N652+M655</f>
        <v>-4.5740248793622564</v>
      </c>
    </row>
    <row r="656" spans="1:14">
      <c r="A656" s="1">
        <v>11</v>
      </c>
      <c r="B656" s="71">
        <v>42948</v>
      </c>
      <c r="E656" s="5">
        <v>8</v>
      </c>
    </row>
    <row r="657" spans="1:14">
      <c r="A657" s="1">
        <v>12</v>
      </c>
      <c r="B657" s="71">
        <v>42948</v>
      </c>
      <c r="E657" s="5">
        <v>8</v>
      </c>
    </row>
    <row r="658" spans="1:14">
      <c r="A658" s="1">
        <v>13</v>
      </c>
      <c r="B658" s="71">
        <v>42948</v>
      </c>
      <c r="E658" s="5">
        <v>8</v>
      </c>
      <c r="I658" s="21"/>
      <c r="J658" s="21"/>
    </row>
    <row r="659" spans="1:14">
      <c r="A659" s="1">
        <v>11</v>
      </c>
      <c r="B659" s="71">
        <v>42979</v>
      </c>
      <c r="E659" s="5">
        <v>9</v>
      </c>
      <c r="F659" s="81">
        <v>3.472</v>
      </c>
      <c r="G659" s="81">
        <v>2.1000000000000001E-2</v>
      </c>
    </row>
    <row r="660" spans="1:14">
      <c r="A660" s="1">
        <v>12</v>
      </c>
      <c r="B660" s="71">
        <v>42979</v>
      </c>
      <c r="E660" s="5">
        <v>9</v>
      </c>
      <c r="F660" s="81">
        <v>1.677</v>
      </c>
      <c r="G660" s="81">
        <v>1.2E-2</v>
      </c>
    </row>
    <row r="661" spans="1:14">
      <c r="A661" s="1">
        <v>13</v>
      </c>
      <c r="B661" s="71">
        <v>42979</v>
      </c>
      <c r="E661" s="5">
        <v>9</v>
      </c>
      <c r="F661" s="81">
        <v>2.4990000000000001</v>
      </c>
      <c r="G661" s="81">
        <v>1.7999999999999999E-2</v>
      </c>
      <c r="I661" s="21">
        <f>AVERAGE(F659:F661)</f>
        <v>2.5493333333333332</v>
      </c>
      <c r="J661" s="21">
        <f>AVERAGE(G659:G661)</f>
        <v>1.7000000000000001E-2</v>
      </c>
      <c r="L661">
        <f>+J661/I661</f>
        <v>6.6684100418410051E-3</v>
      </c>
      <c r="M661">
        <f>+(L661-$L$927)/$L$928</f>
        <v>0.2473495796401052</v>
      </c>
      <c r="N661">
        <f>+N655+M661</f>
        <v>-4.3266752997221509</v>
      </c>
    </row>
    <row r="662" spans="1:14">
      <c r="A662" s="1">
        <v>11</v>
      </c>
      <c r="B662" s="71">
        <v>43009</v>
      </c>
      <c r="E662" s="5">
        <v>10</v>
      </c>
    </row>
    <row r="663" spans="1:14">
      <c r="A663" s="1">
        <v>12</v>
      </c>
      <c r="B663" s="71">
        <v>43009</v>
      </c>
      <c r="E663" s="5">
        <v>10</v>
      </c>
    </row>
    <row r="664" spans="1:14">
      <c r="A664" s="1">
        <v>13</v>
      </c>
      <c r="B664" s="71">
        <v>43009</v>
      </c>
      <c r="E664" s="5">
        <v>10</v>
      </c>
      <c r="I664" s="21"/>
      <c r="J664" s="21"/>
    </row>
    <row r="665" spans="1:14">
      <c r="A665" s="1">
        <v>11</v>
      </c>
      <c r="B665" s="71">
        <v>43040</v>
      </c>
      <c r="E665" s="5">
        <v>11</v>
      </c>
      <c r="F665" s="81">
        <v>2.278</v>
      </c>
      <c r="G665" s="81">
        <v>0.01</v>
      </c>
    </row>
    <row r="666" spans="1:14">
      <c r="A666" s="1">
        <v>12</v>
      </c>
      <c r="B666" s="71">
        <v>43040</v>
      </c>
      <c r="E666" s="5">
        <v>11</v>
      </c>
      <c r="F666" s="81">
        <v>0.95399999999999996</v>
      </c>
      <c r="G666" s="81">
        <v>7.0000000000000001E-3</v>
      </c>
    </row>
    <row r="667" spans="1:14">
      <c r="A667" s="1">
        <v>13</v>
      </c>
      <c r="B667" s="71">
        <v>43040</v>
      </c>
      <c r="E667" s="5">
        <v>11</v>
      </c>
      <c r="F667" s="81">
        <v>0.90400000000000003</v>
      </c>
      <c r="G667" s="81">
        <v>9.9989999999999996E-4</v>
      </c>
      <c r="I667" s="21">
        <f>AVERAGE(F665:F667)</f>
        <v>1.3786666666666667</v>
      </c>
      <c r="J667" s="21">
        <f>AVERAGE(G665:G667)</f>
        <v>5.9999666666666679E-3</v>
      </c>
      <c r="L667">
        <f>+J667/I667</f>
        <v>4.3520067698259194E-3</v>
      </c>
      <c r="M667">
        <f>+(L667-$L$927)/$L$928</f>
        <v>9.4428892426089758E-3</v>
      </c>
      <c r="N667">
        <f>+N661+M667</f>
        <v>-4.3172324104795416</v>
      </c>
    </row>
    <row r="668" spans="1:14">
      <c r="A668" s="1">
        <v>11</v>
      </c>
      <c r="B668" s="72">
        <v>43070</v>
      </c>
      <c r="E668" s="5">
        <v>12</v>
      </c>
      <c r="F668" s="81">
        <v>1.851</v>
      </c>
      <c r="G668" s="81">
        <v>0.01</v>
      </c>
    </row>
    <row r="669" spans="1:14">
      <c r="A669" s="1">
        <v>12</v>
      </c>
      <c r="B669" s="71">
        <v>43070</v>
      </c>
      <c r="E669" s="5">
        <v>12</v>
      </c>
      <c r="F669" s="81">
        <v>1.3420000000000001</v>
      </c>
      <c r="G669" s="81">
        <v>8.9999999999999993E-3</v>
      </c>
    </row>
    <row r="670" spans="1:14">
      <c r="A670" s="1">
        <v>13</v>
      </c>
      <c r="B670" s="71">
        <v>43070</v>
      </c>
      <c r="E670" s="5">
        <v>12</v>
      </c>
      <c r="F670" s="81">
        <v>1.829</v>
      </c>
      <c r="G670" s="81">
        <v>1.0999999999999999E-2</v>
      </c>
      <c r="I670" s="21">
        <f>AVERAGE(F668:F670)</f>
        <v>1.6740000000000002</v>
      </c>
      <c r="J670" s="21">
        <f>AVERAGE(G668:G670)</f>
        <v>0.01</v>
      </c>
      <c r="L670">
        <f>+J670/I670</f>
        <v>5.9737156511350054E-3</v>
      </c>
      <c r="M670">
        <f>+(L670-$L$927)/$L$928</f>
        <v>0.17600084458725074</v>
      </c>
      <c r="N670">
        <f>+N667+M670</f>
        <v>-4.1412315658922907</v>
      </c>
    </row>
    <row r="671" spans="1:14">
      <c r="A671" s="1">
        <v>11</v>
      </c>
      <c r="B671" s="70">
        <v>43110</v>
      </c>
      <c r="E671" s="3">
        <v>1</v>
      </c>
      <c r="F671" s="77">
        <v>16.562000000000001</v>
      </c>
      <c r="G671" s="77">
        <v>0.108</v>
      </c>
    </row>
    <row r="672" spans="1:14">
      <c r="A672" s="1">
        <v>12</v>
      </c>
      <c r="B672" s="70">
        <v>43105</v>
      </c>
      <c r="E672" s="3">
        <v>1</v>
      </c>
      <c r="F672" s="77">
        <v>11.834</v>
      </c>
      <c r="G672" s="77">
        <v>9.9989999999999996E-4</v>
      </c>
    </row>
    <row r="673" spans="1:14">
      <c r="A673" s="1">
        <v>13</v>
      </c>
      <c r="B673" s="70">
        <v>43105</v>
      </c>
      <c r="E673" s="3">
        <v>1</v>
      </c>
      <c r="F673" s="77">
        <v>6.98</v>
      </c>
      <c r="G673" s="77">
        <v>9.9989999999999996E-4</v>
      </c>
      <c r="I673" s="21">
        <v>11.792000000000002</v>
      </c>
      <c r="J673" s="21">
        <v>3.6666600000000001E-2</v>
      </c>
      <c r="K673" s="21"/>
      <c r="L673" s="21">
        <v>3.1094470827679778E-3</v>
      </c>
      <c r="M673">
        <f>+(L673-$L$927)/$L$928</f>
        <v>-0.11817446751934363</v>
      </c>
      <c r="N673">
        <f>+N670+M673</f>
        <v>-4.2594060334116346</v>
      </c>
    </row>
    <row r="674" spans="1:14">
      <c r="A674" s="1">
        <v>11</v>
      </c>
      <c r="B674" s="71">
        <v>43132</v>
      </c>
      <c r="E674" s="5">
        <v>2</v>
      </c>
      <c r="F674" s="77">
        <v>4.88</v>
      </c>
      <c r="G674" s="77">
        <v>2.1999999999999999E-2</v>
      </c>
    </row>
    <row r="675" spans="1:14">
      <c r="A675" s="1">
        <v>12</v>
      </c>
      <c r="B675" s="71">
        <v>43132</v>
      </c>
      <c r="E675" s="5">
        <v>2</v>
      </c>
      <c r="F675" s="77">
        <v>4.6459999999999999</v>
      </c>
      <c r="G675" s="77">
        <v>1.7999999999999999E-2</v>
      </c>
    </row>
    <row r="676" spans="1:14">
      <c r="A676" s="1">
        <v>13</v>
      </c>
      <c r="B676" s="71">
        <v>43132</v>
      </c>
      <c r="E676" s="5">
        <v>2</v>
      </c>
      <c r="F676" s="77">
        <v>5.0780000000000003</v>
      </c>
      <c r="G676" s="77">
        <v>0.02</v>
      </c>
      <c r="I676" s="21">
        <v>4.8679999999999994</v>
      </c>
      <c r="J676" s="21">
        <v>0.02</v>
      </c>
      <c r="K676" s="21"/>
      <c r="L676" s="21">
        <v>4.1084634346754316E-3</v>
      </c>
      <c r="M676">
        <f>+(L676-$L$927)/$L$928</f>
        <v>-1.5570280758492381E-2</v>
      </c>
      <c r="N676">
        <f>+N673+M676</f>
        <v>-4.2749763141701269</v>
      </c>
    </row>
    <row r="677" spans="1:14">
      <c r="A677" s="1">
        <v>11</v>
      </c>
      <c r="B677" s="71">
        <v>43160</v>
      </c>
      <c r="E677" s="5">
        <v>3</v>
      </c>
      <c r="F677" s="77">
        <v>10.882999999999999</v>
      </c>
      <c r="G677" s="77">
        <v>4.5999999999999999E-2</v>
      </c>
    </row>
    <row r="678" spans="1:14">
      <c r="A678" s="1">
        <v>12</v>
      </c>
      <c r="B678" s="71">
        <v>43160</v>
      </c>
      <c r="E678" s="5">
        <v>3</v>
      </c>
      <c r="F678" s="77">
        <v>7.585</v>
      </c>
      <c r="G678" s="77">
        <v>2.1000000000000001E-2</v>
      </c>
    </row>
    <row r="679" spans="1:14">
      <c r="A679" s="1">
        <v>13</v>
      </c>
      <c r="B679" s="71">
        <v>43160</v>
      </c>
      <c r="E679" s="5">
        <v>3</v>
      </c>
      <c r="F679" s="77">
        <v>3.06</v>
      </c>
      <c r="G679" s="77">
        <v>2.1000000000000001E-2</v>
      </c>
      <c r="I679" s="21">
        <v>7.1759999999999993</v>
      </c>
      <c r="J679" s="21">
        <v>2.9333333333333336E-2</v>
      </c>
      <c r="K679" s="21"/>
      <c r="L679" s="21">
        <v>4.0876997398736539E-3</v>
      </c>
      <c r="M679">
        <f>+(L679-$L$927)/$L$928</f>
        <v>-1.770282044637557E-2</v>
      </c>
      <c r="N679">
        <f>+N676+M679</f>
        <v>-4.2926791346165025</v>
      </c>
    </row>
    <row r="680" spans="1:14">
      <c r="A680" s="1">
        <v>11</v>
      </c>
      <c r="B680" s="71">
        <v>43191</v>
      </c>
      <c r="E680" s="5">
        <v>4</v>
      </c>
      <c r="F680" s="78">
        <v>2.5720000000000001</v>
      </c>
      <c r="G680" s="78">
        <v>0.02</v>
      </c>
    </row>
    <row r="681" spans="1:14">
      <c r="A681" s="1">
        <v>12</v>
      </c>
      <c r="B681" s="71">
        <v>43191</v>
      </c>
      <c r="E681" s="5">
        <v>4</v>
      </c>
      <c r="F681" s="78">
        <v>1.6890000000000001</v>
      </c>
      <c r="G681" s="78">
        <v>0.01</v>
      </c>
    </row>
    <row r="682" spans="1:14">
      <c r="A682" s="1">
        <v>13</v>
      </c>
      <c r="B682" s="71">
        <v>43191</v>
      </c>
      <c r="E682" s="5">
        <v>4</v>
      </c>
      <c r="F682" s="78">
        <v>2.3759999999999999</v>
      </c>
      <c r="G682" s="78">
        <v>2.4E-2</v>
      </c>
      <c r="I682" s="21">
        <v>2.2123333333333335</v>
      </c>
      <c r="J682" s="21">
        <v>1.7999999999999999E-2</v>
      </c>
      <c r="K682" s="21"/>
      <c r="L682" s="21">
        <v>8.1362061172216352E-3</v>
      </c>
      <c r="M682">
        <f>+(L682-$L$927)/$L$928</f>
        <v>0.39809988753811854</v>
      </c>
      <c r="N682">
        <f>+N679+M682</f>
        <v>-3.8945792470783838</v>
      </c>
    </row>
    <row r="683" spans="1:14">
      <c r="A683" s="1">
        <v>11</v>
      </c>
      <c r="B683" s="71">
        <v>43221</v>
      </c>
      <c r="E683" s="5">
        <v>5</v>
      </c>
      <c r="F683" s="78">
        <v>6.6710000000000003</v>
      </c>
      <c r="G683" s="78">
        <v>2.9000000000000001E-2</v>
      </c>
    </row>
    <row r="684" spans="1:14">
      <c r="A684" s="1">
        <v>12</v>
      </c>
      <c r="B684" s="71">
        <v>43221</v>
      </c>
      <c r="E684" s="5">
        <v>5</v>
      </c>
      <c r="F684" s="78">
        <v>6.7629999999999999</v>
      </c>
      <c r="G684" s="78">
        <v>2.4E-2</v>
      </c>
    </row>
    <row r="685" spans="1:14">
      <c r="A685" s="1">
        <v>13</v>
      </c>
      <c r="B685" s="71">
        <v>43221</v>
      </c>
      <c r="E685" s="5">
        <v>5</v>
      </c>
      <c r="F685" s="78">
        <v>6.694</v>
      </c>
      <c r="G685" s="78">
        <v>2.7E-2</v>
      </c>
      <c r="I685" s="21">
        <v>6.7093333333333334</v>
      </c>
      <c r="J685" s="21">
        <v>2.6666666666666668E-2</v>
      </c>
      <c r="K685" s="21"/>
      <c r="L685" s="21">
        <v>3.9745627980922104E-3</v>
      </c>
      <c r="M685">
        <f>+(L685-$L$927)/$L$928</f>
        <v>-2.932257409898659E-2</v>
      </c>
      <c r="N685">
        <f>+N682+M685</f>
        <v>-3.9239018211773704</v>
      </c>
    </row>
    <row r="686" spans="1:14">
      <c r="A686" s="1">
        <v>11</v>
      </c>
      <c r="B686" s="71">
        <v>43252</v>
      </c>
      <c r="E686" s="5">
        <v>6</v>
      </c>
      <c r="F686" s="78">
        <v>6.8620000000000001</v>
      </c>
      <c r="G686" s="78">
        <v>5.2999999999999999E-2</v>
      </c>
    </row>
    <row r="687" spans="1:14">
      <c r="A687" s="1">
        <v>12</v>
      </c>
      <c r="B687" s="71">
        <v>43252</v>
      </c>
      <c r="E687" s="5">
        <v>6</v>
      </c>
      <c r="F687" s="78">
        <v>3.9049999999999998</v>
      </c>
      <c r="G687" s="78">
        <v>5.8000000000000003E-2</v>
      </c>
    </row>
    <row r="688" spans="1:14">
      <c r="A688" s="1">
        <v>13</v>
      </c>
      <c r="B688" s="71">
        <v>43252</v>
      </c>
      <c r="E688" s="5">
        <v>6</v>
      </c>
      <c r="F688" s="78">
        <v>7.6040000000000001</v>
      </c>
      <c r="G688" s="78">
        <v>8.5000000000000006E-2</v>
      </c>
      <c r="I688" s="21">
        <v>6.1236666666666659</v>
      </c>
      <c r="J688" s="21">
        <v>6.533333333333334E-2</v>
      </c>
      <c r="K688" s="21"/>
      <c r="L688" s="21">
        <v>1.066898916770998E-2</v>
      </c>
      <c r="M688">
        <f>+(L688-$L$927)/$L$928</f>
        <v>0.65822990907464152</v>
      </c>
      <c r="N688">
        <f>+N685+M688</f>
        <v>-3.2656719121027287</v>
      </c>
    </row>
    <row r="689" spans="1:14">
      <c r="A689" s="1">
        <v>11</v>
      </c>
      <c r="B689" s="71">
        <v>43282</v>
      </c>
      <c r="E689" s="5">
        <v>7</v>
      </c>
      <c r="F689" s="78">
        <v>7.431</v>
      </c>
      <c r="G689" s="78">
        <v>3.2000000000000001E-2</v>
      </c>
    </row>
    <row r="690" spans="1:14">
      <c r="A690" s="1">
        <v>12</v>
      </c>
      <c r="B690" s="71">
        <v>43282</v>
      </c>
      <c r="E690" s="5">
        <v>7</v>
      </c>
      <c r="F690" s="78">
        <v>7.0369999999999999</v>
      </c>
      <c r="G690" s="78">
        <v>5.8000000000000003E-2</v>
      </c>
    </row>
    <row r="691" spans="1:14">
      <c r="A691" s="1">
        <v>13</v>
      </c>
      <c r="B691" s="71">
        <v>43282</v>
      </c>
      <c r="E691" s="5">
        <v>7</v>
      </c>
      <c r="F691" s="78">
        <v>6.3840000000000003</v>
      </c>
      <c r="G691" s="78">
        <v>3.6999999999999998E-2</v>
      </c>
      <c r="I691" s="21">
        <v>6.9506666666666668</v>
      </c>
      <c r="J691" s="21">
        <v>4.2333333333333334E-2</v>
      </c>
      <c r="K691" s="21"/>
      <c r="L691" s="21">
        <v>6.0905428735852675E-3</v>
      </c>
      <c r="M691">
        <f>+(L691-$L$927)/$L$928</f>
        <v>0.18799960930031184</v>
      </c>
      <c r="N691">
        <f>+N688+M691</f>
        <v>-3.0776723028024167</v>
      </c>
    </row>
    <row r="692" spans="1:14">
      <c r="A692" s="1">
        <v>11</v>
      </c>
      <c r="B692" s="71">
        <v>43313</v>
      </c>
      <c r="E692" s="5">
        <v>8</v>
      </c>
      <c r="F692" s="78">
        <v>5.2140000000000004</v>
      </c>
      <c r="G692" s="78">
        <v>5.2999999999999999E-2</v>
      </c>
    </row>
    <row r="693" spans="1:14">
      <c r="A693" s="1">
        <v>12</v>
      </c>
      <c r="B693" s="71">
        <v>43313</v>
      </c>
      <c r="E693" s="5">
        <v>8</v>
      </c>
      <c r="F693" s="78">
        <v>6.2210000000000001</v>
      </c>
      <c r="G693" s="78">
        <v>4.9000000000000002E-2</v>
      </c>
    </row>
    <row r="694" spans="1:14">
      <c r="A694" s="1">
        <v>13</v>
      </c>
      <c r="B694" s="71">
        <v>43313</v>
      </c>
      <c r="E694" s="5">
        <v>8</v>
      </c>
      <c r="F694" s="78">
        <v>6.89</v>
      </c>
      <c r="G694" s="78">
        <v>1.6E-2</v>
      </c>
      <c r="I694" s="21">
        <v>6.1083333333333334</v>
      </c>
      <c r="J694" s="21">
        <v>3.9333333333333338E-2</v>
      </c>
      <c r="K694" s="21"/>
      <c r="L694" s="21">
        <v>6.4392905866302872E-3</v>
      </c>
      <c r="M694">
        <f>+(L694-$L$927)/$L$928</f>
        <v>0.22381781729397421</v>
      </c>
      <c r="N694">
        <f>+N691+M694</f>
        <v>-2.8538544855084425</v>
      </c>
    </row>
    <row r="695" spans="1:14">
      <c r="A695" s="1">
        <v>11</v>
      </c>
      <c r="B695" s="71">
        <v>43344</v>
      </c>
      <c r="E695" s="5">
        <v>9</v>
      </c>
      <c r="F695" s="78">
        <v>3.496</v>
      </c>
      <c r="G695" s="78">
        <v>1.4999999999999999E-2</v>
      </c>
    </row>
    <row r="696" spans="1:14">
      <c r="A696" s="1">
        <v>12</v>
      </c>
      <c r="B696" s="71">
        <v>43344</v>
      </c>
      <c r="E696" s="5">
        <v>9</v>
      </c>
      <c r="F696" s="78">
        <v>5.05</v>
      </c>
      <c r="G696" s="78">
        <v>0.04</v>
      </c>
    </row>
    <row r="697" spans="1:14">
      <c r="A697" s="1">
        <v>13</v>
      </c>
      <c r="B697" s="71">
        <v>43344</v>
      </c>
      <c r="E697" s="5">
        <v>9</v>
      </c>
      <c r="F697" s="78">
        <v>4.2130000000000001</v>
      </c>
      <c r="G697" s="78">
        <v>2.4E-2</v>
      </c>
      <c r="I697" s="21">
        <v>4.2530000000000001</v>
      </c>
      <c r="J697" s="21">
        <v>2.6333333333333334E-2</v>
      </c>
      <c r="K697" s="21"/>
      <c r="L697" s="21">
        <v>6.1917078140920137E-3</v>
      </c>
      <c r="M697">
        <f>+(L697-$L$927)/$L$928</f>
        <v>0.19838977601738894</v>
      </c>
      <c r="N697">
        <f>+N694+M697</f>
        <v>-2.6554647094910537</v>
      </c>
    </row>
    <row r="698" spans="1:14">
      <c r="A698" s="1">
        <v>11</v>
      </c>
      <c r="B698" s="71">
        <v>43374</v>
      </c>
      <c r="E698" s="5">
        <v>10</v>
      </c>
      <c r="F698" s="78">
        <v>0.52800000000000002</v>
      </c>
      <c r="G698" s="78">
        <v>9.9989999999999996E-4</v>
      </c>
    </row>
    <row r="699" spans="1:14">
      <c r="A699" s="1">
        <v>12</v>
      </c>
      <c r="B699" s="71">
        <v>43374</v>
      </c>
      <c r="E699" s="5">
        <v>10</v>
      </c>
      <c r="F699" s="78">
        <v>0.90700000000000003</v>
      </c>
      <c r="G699" s="78">
        <v>9.9989999999999996E-4</v>
      </c>
    </row>
    <row r="700" spans="1:14">
      <c r="A700" s="1">
        <v>13</v>
      </c>
      <c r="B700" s="71">
        <v>43374</v>
      </c>
      <c r="E700" s="5">
        <v>10</v>
      </c>
      <c r="F700" s="78">
        <v>1.72</v>
      </c>
      <c r="G700" s="78">
        <v>8.0000000000000002E-3</v>
      </c>
      <c r="I700" s="21">
        <v>1.0516666666666667</v>
      </c>
      <c r="J700" s="21">
        <v>3.3332666666666664E-3</v>
      </c>
      <c r="K700" s="21"/>
      <c r="L700" s="21">
        <v>3.169508716323296E-3</v>
      </c>
      <c r="M700">
        <f>+(L700-$L$927)/$L$928</f>
        <v>-0.11200582467910856</v>
      </c>
      <c r="N700">
        <f>+N697+M700</f>
        <v>-2.7674705341701622</v>
      </c>
    </row>
    <row r="701" spans="1:14">
      <c r="A701" s="1">
        <v>11</v>
      </c>
      <c r="B701" s="71">
        <v>43405</v>
      </c>
      <c r="E701" s="5">
        <v>11</v>
      </c>
    </row>
    <row r="702" spans="1:14">
      <c r="A702" s="1">
        <v>12</v>
      </c>
      <c r="B702" s="71">
        <v>43405</v>
      </c>
      <c r="E702" s="5">
        <v>11</v>
      </c>
    </row>
    <row r="703" spans="1:14">
      <c r="A703" s="1">
        <v>13</v>
      </c>
      <c r="B703" s="71">
        <v>43405</v>
      </c>
      <c r="E703" s="5">
        <v>11</v>
      </c>
    </row>
    <row r="704" spans="1:14">
      <c r="A704" s="1">
        <v>11</v>
      </c>
      <c r="B704" s="72">
        <v>43435</v>
      </c>
      <c r="E704" s="5">
        <v>12</v>
      </c>
    </row>
    <row r="705" spans="1:14">
      <c r="A705" s="1">
        <v>12</v>
      </c>
      <c r="B705" s="71">
        <v>43435</v>
      </c>
      <c r="E705" s="5">
        <v>12</v>
      </c>
    </row>
    <row r="706" spans="1:14">
      <c r="A706" s="1">
        <v>13</v>
      </c>
      <c r="B706" s="71">
        <v>43435</v>
      </c>
      <c r="E706" s="5">
        <v>12</v>
      </c>
    </row>
    <row r="707" spans="1:14">
      <c r="A707" s="1">
        <v>11</v>
      </c>
      <c r="B707" s="70">
        <v>43475</v>
      </c>
      <c r="E707" s="3">
        <v>1</v>
      </c>
    </row>
    <row r="708" spans="1:14">
      <c r="A708" s="1">
        <v>12</v>
      </c>
      <c r="B708" s="70">
        <v>43470</v>
      </c>
      <c r="E708" s="3">
        <v>1</v>
      </c>
    </row>
    <row r="709" spans="1:14">
      <c r="A709" s="1">
        <v>13</v>
      </c>
      <c r="B709" s="70">
        <v>43470</v>
      </c>
      <c r="E709" s="3">
        <v>1</v>
      </c>
    </row>
    <row r="710" spans="1:14">
      <c r="A710" s="1">
        <v>11</v>
      </c>
      <c r="B710" s="71">
        <v>43497</v>
      </c>
      <c r="E710" s="5">
        <v>2</v>
      </c>
    </row>
    <row r="711" spans="1:14">
      <c r="A711" s="1">
        <v>12</v>
      </c>
      <c r="B711" s="71">
        <v>43497</v>
      </c>
      <c r="E711" s="5">
        <v>2</v>
      </c>
    </row>
    <row r="712" spans="1:14">
      <c r="A712" s="1">
        <v>13</v>
      </c>
      <c r="B712" s="71">
        <v>43497</v>
      </c>
      <c r="E712" s="5">
        <v>2</v>
      </c>
    </row>
    <row r="713" spans="1:14">
      <c r="A713" s="1">
        <v>11</v>
      </c>
      <c r="B713" s="71">
        <v>43525</v>
      </c>
      <c r="E713" s="5">
        <v>3</v>
      </c>
      <c r="F713" s="84">
        <v>2.323</v>
      </c>
      <c r="G713" s="84">
        <v>7.9000000000000001E-2</v>
      </c>
    </row>
    <row r="714" spans="1:14">
      <c r="A714" s="1">
        <v>12</v>
      </c>
      <c r="B714" s="71">
        <v>43525</v>
      </c>
      <c r="E714" s="5">
        <v>3</v>
      </c>
      <c r="F714" s="84">
        <v>2.004</v>
      </c>
      <c r="G714" s="84">
        <v>7.1999999999999995E-2</v>
      </c>
    </row>
    <row r="715" spans="1:14">
      <c r="A715" s="1">
        <v>13</v>
      </c>
      <c r="B715" s="71">
        <v>43525</v>
      </c>
      <c r="E715" s="5">
        <v>3</v>
      </c>
      <c r="F715" s="84">
        <v>1.974</v>
      </c>
      <c r="G715" s="84">
        <v>0.08</v>
      </c>
      <c r="I715" s="21">
        <f>AVERAGE(F713:F715)</f>
        <v>2.1003333333333334</v>
      </c>
      <c r="J715" s="21">
        <f>AVERAGE(G713:G715)</f>
        <v>7.6999999999999999E-2</v>
      </c>
      <c r="L715">
        <f>+J715/I715</f>
        <v>3.6660847484526263E-2</v>
      </c>
      <c r="M715">
        <f>+(L715-$L$927)/$L$928</f>
        <v>3.3277292420017308</v>
      </c>
      <c r="N715">
        <f>+N700+M715</f>
        <v>0.56025870783156861</v>
      </c>
    </row>
    <row r="716" spans="1:14">
      <c r="A716" s="1">
        <v>11</v>
      </c>
      <c r="B716" s="71">
        <v>43556</v>
      </c>
      <c r="E716" s="5">
        <v>4</v>
      </c>
      <c r="F716" s="77">
        <v>3.5760000000000001</v>
      </c>
      <c r="G716" s="84">
        <v>2.3E-2</v>
      </c>
    </row>
    <row r="717" spans="1:14">
      <c r="A717" s="1">
        <v>12</v>
      </c>
      <c r="B717" s="71">
        <v>43556</v>
      </c>
      <c r="E717" s="5">
        <v>4</v>
      </c>
      <c r="F717" s="77">
        <v>2.4489999999999998</v>
      </c>
      <c r="G717" s="84">
        <v>1.0999999999999999E-2</v>
      </c>
    </row>
    <row r="718" spans="1:14">
      <c r="A718" s="1">
        <v>13</v>
      </c>
      <c r="B718" s="71">
        <v>43556</v>
      </c>
      <c r="E718" s="5">
        <v>4</v>
      </c>
      <c r="F718" s="77">
        <v>2.714</v>
      </c>
      <c r="G718" s="84">
        <v>1.0999999999999999E-2</v>
      </c>
      <c r="I718" s="21">
        <f>AVERAGE(F716:F718)</f>
        <v>2.9130000000000003</v>
      </c>
      <c r="J718" s="21">
        <f>AVERAGE(G716:G718)</f>
        <v>1.4999999999999999E-2</v>
      </c>
      <c r="L718">
        <f>+J718/I718</f>
        <v>5.1493305870236863E-3</v>
      </c>
      <c r="M718">
        <f>+(L718-$L$927)/$L$928</f>
        <v>9.1332201356904619E-2</v>
      </c>
      <c r="N718">
        <f>+N715+M718</f>
        <v>0.65159090918847329</v>
      </c>
    </row>
    <row r="719" spans="1:14">
      <c r="A719" s="1">
        <v>11</v>
      </c>
      <c r="B719" s="71">
        <v>43586</v>
      </c>
      <c r="E719" s="5">
        <v>5</v>
      </c>
      <c r="F719" s="77">
        <v>2.3780000000000001</v>
      </c>
      <c r="G719" s="84">
        <v>1.6E-2</v>
      </c>
    </row>
    <row r="720" spans="1:14">
      <c r="A720" s="1">
        <v>12</v>
      </c>
      <c r="B720" s="71">
        <v>43586</v>
      </c>
      <c r="E720" s="5">
        <v>5</v>
      </c>
      <c r="F720" s="77">
        <v>2.9510000000000001</v>
      </c>
      <c r="G720" s="84">
        <v>1.9E-2</v>
      </c>
    </row>
    <row r="721" spans="1:14">
      <c r="A721" s="1">
        <v>13</v>
      </c>
      <c r="B721" s="71">
        <v>43586</v>
      </c>
      <c r="E721" s="5">
        <v>5</v>
      </c>
      <c r="F721" s="77">
        <v>2.593</v>
      </c>
      <c r="G721" s="84">
        <v>1.6E-2</v>
      </c>
      <c r="I721" s="21">
        <f>AVERAGE(F719:F721)</f>
        <v>2.6406666666666667</v>
      </c>
      <c r="J721" s="21">
        <f>AVERAGE(G719:G721)</f>
        <v>1.7000000000000001E-2</v>
      </c>
      <c r="L721">
        <f>+J721/I721</f>
        <v>6.4377682403433476E-3</v>
      </c>
      <c r="M721">
        <f>+(L721-$L$927)/$L$928</f>
        <v>0.22366146439500353</v>
      </c>
      <c r="N721">
        <f>+N718+M721</f>
        <v>0.87525237358347685</v>
      </c>
    </row>
    <row r="722" spans="1:14">
      <c r="A722" s="1">
        <v>11</v>
      </c>
      <c r="B722" s="71">
        <v>43617</v>
      </c>
      <c r="E722" s="5">
        <v>6</v>
      </c>
      <c r="F722" s="78">
        <v>4.9560000000000004</v>
      </c>
      <c r="G722" s="78">
        <v>2.3E-2</v>
      </c>
    </row>
    <row r="723" spans="1:14">
      <c r="A723" s="1">
        <v>12</v>
      </c>
      <c r="B723" s="71">
        <v>43617</v>
      </c>
      <c r="E723" s="5">
        <v>6</v>
      </c>
      <c r="F723" s="78">
        <v>4.57</v>
      </c>
      <c r="G723" s="78">
        <v>0.01</v>
      </c>
    </row>
    <row r="724" spans="1:14">
      <c r="A724" s="1">
        <v>13</v>
      </c>
      <c r="B724" s="71">
        <v>43617</v>
      </c>
      <c r="E724" s="5">
        <v>6</v>
      </c>
      <c r="F724" s="78">
        <v>5.2789999999999999</v>
      </c>
      <c r="G724" s="78">
        <v>0.01</v>
      </c>
      <c r="I724" s="21">
        <f>AVERAGE(F722:F724)</f>
        <v>4.9349999999999996</v>
      </c>
      <c r="J724" s="21">
        <f>AVERAGE(G722:G724)</f>
        <v>1.4333333333333335E-2</v>
      </c>
      <c r="L724">
        <f>+J724/I724</f>
        <v>2.9044241810199261E-3</v>
      </c>
      <c r="M724">
        <f>+(L724-$L$927)/$L$928</f>
        <v>-0.1392313882204349</v>
      </c>
      <c r="N724">
        <f>+N721+M724</f>
        <v>0.73602098536304195</v>
      </c>
    </row>
    <row r="725" spans="1:14">
      <c r="A725" s="1">
        <v>11</v>
      </c>
      <c r="B725" s="71">
        <v>43647</v>
      </c>
      <c r="E725" s="5">
        <v>7</v>
      </c>
      <c r="F725" s="78">
        <v>5.9390000000000001</v>
      </c>
      <c r="G725" s="78">
        <v>1.4E-2</v>
      </c>
    </row>
    <row r="726" spans="1:14">
      <c r="A726" s="1">
        <v>12</v>
      </c>
      <c r="B726" s="71">
        <v>43647</v>
      </c>
      <c r="E726" s="5">
        <v>7</v>
      </c>
      <c r="F726" s="78">
        <v>6.3949999999999996</v>
      </c>
      <c r="G726" s="78">
        <v>1.7000000000000001E-2</v>
      </c>
    </row>
    <row r="727" spans="1:14">
      <c r="A727" s="1">
        <v>13</v>
      </c>
      <c r="B727" s="71">
        <v>43647</v>
      </c>
      <c r="E727" s="5">
        <v>7</v>
      </c>
      <c r="F727" s="78">
        <v>7.7030000000000003</v>
      </c>
      <c r="G727" s="78">
        <v>5.0000000000000001E-3</v>
      </c>
      <c r="I727" s="21">
        <f>AVERAGE(F725:F727)</f>
        <v>6.6789999999999994</v>
      </c>
      <c r="J727" s="21">
        <f>AVERAGE(G725:G727)</f>
        <v>1.1999999999999999E-2</v>
      </c>
      <c r="L727">
        <f>+J727/I727</f>
        <v>1.7966761491241203E-3</v>
      </c>
      <c r="M727">
        <f>+(L727-$L$927)/$L$928</f>
        <v>-0.25300288528511139</v>
      </c>
      <c r="N727">
        <f>+N724+M727</f>
        <v>0.48301810007793056</v>
      </c>
    </row>
    <row r="728" spans="1:14">
      <c r="A728" s="1">
        <v>11</v>
      </c>
      <c r="B728" s="71">
        <v>43678</v>
      </c>
      <c r="E728" s="5">
        <v>8</v>
      </c>
    </row>
    <row r="729" spans="1:14">
      <c r="A729" s="1">
        <v>12</v>
      </c>
      <c r="B729" s="71">
        <v>43678</v>
      </c>
      <c r="E729" s="5">
        <v>8</v>
      </c>
    </row>
    <row r="730" spans="1:14">
      <c r="A730" s="1">
        <v>13</v>
      </c>
      <c r="B730" s="71">
        <v>43678</v>
      </c>
      <c r="E730" s="5">
        <v>8</v>
      </c>
      <c r="I730" s="21"/>
      <c r="J730" s="21"/>
    </row>
    <row r="731" spans="1:14">
      <c r="A731" s="1">
        <v>11</v>
      </c>
      <c r="B731" s="71">
        <v>43709</v>
      </c>
      <c r="E731" s="5">
        <v>9</v>
      </c>
    </row>
    <row r="732" spans="1:14">
      <c r="A732" s="1">
        <v>12</v>
      </c>
      <c r="B732" s="71">
        <v>43709</v>
      </c>
      <c r="E732" s="5">
        <v>9</v>
      </c>
    </row>
    <row r="733" spans="1:14">
      <c r="A733" s="1">
        <v>13</v>
      </c>
      <c r="B733" s="71">
        <v>43709</v>
      </c>
      <c r="E733" s="5">
        <v>9</v>
      </c>
      <c r="I733" s="21"/>
      <c r="J733" s="21"/>
    </row>
    <row r="734" spans="1:14">
      <c r="A734" s="1">
        <v>11</v>
      </c>
      <c r="B734" s="71">
        <v>43739</v>
      </c>
      <c r="E734" s="5">
        <v>10</v>
      </c>
      <c r="F734" s="78">
        <v>3.2589999999999999</v>
      </c>
      <c r="G734" s="78">
        <v>3.2000000000000001E-2</v>
      </c>
    </row>
    <row r="735" spans="1:14">
      <c r="A735" s="1">
        <v>12</v>
      </c>
      <c r="B735" s="71">
        <v>43739</v>
      </c>
      <c r="E735" s="5">
        <v>10</v>
      </c>
      <c r="F735" s="78">
        <v>2.6760000000000002</v>
      </c>
      <c r="G735" s="78">
        <v>1.2999999999999999E-2</v>
      </c>
    </row>
    <row r="736" spans="1:14">
      <c r="A736" s="1">
        <v>13</v>
      </c>
      <c r="B736" s="71">
        <v>43739</v>
      </c>
      <c r="E736" s="5">
        <v>10</v>
      </c>
      <c r="F736" s="78">
        <v>2.246</v>
      </c>
      <c r="G736" s="78">
        <v>5.0000000000000001E-3</v>
      </c>
      <c r="I736" s="21">
        <f>AVERAGE(F734:F736)</f>
        <v>2.7270000000000003</v>
      </c>
      <c r="J736" s="21">
        <f>AVERAGE(G734:G736)</f>
        <v>1.6666666666666666E-2</v>
      </c>
      <c r="L736">
        <f>+J736/I736</f>
        <v>6.1117222833394439E-3</v>
      </c>
      <c r="M736">
        <f>+(L736-$L$927)/$L$928</f>
        <v>0.19017484508074023</v>
      </c>
      <c r="N736">
        <f>+N727+M736</f>
        <v>0.67319294515867079</v>
      </c>
    </row>
    <row r="737" spans="1:14">
      <c r="A737" s="1">
        <v>11</v>
      </c>
      <c r="B737" s="71">
        <v>43770</v>
      </c>
      <c r="E737" s="5">
        <v>11</v>
      </c>
    </row>
    <row r="738" spans="1:14">
      <c r="A738" s="1">
        <v>12</v>
      </c>
      <c r="B738" s="71">
        <v>43770</v>
      </c>
      <c r="E738" s="5">
        <v>11</v>
      </c>
    </row>
    <row r="739" spans="1:14">
      <c r="A739" s="1">
        <v>13</v>
      </c>
      <c r="B739" s="71">
        <v>43770</v>
      </c>
      <c r="E739" s="5">
        <v>11</v>
      </c>
      <c r="I739" s="21"/>
      <c r="J739" s="21"/>
    </row>
    <row r="740" spans="1:14">
      <c r="A740" s="1">
        <v>11</v>
      </c>
      <c r="B740" s="72">
        <v>43800</v>
      </c>
      <c r="E740" s="5">
        <v>12</v>
      </c>
      <c r="F740" s="78">
        <v>1.5329999999999999</v>
      </c>
      <c r="G740" s="78">
        <v>9.9989999999999996E-4</v>
      </c>
    </row>
    <row r="741" spans="1:14">
      <c r="A741" s="1">
        <v>12</v>
      </c>
      <c r="B741" s="71">
        <v>43800</v>
      </c>
      <c r="E741" s="5">
        <v>12</v>
      </c>
      <c r="F741" s="78">
        <v>1.458</v>
      </c>
      <c r="G741" s="78">
        <v>9.9989999999999996E-4</v>
      </c>
    </row>
    <row r="742" spans="1:14">
      <c r="A742" s="1">
        <v>13</v>
      </c>
      <c r="B742" s="71">
        <v>43800</v>
      </c>
      <c r="E742" s="5">
        <v>12</v>
      </c>
      <c r="F742" s="78">
        <v>2.1930000000000001</v>
      </c>
      <c r="G742" s="78">
        <v>1.6E-2</v>
      </c>
      <c r="I742" s="21">
        <f>AVERAGE(F740:F742)</f>
        <v>1.7279999999999998</v>
      </c>
      <c r="J742" s="21">
        <f>AVERAGE(G740:G742)</f>
        <v>5.999933333333333E-3</v>
      </c>
      <c r="L742">
        <f>+J742/I742</f>
        <v>3.4721836419753091E-3</v>
      </c>
      <c r="M742">
        <f>+(L742-$L$927)/$L$928</f>
        <v>-8.091953210729004E-2</v>
      </c>
      <c r="N742">
        <f>+N736+M742</f>
        <v>0.5922734130513807</v>
      </c>
    </row>
    <row r="743" spans="1:14">
      <c r="A743" s="91">
        <v>11</v>
      </c>
      <c r="B743" s="86">
        <v>43840</v>
      </c>
      <c r="C743" s="87">
        <v>2020</v>
      </c>
      <c r="D743" s="88" t="s">
        <v>25</v>
      </c>
      <c r="E743" s="89">
        <v>1</v>
      </c>
    </row>
    <row r="744" spans="1:14">
      <c r="A744" s="1">
        <v>12</v>
      </c>
      <c r="B744" s="73">
        <v>43835</v>
      </c>
      <c r="C744">
        <v>2020</v>
      </c>
      <c r="D744" s="4" t="s">
        <v>25</v>
      </c>
      <c r="E744" s="10">
        <v>1</v>
      </c>
    </row>
    <row r="745" spans="1:14">
      <c r="A745" s="1">
        <v>13</v>
      </c>
      <c r="B745" s="73">
        <v>43835</v>
      </c>
      <c r="C745">
        <v>2020</v>
      </c>
      <c r="D745" s="4" t="s">
        <v>25</v>
      </c>
      <c r="E745" s="10">
        <v>1</v>
      </c>
    </row>
    <row r="746" spans="1:14">
      <c r="A746" s="1">
        <v>11</v>
      </c>
      <c r="B746" s="71">
        <v>43862</v>
      </c>
      <c r="C746">
        <v>2020</v>
      </c>
      <c r="D746" s="4" t="s">
        <v>14</v>
      </c>
      <c r="E746" s="10">
        <v>2</v>
      </c>
      <c r="F746" s="92">
        <v>3.319</v>
      </c>
      <c r="G746" s="92">
        <v>1.4999999999999999E-2</v>
      </c>
    </row>
    <row r="747" spans="1:14">
      <c r="A747" s="1">
        <v>12</v>
      </c>
      <c r="B747" s="71">
        <v>43862</v>
      </c>
      <c r="C747">
        <v>2020</v>
      </c>
      <c r="D747" s="4" t="s">
        <v>14</v>
      </c>
      <c r="E747" s="10">
        <v>2</v>
      </c>
      <c r="F747" s="92">
        <v>2.327</v>
      </c>
      <c r="G747" s="92">
        <v>9.9989999999999996E-4</v>
      </c>
    </row>
    <row r="748" spans="1:14">
      <c r="A748" s="1">
        <v>13</v>
      </c>
      <c r="B748" s="71">
        <v>43862</v>
      </c>
      <c r="C748">
        <v>2020</v>
      </c>
      <c r="D748" s="4" t="s">
        <v>14</v>
      </c>
      <c r="E748" s="10">
        <v>2</v>
      </c>
      <c r="F748" s="92">
        <v>2.0640000000000001</v>
      </c>
      <c r="G748" s="92">
        <v>9.9989999999999996E-4</v>
      </c>
      <c r="I748" s="21">
        <f>AVERAGE(F746:F748)</f>
        <v>2.57</v>
      </c>
      <c r="J748" s="21">
        <f>AVERAGE(G746:G748)</f>
        <v>5.6666000000000008E-3</v>
      </c>
      <c r="L748">
        <f>+J748/I748</f>
        <v>2.2049027237354092E-3</v>
      </c>
      <c r="M748">
        <f>+(L748-$L$927)/$L$928</f>
        <v>-0.21107588817221581</v>
      </c>
      <c r="N748">
        <f>+N742+M748</f>
        <v>0.38119752487916492</v>
      </c>
    </row>
    <row r="749" spans="1:14">
      <c r="A749" s="1">
        <v>11</v>
      </c>
      <c r="B749" s="71">
        <v>43891</v>
      </c>
      <c r="C749">
        <v>2020</v>
      </c>
      <c r="D749" s="4" t="s">
        <v>15</v>
      </c>
      <c r="E749" s="10">
        <v>3</v>
      </c>
    </row>
    <row r="750" spans="1:14">
      <c r="A750" s="1">
        <v>12</v>
      </c>
      <c r="B750" s="71">
        <v>43891</v>
      </c>
      <c r="C750">
        <v>2020</v>
      </c>
      <c r="D750" s="4" t="s">
        <v>15</v>
      </c>
      <c r="E750" s="10">
        <v>3</v>
      </c>
    </row>
    <row r="751" spans="1:14">
      <c r="A751" s="1">
        <v>13</v>
      </c>
      <c r="B751" s="71">
        <v>43891</v>
      </c>
      <c r="C751">
        <v>2020</v>
      </c>
      <c r="D751" s="4" t="s">
        <v>15</v>
      </c>
      <c r="E751" s="10">
        <v>3</v>
      </c>
    </row>
    <row r="752" spans="1:14">
      <c r="A752" s="1">
        <v>11</v>
      </c>
      <c r="B752" s="71">
        <v>43922</v>
      </c>
      <c r="C752">
        <v>2020</v>
      </c>
      <c r="D752" s="4" t="s">
        <v>16</v>
      </c>
      <c r="E752" s="10">
        <v>4</v>
      </c>
    </row>
    <row r="753" spans="1:14">
      <c r="A753" s="1">
        <v>12</v>
      </c>
      <c r="B753" s="71">
        <v>43922</v>
      </c>
      <c r="C753">
        <v>2020</v>
      </c>
      <c r="D753" s="4" t="s">
        <v>16</v>
      </c>
      <c r="E753" s="10">
        <v>4</v>
      </c>
    </row>
    <row r="754" spans="1:14">
      <c r="A754" s="1">
        <v>13</v>
      </c>
      <c r="B754" s="71">
        <v>43922</v>
      </c>
      <c r="C754">
        <v>2020</v>
      </c>
      <c r="D754" s="4" t="s">
        <v>16</v>
      </c>
      <c r="E754" s="10">
        <v>4</v>
      </c>
    </row>
    <row r="755" spans="1:14">
      <c r="A755" s="1">
        <v>11</v>
      </c>
      <c r="B755" s="71">
        <v>43952</v>
      </c>
      <c r="C755">
        <v>2020</v>
      </c>
      <c r="D755" s="4" t="s">
        <v>17</v>
      </c>
      <c r="E755" s="10">
        <v>5</v>
      </c>
    </row>
    <row r="756" spans="1:14">
      <c r="A756" s="1">
        <v>12</v>
      </c>
      <c r="B756" s="71">
        <v>43952</v>
      </c>
      <c r="C756">
        <v>2020</v>
      </c>
      <c r="D756" s="4" t="s">
        <v>17</v>
      </c>
      <c r="E756" s="10">
        <v>5</v>
      </c>
    </row>
    <row r="757" spans="1:14">
      <c r="A757" s="1">
        <v>13</v>
      </c>
      <c r="B757" s="71">
        <v>43952</v>
      </c>
      <c r="C757">
        <v>2020</v>
      </c>
      <c r="D757" s="4" t="s">
        <v>17</v>
      </c>
      <c r="E757" s="10">
        <v>5</v>
      </c>
    </row>
    <row r="758" spans="1:14">
      <c r="A758" s="1">
        <v>11</v>
      </c>
      <c r="B758" s="71">
        <v>43983</v>
      </c>
      <c r="C758">
        <v>2020</v>
      </c>
      <c r="D758" s="4" t="s">
        <v>18</v>
      </c>
      <c r="E758" s="10">
        <v>6</v>
      </c>
      <c r="F758" s="92">
        <v>4.7789999999999999</v>
      </c>
      <c r="G758" s="92">
        <v>1.6E-2</v>
      </c>
    </row>
    <row r="759" spans="1:14">
      <c r="A759" s="1">
        <v>12</v>
      </c>
      <c r="B759" s="71">
        <v>43983</v>
      </c>
      <c r="C759">
        <v>2020</v>
      </c>
      <c r="D759" s="4" t="s">
        <v>18</v>
      </c>
      <c r="E759" s="10">
        <v>6</v>
      </c>
      <c r="F759" s="92">
        <v>6.1159999999999997</v>
      </c>
      <c r="G759" s="92">
        <v>9.9989999999999996E-4</v>
      </c>
    </row>
    <row r="760" spans="1:14">
      <c r="A760" s="1">
        <v>13</v>
      </c>
      <c r="B760" s="71">
        <v>43983</v>
      </c>
      <c r="C760">
        <v>2020</v>
      </c>
      <c r="D760" s="4" t="s">
        <v>18</v>
      </c>
      <c r="E760" s="10">
        <v>6</v>
      </c>
      <c r="F760" s="92">
        <v>6.056</v>
      </c>
      <c r="G760" s="92">
        <v>8.0000000000000002E-3</v>
      </c>
      <c r="I760" s="21">
        <f>AVERAGE(F758:F760)</f>
        <v>5.6503333333333332</v>
      </c>
      <c r="J760" s="21">
        <f>AVERAGE(G758:G760)</f>
        <v>8.3333000000000001E-3</v>
      </c>
      <c r="L760">
        <f>+J760/I760</f>
        <v>1.4748333431655949E-3</v>
      </c>
      <c r="M760">
        <f>+(L760-$L$927)/$L$928</f>
        <v>-0.2860578190778908</v>
      </c>
      <c r="N760">
        <f>+N748+M760</f>
        <v>9.5139705801274121E-2</v>
      </c>
    </row>
    <row r="761" spans="1:14">
      <c r="A761" s="1">
        <v>11</v>
      </c>
      <c r="B761" s="71">
        <v>44013</v>
      </c>
      <c r="C761">
        <v>2020</v>
      </c>
      <c r="D761" s="4" t="s">
        <v>19</v>
      </c>
      <c r="E761" s="10">
        <v>7</v>
      </c>
      <c r="F761" s="92">
        <v>8.2539999999999996</v>
      </c>
      <c r="G761" s="92">
        <v>5.1999999999999998E-2</v>
      </c>
    </row>
    <row r="762" spans="1:14">
      <c r="A762" s="1">
        <v>12</v>
      </c>
      <c r="B762" s="71">
        <v>44013</v>
      </c>
      <c r="C762">
        <v>2020</v>
      </c>
      <c r="D762" s="4" t="s">
        <v>19</v>
      </c>
      <c r="E762" s="10">
        <v>7</v>
      </c>
      <c r="F762" s="92">
        <v>8.3879999999999999</v>
      </c>
      <c r="G762" s="92">
        <v>3.5000000000000003E-2</v>
      </c>
    </row>
    <row r="763" spans="1:14">
      <c r="A763" s="1">
        <v>13</v>
      </c>
      <c r="B763" s="71">
        <v>44013</v>
      </c>
      <c r="C763">
        <v>2020</v>
      </c>
      <c r="D763" s="4" t="s">
        <v>19</v>
      </c>
      <c r="E763" s="10">
        <v>7</v>
      </c>
      <c r="F763" s="92">
        <v>9.016</v>
      </c>
      <c r="G763" s="92">
        <v>1.7999999999999999E-2</v>
      </c>
      <c r="I763" s="21">
        <f t="shared" ref="I763:J763" si="0">AVERAGE(F761:F763)</f>
        <v>8.5526666666666671</v>
      </c>
      <c r="J763" s="21">
        <f t="shared" si="0"/>
        <v>3.4999999999999996E-2</v>
      </c>
      <c r="L763">
        <f t="shared" ref="L763" si="1">+J763/I763</f>
        <v>4.0922909034219338E-3</v>
      </c>
      <c r="M763">
        <f t="shared" ref="M763" si="2">+(L763-$L$927)/$L$928</f>
        <v>-1.723128401831021E-2</v>
      </c>
      <c r="N763">
        <f>+N760+M763</f>
        <v>7.7908421782963908E-2</v>
      </c>
    </row>
    <row r="764" spans="1:14">
      <c r="A764" s="1">
        <v>11</v>
      </c>
      <c r="B764" s="71">
        <v>44044</v>
      </c>
      <c r="C764">
        <v>2020</v>
      </c>
      <c r="D764" s="4" t="s">
        <v>20</v>
      </c>
      <c r="E764" s="10">
        <v>8</v>
      </c>
      <c r="F764" s="92">
        <v>5.327</v>
      </c>
      <c r="G764" s="92">
        <v>0.04</v>
      </c>
    </row>
    <row r="765" spans="1:14">
      <c r="A765" s="1">
        <v>12</v>
      </c>
      <c r="B765" s="71">
        <v>44044</v>
      </c>
      <c r="C765">
        <v>2020</v>
      </c>
      <c r="D765" s="4" t="s">
        <v>20</v>
      </c>
      <c r="E765" s="10">
        <v>8</v>
      </c>
      <c r="F765" s="92">
        <v>4.3920000000000003</v>
      </c>
      <c r="G765" s="92">
        <v>0.02</v>
      </c>
    </row>
    <row r="766" spans="1:14">
      <c r="A766" s="1">
        <v>13</v>
      </c>
      <c r="B766" s="71">
        <v>44044</v>
      </c>
      <c r="C766">
        <v>2020</v>
      </c>
      <c r="D766" s="4" t="s">
        <v>20</v>
      </c>
      <c r="E766" s="10">
        <v>8</v>
      </c>
      <c r="F766" s="92">
        <v>5.8490000000000002</v>
      </c>
      <c r="G766" s="92">
        <v>1.7999999999999999E-2</v>
      </c>
      <c r="I766" s="21">
        <f t="shared" ref="I766:J766" si="3">AVERAGE(F764:F766)</f>
        <v>5.1893333333333338</v>
      </c>
      <c r="J766" s="21">
        <f t="shared" si="3"/>
        <v>2.5999999999999999E-2</v>
      </c>
      <c r="L766">
        <f t="shared" ref="L766" si="4">+J766/I766</f>
        <v>5.0102774922918805E-3</v>
      </c>
      <c r="M766">
        <f t="shared" ref="M766" si="5">+(L766-$L$927)/$L$928</f>
        <v>7.7050723707119115E-2</v>
      </c>
      <c r="N766">
        <f t="shared" ref="N766" si="6">+N763+M766</f>
        <v>0.15495914549008302</v>
      </c>
    </row>
    <row r="767" spans="1:14">
      <c r="A767" s="1">
        <v>11</v>
      </c>
      <c r="B767" s="71">
        <v>44075</v>
      </c>
      <c r="C767">
        <v>2020</v>
      </c>
      <c r="D767" s="4" t="s">
        <v>26</v>
      </c>
      <c r="E767" s="10">
        <v>9</v>
      </c>
      <c r="F767" s="92">
        <v>1.492</v>
      </c>
      <c r="G767" s="92">
        <v>0.01</v>
      </c>
    </row>
    <row r="768" spans="1:14">
      <c r="A768" s="1">
        <v>12</v>
      </c>
      <c r="B768" s="71">
        <v>44075</v>
      </c>
      <c r="C768">
        <v>2020</v>
      </c>
      <c r="D768" s="4" t="s">
        <v>26</v>
      </c>
      <c r="E768" s="10">
        <v>9</v>
      </c>
      <c r="F768" s="92">
        <v>3.5049999999999999</v>
      </c>
      <c r="G768" s="92">
        <v>1.0999999999999999E-2</v>
      </c>
    </row>
    <row r="769" spans="1:14">
      <c r="A769" s="1">
        <v>13</v>
      </c>
      <c r="B769" s="71">
        <v>44075</v>
      </c>
      <c r="C769">
        <v>2020</v>
      </c>
      <c r="D769" s="4" t="s">
        <v>26</v>
      </c>
      <c r="E769" s="10">
        <v>9</v>
      </c>
      <c r="F769" s="92">
        <v>4.734</v>
      </c>
      <c r="G769" s="92">
        <v>7.0000000000000001E-3</v>
      </c>
      <c r="I769" s="21">
        <f t="shared" ref="I769:J769" si="7">AVERAGE(F767:F769)</f>
        <v>3.2436666666666665</v>
      </c>
      <c r="J769" s="21">
        <f t="shared" si="7"/>
        <v>9.3333333333333324E-3</v>
      </c>
      <c r="L769">
        <f t="shared" ref="L769" si="8">+J769/I769</f>
        <v>2.877402116945843E-3</v>
      </c>
      <c r="M769">
        <f t="shared" ref="M769" si="9">+(L769-$L$927)/$L$928</f>
        <v>-0.14200669505462951</v>
      </c>
      <c r="N769">
        <f t="shared" ref="N769" si="10">+N766+M769</f>
        <v>1.2952450435453511E-2</v>
      </c>
    </row>
    <row r="770" spans="1:14">
      <c r="A770" s="1">
        <v>11</v>
      </c>
      <c r="B770" s="71">
        <v>44105</v>
      </c>
      <c r="C770">
        <v>2020</v>
      </c>
      <c r="D770" s="4" t="s">
        <v>22</v>
      </c>
      <c r="E770" s="10">
        <v>10</v>
      </c>
      <c r="F770" s="92">
        <v>2.2330000000000001</v>
      </c>
      <c r="G770" s="92">
        <v>1.7000000000000001E-2</v>
      </c>
    </row>
    <row r="771" spans="1:14">
      <c r="A771" s="1">
        <v>12</v>
      </c>
      <c r="B771" s="71">
        <v>44105</v>
      </c>
      <c r="C771">
        <v>2020</v>
      </c>
      <c r="D771" s="4" t="s">
        <v>22</v>
      </c>
      <c r="E771" s="10">
        <v>10</v>
      </c>
      <c r="F771" s="92">
        <v>3.4129999999999998</v>
      </c>
      <c r="G771" s="92">
        <v>1.7999999999999999E-2</v>
      </c>
    </row>
    <row r="772" spans="1:14">
      <c r="A772" s="1">
        <v>13</v>
      </c>
      <c r="B772" s="71">
        <v>44105</v>
      </c>
      <c r="C772">
        <v>2020</v>
      </c>
      <c r="D772" s="4" t="s">
        <v>22</v>
      </c>
      <c r="E772" s="10">
        <v>10</v>
      </c>
      <c r="F772" s="92">
        <v>3.637</v>
      </c>
      <c r="G772" s="92">
        <v>8.0000000000000002E-3</v>
      </c>
      <c r="I772" s="21">
        <f t="shared" ref="I772:J772" si="11">AVERAGE(F770:F772)</f>
        <v>3.0943333333333332</v>
      </c>
      <c r="J772" s="21">
        <f t="shared" si="11"/>
        <v>1.4333333333333335E-2</v>
      </c>
      <c r="L772">
        <f t="shared" ref="L772" si="12">+J772/I772</f>
        <v>4.6321232360228386E-3</v>
      </c>
      <c r="M772">
        <f t="shared" ref="M772" si="13">+(L772-$L$927)/$L$928</f>
        <v>3.8212310441353148E-2</v>
      </c>
      <c r="N772">
        <f t="shared" ref="N772" si="14">+N769+M772</f>
        <v>5.1164760876806659E-2</v>
      </c>
    </row>
    <row r="773" spans="1:14">
      <c r="A773" s="1">
        <v>11</v>
      </c>
      <c r="B773" s="71">
        <v>44136</v>
      </c>
      <c r="C773">
        <v>2020</v>
      </c>
      <c r="D773" s="4" t="s">
        <v>23</v>
      </c>
      <c r="E773" s="10">
        <v>11</v>
      </c>
      <c r="F773" s="92">
        <v>1.639</v>
      </c>
      <c r="G773" s="92">
        <v>1.2999999999999999E-2</v>
      </c>
    </row>
    <row r="774" spans="1:14">
      <c r="A774" s="1">
        <v>12</v>
      </c>
      <c r="B774" s="71">
        <v>44136</v>
      </c>
      <c r="C774">
        <v>2020</v>
      </c>
      <c r="D774" s="4" t="s">
        <v>23</v>
      </c>
      <c r="E774" s="10">
        <v>11</v>
      </c>
      <c r="F774" s="92">
        <v>1.468</v>
      </c>
      <c r="G774" s="92">
        <v>9.9989999999999996E-4</v>
      </c>
    </row>
    <row r="775" spans="1:14">
      <c r="A775" s="1">
        <v>13</v>
      </c>
      <c r="B775" s="71">
        <v>44136</v>
      </c>
      <c r="C775">
        <v>2020</v>
      </c>
      <c r="D775" s="4" t="s">
        <v>23</v>
      </c>
      <c r="E775" s="10">
        <v>11</v>
      </c>
      <c r="F775" s="92">
        <v>1.54</v>
      </c>
      <c r="G775" s="92">
        <v>9.9989999999999996E-4</v>
      </c>
      <c r="I775" s="21">
        <f t="shared" ref="I775:J775" si="15">AVERAGE(F773:F775)</f>
        <v>1.5490000000000002</v>
      </c>
      <c r="J775" s="21">
        <f t="shared" si="15"/>
        <v>4.999933333333333E-3</v>
      </c>
      <c r="L775">
        <f t="shared" ref="L775" si="16">+J775/I775</f>
        <v>3.2278459221002794E-3</v>
      </c>
      <c r="M775">
        <f t="shared" ref="M775" si="17">+(L775-$L$927)/$L$928</f>
        <v>-0.10601428956036978</v>
      </c>
      <c r="N775">
        <f t="shared" ref="N775" si="18">+N772+M775</f>
        <v>-5.4849528683563117E-2</v>
      </c>
    </row>
    <row r="776" spans="1:14">
      <c r="A776" s="1">
        <v>11</v>
      </c>
      <c r="B776" s="72">
        <v>44166</v>
      </c>
      <c r="C776">
        <v>2020</v>
      </c>
      <c r="D776" s="4" t="s">
        <v>24</v>
      </c>
      <c r="E776" s="10">
        <v>12</v>
      </c>
    </row>
    <row r="777" spans="1:14">
      <c r="A777" s="1">
        <v>12</v>
      </c>
      <c r="B777" s="71">
        <v>44166</v>
      </c>
      <c r="C777">
        <v>2020</v>
      </c>
      <c r="D777" s="4" t="s">
        <v>24</v>
      </c>
      <c r="E777" s="10">
        <v>12</v>
      </c>
    </row>
    <row r="778" spans="1:14">
      <c r="A778" s="1">
        <v>13</v>
      </c>
      <c r="B778" s="71">
        <v>44166</v>
      </c>
      <c r="C778">
        <v>2020</v>
      </c>
      <c r="D778" s="4" t="s">
        <v>24</v>
      </c>
      <c r="E778" s="10">
        <v>12</v>
      </c>
      <c r="I778" s="21"/>
      <c r="J778" s="21"/>
    </row>
    <row r="779" spans="1:14">
      <c r="A779" s="91">
        <v>11</v>
      </c>
      <c r="B779" s="86">
        <v>44206</v>
      </c>
      <c r="C779" s="87">
        <v>2021</v>
      </c>
      <c r="D779" s="88" t="s">
        <v>25</v>
      </c>
      <c r="E779" s="89">
        <v>1</v>
      </c>
    </row>
    <row r="780" spans="1:14">
      <c r="A780" s="1">
        <v>12</v>
      </c>
      <c r="B780" s="73">
        <v>44201</v>
      </c>
      <c r="C780">
        <v>2021</v>
      </c>
      <c r="D780" s="4" t="s">
        <v>25</v>
      </c>
      <c r="E780" s="10">
        <v>1</v>
      </c>
    </row>
    <row r="781" spans="1:14">
      <c r="A781" s="1">
        <v>13</v>
      </c>
      <c r="B781" s="73">
        <v>44201</v>
      </c>
      <c r="C781">
        <v>2021</v>
      </c>
      <c r="D781" s="4" t="s">
        <v>25</v>
      </c>
      <c r="E781" s="10">
        <v>1</v>
      </c>
      <c r="I781" s="21"/>
      <c r="J781" s="21"/>
    </row>
    <row r="782" spans="1:14">
      <c r="A782" s="1">
        <v>11</v>
      </c>
      <c r="B782" s="71">
        <v>44228</v>
      </c>
      <c r="C782">
        <v>2021</v>
      </c>
      <c r="D782" s="4" t="s">
        <v>14</v>
      </c>
      <c r="E782" s="10">
        <v>2</v>
      </c>
      <c r="F782" s="92">
        <v>4.2009999999999996</v>
      </c>
      <c r="G782" s="92">
        <v>3.9E-2</v>
      </c>
    </row>
    <row r="783" spans="1:14">
      <c r="A783" s="1">
        <v>12</v>
      </c>
      <c r="B783" s="71">
        <v>44228</v>
      </c>
      <c r="C783">
        <v>2021</v>
      </c>
      <c r="D783" s="4" t="s">
        <v>14</v>
      </c>
      <c r="E783" s="10">
        <v>2</v>
      </c>
      <c r="F783" s="92">
        <v>2.609</v>
      </c>
      <c r="G783" s="92">
        <v>1.2999999999999999E-2</v>
      </c>
    </row>
    <row r="784" spans="1:14">
      <c r="A784" s="1">
        <v>13</v>
      </c>
      <c r="B784" s="71">
        <v>44228</v>
      </c>
      <c r="C784">
        <v>2021</v>
      </c>
      <c r="D784" s="4" t="s">
        <v>14</v>
      </c>
      <c r="E784" s="10">
        <v>2</v>
      </c>
      <c r="F784" s="92">
        <v>3.8620000000000001</v>
      </c>
      <c r="G784" s="92">
        <v>2.7E-2</v>
      </c>
      <c r="I784" s="21">
        <f t="shared" ref="I784:J784" si="19">AVERAGE(F782:F784)</f>
        <v>3.5573333333333337</v>
      </c>
      <c r="J784" s="21">
        <f t="shared" si="19"/>
        <v>2.6333333333333334E-2</v>
      </c>
      <c r="L784">
        <f t="shared" ref="L784" si="20">+J784/I784</f>
        <v>7.4025487256371807E-3</v>
      </c>
      <c r="M784">
        <f t="shared" ref="M784" si="21">+(L784-$L$927)/$L$928</f>
        <v>0.32274944919856297</v>
      </c>
      <c r="N784">
        <f>+N775+M784</f>
        <v>0.26789992051499983</v>
      </c>
    </row>
    <row r="785" spans="1:14">
      <c r="A785" s="1">
        <v>11</v>
      </c>
      <c r="B785" s="71">
        <v>44256</v>
      </c>
      <c r="C785">
        <v>2021</v>
      </c>
      <c r="D785" s="4" t="s">
        <v>15</v>
      </c>
      <c r="E785" s="10">
        <v>3</v>
      </c>
      <c r="F785" s="92">
        <v>4.0389999999999997</v>
      </c>
      <c r="G785" s="92">
        <v>3.2000000000000001E-2</v>
      </c>
    </row>
    <row r="786" spans="1:14">
      <c r="A786" s="1">
        <v>12</v>
      </c>
      <c r="B786" s="71">
        <v>44256</v>
      </c>
      <c r="C786">
        <v>2021</v>
      </c>
      <c r="D786" s="4" t="s">
        <v>15</v>
      </c>
      <c r="E786" s="10">
        <v>3</v>
      </c>
      <c r="F786" s="92">
        <v>2.8650000000000002</v>
      </c>
      <c r="G786" s="92">
        <v>2.1999999999999999E-2</v>
      </c>
    </row>
    <row r="787" spans="1:14">
      <c r="A787" s="1">
        <v>13</v>
      </c>
      <c r="B787" s="71">
        <v>44256</v>
      </c>
      <c r="C787">
        <v>2021</v>
      </c>
      <c r="D787" s="4" t="s">
        <v>15</v>
      </c>
      <c r="E787" s="10">
        <v>3</v>
      </c>
      <c r="F787" s="92">
        <v>2.6309999999999998</v>
      </c>
      <c r="G787" s="92">
        <v>2.1999999999999999E-2</v>
      </c>
      <c r="I787" s="21">
        <f t="shared" ref="I787:J787" si="22">AVERAGE(F785:F787)</f>
        <v>3.1783333333333332</v>
      </c>
      <c r="J787" s="21">
        <f t="shared" si="22"/>
        <v>2.5333333333333333E-2</v>
      </c>
      <c r="L787">
        <f t="shared" ref="L787" si="23">+J787/I787</f>
        <v>7.9706345044572632E-3</v>
      </c>
      <c r="M787">
        <f t="shared" ref="M787" si="24">+(L787-$L$927)/$L$928</f>
        <v>0.38109481985735977</v>
      </c>
      <c r="N787">
        <f t="shared" ref="N787" si="25">+N784+M787</f>
        <v>0.6489947403723596</v>
      </c>
    </row>
    <row r="788" spans="1:14">
      <c r="A788" s="1">
        <v>11</v>
      </c>
      <c r="B788" s="71">
        <v>44287</v>
      </c>
      <c r="C788">
        <v>2021</v>
      </c>
      <c r="D788" s="4" t="s">
        <v>16</v>
      </c>
      <c r="E788" s="10">
        <v>4</v>
      </c>
      <c r="F788" s="92">
        <v>4.2439999999999998</v>
      </c>
      <c r="G788" s="92">
        <v>7.1999999999999995E-2</v>
      </c>
    </row>
    <row r="789" spans="1:14">
      <c r="A789" s="1">
        <v>12</v>
      </c>
      <c r="B789" s="71">
        <v>44287</v>
      </c>
      <c r="C789">
        <v>2021</v>
      </c>
      <c r="D789" s="4" t="s">
        <v>16</v>
      </c>
      <c r="E789" s="10">
        <v>4</v>
      </c>
      <c r="F789" s="92">
        <v>2.375</v>
      </c>
      <c r="G789" s="92">
        <v>2.9000000000000001E-2</v>
      </c>
    </row>
    <row r="790" spans="1:14">
      <c r="A790" s="1">
        <v>13</v>
      </c>
      <c r="B790" s="71">
        <v>44287</v>
      </c>
      <c r="C790">
        <v>2021</v>
      </c>
      <c r="D790" s="4" t="s">
        <v>16</v>
      </c>
      <c r="E790" s="10">
        <v>4</v>
      </c>
      <c r="F790" s="92">
        <v>3.04</v>
      </c>
      <c r="G790" s="92">
        <v>3.2000000000000001E-2</v>
      </c>
      <c r="I790" s="21">
        <f t="shared" ref="I790:J790" si="26">AVERAGE(F788:F790)</f>
        <v>3.2196666666666665</v>
      </c>
      <c r="J790" s="21">
        <f t="shared" si="26"/>
        <v>4.4333333333333336E-2</v>
      </c>
      <c r="L790">
        <f t="shared" ref="L790" si="27">+J790/I790</f>
        <v>1.3769541360389275E-2</v>
      </c>
      <c r="M790">
        <f t="shared" ref="M790" si="28">+(L790-$L$927)/$L$928</f>
        <v>0.97667278103766608</v>
      </c>
      <c r="N790">
        <f t="shared" ref="N790" si="29">+N787+M790</f>
        <v>1.6256675214100258</v>
      </c>
    </row>
    <row r="791" spans="1:14">
      <c r="A791" s="1">
        <v>11</v>
      </c>
      <c r="B791" s="71">
        <v>44317</v>
      </c>
      <c r="C791">
        <v>2021</v>
      </c>
      <c r="D791" s="4" t="s">
        <v>17</v>
      </c>
      <c r="E791" s="10">
        <v>5</v>
      </c>
      <c r="F791" s="92">
        <v>4.9240000000000004</v>
      </c>
      <c r="G791" s="92">
        <v>1.0999999999999999E-2</v>
      </c>
    </row>
    <row r="792" spans="1:14">
      <c r="A792" s="1">
        <v>12</v>
      </c>
      <c r="B792" s="71">
        <v>44317</v>
      </c>
      <c r="C792">
        <v>2021</v>
      </c>
      <c r="D792" s="4" t="s">
        <v>17</v>
      </c>
      <c r="E792" s="10">
        <v>5</v>
      </c>
      <c r="F792" s="92">
        <v>5.173</v>
      </c>
      <c r="G792" s="92">
        <v>8.0000000000000002E-3</v>
      </c>
    </row>
    <row r="793" spans="1:14">
      <c r="A793" s="1">
        <v>13</v>
      </c>
      <c r="B793" s="71">
        <v>44317</v>
      </c>
      <c r="C793">
        <v>2021</v>
      </c>
      <c r="D793" s="4" t="s">
        <v>17</v>
      </c>
      <c r="E793" s="10">
        <v>5</v>
      </c>
      <c r="F793" s="92">
        <v>6.7990000000000004</v>
      </c>
      <c r="G793" s="92">
        <v>1.6E-2</v>
      </c>
      <c r="I793" s="21">
        <f t="shared" ref="I793:J793" si="30">AVERAGE(F791:F793)</f>
        <v>5.6320000000000006</v>
      </c>
      <c r="J793" s="21">
        <f t="shared" si="30"/>
        <v>1.1666666666666667E-2</v>
      </c>
      <c r="L793">
        <f t="shared" ref="L793" si="31">+J793/I793</f>
        <v>2.071496212121212E-3</v>
      </c>
      <c r="M793">
        <f t="shared" ref="M793" si="32">+(L793-$L$927)/$L$928</f>
        <v>-0.2247774323027415</v>
      </c>
      <c r="N793">
        <f t="shared" ref="N793" si="33">+N790+M793</f>
        <v>1.4008900891072842</v>
      </c>
    </row>
    <row r="794" spans="1:14">
      <c r="A794" s="1">
        <v>11</v>
      </c>
      <c r="B794" s="71">
        <v>44348</v>
      </c>
      <c r="C794">
        <v>2021</v>
      </c>
      <c r="D794" s="4" t="s">
        <v>18</v>
      </c>
      <c r="E794" s="10">
        <v>6</v>
      </c>
      <c r="F794" s="92">
        <v>6.56</v>
      </c>
      <c r="G794" s="92">
        <v>9.9989999999999996E-4</v>
      </c>
    </row>
    <row r="795" spans="1:14">
      <c r="A795" s="1">
        <v>12</v>
      </c>
      <c r="B795" s="71">
        <v>44348</v>
      </c>
      <c r="C795">
        <v>2021</v>
      </c>
      <c r="D795" s="4" t="s">
        <v>18</v>
      </c>
      <c r="E795" s="10">
        <v>6</v>
      </c>
      <c r="F795" s="92">
        <v>10.156000000000001</v>
      </c>
      <c r="G795" s="92">
        <v>2.9000000000000001E-2</v>
      </c>
    </row>
    <row r="796" spans="1:14">
      <c r="A796" s="1">
        <v>13</v>
      </c>
      <c r="B796" s="71">
        <v>44348</v>
      </c>
      <c r="C796">
        <v>2021</v>
      </c>
      <c r="D796" s="4" t="s">
        <v>18</v>
      </c>
      <c r="E796" s="10">
        <v>6</v>
      </c>
      <c r="F796" s="92">
        <v>9.1980000000000004</v>
      </c>
      <c r="G796" s="92">
        <v>1.7999999999999999E-2</v>
      </c>
      <c r="I796" s="21">
        <f t="shared" ref="I796:J796" si="34">AVERAGE(F794:F796)</f>
        <v>8.6379999999999999</v>
      </c>
      <c r="J796" s="21">
        <f t="shared" si="34"/>
        <v>1.5999966666666667E-2</v>
      </c>
      <c r="L796">
        <f t="shared" ref="L796" si="35">+J796/I796</f>
        <v>1.8522767615960485E-3</v>
      </c>
      <c r="M796">
        <f t="shared" ref="M796" si="36">+(L796-$L$927)/$L$928</f>
        <v>-0.24729241256342371</v>
      </c>
      <c r="N796">
        <f t="shared" ref="N796" si="37">+N793+M796</f>
        <v>1.1535976765438605</v>
      </c>
    </row>
    <row r="797" spans="1:14">
      <c r="A797" s="1">
        <v>11</v>
      </c>
      <c r="B797" s="71">
        <v>44378</v>
      </c>
      <c r="C797">
        <v>2021</v>
      </c>
      <c r="D797" s="4" t="s">
        <v>19</v>
      </c>
      <c r="E797" s="10">
        <v>7</v>
      </c>
      <c r="H797" s="90" t="s">
        <v>98</v>
      </c>
    </row>
    <row r="798" spans="1:14">
      <c r="A798" s="1">
        <v>12</v>
      </c>
      <c r="B798" s="71">
        <v>44378</v>
      </c>
      <c r="C798">
        <v>2021</v>
      </c>
      <c r="D798" s="4" t="s">
        <v>19</v>
      </c>
      <c r="E798" s="10">
        <v>7</v>
      </c>
      <c r="H798" s="90" t="s">
        <v>99</v>
      </c>
    </row>
    <row r="799" spans="1:14">
      <c r="A799" s="1">
        <v>13</v>
      </c>
      <c r="B799" s="71">
        <v>44378</v>
      </c>
      <c r="C799">
        <v>2021</v>
      </c>
      <c r="D799" s="4" t="s">
        <v>19</v>
      </c>
      <c r="E799" s="10">
        <v>7</v>
      </c>
      <c r="I799" s="21"/>
      <c r="J799" s="21"/>
    </row>
    <row r="800" spans="1:14">
      <c r="A800" s="1">
        <v>11</v>
      </c>
      <c r="B800" s="71">
        <v>44409</v>
      </c>
      <c r="C800">
        <v>2021</v>
      </c>
      <c r="D800" s="4" t="s">
        <v>20</v>
      </c>
      <c r="E800" s="10">
        <v>8</v>
      </c>
      <c r="F800" s="92">
        <v>3.887</v>
      </c>
      <c r="G800" s="92">
        <v>2.5000000000000001E-2</v>
      </c>
    </row>
    <row r="801" spans="1:14">
      <c r="A801" s="1">
        <v>12</v>
      </c>
      <c r="B801" s="71">
        <v>44409</v>
      </c>
      <c r="C801">
        <v>2021</v>
      </c>
      <c r="D801" s="4" t="s">
        <v>20</v>
      </c>
      <c r="E801" s="10">
        <v>8</v>
      </c>
      <c r="F801" s="92">
        <v>6.1159999999999997</v>
      </c>
      <c r="G801" s="92">
        <v>1.2E-2</v>
      </c>
    </row>
    <row r="802" spans="1:14">
      <c r="A802" s="1">
        <v>13</v>
      </c>
      <c r="B802" s="71">
        <v>44409</v>
      </c>
      <c r="C802">
        <v>2021</v>
      </c>
      <c r="D802" s="4" t="s">
        <v>20</v>
      </c>
      <c r="E802" s="10">
        <v>8</v>
      </c>
      <c r="F802" s="92">
        <v>3.4689999999999999</v>
      </c>
      <c r="G802" s="92">
        <v>6.0000000000000001E-3</v>
      </c>
      <c r="I802" s="21">
        <f t="shared" ref="I802:J802" si="38">AVERAGE(F800:F802)</f>
        <v>4.4906666666666668</v>
      </c>
      <c r="J802" s="21">
        <f t="shared" si="38"/>
        <v>1.4333333333333335E-2</v>
      </c>
      <c r="L802">
        <f t="shared" ref="L802" si="39">+J802/I802</f>
        <v>3.1918052256532069E-3</v>
      </c>
      <c r="M802">
        <f t="shared" ref="M802" si="40">+(L802-$L$927)/$L$928</f>
        <v>-0.10971585694931792</v>
      </c>
      <c r="N802">
        <f>+N796+M802</f>
        <v>1.0438818195945425</v>
      </c>
    </row>
    <row r="803" spans="1:14">
      <c r="A803" s="1">
        <v>11</v>
      </c>
      <c r="B803" s="71">
        <v>44440</v>
      </c>
      <c r="C803">
        <v>2021</v>
      </c>
      <c r="D803" s="4" t="s">
        <v>26</v>
      </c>
      <c r="E803" s="10">
        <v>9</v>
      </c>
      <c r="F803" s="92">
        <v>3.4159999999999999</v>
      </c>
      <c r="G803" s="92">
        <v>2.3E-2</v>
      </c>
    </row>
    <row r="804" spans="1:14">
      <c r="A804" s="1">
        <v>12</v>
      </c>
      <c r="B804" s="71">
        <v>44440</v>
      </c>
      <c r="C804">
        <v>2021</v>
      </c>
      <c r="D804" s="4" t="s">
        <v>26</v>
      </c>
      <c r="E804" s="10">
        <v>9</v>
      </c>
      <c r="F804" s="92">
        <v>3.673</v>
      </c>
      <c r="G804" s="92">
        <v>2.1000000000000001E-2</v>
      </c>
    </row>
    <row r="805" spans="1:14">
      <c r="A805" s="1">
        <v>13</v>
      </c>
      <c r="B805" s="71">
        <v>44440</v>
      </c>
      <c r="C805">
        <v>2021</v>
      </c>
      <c r="D805" s="4" t="s">
        <v>26</v>
      </c>
      <c r="E805" s="10">
        <v>9</v>
      </c>
      <c r="F805" s="92">
        <v>4.32</v>
      </c>
      <c r="G805" s="92">
        <v>1.0999999999999999E-2</v>
      </c>
      <c r="I805" s="21">
        <f t="shared" ref="I805:J805" si="41">AVERAGE(F803:F805)</f>
        <v>3.8030000000000004</v>
      </c>
      <c r="J805" s="21">
        <f t="shared" si="41"/>
        <v>1.833333333333333E-2</v>
      </c>
      <c r="L805">
        <f t="shared" ref="L805" si="42">+J805/I805</f>
        <v>4.8207555438688739E-3</v>
      </c>
      <c r="M805">
        <f t="shared" ref="M805" si="43">+(L805-$L$927)/$L$928</f>
        <v>5.7585831711961875E-2</v>
      </c>
      <c r="N805">
        <f t="shared" ref="N805" si="44">+N802+M805</f>
        <v>1.1014676513065045</v>
      </c>
    </row>
    <row r="806" spans="1:14">
      <c r="A806" s="1">
        <v>11</v>
      </c>
      <c r="B806" s="71">
        <v>44470</v>
      </c>
      <c r="C806">
        <v>2021</v>
      </c>
      <c r="D806" s="4" t="s">
        <v>22</v>
      </c>
      <c r="E806" s="10">
        <v>10</v>
      </c>
      <c r="F806" s="92">
        <v>5.6130000000000004</v>
      </c>
      <c r="G806" s="92">
        <v>5.8000000000000003E-2</v>
      </c>
    </row>
    <row r="807" spans="1:14">
      <c r="A807" s="1">
        <v>12</v>
      </c>
      <c r="B807" s="71">
        <v>44470</v>
      </c>
      <c r="C807">
        <v>2021</v>
      </c>
      <c r="D807" s="4" t="s">
        <v>22</v>
      </c>
      <c r="E807" s="10">
        <v>10</v>
      </c>
      <c r="F807" s="92">
        <v>4.907</v>
      </c>
      <c r="G807" s="92">
        <v>4.9000000000000002E-2</v>
      </c>
    </row>
    <row r="808" spans="1:14">
      <c r="A808" s="1">
        <v>13</v>
      </c>
      <c r="B808" s="71">
        <v>44470</v>
      </c>
      <c r="C808">
        <v>2021</v>
      </c>
      <c r="D808" s="4" t="s">
        <v>22</v>
      </c>
      <c r="E808" s="10">
        <v>10</v>
      </c>
      <c r="F808" s="92">
        <v>1.738</v>
      </c>
      <c r="G808" s="92">
        <v>7.0000000000000001E-3</v>
      </c>
      <c r="I808" s="21">
        <f t="shared" ref="I808:J808" si="45">AVERAGE(F806:F808)</f>
        <v>4.0859999999999994</v>
      </c>
      <c r="J808" s="21">
        <f t="shared" si="45"/>
        <v>3.8000000000000006E-2</v>
      </c>
      <c r="L808">
        <f t="shared" ref="L808" si="46">+J808/I808</f>
        <v>9.3000489476260436E-3</v>
      </c>
      <c r="M808">
        <f t="shared" ref="M808" si="47">+(L808-$L$927)/$L$928</f>
        <v>0.51763261280641715</v>
      </c>
      <c r="N808">
        <f t="shared" ref="N808" si="48">+N805+M808</f>
        <v>1.6191002641129217</v>
      </c>
    </row>
    <row r="809" spans="1:14">
      <c r="A809" s="1">
        <v>11</v>
      </c>
      <c r="B809" s="71">
        <v>44501</v>
      </c>
      <c r="C809">
        <v>2021</v>
      </c>
      <c r="D809" s="4" t="s">
        <v>23</v>
      </c>
      <c r="E809" s="10">
        <v>11</v>
      </c>
      <c r="F809" s="92">
        <v>3.1869999999999998</v>
      </c>
      <c r="G809" s="92">
        <v>9.9989999999999996E-4</v>
      </c>
    </row>
    <row r="810" spans="1:14">
      <c r="A810" s="1">
        <v>12</v>
      </c>
      <c r="B810" s="71">
        <v>44501</v>
      </c>
      <c r="C810">
        <v>2021</v>
      </c>
      <c r="D810" s="4" t="s">
        <v>23</v>
      </c>
      <c r="E810" s="10">
        <v>11</v>
      </c>
      <c r="F810" s="92">
        <v>1.9430000000000001</v>
      </c>
      <c r="G810" s="92">
        <v>9.9989999999999996E-4</v>
      </c>
    </row>
    <row r="811" spans="1:14">
      <c r="A811" s="1">
        <v>13</v>
      </c>
      <c r="B811" s="71">
        <v>44501</v>
      </c>
      <c r="C811">
        <v>2021</v>
      </c>
      <c r="D811" s="4" t="s">
        <v>23</v>
      </c>
      <c r="E811" s="10">
        <v>11</v>
      </c>
      <c r="F811" s="92">
        <v>1.0009999999999999</v>
      </c>
      <c r="G811" s="92">
        <v>9.9989999999999996E-4</v>
      </c>
      <c r="I811" s="21">
        <f t="shared" ref="I811:J811" si="49">AVERAGE(F809:F811)</f>
        <v>2.0436666666666667</v>
      </c>
      <c r="J811" s="21">
        <f t="shared" si="49"/>
        <v>9.9989999999999996E-4</v>
      </c>
      <c r="L811">
        <f t="shared" ref="L811" si="50">+J811/I811</f>
        <v>4.8926765617354425E-4</v>
      </c>
      <c r="M811">
        <f t="shared" ref="M811" si="51">+(L811-$L$927)/$L$928</f>
        <v>-0.3872805524397035</v>
      </c>
      <c r="N811">
        <f t="shared" ref="N811" si="52">+N808+M811</f>
        <v>1.2318197116732184</v>
      </c>
    </row>
    <row r="812" spans="1:14">
      <c r="A812" s="1">
        <v>11</v>
      </c>
      <c r="B812" s="72">
        <v>44531</v>
      </c>
      <c r="C812">
        <v>2021</v>
      </c>
      <c r="D812" s="4" t="s">
        <v>24</v>
      </c>
      <c r="E812" s="10">
        <v>12</v>
      </c>
      <c r="F812" s="92">
        <v>4.8920000000000003</v>
      </c>
      <c r="G812" s="92">
        <v>9.9989999999999996E-4</v>
      </c>
    </row>
    <row r="813" spans="1:14">
      <c r="A813" s="1">
        <v>12</v>
      </c>
      <c r="B813" s="71">
        <v>44531</v>
      </c>
      <c r="C813">
        <v>2021</v>
      </c>
      <c r="D813" s="4" t="s">
        <v>24</v>
      </c>
      <c r="E813" s="10">
        <v>12</v>
      </c>
      <c r="F813" s="92">
        <v>5.6689999999999996</v>
      </c>
      <c r="G813" s="92">
        <v>6.0000000000000001E-3</v>
      </c>
    </row>
    <row r="814" spans="1:14">
      <c r="A814" s="1">
        <v>13</v>
      </c>
      <c r="B814" s="71">
        <v>44531</v>
      </c>
      <c r="C814">
        <v>2021</v>
      </c>
      <c r="D814" s="4" t="s">
        <v>24</v>
      </c>
      <c r="E814" s="10">
        <v>12</v>
      </c>
      <c r="F814" s="92">
        <v>12.211</v>
      </c>
      <c r="G814" s="92">
        <v>6.0000000000000001E-3</v>
      </c>
      <c r="I814" s="21">
        <f t="shared" ref="I814:J814" si="53">AVERAGE(F812:F814)</f>
        <v>7.5906666666666665</v>
      </c>
      <c r="J814" s="21">
        <f t="shared" si="53"/>
        <v>4.3333E-3</v>
      </c>
      <c r="L814">
        <f t="shared" ref="L814" si="54">+J814/I814</f>
        <v>5.7087212366063592E-4</v>
      </c>
      <c r="M814">
        <f t="shared" ref="M814" si="55">+(L814-$L$927)/$L$928</f>
        <v>-0.37889934826163513</v>
      </c>
      <c r="N814">
        <f t="shared" ref="N814" si="56">+N811+M814</f>
        <v>0.85292036341158317</v>
      </c>
    </row>
    <row r="815" spans="1:14">
      <c r="A815" s="91">
        <v>11</v>
      </c>
      <c r="B815" s="86">
        <v>44571</v>
      </c>
      <c r="C815" s="87">
        <v>2022</v>
      </c>
      <c r="D815" s="88" t="s">
        <v>25</v>
      </c>
      <c r="E815" s="89">
        <v>1</v>
      </c>
      <c r="H815" s="90" t="s">
        <v>95</v>
      </c>
    </row>
    <row r="816" spans="1:14">
      <c r="A816" s="1">
        <v>12</v>
      </c>
      <c r="B816" s="73">
        <v>44566</v>
      </c>
      <c r="C816">
        <v>2022</v>
      </c>
      <c r="D816" s="4" t="s">
        <v>25</v>
      </c>
      <c r="E816" s="10">
        <v>1</v>
      </c>
      <c r="H816" s="90" t="s">
        <v>96</v>
      </c>
    </row>
    <row r="817" spans="1:8">
      <c r="A817" s="1">
        <v>13</v>
      </c>
      <c r="B817" s="73">
        <v>44566</v>
      </c>
      <c r="C817">
        <v>2022</v>
      </c>
      <c r="D817" s="4" t="s">
        <v>25</v>
      </c>
      <c r="E817" s="10">
        <v>1</v>
      </c>
      <c r="H817" s="90" t="s">
        <v>97</v>
      </c>
    </row>
    <row r="818" spans="1:8">
      <c r="A818" s="1">
        <v>11</v>
      </c>
      <c r="B818" s="71">
        <v>44593</v>
      </c>
      <c r="C818">
        <v>2022</v>
      </c>
      <c r="D818" s="4" t="s">
        <v>14</v>
      </c>
      <c r="E818" s="10">
        <v>2</v>
      </c>
    </row>
    <row r="819" spans="1:8">
      <c r="A819" s="1">
        <v>12</v>
      </c>
      <c r="B819" s="71">
        <v>44593</v>
      </c>
      <c r="C819">
        <v>2022</v>
      </c>
      <c r="D819" s="4" t="s">
        <v>14</v>
      </c>
      <c r="E819" s="10">
        <v>2</v>
      </c>
    </row>
    <row r="820" spans="1:8">
      <c r="A820" s="1">
        <v>13</v>
      </c>
      <c r="B820" s="71">
        <v>44593</v>
      </c>
      <c r="C820">
        <v>2022</v>
      </c>
      <c r="D820" s="4" t="s">
        <v>14</v>
      </c>
      <c r="E820" s="10">
        <v>2</v>
      </c>
    </row>
    <row r="821" spans="1:8">
      <c r="A821" s="1">
        <v>11</v>
      </c>
      <c r="B821" s="71">
        <v>44621</v>
      </c>
      <c r="C821">
        <v>2022</v>
      </c>
      <c r="D821" s="4" t="s">
        <v>15</v>
      </c>
      <c r="E821" s="10">
        <v>3</v>
      </c>
    </row>
    <row r="822" spans="1:8">
      <c r="A822" s="1">
        <v>12</v>
      </c>
      <c r="B822" s="71">
        <v>44621</v>
      </c>
      <c r="C822">
        <v>2022</v>
      </c>
      <c r="D822" s="4" t="s">
        <v>15</v>
      </c>
      <c r="E822" s="10">
        <v>3</v>
      </c>
    </row>
    <row r="823" spans="1:8">
      <c r="A823" s="1">
        <v>13</v>
      </c>
      <c r="B823" s="71">
        <v>44621</v>
      </c>
      <c r="C823">
        <v>2022</v>
      </c>
      <c r="D823" s="4" t="s">
        <v>15</v>
      </c>
      <c r="E823" s="10">
        <v>3</v>
      </c>
    </row>
    <row r="824" spans="1:8">
      <c r="A824" s="1">
        <v>11</v>
      </c>
      <c r="B824" s="71">
        <v>44652</v>
      </c>
      <c r="C824">
        <v>2022</v>
      </c>
      <c r="D824" s="4" t="s">
        <v>16</v>
      </c>
      <c r="E824" s="10">
        <v>4</v>
      </c>
    </row>
    <row r="825" spans="1:8">
      <c r="A825" s="1">
        <v>12</v>
      </c>
      <c r="B825" s="71">
        <v>44652</v>
      </c>
      <c r="C825">
        <v>2022</v>
      </c>
      <c r="D825" s="4" t="s">
        <v>16</v>
      </c>
      <c r="E825" s="10">
        <v>4</v>
      </c>
    </row>
    <row r="826" spans="1:8">
      <c r="A826" s="1">
        <v>13</v>
      </c>
      <c r="B826" s="71">
        <v>44652</v>
      </c>
      <c r="C826">
        <v>2022</v>
      </c>
      <c r="D826" s="4" t="s">
        <v>16</v>
      </c>
      <c r="E826" s="10">
        <v>4</v>
      </c>
    </row>
    <row r="827" spans="1:8">
      <c r="A827" s="1">
        <v>11</v>
      </c>
      <c r="B827" s="71">
        <v>44682</v>
      </c>
      <c r="C827">
        <v>2022</v>
      </c>
      <c r="D827" s="4" t="s">
        <v>17</v>
      </c>
      <c r="E827" s="10">
        <v>5</v>
      </c>
    </row>
    <row r="828" spans="1:8">
      <c r="A828" s="1">
        <v>12</v>
      </c>
      <c r="B828" s="71">
        <v>44682</v>
      </c>
      <c r="C828">
        <v>2022</v>
      </c>
      <c r="D828" s="4" t="s">
        <v>17</v>
      </c>
      <c r="E828" s="10">
        <v>5</v>
      </c>
    </row>
    <row r="829" spans="1:8">
      <c r="A829" s="1">
        <v>13</v>
      </c>
      <c r="B829" s="71">
        <v>44682</v>
      </c>
      <c r="C829">
        <v>2022</v>
      </c>
      <c r="D829" s="4" t="s">
        <v>17</v>
      </c>
      <c r="E829" s="10">
        <v>5</v>
      </c>
    </row>
    <row r="830" spans="1:8">
      <c r="A830" s="1">
        <v>11</v>
      </c>
      <c r="B830" s="71">
        <v>44713</v>
      </c>
      <c r="C830">
        <v>2022</v>
      </c>
      <c r="D830" s="4" t="s">
        <v>18</v>
      </c>
      <c r="E830" s="10">
        <v>6</v>
      </c>
    </row>
    <row r="831" spans="1:8">
      <c r="A831" s="1">
        <v>12</v>
      </c>
      <c r="B831" s="71">
        <v>44713</v>
      </c>
      <c r="C831">
        <v>2022</v>
      </c>
      <c r="D831" s="4" t="s">
        <v>18</v>
      </c>
      <c r="E831" s="10">
        <v>6</v>
      </c>
    </row>
    <row r="832" spans="1:8">
      <c r="A832" s="1">
        <v>13</v>
      </c>
      <c r="B832" s="71">
        <v>44713</v>
      </c>
      <c r="C832">
        <v>2022</v>
      </c>
      <c r="D832" s="4" t="s">
        <v>18</v>
      </c>
      <c r="E832" s="10">
        <v>6</v>
      </c>
    </row>
    <row r="833" spans="1:5">
      <c r="A833" s="1">
        <v>11</v>
      </c>
      <c r="B833" s="71">
        <v>44743</v>
      </c>
      <c r="C833">
        <v>2022</v>
      </c>
      <c r="D833" s="4" t="s">
        <v>19</v>
      </c>
      <c r="E833" s="10">
        <v>7</v>
      </c>
    </row>
    <row r="834" spans="1:5">
      <c r="A834" s="1">
        <v>12</v>
      </c>
      <c r="B834" s="71">
        <v>44743</v>
      </c>
      <c r="C834">
        <v>2022</v>
      </c>
      <c r="D834" s="4" t="s">
        <v>19</v>
      </c>
      <c r="E834" s="10">
        <v>7</v>
      </c>
    </row>
    <row r="835" spans="1:5">
      <c r="A835" s="1">
        <v>13</v>
      </c>
      <c r="B835" s="71">
        <v>44743</v>
      </c>
      <c r="C835">
        <v>2022</v>
      </c>
      <c r="D835" s="4" t="s">
        <v>19</v>
      </c>
      <c r="E835" s="10">
        <v>7</v>
      </c>
    </row>
    <row r="836" spans="1:5">
      <c r="A836" s="1">
        <v>11</v>
      </c>
      <c r="B836" s="71">
        <v>44774</v>
      </c>
      <c r="C836">
        <v>2022</v>
      </c>
      <c r="D836" s="4" t="s">
        <v>20</v>
      </c>
      <c r="E836" s="10">
        <v>8</v>
      </c>
    </row>
    <row r="837" spans="1:5">
      <c r="A837" s="1">
        <v>12</v>
      </c>
      <c r="B837" s="71">
        <v>44774</v>
      </c>
      <c r="C837">
        <v>2022</v>
      </c>
      <c r="D837" s="4" t="s">
        <v>20</v>
      </c>
      <c r="E837" s="10">
        <v>8</v>
      </c>
    </row>
    <row r="838" spans="1:5">
      <c r="A838" s="1">
        <v>13</v>
      </c>
      <c r="B838" s="71">
        <v>44774</v>
      </c>
      <c r="C838">
        <v>2022</v>
      </c>
      <c r="D838" s="4" t="s">
        <v>20</v>
      </c>
      <c r="E838" s="10">
        <v>8</v>
      </c>
    </row>
    <row r="839" spans="1:5">
      <c r="A839" s="1">
        <v>11</v>
      </c>
      <c r="B839" s="71">
        <v>44805</v>
      </c>
      <c r="C839">
        <v>2022</v>
      </c>
      <c r="D839" s="4" t="s">
        <v>26</v>
      </c>
      <c r="E839" s="10">
        <v>9</v>
      </c>
    </row>
    <row r="840" spans="1:5">
      <c r="A840" s="1">
        <v>12</v>
      </c>
      <c r="B840" s="71">
        <v>44805</v>
      </c>
      <c r="C840">
        <v>2022</v>
      </c>
      <c r="D840" s="4" t="s">
        <v>26</v>
      </c>
      <c r="E840" s="10">
        <v>9</v>
      </c>
    </row>
    <row r="841" spans="1:5">
      <c r="A841" s="1">
        <v>13</v>
      </c>
      <c r="B841" s="71">
        <v>44805</v>
      </c>
      <c r="C841">
        <v>2022</v>
      </c>
      <c r="D841" s="4" t="s">
        <v>26</v>
      </c>
      <c r="E841" s="10">
        <v>9</v>
      </c>
    </row>
    <row r="842" spans="1:5">
      <c r="A842" s="1">
        <v>11</v>
      </c>
      <c r="B842" s="71">
        <v>44835</v>
      </c>
      <c r="C842">
        <v>2022</v>
      </c>
      <c r="D842" s="4" t="s">
        <v>22</v>
      </c>
      <c r="E842" s="10">
        <v>10</v>
      </c>
    </row>
    <row r="843" spans="1:5">
      <c r="A843" s="1">
        <v>12</v>
      </c>
      <c r="B843" s="71">
        <v>44835</v>
      </c>
      <c r="C843">
        <v>2022</v>
      </c>
      <c r="D843" s="4" t="s">
        <v>22</v>
      </c>
      <c r="E843" s="10">
        <v>10</v>
      </c>
    </row>
    <row r="844" spans="1:5">
      <c r="A844" s="1">
        <v>13</v>
      </c>
      <c r="B844" s="71">
        <v>44835</v>
      </c>
      <c r="C844">
        <v>2022</v>
      </c>
      <c r="D844" s="4" t="s">
        <v>22</v>
      </c>
      <c r="E844" s="10">
        <v>10</v>
      </c>
    </row>
    <row r="845" spans="1:5">
      <c r="A845" s="1">
        <v>11</v>
      </c>
      <c r="B845" s="71">
        <v>44866</v>
      </c>
      <c r="C845">
        <v>2022</v>
      </c>
      <c r="D845" s="4" t="s">
        <v>23</v>
      </c>
      <c r="E845" s="10">
        <v>11</v>
      </c>
    </row>
    <row r="846" spans="1:5">
      <c r="A846" s="1">
        <v>12</v>
      </c>
      <c r="B846" s="71">
        <v>44866</v>
      </c>
      <c r="C846">
        <v>2022</v>
      </c>
      <c r="D846" s="4" t="s">
        <v>23</v>
      </c>
      <c r="E846" s="10">
        <v>11</v>
      </c>
    </row>
    <row r="847" spans="1:5">
      <c r="A847" s="1">
        <v>13</v>
      </c>
      <c r="B847" s="71">
        <v>44866</v>
      </c>
      <c r="C847">
        <v>2022</v>
      </c>
      <c r="D847" s="4" t="s">
        <v>23</v>
      </c>
      <c r="E847" s="10">
        <v>11</v>
      </c>
    </row>
    <row r="848" spans="1:5">
      <c r="A848" s="1">
        <v>11</v>
      </c>
      <c r="B848" s="72">
        <v>44896</v>
      </c>
      <c r="C848">
        <v>2022</v>
      </c>
      <c r="D848" s="4" t="s">
        <v>24</v>
      </c>
      <c r="E848" s="10">
        <v>12</v>
      </c>
    </row>
    <row r="849" spans="1:7">
      <c r="A849" s="1">
        <v>12</v>
      </c>
      <c r="B849" s="71">
        <v>44896</v>
      </c>
      <c r="C849">
        <v>2022</v>
      </c>
      <c r="D849" s="4" t="s">
        <v>24</v>
      </c>
      <c r="E849" s="10">
        <v>12</v>
      </c>
    </row>
    <row r="850" spans="1:7">
      <c r="A850" s="1">
        <v>13</v>
      </c>
      <c r="B850" s="71">
        <v>44896</v>
      </c>
      <c r="C850">
        <v>2022</v>
      </c>
      <c r="D850" s="4" t="s">
        <v>24</v>
      </c>
      <c r="E850" s="10">
        <v>12</v>
      </c>
    </row>
    <row r="851" spans="1:7">
      <c r="A851" s="91">
        <v>11</v>
      </c>
      <c r="B851" s="86">
        <v>44936</v>
      </c>
      <c r="C851" s="87">
        <v>2023</v>
      </c>
      <c r="D851" s="88" t="s">
        <v>25</v>
      </c>
      <c r="E851" s="89">
        <v>1</v>
      </c>
      <c r="F851" s="93">
        <v>2.1349999999999998</v>
      </c>
      <c r="G851" s="92">
        <v>7.0000000000000001E-3</v>
      </c>
    </row>
    <row r="852" spans="1:7">
      <c r="A852" s="1">
        <v>12</v>
      </c>
      <c r="B852" s="73">
        <v>44931</v>
      </c>
      <c r="C852">
        <v>2023</v>
      </c>
      <c r="D852" s="4" t="s">
        <v>25</v>
      </c>
      <c r="E852" s="10">
        <v>1</v>
      </c>
      <c r="F852" s="93">
        <v>2.1859999999999999</v>
      </c>
      <c r="G852" s="92">
        <v>6.0000000000000001E-3</v>
      </c>
    </row>
    <row r="853" spans="1:7">
      <c r="A853" s="1">
        <v>13</v>
      </c>
      <c r="B853" s="73">
        <v>44931</v>
      </c>
      <c r="C853">
        <v>2023</v>
      </c>
      <c r="D853" s="4" t="s">
        <v>25</v>
      </c>
      <c r="E853" s="10">
        <v>1</v>
      </c>
      <c r="F853" s="93">
        <v>2.4020000000000001</v>
      </c>
      <c r="G853" s="92">
        <v>7.0000000000000001E-3</v>
      </c>
    </row>
    <row r="854" spans="1:7">
      <c r="A854" s="1">
        <v>11</v>
      </c>
      <c r="B854" s="71">
        <v>44958</v>
      </c>
      <c r="C854">
        <v>2023</v>
      </c>
      <c r="D854" s="4" t="s">
        <v>14</v>
      </c>
      <c r="E854" s="10">
        <v>2</v>
      </c>
      <c r="F854" s="78">
        <v>5.9160000000000004</v>
      </c>
      <c r="G854" s="78">
        <v>0.05</v>
      </c>
    </row>
    <row r="855" spans="1:7">
      <c r="A855" s="1">
        <v>12</v>
      </c>
      <c r="B855" s="71">
        <v>44958</v>
      </c>
      <c r="C855">
        <v>2023</v>
      </c>
      <c r="D855" s="4" t="s">
        <v>14</v>
      </c>
      <c r="E855" s="10">
        <v>2</v>
      </c>
      <c r="F855" s="78">
        <v>4.5199999999999996</v>
      </c>
      <c r="G855" s="78">
        <v>0.04</v>
      </c>
    </row>
    <row r="856" spans="1:7">
      <c r="A856" s="1">
        <v>13</v>
      </c>
      <c r="B856" s="71">
        <v>44958</v>
      </c>
      <c r="C856">
        <v>2023</v>
      </c>
      <c r="D856" s="4" t="s">
        <v>14</v>
      </c>
      <c r="E856" s="10">
        <v>2</v>
      </c>
      <c r="F856" s="78">
        <v>1.6619999999999999</v>
      </c>
      <c r="G856" s="78">
        <v>1.2E-2</v>
      </c>
    </row>
    <row r="857" spans="1:7">
      <c r="A857" s="1">
        <v>11</v>
      </c>
      <c r="B857" s="71">
        <v>44986</v>
      </c>
      <c r="C857">
        <v>2023</v>
      </c>
      <c r="D857" s="4" t="s">
        <v>15</v>
      </c>
      <c r="E857" s="10">
        <v>3</v>
      </c>
      <c r="F857" s="78">
        <v>3.274</v>
      </c>
      <c r="G857" s="78">
        <v>3.3000000000000002E-2</v>
      </c>
    </row>
    <row r="858" spans="1:7">
      <c r="A858" s="1">
        <v>12</v>
      </c>
      <c r="B858" s="71">
        <v>44986</v>
      </c>
      <c r="C858">
        <v>2023</v>
      </c>
      <c r="D858" s="4" t="s">
        <v>15</v>
      </c>
      <c r="E858" s="10">
        <v>3</v>
      </c>
      <c r="F858" s="78">
        <v>3.3069999999999999</v>
      </c>
      <c r="G858" s="78">
        <v>2.1999999999999999E-2</v>
      </c>
    </row>
    <row r="859" spans="1:7">
      <c r="A859" s="1">
        <v>13</v>
      </c>
      <c r="B859" s="71">
        <v>44986</v>
      </c>
      <c r="C859">
        <v>2023</v>
      </c>
      <c r="D859" s="4" t="s">
        <v>15</v>
      </c>
      <c r="E859" s="10">
        <v>3</v>
      </c>
      <c r="F859" s="78">
        <v>2.4289999999999998</v>
      </c>
      <c r="G859" s="78">
        <v>8.0000000000000002E-3</v>
      </c>
    </row>
    <row r="860" spans="1:7">
      <c r="A860" s="1">
        <v>11</v>
      </c>
      <c r="B860" s="71">
        <v>45017</v>
      </c>
      <c r="C860">
        <v>2023</v>
      </c>
      <c r="D860" s="4" t="s">
        <v>16</v>
      </c>
      <c r="E860" s="10">
        <v>4</v>
      </c>
      <c r="F860" s="78">
        <v>3.097</v>
      </c>
      <c r="G860" s="78">
        <v>3.5999999999999997E-2</v>
      </c>
    </row>
    <row r="861" spans="1:7">
      <c r="A861" s="1">
        <v>12</v>
      </c>
      <c r="B861" s="71">
        <v>45017</v>
      </c>
      <c r="C861">
        <v>2023</v>
      </c>
      <c r="D861" s="4" t="s">
        <v>16</v>
      </c>
      <c r="E861" s="10">
        <v>4</v>
      </c>
      <c r="F861" s="78">
        <v>2.92</v>
      </c>
      <c r="G861" s="78">
        <v>2.1000000000000001E-2</v>
      </c>
    </row>
    <row r="862" spans="1:7">
      <c r="A862" s="1">
        <v>13</v>
      </c>
      <c r="B862" s="71">
        <v>45017</v>
      </c>
      <c r="C862">
        <v>2023</v>
      </c>
      <c r="D862" s="4" t="s">
        <v>16</v>
      </c>
      <c r="E862" s="10">
        <v>4</v>
      </c>
      <c r="F862" s="78">
        <v>2.7730000000000001</v>
      </c>
      <c r="G862" s="78">
        <v>8.9999999999999993E-3</v>
      </c>
    </row>
    <row r="863" spans="1:7">
      <c r="A863" s="1">
        <v>11</v>
      </c>
      <c r="B863" s="71">
        <v>45047</v>
      </c>
      <c r="C863">
        <v>2023</v>
      </c>
      <c r="D863" s="4" t="s">
        <v>17</v>
      </c>
      <c r="E863" s="10">
        <v>5</v>
      </c>
      <c r="F863" s="78">
        <v>4.18</v>
      </c>
      <c r="G863" s="78">
        <v>3.3000000000000002E-2</v>
      </c>
    </row>
    <row r="864" spans="1:7">
      <c r="A864" s="1">
        <v>12</v>
      </c>
      <c r="B864" s="71">
        <v>45047</v>
      </c>
      <c r="C864">
        <v>2023</v>
      </c>
      <c r="D864" s="4" t="s">
        <v>17</v>
      </c>
      <c r="E864" s="10">
        <v>5</v>
      </c>
      <c r="F864" s="78">
        <v>6.6950000000000003</v>
      </c>
      <c r="G864" s="78">
        <v>3.2000000000000001E-2</v>
      </c>
    </row>
    <row r="865" spans="1:7">
      <c r="A865" s="1">
        <v>13</v>
      </c>
      <c r="B865" s="71">
        <v>45047</v>
      </c>
      <c r="C865">
        <v>2023</v>
      </c>
      <c r="D865" s="4" t="s">
        <v>17</v>
      </c>
      <c r="E865" s="10">
        <v>5</v>
      </c>
      <c r="F865" s="78">
        <v>6.1070000000000002</v>
      </c>
      <c r="G865" s="78">
        <v>3.2000000000000001E-2</v>
      </c>
    </row>
    <row r="866" spans="1:7">
      <c r="A866" s="1">
        <v>11</v>
      </c>
      <c r="B866" s="71">
        <v>45078</v>
      </c>
      <c r="C866">
        <v>2023</v>
      </c>
      <c r="D866" s="4" t="s">
        <v>18</v>
      </c>
      <c r="E866" s="10">
        <v>6</v>
      </c>
      <c r="F866" s="78">
        <v>4.3869999999999996</v>
      </c>
      <c r="G866" s="78">
        <v>2.5000000000000001E-2</v>
      </c>
    </row>
    <row r="867" spans="1:7">
      <c r="A867" s="1">
        <v>12</v>
      </c>
      <c r="B867" s="71">
        <v>45078</v>
      </c>
      <c r="C867">
        <v>2023</v>
      </c>
      <c r="D867" s="4" t="s">
        <v>18</v>
      </c>
      <c r="E867" s="10">
        <v>6</v>
      </c>
      <c r="F867" s="78">
        <v>5.0940000000000003</v>
      </c>
      <c r="G867" s="78">
        <v>4.8000000000000001E-2</v>
      </c>
    </row>
    <row r="868" spans="1:7">
      <c r="A868" s="1">
        <v>13</v>
      </c>
      <c r="B868" s="71">
        <v>45078</v>
      </c>
      <c r="C868">
        <v>2023</v>
      </c>
      <c r="D868" s="4" t="s">
        <v>18</v>
      </c>
      <c r="E868" s="10">
        <v>6</v>
      </c>
      <c r="F868" s="78">
        <v>6.2880000000000003</v>
      </c>
      <c r="G868" s="78">
        <v>7.1999999999999995E-2</v>
      </c>
    </row>
    <row r="869" spans="1:7">
      <c r="A869" s="1">
        <v>11</v>
      </c>
      <c r="B869" s="71">
        <v>45108</v>
      </c>
      <c r="C869">
        <v>2023</v>
      </c>
      <c r="D869" s="4" t="s">
        <v>19</v>
      </c>
      <c r="E869" s="10">
        <v>7</v>
      </c>
      <c r="F869" s="78">
        <v>8.6859999999999999</v>
      </c>
      <c r="G869" s="78">
        <v>0.104</v>
      </c>
    </row>
    <row r="870" spans="1:7">
      <c r="A870" s="1">
        <v>12</v>
      </c>
      <c r="B870" s="71">
        <v>45108</v>
      </c>
      <c r="C870">
        <v>2023</v>
      </c>
      <c r="D870" s="4" t="s">
        <v>19</v>
      </c>
      <c r="E870" s="10">
        <v>7</v>
      </c>
      <c r="F870" s="78">
        <v>9.9160000000000004</v>
      </c>
      <c r="G870" s="78">
        <v>0.12</v>
      </c>
    </row>
    <row r="871" spans="1:7">
      <c r="A871" s="1">
        <v>13</v>
      </c>
      <c r="B871" s="71">
        <v>45108</v>
      </c>
      <c r="C871">
        <v>2023</v>
      </c>
      <c r="D871" s="4" t="s">
        <v>19</v>
      </c>
      <c r="E871" s="10">
        <v>7</v>
      </c>
      <c r="F871" s="78">
        <v>9.5730000000000004</v>
      </c>
      <c r="G871" s="78">
        <v>5.0999999999999997E-2</v>
      </c>
    </row>
    <row r="872" spans="1:7">
      <c r="A872" s="1">
        <v>11</v>
      </c>
      <c r="B872" s="71">
        <v>45139</v>
      </c>
      <c r="C872">
        <v>2023</v>
      </c>
      <c r="D872" s="4" t="s">
        <v>20</v>
      </c>
      <c r="E872" s="10">
        <v>8</v>
      </c>
      <c r="F872" s="78">
        <v>5.7679999999999998</v>
      </c>
      <c r="G872" s="78">
        <v>1.7000000000000001E-2</v>
      </c>
    </row>
    <row r="873" spans="1:7">
      <c r="A873" s="1">
        <v>12</v>
      </c>
      <c r="B873" s="71">
        <v>45139</v>
      </c>
      <c r="C873">
        <v>2023</v>
      </c>
      <c r="D873" s="4" t="s">
        <v>20</v>
      </c>
      <c r="E873" s="10">
        <v>8</v>
      </c>
      <c r="F873" s="78">
        <v>7.024</v>
      </c>
      <c r="G873" s="78">
        <v>2.1999999999999999E-2</v>
      </c>
    </row>
    <row r="874" spans="1:7">
      <c r="A874" s="1">
        <v>13</v>
      </c>
      <c r="B874" s="71">
        <v>45139</v>
      </c>
      <c r="C874">
        <v>2023</v>
      </c>
      <c r="D874" s="4" t="s">
        <v>20</v>
      </c>
      <c r="E874" s="10">
        <v>8</v>
      </c>
      <c r="F874" s="78">
        <v>10.022</v>
      </c>
      <c r="G874" s="78">
        <v>2.5999999999999999E-2</v>
      </c>
    </row>
    <row r="875" spans="1:7">
      <c r="A875" s="1">
        <v>11</v>
      </c>
      <c r="B875" s="71">
        <v>45170</v>
      </c>
      <c r="C875">
        <v>2023</v>
      </c>
      <c r="D875" s="4" t="s">
        <v>26</v>
      </c>
      <c r="E875" s="10">
        <v>9</v>
      </c>
      <c r="F875" s="78">
        <v>1.7250000000000001</v>
      </c>
      <c r="G875" s="78">
        <v>0.01</v>
      </c>
    </row>
    <row r="876" spans="1:7">
      <c r="A876" s="1">
        <v>12</v>
      </c>
      <c r="B876" s="71">
        <v>45170</v>
      </c>
      <c r="C876">
        <v>2023</v>
      </c>
      <c r="D876" s="4" t="s">
        <v>26</v>
      </c>
      <c r="E876" s="10">
        <v>9</v>
      </c>
      <c r="F876" s="78">
        <v>2.2709999999999999</v>
      </c>
      <c r="G876" s="78">
        <v>1.4E-2</v>
      </c>
    </row>
    <row r="877" spans="1:7">
      <c r="A877" s="1">
        <v>13</v>
      </c>
      <c r="B877" s="71">
        <v>45170</v>
      </c>
      <c r="C877">
        <v>2023</v>
      </c>
      <c r="D877" s="4" t="s">
        <v>26</v>
      </c>
      <c r="E877" s="10">
        <v>9</v>
      </c>
      <c r="F877" s="78">
        <v>2.9049999999999998</v>
      </c>
      <c r="G877" s="94">
        <v>9.9989999999999996E-4</v>
      </c>
    </row>
    <row r="878" spans="1:7">
      <c r="A878" s="1">
        <v>11</v>
      </c>
      <c r="B878" s="71">
        <v>45200</v>
      </c>
      <c r="C878">
        <v>2023</v>
      </c>
      <c r="D878" s="4" t="s">
        <v>22</v>
      </c>
      <c r="E878" s="10">
        <v>10</v>
      </c>
      <c r="F878" s="78">
        <v>3.6230000000000002</v>
      </c>
      <c r="G878" s="78">
        <v>0.03</v>
      </c>
    </row>
    <row r="879" spans="1:7">
      <c r="A879" s="1">
        <v>12</v>
      </c>
      <c r="B879" s="71">
        <v>45200</v>
      </c>
      <c r="C879">
        <v>2023</v>
      </c>
      <c r="D879" s="4" t="s">
        <v>22</v>
      </c>
      <c r="E879" s="10">
        <v>10</v>
      </c>
      <c r="F879" s="78">
        <v>1.3759999999999999</v>
      </c>
      <c r="G879" s="94">
        <v>9.9989999999999996E-4</v>
      </c>
    </row>
    <row r="880" spans="1:7">
      <c r="A880" s="1">
        <v>13</v>
      </c>
      <c r="B880" s="71">
        <v>45200</v>
      </c>
      <c r="C880">
        <v>2023</v>
      </c>
      <c r="D880" s="4" t="s">
        <v>22</v>
      </c>
      <c r="E880" s="10">
        <v>10</v>
      </c>
      <c r="F880" s="78">
        <v>1.7110000000000001</v>
      </c>
      <c r="G880" s="94">
        <v>9.9989999999999996E-4</v>
      </c>
    </row>
    <row r="881" spans="1:7">
      <c r="A881" s="1">
        <v>11</v>
      </c>
      <c r="B881" s="71">
        <v>45231</v>
      </c>
      <c r="C881">
        <v>2023</v>
      </c>
      <c r="D881" s="4" t="s">
        <v>23</v>
      </c>
      <c r="E881" s="10">
        <v>11</v>
      </c>
      <c r="F881" s="78">
        <v>4.5209999999999999</v>
      </c>
      <c r="G881" s="94">
        <v>9.9989999999999996E-4</v>
      </c>
    </row>
    <row r="882" spans="1:7">
      <c r="A882" s="1">
        <v>12</v>
      </c>
      <c r="B882" s="71">
        <v>45231</v>
      </c>
      <c r="C882">
        <v>2023</v>
      </c>
      <c r="D882" s="4" t="s">
        <v>23</v>
      </c>
      <c r="E882" s="10">
        <v>11</v>
      </c>
      <c r="F882" s="78">
        <v>2.919</v>
      </c>
      <c r="G882" s="94">
        <v>9.9989999999999996E-4</v>
      </c>
    </row>
    <row r="883" spans="1:7">
      <c r="A883" s="1">
        <v>13</v>
      </c>
      <c r="B883" s="71">
        <v>45231</v>
      </c>
      <c r="C883">
        <v>2023</v>
      </c>
      <c r="D883" s="4" t="s">
        <v>23</v>
      </c>
      <c r="E883" s="10">
        <v>11</v>
      </c>
      <c r="F883" s="78">
        <v>3.2759999999999998</v>
      </c>
      <c r="G883" s="94">
        <v>9.9989999999999996E-4</v>
      </c>
    </row>
    <row r="884" spans="1:7">
      <c r="A884" s="1">
        <v>11</v>
      </c>
      <c r="B884" s="72">
        <v>45261</v>
      </c>
      <c r="C884">
        <v>2023</v>
      </c>
      <c r="D884" s="4" t="s">
        <v>24</v>
      </c>
      <c r="E884" s="10">
        <v>12</v>
      </c>
      <c r="F884" s="78">
        <v>1.452</v>
      </c>
      <c r="G884" s="78">
        <v>8.0000000000000002E-3</v>
      </c>
    </row>
    <row r="885" spans="1:7">
      <c r="A885" s="1">
        <v>12</v>
      </c>
      <c r="B885" s="71">
        <v>45261</v>
      </c>
      <c r="C885">
        <v>2023</v>
      </c>
      <c r="D885" s="4" t="s">
        <v>24</v>
      </c>
      <c r="E885" s="10">
        <v>12</v>
      </c>
      <c r="F885" s="78">
        <v>1.127</v>
      </c>
      <c r="G885" s="78">
        <v>0.01</v>
      </c>
    </row>
    <row r="886" spans="1:7">
      <c r="A886" s="1">
        <v>13</v>
      </c>
      <c r="B886" s="71">
        <v>45261</v>
      </c>
      <c r="C886">
        <v>2023</v>
      </c>
      <c r="D886" s="4" t="s">
        <v>24</v>
      </c>
      <c r="E886" s="10">
        <v>12</v>
      </c>
      <c r="F886" s="78">
        <v>1.2290000000000001</v>
      </c>
      <c r="G886" s="78">
        <v>8.0000000000000002E-3</v>
      </c>
    </row>
    <row r="887" spans="1:7">
      <c r="A887" s="91">
        <v>11</v>
      </c>
      <c r="B887" s="86">
        <v>45292</v>
      </c>
      <c r="C887" s="87">
        <v>2024</v>
      </c>
      <c r="D887" s="88" t="s">
        <v>25</v>
      </c>
      <c r="E887" s="89">
        <v>1</v>
      </c>
      <c r="F887" s="78">
        <v>0.82899999999999996</v>
      </c>
      <c r="G887" s="94">
        <v>9.9989999999999996E-4</v>
      </c>
    </row>
    <row r="888" spans="1:7">
      <c r="A888" s="1">
        <v>12</v>
      </c>
      <c r="B888" s="73">
        <v>45292</v>
      </c>
      <c r="C888">
        <v>2024</v>
      </c>
      <c r="D888" s="4" t="s">
        <v>25</v>
      </c>
      <c r="E888" s="10">
        <v>1</v>
      </c>
      <c r="F888" s="78">
        <v>1.4950000000000001</v>
      </c>
      <c r="G888" s="94">
        <v>1.0999999999999999E-2</v>
      </c>
    </row>
    <row r="889" spans="1:7">
      <c r="A889" s="1">
        <v>13</v>
      </c>
      <c r="B889" s="73">
        <v>45292</v>
      </c>
      <c r="C889">
        <v>2024</v>
      </c>
      <c r="D889" s="4" t="s">
        <v>25</v>
      </c>
      <c r="E889" s="10">
        <v>1</v>
      </c>
      <c r="F889" s="78">
        <v>3.0529999999999999</v>
      </c>
      <c r="G889" s="78">
        <v>8.9999999999999993E-3</v>
      </c>
    </row>
    <row r="890" spans="1:7">
      <c r="A890" s="1">
        <v>11</v>
      </c>
      <c r="B890" s="71">
        <v>45323</v>
      </c>
      <c r="C890">
        <v>2024</v>
      </c>
      <c r="D890" s="4" t="s">
        <v>14</v>
      </c>
      <c r="E890" s="10">
        <v>2</v>
      </c>
    </row>
    <row r="891" spans="1:7">
      <c r="A891" s="1">
        <v>12</v>
      </c>
      <c r="B891" s="71">
        <v>45323</v>
      </c>
      <c r="C891">
        <v>2024</v>
      </c>
      <c r="D891" s="4" t="s">
        <v>14</v>
      </c>
      <c r="E891" s="10">
        <v>2</v>
      </c>
    </row>
    <row r="892" spans="1:7">
      <c r="A892" s="1">
        <v>13</v>
      </c>
      <c r="B892" s="71">
        <v>45323</v>
      </c>
      <c r="C892">
        <v>2024</v>
      </c>
      <c r="D892" s="4" t="s">
        <v>14</v>
      </c>
      <c r="E892" s="10">
        <v>2</v>
      </c>
    </row>
    <row r="893" spans="1:7">
      <c r="A893" s="1">
        <v>11</v>
      </c>
      <c r="B893" s="71">
        <v>45352</v>
      </c>
      <c r="C893">
        <v>2024</v>
      </c>
      <c r="D893" s="4" t="s">
        <v>15</v>
      </c>
      <c r="E893" s="10">
        <v>3</v>
      </c>
      <c r="F893" s="78">
        <v>0.95699999999999996</v>
      </c>
      <c r="G893" s="78">
        <v>6.0000000000000001E-3</v>
      </c>
    </row>
    <row r="894" spans="1:7">
      <c r="A894" s="1">
        <v>12</v>
      </c>
      <c r="B894" s="71">
        <v>45352</v>
      </c>
      <c r="C894">
        <v>2024</v>
      </c>
      <c r="D894" s="4" t="s">
        <v>15</v>
      </c>
      <c r="E894" s="10">
        <v>3</v>
      </c>
      <c r="F894" s="78">
        <v>1.077</v>
      </c>
      <c r="G894" s="78">
        <v>8.9999999999999993E-3</v>
      </c>
    </row>
    <row r="895" spans="1:7">
      <c r="A895" s="1">
        <v>13</v>
      </c>
      <c r="B895" s="71">
        <v>45352</v>
      </c>
      <c r="C895">
        <v>2024</v>
      </c>
      <c r="D895" s="4" t="s">
        <v>15</v>
      </c>
      <c r="E895" s="10">
        <v>3</v>
      </c>
      <c r="F895" s="78">
        <v>1.827</v>
      </c>
      <c r="G895" s="78">
        <v>8.0000000000000002E-3</v>
      </c>
    </row>
    <row r="896" spans="1:7">
      <c r="A896" s="1">
        <v>11</v>
      </c>
      <c r="B896" s="71">
        <v>45383</v>
      </c>
      <c r="C896">
        <v>2024</v>
      </c>
      <c r="D896" s="4" t="s">
        <v>16</v>
      </c>
      <c r="E896" s="10">
        <v>4</v>
      </c>
      <c r="F896" s="78">
        <v>4.2469999999999999</v>
      </c>
      <c r="G896" s="78">
        <v>3.4000000000000002E-2</v>
      </c>
    </row>
    <row r="897" spans="1:8">
      <c r="A897" s="1">
        <v>12</v>
      </c>
      <c r="B897" s="71">
        <v>45383</v>
      </c>
      <c r="C897">
        <v>2024</v>
      </c>
      <c r="D897" s="4" t="s">
        <v>16</v>
      </c>
      <c r="E897" s="10">
        <v>4</v>
      </c>
      <c r="F897" s="78">
        <v>5.33</v>
      </c>
      <c r="G897" s="78">
        <v>4.3999999999999997E-2</v>
      </c>
    </row>
    <row r="898" spans="1:8">
      <c r="A898" s="1">
        <v>13</v>
      </c>
      <c r="B898" s="71">
        <v>45383</v>
      </c>
      <c r="C898">
        <v>2024</v>
      </c>
      <c r="D898" s="4" t="s">
        <v>16</v>
      </c>
      <c r="E898" s="10">
        <v>4</v>
      </c>
      <c r="F898" s="78">
        <v>4.0339999999999998</v>
      </c>
      <c r="G898" s="78">
        <v>2.8000000000000001E-2</v>
      </c>
    </row>
    <row r="899" spans="1:8">
      <c r="A899" s="1">
        <v>11</v>
      </c>
      <c r="B899" s="71">
        <v>45413</v>
      </c>
      <c r="C899">
        <v>2024</v>
      </c>
      <c r="D899" s="4" t="s">
        <v>17</v>
      </c>
      <c r="E899" s="10">
        <v>5</v>
      </c>
    </row>
    <row r="900" spans="1:8">
      <c r="A900" s="1">
        <v>12</v>
      </c>
      <c r="B900" s="71">
        <v>45413</v>
      </c>
      <c r="C900">
        <v>2024</v>
      </c>
      <c r="D900" s="4" t="s">
        <v>17</v>
      </c>
      <c r="E900" s="10">
        <v>5</v>
      </c>
    </row>
    <row r="901" spans="1:8">
      <c r="A901" s="1">
        <v>13</v>
      </c>
      <c r="B901" s="71">
        <v>45413</v>
      </c>
      <c r="C901">
        <v>2024</v>
      </c>
      <c r="D901" s="4" t="s">
        <v>17</v>
      </c>
      <c r="E901" s="10">
        <v>5</v>
      </c>
    </row>
    <row r="902" spans="1:8">
      <c r="A902" s="1">
        <v>11</v>
      </c>
      <c r="B902" s="71">
        <v>45444</v>
      </c>
      <c r="C902">
        <v>2024</v>
      </c>
      <c r="D902" s="4" t="s">
        <v>18</v>
      </c>
      <c r="E902" s="10">
        <v>6</v>
      </c>
      <c r="H902" s="90" t="s">
        <v>93</v>
      </c>
    </row>
    <row r="903" spans="1:8">
      <c r="A903" s="1">
        <v>12</v>
      </c>
      <c r="B903" s="71">
        <v>45444</v>
      </c>
      <c r="C903">
        <v>2024</v>
      </c>
      <c r="D903" s="4" t="s">
        <v>18</v>
      </c>
      <c r="E903" s="10">
        <v>6</v>
      </c>
      <c r="H903" s="90" t="s">
        <v>94</v>
      </c>
    </row>
    <row r="904" spans="1:8">
      <c r="A904" s="1">
        <v>13</v>
      </c>
      <c r="B904" s="71">
        <v>45444</v>
      </c>
      <c r="C904">
        <v>2024</v>
      </c>
      <c r="D904" s="4" t="s">
        <v>18</v>
      </c>
      <c r="E904" s="10">
        <v>6</v>
      </c>
    </row>
    <row r="905" spans="1:8">
      <c r="A905" s="1">
        <v>11</v>
      </c>
      <c r="B905" s="71">
        <v>45474</v>
      </c>
      <c r="C905">
        <v>2024</v>
      </c>
      <c r="D905" s="4" t="s">
        <v>19</v>
      </c>
      <c r="E905" s="10">
        <v>7</v>
      </c>
    </row>
    <row r="906" spans="1:8">
      <c r="A906" s="1">
        <v>12</v>
      </c>
      <c r="B906" s="71">
        <v>45474</v>
      </c>
      <c r="C906">
        <v>2024</v>
      </c>
      <c r="D906" s="4" t="s">
        <v>19</v>
      </c>
      <c r="E906" s="10">
        <v>7</v>
      </c>
    </row>
    <row r="907" spans="1:8">
      <c r="A907" s="1">
        <v>13</v>
      </c>
      <c r="B907" s="71">
        <v>45474</v>
      </c>
      <c r="C907">
        <v>2024</v>
      </c>
      <c r="D907" s="4" t="s">
        <v>19</v>
      </c>
      <c r="E907" s="10">
        <v>7</v>
      </c>
    </row>
    <row r="908" spans="1:8">
      <c r="A908" s="1">
        <v>11</v>
      </c>
      <c r="B908" s="71">
        <v>45505</v>
      </c>
      <c r="C908">
        <v>2024</v>
      </c>
      <c r="D908" s="4" t="s">
        <v>20</v>
      </c>
      <c r="E908" s="10">
        <v>8</v>
      </c>
    </row>
    <row r="909" spans="1:8">
      <c r="A909" s="1">
        <v>12</v>
      </c>
      <c r="B909" s="71">
        <v>45505</v>
      </c>
      <c r="C909">
        <v>2024</v>
      </c>
      <c r="D909" s="4" t="s">
        <v>20</v>
      </c>
      <c r="E909" s="10">
        <v>8</v>
      </c>
    </row>
    <row r="910" spans="1:8">
      <c r="A910" s="1">
        <v>13</v>
      </c>
      <c r="B910" s="71">
        <v>45505</v>
      </c>
      <c r="C910">
        <v>2024</v>
      </c>
      <c r="D910" s="4" t="s">
        <v>20</v>
      </c>
      <c r="E910" s="10">
        <v>8</v>
      </c>
    </row>
    <row r="911" spans="1:8">
      <c r="A911" s="1">
        <v>11</v>
      </c>
      <c r="B911" s="71">
        <v>45536</v>
      </c>
      <c r="C911">
        <v>2024</v>
      </c>
      <c r="D911" s="4" t="s">
        <v>26</v>
      </c>
      <c r="E911" s="10">
        <v>9</v>
      </c>
    </row>
    <row r="912" spans="1:8">
      <c r="A912" s="1">
        <v>12</v>
      </c>
      <c r="B912" s="71">
        <v>45536</v>
      </c>
      <c r="C912">
        <v>2024</v>
      </c>
      <c r="D912" s="4" t="s">
        <v>26</v>
      </c>
      <c r="E912" s="10">
        <v>9</v>
      </c>
    </row>
    <row r="913" spans="1:12">
      <c r="A913" s="1">
        <v>13</v>
      </c>
      <c r="B913" s="71">
        <v>45536</v>
      </c>
      <c r="C913">
        <v>2024</v>
      </c>
      <c r="D913" s="4" t="s">
        <v>26</v>
      </c>
      <c r="E913" s="10">
        <v>9</v>
      </c>
    </row>
    <row r="914" spans="1:12">
      <c r="A914" s="1">
        <v>11</v>
      </c>
      <c r="B914" s="71">
        <v>45566</v>
      </c>
      <c r="C914">
        <v>2024</v>
      </c>
      <c r="D914" s="4" t="s">
        <v>22</v>
      </c>
      <c r="E914" s="10">
        <v>10</v>
      </c>
    </row>
    <row r="915" spans="1:12">
      <c r="A915" s="1">
        <v>12</v>
      </c>
      <c r="B915" s="71">
        <v>45566</v>
      </c>
      <c r="C915">
        <v>2024</v>
      </c>
      <c r="D915" s="4" t="s">
        <v>22</v>
      </c>
      <c r="E915" s="10">
        <v>10</v>
      </c>
    </row>
    <row r="916" spans="1:12">
      <c r="A916" s="1">
        <v>13</v>
      </c>
      <c r="B916" s="71">
        <v>45566</v>
      </c>
      <c r="C916">
        <v>2024</v>
      </c>
      <c r="D916" s="4" t="s">
        <v>22</v>
      </c>
      <c r="E916" s="10">
        <v>10</v>
      </c>
    </row>
    <row r="917" spans="1:12">
      <c r="A917" s="1">
        <v>11</v>
      </c>
      <c r="B917" s="71">
        <v>45597</v>
      </c>
      <c r="C917">
        <v>2024</v>
      </c>
      <c r="D917" s="4" t="s">
        <v>23</v>
      </c>
      <c r="E917" s="10">
        <v>11</v>
      </c>
    </row>
    <row r="918" spans="1:12">
      <c r="A918" s="1">
        <v>12</v>
      </c>
      <c r="B918" s="71">
        <v>45597</v>
      </c>
      <c r="C918">
        <v>2024</v>
      </c>
      <c r="D918" s="4" t="s">
        <v>23</v>
      </c>
      <c r="E918" s="10">
        <v>11</v>
      </c>
    </row>
    <row r="919" spans="1:12">
      <c r="A919" s="1">
        <v>13</v>
      </c>
      <c r="B919" s="71">
        <v>45597</v>
      </c>
      <c r="C919">
        <v>2024</v>
      </c>
      <c r="D919" s="4" t="s">
        <v>23</v>
      </c>
      <c r="E919" s="10">
        <v>11</v>
      </c>
    </row>
    <row r="920" spans="1:12">
      <c r="A920" s="1">
        <v>11</v>
      </c>
      <c r="B920" s="72">
        <v>45627</v>
      </c>
      <c r="C920">
        <v>2024</v>
      </c>
      <c r="D920" s="4" t="s">
        <v>24</v>
      </c>
      <c r="E920" s="10">
        <v>12</v>
      </c>
    </row>
    <row r="921" spans="1:12">
      <c r="A921" s="1">
        <v>12</v>
      </c>
      <c r="B921" s="71">
        <v>45627</v>
      </c>
      <c r="C921">
        <v>2024</v>
      </c>
      <c r="D921" s="4" t="s">
        <v>24</v>
      </c>
      <c r="E921" s="10">
        <v>12</v>
      </c>
    </row>
    <row r="922" spans="1:12">
      <c r="A922" s="1">
        <v>13</v>
      </c>
      <c r="B922" s="71">
        <v>45627</v>
      </c>
      <c r="C922">
        <v>2024</v>
      </c>
      <c r="D922" s="4" t="s">
        <v>24</v>
      </c>
      <c r="E922" s="10">
        <v>12</v>
      </c>
    </row>
    <row r="927" spans="1:12">
      <c r="K927" s="85" t="s">
        <v>90</v>
      </c>
      <c r="L927" s="85">
        <f>AVERAGE(L4:L922)</f>
        <v>4.2600650951201387E-3</v>
      </c>
    </row>
    <row r="928" spans="1:12">
      <c r="K928" s="85" t="s">
        <v>91</v>
      </c>
      <c r="L928" s="85">
        <f>+STDEV(L4:L922)</f>
        <v>9.7366041625177591E-3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7EF6-C1AC-9E4D-BF3C-58F3E2C54D7C}">
  <sheetPr>
    <tabColor theme="9" tint="0.39997558519241921"/>
  </sheetPr>
  <dimension ref="A1:Q928"/>
  <sheetViews>
    <sheetView workbookViewId="0">
      <pane ySplit="2" topLeftCell="A913" activePane="bottomLeft" state="frozen"/>
      <selection pane="bottomLeft" activeCell="L927" sqref="L927"/>
    </sheetView>
  </sheetViews>
  <sheetFormatPr defaultColWidth="11.42578125" defaultRowHeight="15"/>
  <cols>
    <col min="2" max="2" width="10.85546875" style="70"/>
    <col min="14" max="14" width="12.7109375" bestFit="1" customWidth="1"/>
  </cols>
  <sheetData>
    <row r="1" spans="1:17" ht="18">
      <c r="F1" s="28" t="s">
        <v>28</v>
      </c>
      <c r="G1" s="28" t="s">
        <v>29</v>
      </c>
      <c r="I1" s="28" t="s">
        <v>82</v>
      </c>
    </row>
    <row r="2" spans="1:17">
      <c r="A2" s="29" t="s">
        <v>30</v>
      </c>
      <c r="B2" s="73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36</v>
      </c>
      <c r="I2" s="33" t="s">
        <v>35</v>
      </c>
      <c r="J2" s="33" t="s">
        <v>88</v>
      </c>
      <c r="L2" s="67" t="s">
        <v>89</v>
      </c>
      <c r="M2" s="69" t="s">
        <v>86</v>
      </c>
      <c r="N2" s="69" t="s">
        <v>87</v>
      </c>
    </row>
    <row r="3" spans="1:17">
      <c r="A3" s="1">
        <v>11</v>
      </c>
      <c r="B3" s="74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0.11788707516666667</v>
      </c>
    </row>
    <row r="4" spans="1:17">
      <c r="A4" s="1">
        <v>12</v>
      </c>
      <c r="B4" s="74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0.10253528183333334</v>
      </c>
    </row>
    <row r="5" spans="1:17">
      <c r="A5" s="1">
        <v>13</v>
      </c>
      <c r="B5" s="74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0.23786033366666665</v>
      </c>
      <c r="I5" s="21">
        <f>AVERAGE(F3:F5)</f>
        <v>4.3436182486310626</v>
      </c>
      <c r="J5" s="21">
        <f>AVERAGE(G3:G5)</f>
        <v>0.15276089688888889</v>
      </c>
      <c r="L5">
        <f>+J5/I5</f>
        <v>3.5169042983239397E-2</v>
      </c>
      <c r="M5">
        <f>+(L5-$L$927)/$L$928</f>
        <v>0.71439483605316434</v>
      </c>
      <c r="N5">
        <f>+M5</f>
        <v>0.71439483605316434</v>
      </c>
    </row>
    <row r="6" spans="1:17">
      <c r="A6" s="1">
        <v>11</v>
      </c>
      <c r="B6" s="74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4.010556416666667E-2</v>
      </c>
      <c r="Q6" t="s">
        <v>100</v>
      </c>
    </row>
    <row r="7" spans="1:17">
      <c r="A7" s="1">
        <v>12</v>
      </c>
      <c r="B7" s="74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3.0830854333333338E-2</v>
      </c>
    </row>
    <row r="8" spans="1:17">
      <c r="A8" s="1">
        <v>13</v>
      </c>
      <c r="B8" s="74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3.4932039166666665E-2</v>
      </c>
      <c r="I8" s="21">
        <f>AVERAGE(F6:F8)</f>
        <v>3.9763873870031197</v>
      </c>
      <c r="J8" s="21">
        <f>AVERAGE(G6:G8)</f>
        <v>3.5289485888888895E-2</v>
      </c>
      <c r="L8">
        <f>+J8/I8</f>
        <v>8.8747605437621835E-3</v>
      </c>
      <c r="M8">
        <f>+(L8-$L$927)/$L$928</f>
        <v>-0.45241118969071703</v>
      </c>
      <c r="N8">
        <f>+N5+M8</f>
        <v>0.26198364636244731</v>
      </c>
    </row>
    <row r="9" spans="1:17">
      <c r="A9" s="1">
        <v>11</v>
      </c>
      <c r="B9" s="74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4.9641518666666669E-2</v>
      </c>
    </row>
    <row r="10" spans="1:17">
      <c r="A10" s="1">
        <v>12</v>
      </c>
      <c r="B10" s="74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1.9097802833333333E-2</v>
      </c>
    </row>
    <row r="11" spans="1:17">
      <c r="A11" s="1">
        <v>13</v>
      </c>
      <c r="B11" s="74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1.3148406333333333E-2</v>
      </c>
      <c r="I11" s="21">
        <f>AVERAGE(F9:F11)</f>
        <v>3.4663078451070866</v>
      </c>
      <c r="J11" s="21">
        <f>AVERAGE(G9:G11)</f>
        <v>2.729590927777778E-2</v>
      </c>
      <c r="L11">
        <f>+J11/I11</f>
        <v>7.8746350576760476E-3</v>
      </c>
      <c r="M11">
        <f>+(L11-$L$927)/$L$928</f>
        <v>-0.49679165325162083</v>
      </c>
      <c r="N11">
        <f>+N8+M11</f>
        <v>-0.23480800688917353</v>
      </c>
    </row>
    <row r="12" spans="1:17">
      <c r="A12" s="1">
        <v>11</v>
      </c>
      <c r="B12" s="74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7.5945145499999991E-2</v>
      </c>
    </row>
    <row r="13" spans="1:17">
      <c r="A13" s="1">
        <v>12</v>
      </c>
      <c r="B13" s="74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4.11249635E-2</v>
      </c>
    </row>
    <row r="14" spans="1:17">
      <c r="A14" s="1">
        <v>13</v>
      </c>
      <c r="B14" s="74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5.9161433666666666E-2</v>
      </c>
      <c r="I14" s="21">
        <f>AVERAGE(F12:F14)</f>
        <v>3.3871081085015358</v>
      </c>
      <c r="J14" s="21">
        <f>AVERAGE(G12:G14)</f>
        <v>5.8743847555555555E-2</v>
      </c>
      <c r="L14">
        <f>+J14/I14</f>
        <v>1.7343363622823356E-2</v>
      </c>
      <c r="M14">
        <f>+(L14-$L$927)/$L$928</f>
        <v>-7.661781616832386E-2</v>
      </c>
      <c r="N14">
        <f>+N11+M14</f>
        <v>-0.31142582305749739</v>
      </c>
    </row>
    <row r="15" spans="1:17">
      <c r="A15" s="1">
        <v>11</v>
      </c>
      <c r="B15" s="74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6.5432039499999997E-2</v>
      </c>
    </row>
    <row r="16" spans="1:17">
      <c r="A16" s="1">
        <v>12</v>
      </c>
      <c r="B16" s="74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6.7189780000000005E-2</v>
      </c>
    </row>
    <row r="17" spans="1:14">
      <c r="A17" s="1">
        <v>13</v>
      </c>
      <c r="B17" s="74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4.3239661500000005E-2</v>
      </c>
      <c r="I17" s="21">
        <f>AVERAGE(F15:F17)</f>
        <v>4.9699267107728504</v>
      </c>
      <c r="J17" s="21">
        <f>AVERAGE(G15:G17)</f>
        <v>5.8620493666666669E-2</v>
      </c>
      <c r="L17">
        <f>+J17/I17</f>
        <v>1.1795041874480855E-2</v>
      </c>
      <c r="M17">
        <f>+(L17-$L$927)/$L$928</f>
        <v>-0.32282401189292453</v>
      </c>
      <c r="N17">
        <f>+N14+M17</f>
        <v>-0.63424983495042198</v>
      </c>
    </row>
    <row r="18" spans="1:14">
      <c r="A18" s="1">
        <v>11</v>
      </c>
      <c r="B18" s="74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6.8348397999999991E-2</v>
      </c>
    </row>
    <row r="19" spans="1:14">
      <c r="A19" s="1">
        <v>12</v>
      </c>
      <c r="B19" s="74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5.0338660333333334E-2</v>
      </c>
    </row>
    <row r="20" spans="1:14">
      <c r="A20" s="1">
        <v>13</v>
      </c>
      <c r="B20" s="74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7.0593403833333318E-2</v>
      </c>
      <c r="I20" s="21">
        <f>AVERAGE(F18:F20)</f>
        <v>2.4738625495730591</v>
      </c>
      <c r="J20" s="21">
        <f>AVERAGE(G18:G20)</f>
        <v>6.3093487388888883E-2</v>
      </c>
      <c r="L20">
        <f>+J20/I20</f>
        <v>2.5504039179451422E-2</v>
      </c>
      <c r="M20">
        <f>+(L20-$L$927)/$L$928</f>
        <v>0.28551130583877005</v>
      </c>
      <c r="N20">
        <f>+N17+M20</f>
        <v>-0.34873852911165193</v>
      </c>
    </row>
    <row r="21" spans="1:14">
      <c r="A21" s="1">
        <v>11</v>
      </c>
      <c r="B21" s="74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7.1973744333333339E-2</v>
      </c>
    </row>
    <row r="22" spans="1:14">
      <c r="A22" s="1">
        <v>12</v>
      </c>
      <c r="B22" s="74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2.3379825166666666E-2</v>
      </c>
    </row>
    <row r="23" spans="1:14">
      <c r="A23" s="1">
        <v>13</v>
      </c>
      <c r="B23" s="74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3.6587462333333334E-2</v>
      </c>
      <c r="I23" s="21">
        <f>AVERAGE(F21:F23)</f>
        <v>3.2826370251484334</v>
      </c>
      <c r="J23" s="21">
        <f>AVERAGE(G21:G23)</f>
        <v>4.3980343944444444E-2</v>
      </c>
      <c r="L23">
        <f>+J23/I23</f>
        <v>1.3397869946481747E-2</v>
      </c>
      <c r="M23">
        <f>+(L23-$L$927)/$L$928</f>
        <v>-0.25169868428808145</v>
      </c>
      <c r="N23">
        <f>+N20+M23</f>
        <v>-0.60043721339973333</v>
      </c>
    </row>
    <row r="24" spans="1:14">
      <c r="A24" s="1">
        <v>11</v>
      </c>
      <c r="B24" s="74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0.2075917005</v>
      </c>
    </row>
    <row r="25" spans="1:14">
      <c r="A25" s="1">
        <v>12</v>
      </c>
      <c r="B25" s="74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0.16471748799999997</v>
      </c>
    </row>
    <row r="26" spans="1:14">
      <c r="A26" s="1">
        <v>13</v>
      </c>
      <c r="B26" s="74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0.11549991533333333</v>
      </c>
      <c r="I26" s="21">
        <f>AVERAGE(F24:F26)</f>
        <v>1.6371818626430468</v>
      </c>
      <c r="J26" s="21">
        <f>AVERAGE(G24:G26)</f>
        <v>0.16260303461111109</v>
      </c>
      <c r="L26">
        <f>+J26/I26</f>
        <v>9.9318859023155001E-2</v>
      </c>
      <c r="M26">
        <f>+(L26-$L$927)/$L$928</f>
        <v>3.5610361953685095</v>
      </c>
      <c r="N26">
        <f>+N23+M26</f>
        <v>2.9605989819687761</v>
      </c>
    </row>
    <row r="27" spans="1:14">
      <c r="A27" s="1">
        <v>11</v>
      </c>
      <c r="B27" s="74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5.3150709666666664E-2</v>
      </c>
    </row>
    <row r="28" spans="1:14">
      <c r="A28" s="1">
        <v>12</v>
      </c>
      <c r="B28" s="74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7.0160232500000003E-2</v>
      </c>
    </row>
    <row r="29" spans="1:14">
      <c r="A29" s="1">
        <v>13</v>
      </c>
      <c r="B29" s="74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7.4122618000000001E-2</v>
      </c>
      <c r="I29" s="21">
        <f>AVERAGE(F27:F29)</f>
        <v>3.736656357471503</v>
      </c>
      <c r="J29" s="21">
        <f>AVERAGE(G27:G29)</f>
        <v>6.581118672222222E-2</v>
      </c>
      <c r="L29">
        <f>+J29/I29</f>
        <v>1.7612319792434678E-2</v>
      </c>
      <c r="M29">
        <f>+(L29-$L$927)/$L$928</f>
        <v>-6.468291434752621E-2</v>
      </c>
      <c r="N29">
        <f>+N26+M29</f>
        <v>2.8959160676212501</v>
      </c>
    </row>
    <row r="30" spans="1:14">
      <c r="A30" s="1">
        <v>11</v>
      </c>
      <c r="B30" s="74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0.2156364008333333</v>
      </c>
    </row>
    <row r="31" spans="1:14">
      <c r="A31" s="1">
        <v>12</v>
      </c>
      <c r="B31" s="74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0.11616078466666668</v>
      </c>
    </row>
    <row r="32" spans="1:14">
      <c r="A32" s="1">
        <v>13</v>
      </c>
      <c r="B32" s="74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0.27073449450000003</v>
      </c>
      <c r="I32" s="21">
        <f>AVERAGE(F30:F32)</f>
        <v>9.1378453037807379</v>
      </c>
      <c r="J32" s="21">
        <f>AVERAGE(G30:G32)</f>
        <v>0.20084389333333333</v>
      </c>
      <c r="L32">
        <f>+J32/I32</f>
        <v>2.1979349250991934E-2</v>
      </c>
      <c r="M32">
        <f>+(L32-$L$927)/$L$928</f>
        <v>0.12910355990116812</v>
      </c>
      <c r="N32">
        <f>+N29+M32</f>
        <v>3.0250196275224184</v>
      </c>
    </row>
    <row r="33" spans="1:14">
      <c r="A33" s="1">
        <v>11</v>
      </c>
      <c r="B33" s="74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0</v>
      </c>
    </row>
    <row r="34" spans="1:14">
      <c r="A34" s="1">
        <v>12</v>
      </c>
      <c r="B34" s="74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2.8334458166666666E-2</v>
      </c>
    </row>
    <row r="35" spans="1:14">
      <c r="A35" s="1">
        <v>13</v>
      </c>
      <c r="B35" s="74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0</v>
      </c>
      <c r="I35" s="21">
        <f>AVERAGE(F33:F35)</f>
        <v>3.5199391851087971</v>
      </c>
      <c r="J35" s="21">
        <f>AVERAGE(G33:G35)</f>
        <v>9.4448193888888882E-3</v>
      </c>
      <c r="L35">
        <f>+J35/I35</f>
        <v>2.6832336845038305E-3</v>
      </c>
      <c r="M35">
        <f>+(L35-$L$927)/$L$928</f>
        <v>-0.72715954475863986</v>
      </c>
      <c r="N35">
        <f>+N32+M35</f>
        <v>2.2978600827637785</v>
      </c>
    </row>
    <row r="36" spans="1:14">
      <c r="A36" s="1">
        <v>11</v>
      </c>
      <c r="B36" s="74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5.1736023666666672E-2</v>
      </c>
    </row>
    <row r="37" spans="1:14">
      <c r="A37" s="1">
        <v>12</v>
      </c>
      <c r="B37" s="74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3.1726026166666664E-2</v>
      </c>
    </row>
    <row r="38" spans="1:14">
      <c r="A38" s="1">
        <v>13</v>
      </c>
      <c r="B38" s="74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8.0284092333333335E-2</v>
      </c>
      <c r="I38" s="21">
        <f>AVERAGE(F36:F38)</f>
        <v>6.3006138651251291</v>
      </c>
      <c r="J38" s="21">
        <f>AVERAGE(G36:G38)</f>
        <v>5.4582047388888888E-2</v>
      </c>
      <c r="L38">
        <f>+J38/I38</f>
        <v>8.6629729352260335E-3</v>
      </c>
      <c r="M38">
        <f>+(L38-$L$927)/$L$928</f>
        <v>-0.46180924260912853</v>
      </c>
      <c r="N38">
        <f>+N35+M38</f>
        <v>1.83605084015465</v>
      </c>
    </row>
    <row r="39" spans="1:14">
      <c r="A39" s="1">
        <v>11</v>
      </c>
      <c r="B39" s="74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0</v>
      </c>
    </row>
    <row r="40" spans="1:14">
      <c r="A40" s="1">
        <v>12</v>
      </c>
      <c r="B40" s="74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2.0375616333333336E-2</v>
      </c>
    </row>
    <row r="41" spans="1:14">
      <c r="A41" s="1">
        <v>13</v>
      </c>
      <c r="B41" s="74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4.0948948333333332E-2</v>
      </c>
      <c r="I41" s="21">
        <f>AVERAGE(F39:F41)</f>
        <v>3.9984268788627837</v>
      </c>
      <c r="J41" s="21">
        <f>AVERAGE(G39:G41)</f>
        <v>2.0441521555555554E-2</v>
      </c>
      <c r="L41">
        <f>+J41/I41</f>
        <v>5.1123909914714879E-3</v>
      </c>
      <c r="M41">
        <f>+(L41-$L$927)/$L$928</f>
        <v>-0.6193659440101269</v>
      </c>
      <c r="N41">
        <f>+N38+M41</f>
        <v>1.2166848961445231</v>
      </c>
    </row>
    <row r="42" spans="1:14">
      <c r="A42" s="1">
        <v>11</v>
      </c>
      <c r="B42" s="74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4.1106722499999998E-2</v>
      </c>
    </row>
    <row r="43" spans="1:14">
      <c r="A43" s="1">
        <v>12</v>
      </c>
      <c r="B43" s="74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5.8946105999999998E-2</v>
      </c>
    </row>
    <row r="44" spans="1:14">
      <c r="A44" s="1">
        <v>13</v>
      </c>
      <c r="B44" s="74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5.4019673166666671E-2</v>
      </c>
      <c r="I44" s="21">
        <f>AVERAGE(F42:F44)</f>
        <v>1.1461411668887538</v>
      </c>
      <c r="J44" s="21">
        <f>AVERAGE(G42:G44)</f>
        <v>5.1357500555555553E-2</v>
      </c>
      <c r="L44">
        <f>+J44/I44</f>
        <v>4.4809053229426833E-2</v>
      </c>
      <c r="M44">
        <f>+(L44-$L$927)/$L$928</f>
        <v>1.1421692797701344</v>
      </c>
      <c r="N44">
        <f>+N41+M44</f>
        <v>2.3588541759146575</v>
      </c>
    </row>
    <row r="45" spans="1:14">
      <c r="A45" s="1">
        <v>11</v>
      </c>
      <c r="B45" s="74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6.8993931999999994E-2</v>
      </c>
    </row>
    <row r="46" spans="1:14">
      <c r="A46" s="1">
        <v>12</v>
      </c>
      <c r="B46" s="74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6.3657106333333338E-2</v>
      </c>
    </row>
    <row r="47" spans="1:14">
      <c r="A47" s="1">
        <v>13</v>
      </c>
      <c r="B47" s="74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6.9258036833333342E-2</v>
      </c>
      <c r="I47" s="21">
        <f>AVERAGE(F45:F47)</f>
        <v>4.2553168118899842</v>
      </c>
      <c r="J47" s="21">
        <f>AVERAGE(G45:G47)</f>
        <v>6.7303025055555563E-2</v>
      </c>
      <c r="L47">
        <f>+J47/I47</f>
        <v>1.5816219574415931E-2</v>
      </c>
      <c r="M47">
        <f>+(L47-$L$927)/$L$928</f>
        <v>-0.1443846731632667</v>
      </c>
      <c r="N47">
        <f>+N44+M47</f>
        <v>2.214469502751391</v>
      </c>
    </row>
    <row r="48" spans="1:14">
      <c r="A48" s="1">
        <v>11</v>
      </c>
      <c r="B48" s="74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7.3836632666666666E-2</v>
      </c>
    </row>
    <row r="49" spans="1:14">
      <c r="A49" s="1">
        <v>12</v>
      </c>
      <c r="B49" s="74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8.3747051833333336E-2</v>
      </c>
    </row>
    <row r="50" spans="1:14">
      <c r="A50" s="1">
        <v>13</v>
      </c>
      <c r="B50" s="74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9.0034116499999997E-2</v>
      </c>
      <c r="I50" s="21">
        <f>AVERAGE(F48:F50)</f>
        <v>3.1257342077279611</v>
      </c>
      <c r="J50" s="21">
        <f>AVERAGE(G48:G50)</f>
        <v>8.2539266999999986E-2</v>
      </c>
      <c r="L50">
        <f>+J50/I50</f>
        <v>2.640636135853543E-2</v>
      </c>
      <c r="M50">
        <f>+(L50-$L$927)/$L$928</f>
        <v>0.32555175790818591</v>
      </c>
      <c r="N50">
        <f>+N47+M50</f>
        <v>2.5400212606595769</v>
      </c>
    </row>
    <row r="51" spans="1:14">
      <c r="A51" s="5">
        <v>11</v>
      </c>
      <c r="B51" s="74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5.7277893166666677E-2</v>
      </c>
    </row>
    <row r="52" spans="1:14">
      <c r="A52" s="5">
        <v>12</v>
      </c>
      <c r="B52" s="74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5.0864085000000003E-2</v>
      </c>
    </row>
    <row r="53" spans="1:14">
      <c r="A53" s="5">
        <v>13</v>
      </c>
      <c r="B53" s="74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0</v>
      </c>
      <c r="I53" s="21">
        <f>AVERAGE(F51:F53)</f>
        <v>3.1678240591031659</v>
      </c>
      <c r="J53" s="21">
        <f>AVERAGE(G51:G53)</f>
        <v>3.6047326055555558E-2</v>
      </c>
      <c r="L53">
        <f>+J53/I53</f>
        <v>1.1379207109677934E-2</v>
      </c>
      <c r="M53">
        <f>+(L53-$L$927)/$L$928</f>
        <v>-0.34127663597204294</v>
      </c>
      <c r="N53">
        <f>+N50+M53</f>
        <v>2.1987446246875342</v>
      </c>
    </row>
    <row r="54" spans="1:14">
      <c r="A54" s="1">
        <v>11</v>
      </c>
      <c r="B54" s="74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4.0268370333333338E-2</v>
      </c>
    </row>
    <row r="55" spans="1:14">
      <c r="A55" s="1">
        <v>12</v>
      </c>
      <c r="B55" s="74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0</v>
      </c>
    </row>
    <row r="56" spans="1:14">
      <c r="A56" s="1">
        <v>13</v>
      </c>
      <c r="B56" s="74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3.3778872500000001E-2</v>
      </c>
      <c r="I56" s="21">
        <f>AVERAGE(F54:F56)</f>
        <v>3.2428774202097359</v>
      </c>
      <c r="J56" s="21">
        <f>AVERAGE(G54:G56)</f>
        <v>2.4682414277777776E-2</v>
      </c>
      <c r="L56">
        <f>+J56/I56</f>
        <v>7.6112695854477965E-3</v>
      </c>
      <c r="M56">
        <f>+(L56-$L$927)/$L$928</f>
        <v>-0.50847846846234679</v>
      </c>
      <c r="N56">
        <f>+N53+M56</f>
        <v>1.6902661562251873</v>
      </c>
    </row>
    <row r="57" spans="1:14">
      <c r="A57" s="1">
        <v>11</v>
      </c>
      <c r="B57" s="74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</v>
      </c>
    </row>
    <row r="58" spans="1:14">
      <c r="A58" s="1">
        <v>12</v>
      </c>
      <c r="B58" s="74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</v>
      </c>
    </row>
    <row r="59" spans="1:14">
      <c r="A59" s="1">
        <v>13</v>
      </c>
      <c r="B59" s="74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4.1020444666666663E-2</v>
      </c>
      <c r="I59" s="21">
        <f>AVERAGE(F57:F59)</f>
        <v>1.0415669659472375</v>
      </c>
      <c r="J59" s="21">
        <f>AVERAGE(G57:G59)</f>
        <v>1.3673481555555554E-2</v>
      </c>
      <c r="L59">
        <f>+J59/I59</f>
        <v>1.3127798790277888E-2</v>
      </c>
      <c r="M59">
        <f>+(L59-$L$927)/$L$928</f>
        <v>-0.26368306352199317</v>
      </c>
      <c r="N59">
        <f>+N56+M59</f>
        <v>1.4265830927031942</v>
      </c>
    </row>
    <row r="60" spans="1:14">
      <c r="A60" s="1">
        <v>11</v>
      </c>
      <c r="B60" s="74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</v>
      </c>
    </row>
    <row r="61" spans="1:14">
      <c r="A61" s="1">
        <v>12</v>
      </c>
      <c r="B61" s="74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</v>
      </c>
    </row>
    <row r="62" spans="1:14">
      <c r="A62" s="1">
        <v>13</v>
      </c>
      <c r="B62" s="74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</v>
      </c>
      <c r="I62" s="21">
        <f>AVERAGE(F60:F62)</f>
        <v>1.0519999372377684</v>
      </c>
      <c r="J62" s="21">
        <f>AVERAGE(G60:G62)</f>
        <v>0</v>
      </c>
      <c r="L62">
        <f>+J62/I62</f>
        <v>0</v>
      </c>
      <c r="M62">
        <f>+(L62-$L$927)/$L$928</f>
        <v>-0.84622775811507456</v>
      </c>
      <c r="N62">
        <f>+N59+M62</f>
        <v>0.58035533458811961</v>
      </c>
    </row>
    <row r="63" spans="1:14">
      <c r="A63" s="1">
        <v>11</v>
      </c>
      <c r="B63" s="74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2.9967342166666668E-2</v>
      </c>
    </row>
    <row r="64" spans="1:14">
      <c r="A64" s="1">
        <v>12</v>
      </c>
      <c r="B64" s="74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4.5995834666666673E-2</v>
      </c>
    </row>
    <row r="65" spans="1:14">
      <c r="A65" s="1">
        <v>13</v>
      </c>
      <c r="B65" s="74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8.805025050000001E-2</v>
      </c>
      <c r="I65" s="21">
        <f>AVERAGE(F63:F65)</f>
        <v>2.0816760914865617</v>
      </c>
      <c r="J65" s="21">
        <f>AVERAGE(G63:G65)</f>
        <v>5.4671142444444452E-2</v>
      </c>
      <c r="L65">
        <f>+J65/I65</f>
        <v>2.6263039993605741E-2</v>
      </c>
      <c r="M65">
        <f>+(L65-$L$927)/$L$928</f>
        <v>0.31919188736968707</v>
      </c>
      <c r="N65">
        <f>+N62+M65</f>
        <v>0.89954722195780668</v>
      </c>
    </row>
    <row r="66" spans="1:14">
      <c r="A66" s="1">
        <v>11</v>
      </c>
      <c r="B66" s="74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0.21351866266666669</v>
      </c>
    </row>
    <row r="67" spans="1:14">
      <c r="A67" s="1">
        <v>12</v>
      </c>
      <c r="B67" s="74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0.15766367233333334</v>
      </c>
    </row>
    <row r="68" spans="1:14">
      <c r="A68" s="1">
        <v>13</v>
      </c>
      <c r="B68" s="74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0.26227088016666672</v>
      </c>
      <c r="I68" s="21">
        <f>AVERAGE(F66:F68)</f>
        <v>6.5725514687452025</v>
      </c>
      <c r="J68" s="21">
        <f>AVERAGE(G66:G68)</f>
        <v>0.21115107172222225</v>
      </c>
      <c r="L68">
        <f>+J68/I68</f>
        <v>3.2126195241881324E-2</v>
      </c>
      <c r="M68">
        <f>+(L68-$L$927)/$L$928</f>
        <v>0.57936878663691149</v>
      </c>
      <c r="N68">
        <f>+N65+M68</f>
        <v>1.4789160085947182</v>
      </c>
    </row>
    <row r="69" spans="1:14">
      <c r="A69" s="1">
        <v>11</v>
      </c>
      <c r="B69" s="74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0</v>
      </c>
    </row>
    <row r="70" spans="1:14">
      <c r="A70" s="1">
        <v>12</v>
      </c>
      <c r="B70" s="74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5.2747625499999992E-2</v>
      </c>
    </row>
    <row r="71" spans="1:14">
      <c r="A71" s="1">
        <v>13</v>
      </c>
      <c r="B71" s="74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0.14380198</v>
      </c>
      <c r="I71" s="21">
        <f>AVERAGE(F69:F71)</f>
        <v>5.1939496956832594</v>
      </c>
      <c r="J71" s="21">
        <f>AVERAGE(G69:G71)</f>
        <v>6.5516535166666667E-2</v>
      </c>
      <c r="L71">
        <f>+J71/I71</f>
        <v>1.2614010339976545E-2</v>
      </c>
      <c r="M71">
        <f>+(L71-$L$927)/$L$928</f>
        <v>-0.28648237212260225</v>
      </c>
      <c r="N71">
        <f>+N68+M71</f>
        <v>1.192433636472116</v>
      </c>
    </row>
    <row r="72" spans="1:14">
      <c r="A72" s="1">
        <v>11</v>
      </c>
      <c r="B72" s="74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0</v>
      </c>
    </row>
    <row r="73" spans="1:14">
      <c r="A73" s="1">
        <v>12</v>
      </c>
      <c r="B73" s="74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4.7763743999999997E-2</v>
      </c>
    </row>
    <row r="74" spans="1:14">
      <c r="A74" s="1">
        <v>13</v>
      </c>
      <c r="B74" s="74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0</v>
      </c>
      <c r="I74" s="21">
        <f>AVERAGE(F72:F74)</f>
        <v>5.904270321687398</v>
      </c>
      <c r="J74" s="21">
        <f>AVERAGE(G72:G74)</f>
        <v>1.5921247999999999E-2</v>
      </c>
      <c r="L74">
        <f>+J74/I74</f>
        <v>2.6965648814415767E-3</v>
      </c>
      <c r="M74">
        <f>+(L74-$L$927)/$L$928</f>
        <v>-0.72656797429258346</v>
      </c>
      <c r="N74">
        <f>+N71+M74</f>
        <v>0.46586566217953251</v>
      </c>
    </row>
    <row r="75" spans="1:14">
      <c r="A75" s="1">
        <v>11</v>
      </c>
      <c r="B75" s="74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6">
        <v>3.3443029441022933E-2</v>
      </c>
    </row>
    <row r="76" spans="1:14">
      <c r="A76" s="1">
        <v>12</v>
      </c>
      <c r="B76" s="74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6">
        <v>1.0104152725620883E-2</v>
      </c>
    </row>
    <row r="77" spans="1:14">
      <c r="A77" s="1">
        <v>13</v>
      </c>
      <c r="B77" s="74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6">
        <v>1.61961440741391E-2</v>
      </c>
      <c r="I77" s="21">
        <f>AVERAGE(F75:F77)</f>
        <v>2.5662165226420637</v>
      </c>
      <c r="J77" s="21">
        <f>AVERAGE(G75:G77)</f>
        <v>1.9914442080260972E-2</v>
      </c>
      <c r="L77">
        <f>+J77/I77</f>
        <v>7.7602345338178783E-3</v>
      </c>
      <c r="M77">
        <f>+(L77-$L$927)/$L$928</f>
        <v>-0.50186816450052874</v>
      </c>
      <c r="N77">
        <f>+N74+M77</f>
        <v>-3.6002502320996221E-2</v>
      </c>
    </row>
    <row r="78" spans="1:14">
      <c r="A78" s="1">
        <v>11</v>
      </c>
      <c r="B78" s="74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6">
        <v>2.5199563487208358E-2</v>
      </c>
    </row>
    <row r="79" spans="1:14">
      <c r="A79" s="1">
        <v>12</v>
      </c>
      <c r="B79" s="74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6">
        <v>0</v>
      </c>
    </row>
    <row r="80" spans="1:14">
      <c r="A80" s="1">
        <v>13</v>
      </c>
      <c r="B80" s="74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6">
        <v>0</v>
      </c>
      <c r="I80" s="21">
        <f>AVERAGE(F78:F80)</f>
        <v>2.3465076796477864</v>
      </c>
      <c r="J80" s="21">
        <f>AVERAGE(G78:G80)</f>
        <v>8.3998544957361188E-3</v>
      </c>
      <c r="L80">
        <f>+J80/I80</f>
        <v>3.5797259768597677E-3</v>
      </c>
      <c r="M80">
        <f>+(L80-$L$927)/$L$928</f>
        <v>-0.68737779330139614</v>
      </c>
      <c r="N80">
        <f>+N77+M80</f>
        <v>-0.72338029562239237</v>
      </c>
    </row>
    <row r="81" spans="1:14">
      <c r="A81" s="1">
        <v>11</v>
      </c>
      <c r="B81" s="74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6">
        <v>7.5779909931389E-2</v>
      </c>
    </row>
    <row r="82" spans="1:14">
      <c r="A82" s="1">
        <v>12</v>
      </c>
      <c r="B82" s="74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6">
        <v>2.3645964289928881E-2</v>
      </c>
    </row>
    <row r="83" spans="1:14">
      <c r="A83" s="1">
        <v>13</v>
      </c>
      <c r="B83" s="74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6">
        <v>7.7296347903552678E-2</v>
      </c>
      <c r="I83" s="21">
        <f>AVERAGE(F81:F83)</f>
        <v>3.6882212667442942</v>
      </c>
      <c r="J83" s="21">
        <f>AVERAGE(G81:G83)</f>
        <v>5.8907407374956845E-2</v>
      </c>
      <c r="L83">
        <f>+J83/I83</f>
        <v>1.5971766093891709E-2</v>
      </c>
      <c r="M83">
        <f>+(L83-$L$927)/$L$928</f>
        <v>-0.13748231267384944</v>
      </c>
      <c r="N83">
        <f>+N80+M83</f>
        <v>-0.86086260829624184</v>
      </c>
    </row>
    <row r="84" spans="1:14">
      <c r="A84" s="1">
        <v>11</v>
      </c>
      <c r="B84" s="74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6">
        <v>4.4310323344016037E-2</v>
      </c>
    </row>
    <row r="85" spans="1:14">
      <c r="A85" s="1">
        <v>12</v>
      </c>
      <c r="B85" s="74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6">
        <v>3.3479539425757099E-2</v>
      </c>
    </row>
    <row r="86" spans="1:14">
      <c r="A86" s="1">
        <v>13</v>
      </c>
      <c r="B86" s="74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6">
        <v>3.8412575356423583E-2</v>
      </c>
      <c r="I86" s="21">
        <f>AVERAGE(F84:F86)</f>
        <v>4.1539263973359724</v>
      </c>
      <c r="J86" s="21">
        <f>AVERAGE(G84:G86)</f>
        <v>3.873414604206557E-2</v>
      </c>
      <c r="L86">
        <f>+J86/I86</f>
        <v>9.3247068765847287E-3</v>
      </c>
      <c r="M86">
        <f>+(L86-$L$927)/$L$928</f>
        <v>-0.4324448683580423</v>
      </c>
      <c r="N86">
        <f>+N83+M86</f>
        <v>-1.293307476654284</v>
      </c>
    </row>
    <row r="87" spans="1:14">
      <c r="A87" s="1">
        <v>11</v>
      </c>
      <c r="B87" s="74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6">
        <v>0.17087124187603972</v>
      </c>
    </row>
    <row r="88" spans="1:14">
      <c r="A88" s="1">
        <v>12</v>
      </c>
      <c r="B88" s="74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6">
        <v>6.8273084804675574E-2</v>
      </c>
    </row>
    <row r="89" spans="1:14">
      <c r="A89" s="1">
        <v>13</v>
      </c>
      <c r="B89" s="74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6">
        <v>7.5895842533716867E-2</v>
      </c>
      <c r="I89" s="21">
        <f>AVERAGE(F87:F89)</f>
        <v>2.8247363168547728</v>
      </c>
      <c r="J89" s="21">
        <f>AVERAGE(G87:G89)</f>
        <v>0.10501338973814404</v>
      </c>
      <c r="L89">
        <f>+J89/I89</f>
        <v>3.7176351332881975E-2</v>
      </c>
      <c r="M89">
        <f>+(L89-$L$927)/$L$928</f>
        <v>0.80346893356010263</v>
      </c>
      <c r="N89">
        <f>+N86+M89</f>
        <v>-0.4898385430941814</v>
      </c>
    </row>
    <row r="90" spans="1:14">
      <c r="A90" s="1">
        <v>11</v>
      </c>
      <c r="B90" s="70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6">
        <v>6.3570084334456226E-2</v>
      </c>
    </row>
    <row r="91" spans="1:14">
      <c r="A91" s="1">
        <v>12</v>
      </c>
      <c r="B91" s="70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6">
        <v>8.5547067923888845E-2</v>
      </c>
    </row>
    <row r="92" spans="1:14">
      <c r="A92" s="1">
        <v>13</v>
      </c>
      <c r="B92" s="70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6">
        <v>2.9727932977307473E-2</v>
      </c>
      <c r="I92" s="21">
        <f>AVERAGE(F90:F92)</f>
        <v>2.5546582578791779</v>
      </c>
      <c r="J92" s="21">
        <f>AVERAGE(G90:G92)</f>
        <v>5.961502841188418E-2</v>
      </c>
      <c r="L92">
        <f>+J92/I92</f>
        <v>2.3335813402053741E-2</v>
      </c>
      <c r="M92">
        <f>+(L92-$L$927)/$L$928</f>
        <v>0.18929651435077213</v>
      </c>
      <c r="N92">
        <f>+N89+M92</f>
        <v>-0.3005420287434093</v>
      </c>
    </row>
    <row r="93" spans="1:14">
      <c r="A93" s="1">
        <v>11</v>
      </c>
      <c r="B93" s="70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6">
        <v>3.0889788608073277E-2</v>
      </c>
    </row>
    <row r="94" spans="1:14">
      <c r="A94" s="1">
        <v>12</v>
      </c>
      <c r="B94" s="70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6">
        <v>3.4684631730133336E-2</v>
      </c>
    </row>
    <row r="95" spans="1:14">
      <c r="A95" s="1">
        <v>13</v>
      </c>
      <c r="B95" s="70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0</v>
      </c>
      <c r="I95" s="21">
        <f>AVERAGE(F93:F95)</f>
        <v>2.1749932778823258</v>
      </c>
      <c r="J95" s="21">
        <f>AVERAGE(G93:G95)</f>
        <v>2.1858140112735538E-2</v>
      </c>
      <c r="L95">
        <f>+J95/I95</f>
        <v>1.0049750652111273E-2</v>
      </c>
      <c r="M95">
        <f>+(L95-$L$927)/$L$928</f>
        <v>-0.40027112685512395</v>
      </c>
      <c r="N95">
        <f>+N92+M95</f>
        <v>-0.7008131555985333</v>
      </c>
    </row>
    <row r="96" spans="1:14">
      <c r="A96" s="1">
        <v>11</v>
      </c>
      <c r="B96" s="70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14"/>
    </row>
    <row r="97" spans="1:10">
      <c r="A97" s="1">
        <v>12</v>
      </c>
      <c r="B97" s="70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14"/>
    </row>
    <row r="98" spans="1:10">
      <c r="A98" s="1">
        <v>13</v>
      </c>
      <c r="B98" s="70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14"/>
      <c r="I98" s="21">
        <f>AVERAGE(F96:F98)</f>
        <v>3.4494796312748774</v>
      </c>
      <c r="J98" s="21" t="e">
        <f>AVERAGE(G96:G98)</f>
        <v>#DIV/0!</v>
      </c>
    </row>
    <row r="99" spans="1:10">
      <c r="A99" s="1">
        <v>11</v>
      </c>
      <c r="B99" s="70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14"/>
    </row>
    <row r="100" spans="1:10">
      <c r="A100" s="1">
        <v>12</v>
      </c>
      <c r="B100" s="70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14"/>
    </row>
    <row r="101" spans="1:10">
      <c r="A101" s="1">
        <v>13</v>
      </c>
      <c r="B101" s="70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14"/>
      <c r="I101" s="21">
        <f>AVERAGE(F99:F101)</f>
        <v>6.4463063558178026</v>
      </c>
      <c r="J101" s="21" t="e">
        <f>AVERAGE(G99:G101)</f>
        <v>#DIV/0!</v>
      </c>
    </row>
    <row r="102" spans="1:10">
      <c r="A102" s="1">
        <v>11</v>
      </c>
      <c r="B102" s="70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14"/>
    </row>
    <row r="103" spans="1:10">
      <c r="A103" s="1">
        <v>12</v>
      </c>
      <c r="B103" s="70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14"/>
    </row>
    <row r="104" spans="1:10">
      <c r="A104" s="1">
        <v>13</v>
      </c>
      <c r="B104" s="70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14"/>
      <c r="I104" s="21">
        <f>AVERAGE(F102:F104)</f>
        <v>7.2469507265443438</v>
      </c>
      <c r="J104" s="21" t="e">
        <f>AVERAGE(G102:G104)</f>
        <v>#DIV/0!</v>
      </c>
    </row>
    <row r="105" spans="1:10">
      <c r="A105" s="1">
        <v>11</v>
      </c>
      <c r="B105" s="70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14"/>
    </row>
    <row r="106" spans="1:10">
      <c r="A106" s="1">
        <v>12</v>
      </c>
      <c r="B106" s="70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14"/>
    </row>
    <row r="107" spans="1:10">
      <c r="A107" s="1">
        <v>13</v>
      </c>
      <c r="B107" s="70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14"/>
      <c r="I107" s="21">
        <f>AVERAGE(F105:F107)</f>
        <v>7.8241637346353476</v>
      </c>
      <c r="J107" s="21" t="e">
        <f>AVERAGE(G105:G107)</f>
        <v>#DIV/0!</v>
      </c>
    </row>
    <row r="108" spans="1:10">
      <c r="A108" s="1">
        <v>11</v>
      </c>
      <c r="B108" s="70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14"/>
    </row>
    <row r="109" spans="1:10">
      <c r="A109" s="1">
        <v>12</v>
      </c>
      <c r="B109" s="70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14"/>
    </row>
    <row r="110" spans="1:10">
      <c r="A110" s="1">
        <v>13</v>
      </c>
      <c r="B110" s="70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14"/>
      <c r="I110" s="21">
        <f>AVERAGE(F108:F110)</f>
        <v>5.3863247610326406</v>
      </c>
      <c r="J110" s="21" t="e">
        <f>AVERAGE(G108:G110)</f>
        <v>#DIV/0!</v>
      </c>
    </row>
    <row r="111" spans="1:10">
      <c r="A111" s="1">
        <v>11</v>
      </c>
      <c r="B111" s="70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1.5379279243088486E-2</v>
      </c>
    </row>
    <row r="112" spans="1:10">
      <c r="A112" s="1">
        <v>12</v>
      </c>
      <c r="B112" s="70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0</v>
      </c>
    </row>
    <row r="113" spans="1:14">
      <c r="A113" s="1">
        <v>13</v>
      </c>
      <c r="B113" s="70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0.11464457654148681</v>
      </c>
      <c r="I113" s="21">
        <f>AVERAGE(F111:F113)</f>
        <v>3.522187213638885</v>
      </c>
      <c r="J113" s="21">
        <f>AVERAGE(G111:G113)</f>
        <v>4.3341285261525093E-2</v>
      </c>
      <c r="L113">
        <f>+J113/I113</f>
        <v>1.2305219067770056E-2</v>
      </c>
      <c r="M113">
        <f>+(L113-$L$927)/$L$928</f>
        <v>-0.30018495244351306</v>
      </c>
      <c r="N113">
        <f>+N95+M113</f>
        <v>-1.0009981080420465</v>
      </c>
    </row>
    <row r="114" spans="1:14">
      <c r="A114" s="1">
        <v>11</v>
      </c>
      <c r="B114" s="70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0</v>
      </c>
    </row>
    <row r="115" spans="1:14">
      <c r="A115" s="1">
        <v>12</v>
      </c>
      <c r="B115" s="70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0</v>
      </c>
    </row>
    <row r="116" spans="1:14">
      <c r="A116" s="1">
        <v>13</v>
      </c>
      <c r="B116" s="70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3.0343499546855546E-2</v>
      </c>
      <c r="I116" s="21">
        <f>AVERAGE(F114:F116)</f>
        <v>1.6391637974175726</v>
      </c>
      <c r="J116" s="21">
        <f>AVERAGE(G114:G116)</f>
        <v>1.0114499848951849E-2</v>
      </c>
      <c r="L116">
        <f>+J116/I116</f>
        <v>6.1705241812238529E-3</v>
      </c>
      <c r="M116">
        <f>+(L116-$L$927)/$L$928</f>
        <v>-0.57241139468236057</v>
      </c>
      <c r="N116">
        <f>+N113+M116</f>
        <v>-1.573409502724407</v>
      </c>
    </row>
    <row r="117" spans="1:14">
      <c r="A117" s="1">
        <v>11</v>
      </c>
      <c r="B117" s="70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6.0968783219610918E-2</v>
      </c>
    </row>
    <row r="118" spans="1:14">
      <c r="A118" s="1">
        <v>12</v>
      </c>
      <c r="B118" s="70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9.9642614517490638E-2</v>
      </c>
    </row>
    <row r="119" spans="1:14">
      <c r="A119" s="1">
        <v>13</v>
      </c>
      <c r="B119" s="70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0.14294159677039506</v>
      </c>
      <c r="I119" s="21">
        <f>AVERAGE(F117:F119)</f>
        <v>2.6098651465827802</v>
      </c>
      <c r="J119" s="21">
        <f>AVERAGE(G117:G119)</f>
        <v>0.10118433150249888</v>
      </c>
      <c r="L119">
        <f>+J119/I119</f>
        <v>3.8769946269056971E-2</v>
      </c>
      <c r="M119">
        <f>+(L119-$L$927)/$L$928</f>
        <v>0.87418454173095972</v>
      </c>
      <c r="N119">
        <f>+N116+M119</f>
        <v>-0.69922496099344733</v>
      </c>
    </row>
    <row r="120" spans="1:14">
      <c r="A120" s="1">
        <v>11</v>
      </c>
      <c r="B120" s="70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9.8206937393222699E-2</v>
      </c>
    </row>
    <row r="121" spans="1:14">
      <c r="A121" s="1">
        <v>12</v>
      </c>
      <c r="B121" s="70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0.10285365088630945</v>
      </c>
    </row>
    <row r="122" spans="1:14">
      <c r="A122" s="1">
        <v>13</v>
      </c>
      <c r="B122" s="70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8.3449139377884549E-2</v>
      </c>
      <c r="I122" s="21">
        <f>AVERAGE(F120:F122)</f>
        <v>4.4444379299631862</v>
      </c>
      <c r="J122" s="21">
        <f>AVERAGE(G120:G122)</f>
        <v>9.4836575885805574E-2</v>
      </c>
      <c r="L122">
        <f>+J122/I122</f>
        <v>2.1338260851038845E-2</v>
      </c>
      <c r="M122">
        <f>+(L122-$L$927)/$L$928</f>
        <v>0.10065532938483687</v>
      </c>
      <c r="N122">
        <f>+N119+M122</f>
        <v>-0.59856963160861043</v>
      </c>
    </row>
    <row r="123" spans="1:14">
      <c r="A123" s="1">
        <v>11</v>
      </c>
      <c r="B123" s="70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0.25652151735635281</v>
      </c>
    </row>
    <row r="124" spans="1:14">
      <c r="A124" s="1">
        <v>12</v>
      </c>
      <c r="B124" s="70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0.28875078145329386</v>
      </c>
    </row>
    <row r="125" spans="1:14">
      <c r="A125" s="1">
        <v>13</v>
      </c>
      <c r="B125" s="70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0.3761945174595796</v>
      </c>
      <c r="I125" s="21">
        <f>AVERAGE(F123:F125)</f>
        <v>3.8453174849234446</v>
      </c>
      <c r="J125" s="21">
        <f>AVERAGE(G123:G125)</f>
        <v>0.30715560542307546</v>
      </c>
      <c r="L125">
        <f>+J125/I125</f>
        <v>7.9877827156628278E-2</v>
      </c>
      <c r="M125">
        <f>+(L125-$L$927)/$L$928</f>
        <v>2.6983424450920066</v>
      </c>
      <c r="N125">
        <f>+N122+M125</f>
        <v>2.099772813483396</v>
      </c>
    </row>
    <row r="126" spans="1:14">
      <c r="A126" s="1">
        <v>11</v>
      </c>
      <c r="B126" s="70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0.1956049098120021</v>
      </c>
    </row>
    <row r="127" spans="1:14">
      <c r="A127" s="1">
        <v>12</v>
      </c>
      <c r="B127" s="70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0.347082297142004</v>
      </c>
    </row>
    <row r="128" spans="1:14">
      <c r="A128" s="1">
        <v>13</v>
      </c>
      <c r="B128" s="70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0.56171819115534394</v>
      </c>
      <c r="I128" s="21">
        <f>AVERAGE(F126:F128)</f>
        <v>5.6311639857649434</v>
      </c>
      <c r="J128" s="21">
        <f>AVERAGE(G126:G128)</f>
        <v>0.36813513270311665</v>
      </c>
      <c r="L128">
        <f>+J128/I128</f>
        <v>6.53746070321745E-2</v>
      </c>
      <c r="M128">
        <f>+(L128-$L$927)/$L$928</f>
        <v>2.0547635730366927</v>
      </c>
      <c r="N128">
        <f>+N125+M128</f>
        <v>4.1545363865200891</v>
      </c>
    </row>
    <row r="129" spans="1:14">
      <c r="A129" s="1">
        <v>11</v>
      </c>
      <c r="B129" s="70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0.10128559581150011</v>
      </c>
    </row>
    <row r="130" spans="1:14">
      <c r="A130" s="1">
        <v>12</v>
      </c>
      <c r="B130" s="70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8.9537009450891797E-2</v>
      </c>
    </row>
    <row r="131" spans="1:14">
      <c r="A131" s="1">
        <v>13</v>
      </c>
      <c r="B131" s="70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0</v>
      </c>
      <c r="I131" s="21">
        <f>AVERAGE(F129:F131)</f>
        <v>9.9240777034895604</v>
      </c>
      <c r="J131" s="21">
        <f>AVERAGE(G129:G131)</f>
        <v>6.3607535087463973E-2</v>
      </c>
      <c r="L131">
        <f>+J131/I131</f>
        <v>6.4094152613393919E-3</v>
      </c>
      <c r="M131">
        <f>+(L131-$L$927)/$L$928</f>
        <v>-0.56181062805498205</v>
      </c>
      <c r="N131">
        <f>+N128+M131</f>
        <v>3.5927257584651069</v>
      </c>
    </row>
    <row r="132" spans="1:14">
      <c r="A132" s="1">
        <v>11</v>
      </c>
      <c r="B132" s="70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0.15267109649441435</v>
      </c>
    </row>
    <row r="133" spans="1:14">
      <c r="A133" s="1">
        <v>12</v>
      </c>
      <c r="B133" s="70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4.8196814404201441E-2</v>
      </c>
    </row>
    <row r="134" spans="1:14">
      <c r="A134" s="1">
        <v>13</v>
      </c>
      <c r="B134" s="70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4.1319719643609955E-2</v>
      </c>
      <c r="I134" s="21">
        <f>AVERAGE(F132:F134)</f>
        <v>3.899478827564264</v>
      </c>
      <c r="J134" s="21">
        <f>AVERAGE(G132:G134)</f>
        <v>8.0729210180741903E-2</v>
      </c>
      <c r="L134">
        <f>+J134/I134</f>
        <v>2.070256404781351E-2</v>
      </c>
      <c r="M134">
        <f>+(L134-$L$927)/$L$928</f>
        <v>7.2446350407877544E-2</v>
      </c>
      <c r="N134">
        <f>+N131+M134</f>
        <v>3.6651721088729845</v>
      </c>
    </row>
    <row r="135" spans="1:14">
      <c r="A135" s="1">
        <v>11</v>
      </c>
      <c r="B135" s="70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3.5852234675977465E-2</v>
      </c>
    </row>
    <row r="136" spans="1:14">
      <c r="A136" s="1">
        <v>12</v>
      </c>
      <c r="B136" s="70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2.7921891431596704E-2</v>
      </c>
    </row>
    <row r="137" spans="1:14">
      <c r="A137" s="1">
        <v>13</v>
      </c>
      <c r="B137" s="70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5.9789702601109045E-2</v>
      </c>
      <c r="I137" s="21">
        <f>AVERAGE(F135:F137)</f>
        <v>3.2011788828747592</v>
      </c>
      <c r="J137" s="21">
        <f>AVERAGE(G135:G137)</f>
        <v>4.1187942902894403E-2</v>
      </c>
      <c r="L137">
        <f>+J137/I137</f>
        <v>1.2866492129895078E-2</v>
      </c>
      <c r="M137">
        <f>+(L137-$L$927)/$L$928</f>
        <v>-0.27527851917298735</v>
      </c>
      <c r="N137">
        <f>+N134+M137</f>
        <v>3.3898935896999971</v>
      </c>
    </row>
    <row r="138" spans="1:14">
      <c r="A138" s="1">
        <v>11</v>
      </c>
      <c r="B138" s="70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0.18176155444381639</v>
      </c>
    </row>
    <row r="139" spans="1:14">
      <c r="A139" s="1">
        <v>12</v>
      </c>
      <c r="B139" s="70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0.12641502347927966</v>
      </c>
    </row>
    <row r="140" spans="1:14">
      <c r="A140" s="1">
        <v>13</v>
      </c>
      <c r="B140" s="70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0.16889182974400288</v>
      </c>
      <c r="I140" s="21">
        <f>AVERAGE(F138:F140)</f>
        <v>6.3806909515822534</v>
      </c>
      <c r="J140" s="21">
        <f>AVERAGE(G138:G140)</f>
        <v>0.15902280255569964</v>
      </c>
      <c r="L140">
        <f>+J140/I140</f>
        <v>2.4922505064481446E-2</v>
      </c>
      <c r="M140">
        <f>+(L140-$L$927)/$L$928</f>
        <v>0.25970579047304654</v>
      </c>
      <c r="N140">
        <f>+N137+M140</f>
        <v>3.6495993801730435</v>
      </c>
    </row>
    <row r="141" spans="1:14">
      <c r="A141" s="1">
        <v>11</v>
      </c>
      <c r="B141" s="70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0.13128955567799624</v>
      </c>
    </row>
    <row r="142" spans="1:14">
      <c r="A142" s="1">
        <v>12</v>
      </c>
      <c r="B142" s="70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4.7577285699421712E-2</v>
      </c>
    </row>
    <row r="143" spans="1:14">
      <c r="A143" s="1">
        <v>13</v>
      </c>
      <c r="B143" s="70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0.19422818224362742</v>
      </c>
      <c r="I143" s="21">
        <f>AVERAGE(F141:F143)</f>
        <v>6.3236060605238791</v>
      </c>
      <c r="J143" s="21">
        <f>AVERAGE(G141:G143)</f>
        <v>0.12436500787368181</v>
      </c>
      <c r="L143">
        <f>+J143/I143</f>
        <v>1.9666786115923672E-2</v>
      </c>
      <c r="M143">
        <f>+(L143-$L$927)/$L$928</f>
        <v>2.6483813303342405E-2</v>
      </c>
      <c r="N143">
        <f>+N140+M143</f>
        <v>3.6760831934763858</v>
      </c>
    </row>
    <row r="144" spans="1:14">
      <c r="A144" s="1">
        <v>11</v>
      </c>
      <c r="B144" s="70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6.7357800263588646E-2</v>
      </c>
    </row>
    <row r="145" spans="1:14">
      <c r="A145" s="1">
        <v>12</v>
      </c>
      <c r="B145" s="70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3.2899516300811581E-2</v>
      </c>
    </row>
    <row r="146" spans="1:14">
      <c r="A146" s="1">
        <v>13</v>
      </c>
      <c r="B146" s="70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0.55280683036087264</v>
      </c>
      <c r="I146" s="21">
        <f>AVERAGE(F144:F146)</f>
        <v>6.8328743028596763</v>
      </c>
      <c r="J146" s="21">
        <f>AVERAGE(G144:G146)</f>
        <v>0.21768804897509098</v>
      </c>
      <c r="L146">
        <f>+J146/I146</f>
        <v>3.185892778445884E-2</v>
      </c>
      <c r="M146">
        <f>+(L146-$L$927)/$L$928</f>
        <v>0.56750882124239665</v>
      </c>
      <c r="N146">
        <f>+N143+M146</f>
        <v>4.2435920147187822</v>
      </c>
    </row>
    <row r="147" spans="1:14">
      <c r="A147" s="1">
        <v>11</v>
      </c>
      <c r="B147" s="70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5.1957383941687647E-2</v>
      </c>
    </row>
    <row r="148" spans="1:14">
      <c r="A148" s="1">
        <v>12</v>
      </c>
      <c r="B148" s="70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2.5649842033089995E-2</v>
      </c>
    </row>
    <row r="149" spans="1:14">
      <c r="A149" s="1">
        <v>13</v>
      </c>
      <c r="B149" s="70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7.0483787417965391E-2</v>
      </c>
      <c r="I149" s="21">
        <f>AVERAGE(F147:F149)</f>
        <v>3.5559999999999996</v>
      </c>
      <c r="J149" s="21">
        <f>AVERAGE(G147:G149)</f>
        <v>4.9363671130914354E-2</v>
      </c>
      <c r="L149">
        <f>+J149/I149</f>
        <v>1.388179728090955E-2</v>
      </c>
      <c r="M149">
        <f>+(L149-$L$927)/$L$928</f>
        <v>-0.23022445957279536</v>
      </c>
      <c r="N149">
        <f>+N146+M149</f>
        <v>4.0133675551459866</v>
      </c>
    </row>
    <row r="150" spans="1:14">
      <c r="A150" s="1">
        <v>11</v>
      </c>
      <c r="B150" s="70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0.11228905157681913</v>
      </c>
    </row>
    <row r="151" spans="1:14">
      <c r="A151" s="1">
        <v>12</v>
      </c>
      <c r="B151" s="70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6.7456715119782157E-2</v>
      </c>
    </row>
    <row r="152" spans="1:14">
      <c r="A152" s="1">
        <v>13</v>
      </c>
      <c r="B152" s="70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6.3811667168690189E-2</v>
      </c>
      <c r="I152" s="21">
        <f>AVERAGE(F150:F152)</f>
        <v>4.5434666666666672</v>
      </c>
      <c r="J152" s="21">
        <f>AVERAGE(G150:G152)</f>
        <v>8.1185811288430498E-2</v>
      </c>
      <c r="L152">
        <f>+J152/I152</f>
        <v>1.7868693058552314E-2</v>
      </c>
      <c r="M152">
        <f>+(L152-$L$927)/$L$928</f>
        <v>-5.3306377549679124E-2</v>
      </c>
      <c r="N152">
        <f>+N149+M152</f>
        <v>3.9600611775963075</v>
      </c>
    </row>
    <row r="153" spans="1:14">
      <c r="A153" s="1">
        <v>11</v>
      </c>
      <c r="B153" s="70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0.1694587067773953</v>
      </c>
    </row>
    <row r="154" spans="1:14">
      <c r="A154" s="1">
        <v>12</v>
      </c>
      <c r="B154" s="70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0.13682492368917237</v>
      </c>
    </row>
    <row r="155" spans="1:14">
      <c r="A155" s="1">
        <v>13</v>
      </c>
      <c r="B155" s="70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0.11936726931516636</v>
      </c>
      <c r="I155" s="21">
        <f>AVERAGE(F153:F155)</f>
        <v>4.2573333333333325</v>
      </c>
      <c r="J155" s="21">
        <f>AVERAGE(G153:G155)</f>
        <v>0.14188363326057804</v>
      </c>
      <c r="L155">
        <f>+J155/I155</f>
        <v>3.3326879093464941E-2</v>
      </c>
      <c r="M155">
        <f>+(L155-$L$927)/$L$928</f>
        <v>0.63264900663400803</v>
      </c>
      <c r="N155">
        <f>+N152+M155</f>
        <v>4.5927101842303157</v>
      </c>
    </row>
    <row r="156" spans="1:14">
      <c r="A156" s="1">
        <v>11</v>
      </c>
      <c r="B156" s="70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4.9257430716762342E-2</v>
      </c>
    </row>
    <row r="157" spans="1:14">
      <c r="A157" s="1">
        <v>12</v>
      </c>
      <c r="B157" s="70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3.9365345337830961E-2</v>
      </c>
    </row>
    <row r="158" spans="1:14">
      <c r="A158" s="1">
        <v>13</v>
      </c>
      <c r="B158" s="70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3.8575275212569753E-2</v>
      </c>
      <c r="I158" s="21">
        <f>AVERAGE(F156:F158)</f>
        <v>9.587133333333334</v>
      </c>
      <c r="J158" s="21">
        <f>AVERAGE(G156:G158)</f>
        <v>4.2399350422387683E-2</v>
      </c>
      <c r="L158">
        <f>+J158/I158</f>
        <v>4.4225264162093304E-3</v>
      </c>
      <c r="M158">
        <f>+(L158-$L$927)/$L$928</f>
        <v>-0.64997861219059139</v>
      </c>
      <c r="N158">
        <f>+N155+M158</f>
        <v>3.9427315720397242</v>
      </c>
    </row>
    <row r="159" spans="1:14">
      <c r="A159" s="1">
        <v>11</v>
      </c>
      <c r="B159" s="70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0.33397054537147164</v>
      </c>
    </row>
    <row r="160" spans="1:14">
      <c r="A160" s="1">
        <v>12</v>
      </c>
      <c r="B160" s="70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0.15392051521273245</v>
      </c>
    </row>
    <row r="161" spans="1:14">
      <c r="A161" s="1">
        <v>13</v>
      </c>
      <c r="B161" s="70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0.23408982207284412</v>
      </c>
      <c r="I161" s="21">
        <f>AVERAGE(F159:F161)</f>
        <v>8.7356999999999996</v>
      </c>
      <c r="J161" s="21">
        <f>AVERAGE(G159:G161)</f>
        <v>0.24066029421901605</v>
      </c>
      <c r="L161">
        <f>+J161/I161</f>
        <v>2.7549056654763336E-2</v>
      </c>
      <c r="M161">
        <f>+(L161-$L$927)/$L$928</f>
        <v>0.37625874184269098</v>
      </c>
      <c r="N161">
        <f>+N158+M161</f>
        <v>4.3189903138824155</v>
      </c>
    </row>
    <row r="162" spans="1:14">
      <c r="A162" s="1">
        <v>11</v>
      </c>
      <c r="B162" s="70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0.18406605091588557</v>
      </c>
    </row>
    <row r="163" spans="1:14">
      <c r="A163" s="1">
        <v>12</v>
      </c>
      <c r="B163" s="70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0.25464506174903367</v>
      </c>
    </row>
    <row r="164" spans="1:14">
      <c r="A164" s="1">
        <v>13</v>
      </c>
      <c r="B164" s="70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0.34106172905722992</v>
      </c>
      <c r="I164" s="21">
        <f>AVERAGE(F162:F164)</f>
        <v>6.6494666666666662</v>
      </c>
      <c r="J164" s="21">
        <f>AVERAGE(G162:G164)</f>
        <v>0.25992428057404976</v>
      </c>
      <c r="L164">
        <f>+J164/I164</f>
        <v>3.9089492977990685E-2</v>
      </c>
      <c r="M164">
        <f>+(L164-$L$927)/$L$928</f>
        <v>0.88836439342870765</v>
      </c>
      <c r="N164">
        <f>+N161+M164</f>
        <v>5.207354707311123</v>
      </c>
    </row>
    <row r="165" spans="1:14">
      <c r="A165" s="1">
        <v>11</v>
      </c>
      <c r="B165" s="70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6.5263731479753867E-2</v>
      </c>
    </row>
    <row r="166" spans="1:14">
      <c r="A166" s="1">
        <v>12</v>
      </c>
      <c r="B166" s="70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5.2192355365586224E-2</v>
      </c>
    </row>
    <row r="167" spans="1:14">
      <c r="A167" s="1">
        <v>13</v>
      </c>
      <c r="B167" s="70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4.0618298143635732E-2</v>
      </c>
      <c r="I167" s="21">
        <f>AVERAGE(F165:F167)</f>
        <v>2.5074999999999998</v>
      </c>
      <c r="J167" s="21">
        <f>AVERAGE(G165:G167)</f>
        <v>5.2691461662991941E-2</v>
      </c>
      <c r="L167">
        <f>+J167/I167</f>
        <v>2.1013544033097485E-2</v>
      </c>
      <c r="M167">
        <f>+(L167-$L$927)/$L$928</f>
        <v>8.6246054642069248E-2</v>
      </c>
      <c r="N167">
        <f>+N164+M167</f>
        <v>5.2936007619531926</v>
      </c>
    </row>
    <row r="168" spans="1:14">
      <c r="A168" s="1">
        <v>11</v>
      </c>
      <c r="B168" s="70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0.20867167585237326</v>
      </c>
    </row>
    <row r="169" spans="1:14">
      <c r="A169" s="1">
        <v>12</v>
      </c>
      <c r="B169" s="70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0.12655352138126949</v>
      </c>
    </row>
    <row r="170" spans="1:14">
      <c r="A170" s="1">
        <v>13</v>
      </c>
      <c r="B170" s="70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0.1810841132355917</v>
      </c>
      <c r="I170" s="21">
        <f>AVERAGE(F168:F170)</f>
        <v>3.6103999999999998</v>
      </c>
      <c r="J170" s="21">
        <f>AVERAGE(G168:G170)</f>
        <v>0.17210310348974481</v>
      </c>
      <c r="L170">
        <f>+J170/I170</f>
        <v>4.7668708035050085E-2</v>
      </c>
      <c r="M170">
        <f>+(L170-$L$927)/$L$928</f>
        <v>1.2690661618747825</v>
      </c>
      <c r="N170">
        <f>+N167+M170</f>
        <v>6.5626669238279751</v>
      </c>
    </row>
    <row r="171" spans="1:14">
      <c r="A171" s="1">
        <v>11</v>
      </c>
      <c r="B171" s="70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0.23024114308043489</v>
      </c>
    </row>
    <row r="172" spans="1:14">
      <c r="A172" s="1">
        <v>12</v>
      </c>
      <c r="B172" s="70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0.20919179113905606</v>
      </c>
    </row>
    <row r="173" spans="1:14">
      <c r="A173" s="1">
        <v>13</v>
      </c>
      <c r="B173" s="70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0.25846215017468394</v>
      </c>
      <c r="I173" s="21">
        <f>AVERAGE(F171:F173)</f>
        <v>8.4931999999999999</v>
      </c>
      <c r="J173" s="21">
        <f>AVERAGE(G171:G173)</f>
        <v>0.23263169479805831</v>
      </c>
      <c r="L173">
        <f>+J173/I173</f>
        <v>2.7390346959692263E-2</v>
      </c>
      <c r="M173">
        <f>+(L173-$L$927)/$L$928</f>
        <v>0.36921601576795793</v>
      </c>
      <c r="N173">
        <f>+N170+M173</f>
        <v>6.9318829395959334</v>
      </c>
    </row>
    <row r="174" spans="1:14">
      <c r="A174" s="1">
        <v>11</v>
      </c>
      <c r="B174" s="70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0.18122687970976248</v>
      </c>
    </row>
    <row r="175" spans="1:14">
      <c r="A175" s="1">
        <v>12</v>
      </c>
      <c r="B175" s="70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7.5135736232372713E-2</v>
      </c>
    </row>
    <row r="176" spans="1:14">
      <c r="A176" s="1">
        <v>13</v>
      </c>
      <c r="B176" s="70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0.3133429785884394</v>
      </c>
      <c r="I176" s="21">
        <f>AVERAGE(F174:F176)</f>
        <v>11.336566666666664</v>
      </c>
      <c r="J176" s="21">
        <f>AVERAGE(G174:G176)</f>
        <v>0.18990186484352486</v>
      </c>
      <c r="L176">
        <f>+J176/I176</f>
        <v>1.6751267859774557E-2</v>
      </c>
      <c r="M176">
        <f>+(L176-$L$927)/$L$928</f>
        <v>-0.10289200355993443</v>
      </c>
      <c r="N176">
        <f>+N173+M176</f>
        <v>6.828990936035999</v>
      </c>
    </row>
    <row r="177" spans="1:14">
      <c r="A177" s="1">
        <v>11</v>
      </c>
      <c r="B177" s="70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</row>
    <row r="178" spans="1:14">
      <c r="A178" s="1">
        <v>12</v>
      </c>
      <c r="B178" s="70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</row>
    <row r="179" spans="1:14">
      <c r="A179" s="1">
        <v>13</v>
      </c>
      <c r="B179" s="70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I179" s="21">
        <f>AVERAGE(F177:F179)</f>
        <v>11.211766666666668</v>
      </c>
      <c r="J179" s="21" t="e">
        <f>AVERAGE(G177:G179)</f>
        <v>#DIV/0!</v>
      </c>
    </row>
    <row r="180" spans="1:14">
      <c r="A180" s="1">
        <v>11</v>
      </c>
      <c r="B180" s="70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1.7273895707203366E-2</v>
      </c>
    </row>
    <row r="181" spans="1:14">
      <c r="A181" s="1">
        <v>12</v>
      </c>
      <c r="B181" s="70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1.6024531170876152E-2</v>
      </c>
    </row>
    <row r="182" spans="1:14">
      <c r="A182" s="1">
        <v>13</v>
      </c>
      <c r="B182" s="70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</v>
      </c>
      <c r="I182" s="21">
        <f>AVERAGE(F180:F182)</f>
        <v>3.9800000000000004</v>
      </c>
      <c r="J182" s="21">
        <f>AVERAGE(G180:G182)</f>
        <v>1.1099475626026506E-2</v>
      </c>
      <c r="L182">
        <f>+J182/I182</f>
        <v>2.7888129713634436E-3</v>
      </c>
      <c r="M182">
        <f>+(L182-$L$927)/$L$928</f>
        <v>-0.7224744749764509</v>
      </c>
      <c r="N182">
        <f>+N176+M182</f>
        <v>6.1065164610595479</v>
      </c>
    </row>
    <row r="183" spans="1:14">
      <c r="A183" s="1">
        <v>11</v>
      </c>
      <c r="B183" s="70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2.647261391745221E-2</v>
      </c>
    </row>
    <row r="184" spans="1:14">
      <c r="A184" s="1">
        <v>12</v>
      </c>
      <c r="B184" s="70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1.5406273755327824E-2</v>
      </c>
    </row>
    <row r="185" spans="1:14">
      <c r="A185" s="1">
        <v>13</v>
      </c>
      <c r="B185" s="70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7.3496285453922311E-2</v>
      </c>
      <c r="I185" s="21">
        <f>AVERAGE(F183:F185)</f>
        <v>5.8757566666666667</v>
      </c>
      <c r="J185" s="21">
        <f>AVERAGE(G183:G185)</f>
        <v>3.8458391042234114E-2</v>
      </c>
      <c r="L185">
        <f>+J185/I185</f>
        <v>6.5452661204317142E-3</v>
      </c>
      <c r="M185">
        <f>+(L185-$L$927)/$L$928</f>
        <v>-0.5557822604295769</v>
      </c>
      <c r="N185">
        <f>+N182+M185</f>
        <v>5.5507342006299707</v>
      </c>
    </row>
    <row r="186" spans="1:14">
      <c r="A186" s="1">
        <v>11</v>
      </c>
      <c r="B186" s="70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4.3714278544189432E-2</v>
      </c>
    </row>
    <row r="187" spans="1:14">
      <c r="A187" s="1">
        <v>12</v>
      </c>
      <c r="B187" s="70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3.8173183723446073E-2</v>
      </c>
    </row>
    <row r="188" spans="1:14">
      <c r="A188" s="1">
        <v>13</v>
      </c>
      <c r="B188" s="70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2.6062967438509905E-2</v>
      </c>
      <c r="I188" s="21">
        <f>AVERAGE(F186:F188)</f>
        <v>4.4954200000000002</v>
      </c>
      <c r="J188" s="21">
        <f>AVERAGE(G186:G188)</f>
        <v>3.5983476568715138E-2</v>
      </c>
      <c r="L188">
        <f>+J188/I188</f>
        <v>8.0044749030602561E-3</v>
      </c>
      <c r="M188">
        <f>+(L188-$L$927)/$L$928</f>
        <v>-0.49103002372913213</v>
      </c>
      <c r="N188">
        <f>+N185+M188</f>
        <v>5.0597041769008388</v>
      </c>
    </row>
    <row r="189" spans="1:14">
      <c r="A189" s="1">
        <v>11</v>
      </c>
      <c r="B189" s="70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7.1450037037066344E-2</v>
      </c>
    </row>
    <row r="190" spans="1:14">
      <c r="A190" s="1">
        <v>12</v>
      </c>
      <c r="B190" s="70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4.5992473272129256E-2</v>
      </c>
    </row>
    <row r="191" spans="1:14">
      <c r="A191" s="1">
        <v>13</v>
      </c>
      <c r="B191" s="70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4.7913671390033628E-2</v>
      </c>
      <c r="I191" s="21">
        <f>AVERAGE(F189:F191)</f>
        <v>8.2996399999999984</v>
      </c>
      <c r="J191" s="21">
        <f>AVERAGE(G189:G191)</f>
        <v>5.5118727233076405E-2</v>
      </c>
      <c r="L191">
        <f>+J191/I191</f>
        <v>6.6410985576574903E-3</v>
      </c>
      <c r="M191">
        <f>+(L191-$L$927)/$L$928</f>
        <v>-0.55152970607772733</v>
      </c>
      <c r="N191">
        <f>+N188+M191</f>
        <v>4.5081744708231115</v>
      </c>
    </row>
    <row r="192" spans="1:14">
      <c r="A192" s="1">
        <v>11</v>
      </c>
      <c r="B192" s="75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7.5478566565867031E-2</v>
      </c>
    </row>
    <row r="193" spans="1:14">
      <c r="A193" s="1">
        <v>12</v>
      </c>
      <c r="B193" s="75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7.2708783467580751E-2</v>
      </c>
    </row>
    <row r="194" spans="1:14">
      <c r="A194" s="1">
        <v>13</v>
      </c>
      <c r="B194" s="75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6.0740527535524697E-2</v>
      </c>
      <c r="I194" s="21">
        <f>AVERAGE(F192:F194)</f>
        <v>6.4998633333333329</v>
      </c>
      <c r="J194" s="21">
        <f>AVERAGE(G192:G194)</f>
        <v>6.9642625856324164E-2</v>
      </c>
      <c r="L194">
        <f>+J194/I194</f>
        <v>1.0714475410455938E-2</v>
      </c>
      <c r="M194">
        <f>+(L194-$L$927)/$L$928</f>
        <v>-0.37077403541393528</v>
      </c>
      <c r="N194">
        <f>+N191+M194</f>
        <v>4.1374004354091767</v>
      </c>
    </row>
    <row r="195" spans="1:14">
      <c r="A195" s="1">
        <v>11</v>
      </c>
      <c r="B195" s="75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0.35404087982700283</v>
      </c>
    </row>
    <row r="196" spans="1:14">
      <c r="A196" s="1">
        <v>12</v>
      </c>
      <c r="B196" s="75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0.35326072116846241</v>
      </c>
    </row>
    <row r="197" spans="1:14">
      <c r="A197" s="1">
        <v>13</v>
      </c>
      <c r="B197" s="75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7.9025243046809829E-2</v>
      </c>
      <c r="I197" s="21">
        <f>AVERAGE(F195:F197)</f>
        <v>6.8056066666666659</v>
      </c>
      <c r="J197" s="21">
        <f>AVERAGE(G195:G197)</f>
        <v>0.26210894801409168</v>
      </c>
      <c r="L197">
        <f>+J197/I197</f>
        <v>3.8513678625871961E-2</v>
      </c>
      <c r="M197">
        <f>+(L197-$L$927)/$L$928</f>
        <v>0.86281269193967114</v>
      </c>
      <c r="N197">
        <f>+N194+M197</f>
        <v>5.0002131273488475</v>
      </c>
    </row>
    <row r="198" spans="1:14">
      <c r="A198" s="1">
        <v>11</v>
      </c>
      <c r="B198" s="75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0.76093816727360153</v>
      </c>
    </row>
    <row r="199" spans="1:14">
      <c r="A199" s="1">
        <v>12</v>
      </c>
      <c r="B199" s="75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0.49424851163647865</v>
      </c>
    </row>
    <row r="200" spans="1:14">
      <c r="A200" s="1">
        <v>13</v>
      </c>
      <c r="B200" s="75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0.17070164297739318</v>
      </c>
      <c r="I200" s="21">
        <f>AVERAGE(F198:F200)</f>
        <v>1.9632033333333332</v>
      </c>
      <c r="J200" s="21">
        <f>AVERAGE(G198:G200)</f>
        <v>0.47529610729582444</v>
      </c>
      <c r="L200">
        <f>+J200/I200</f>
        <v>0.24210233307255888</v>
      </c>
      <c r="M200">
        <f>+(L200-$L$927)/$L$928</f>
        <v>9.8970378824638701</v>
      </c>
      <c r="N200">
        <f>+N197+M200</f>
        <v>14.897251009812717</v>
      </c>
    </row>
    <row r="201" spans="1:14">
      <c r="A201" s="1">
        <v>11</v>
      </c>
      <c r="B201" s="75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6.3574632882968787E-2</v>
      </c>
    </row>
    <row r="202" spans="1:14">
      <c r="A202" s="1">
        <v>12</v>
      </c>
      <c r="B202" s="75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4.6892023323111313E-2</v>
      </c>
    </row>
    <row r="203" spans="1:14">
      <c r="A203" s="1">
        <v>13</v>
      </c>
      <c r="B203" s="75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4.7706651195047224E-2</v>
      </c>
      <c r="I203" s="21">
        <f>AVERAGE(F201:F203)</f>
        <v>4.5291933333333327</v>
      </c>
      <c r="J203" s="21">
        <f>AVERAGE(G201:G203)</f>
        <v>5.2724435800375773E-2</v>
      </c>
      <c r="L203">
        <f>+J203/I203</f>
        <v>1.1641021241540241E-2</v>
      </c>
      <c r="M203">
        <f>+(L203-$L$927)/$L$928</f>
        <v>-0.32965866132736515</v>
      </c>
      <c r="N203">
        <f>+N200+M203</f>
        <v>14.567592348485352</v>
      </c>
    </row>
    <row r="204" spans="1:14">
      <c r="A204" s="1">
        <v>11</v>
      </c>
      <c r="B204" s="75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3.4772556754998817E-2</v>
      </c>
    </row>
    <row r="205" spans="1:14">
      <c r="A205" s="1">
        <v>12</v>
      </c>
      <c r="B205" s="75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3.1857814694829234E-2</v>
      </c>
    </row>
    <row r="206" spans="1:14">
      <c r="A206" s="1">
        <v>13</v>
      </c>
      <c r="B206" s="75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3.2253084532680228E-2</v>
      </c>
      <c r="I206" s="21">
        <f>AVERAGE(F204:F206)</f>
        <v>2.2742966666666669</v>
      </c>
      <c r="J206" s="21">
        <f>AVERAGE(G204:G206)</f>
        <v>3.2961151994169428E-2</v>
      </c>
      <c r="L206">
        <f>+J206/I206</f>
        <v>1.4492899047545582E-2</v>
      </c>
      <c r="M206">
        <f>+(L206-$L$927)/$L$928</f>
        <v>-0.20310688276518007</v>
      </c>
      <c r="N206">
        <f>+N203+M206</f>
        <v>14.364485465720172</v>
      </c>
    </row>
    <row r="207" spans="1:14">
      <c r="A207" s="1">
        <v>11</v>
      </c>
      <c r="B207" s="75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8.7379743602930618E-2</v>
      </c>
    </row>
    <row r="208" spans="1:14">
      <c r="A208" s="1">
        <v>12</v>
      </c>
      <c r="B208" s="75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7.8043282531859132E-2</v>
      </c>
    </row>
    <row r="209" spans="1:14">
      <c r="A209" s="1">
        <v>13</v>
      </c>
      <c r="B209" s="75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6.2236623460820858E-2</v>
      </c>
      <c r="I209" s="21">
        <f>AVERAGE(F207:F209)</f>
        <v>6.3977533333333341</v>
      </c>
      <c r="J209" s="21">
        <f>AVERAGE(G207:G209)</f>
        <v>7.5886549865203545E-2</v>
      </c>
      <c r="L209">
        <f>+J209/I209</f>
        <v>1.1861437275148183E-2</v>
      </c>
      <c r="M209">
        <f>+(L209-$L$927)/$L$928</f>
        <v>-0.31987772295126449</v>
      </c>
      <c r="N209">
        <f>+N206+M209</f>
        <v>14.044607742768907</v>
      </c>
    </row>
    <row r="210" spans="1:14">
      <c r="A210" s="1">
        <v>11</v>
      </c>
      <c r="B210" s="75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0.48372881875535212</v>
      </c>
    </row>
    <row r="211" spans="1:14">
      <c r="A211" s="1">
        <v>12</v>
      </c>
      <c r="B211" s="75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0.80734781315962179</v>
      </c>
    </row>
    <row r="212" spans="1:14">
      <c r="A212" s="1">
        <v>13</v>
      </c>
      <c r="B212" s="75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0.5862258115030704</v>
      </c>
      <c r="I212" s="21">
        <f>AVERAGE(F210:F212)</f>
        <v>15.072253333333334</v>
      </c>
      <c r="J212" s="21">
        <f>AVERAGE(G210:G212)</f>
        <v>0.6257674811393481</v>
      </c>
      <c r="L212">
        <f>+J212/I212</f>
        <v>4.1517845228584364E-2</v>
      </c>
      <c r="M212">
        <f>+(L212-$L$927)/$L$928</f>
        <v>0.99612226988505237</v>
      </c>
      <c r="N212">
        <f>+N209+M212</f>
        <v>15.04073001265396</v>
      </c>
    </row>
    <row r="213" spans="1:14">
      <c r="A213" s="1">
        <v>11</v>
      </c>
      <c r="B213" s="75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0.14075532547653286</v>
      </c>
    </row>
    <row r="214" spans="1:14">
      <c r="A214" s="1">
        <v>12</v>
      </c>
      <c r="B214" s="75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9.9714731176877111E-2</v>
      </c>
    </row>
    <row r="215" spans="1:14">
      <c r="A215" s="1">
        <v>13</v>
      </c>
      <c r="B215" s="75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0.24314447957205104</v>
      </c>
      <c r="I215" s="21">
        <f>AVERAGE(F213:F215)</f>
        <v>10.613483333333333</v>
      </c>
      <c r="J215" s="21">
        <f>AVERAGE(G213:G215)</f>
        <v>0.16120484540848701</v>
      </c>
      <c r="L215">
        <f>+J215/I215</f>
        <v>1.5188684086608733E-2</v>
      </c>
      <c r="M215">
        <f>+(L215-$L$927)/$L$928</f>
        <v>-0.17223149462443155</v>
      </c>
      <c r="N215">
        <f>+N212+M215</f>
        <v>14.868498518029527</v>
      </c>
    </row>
    <row r="216" spans="1:14">
      <c r="A216" s="1">
        <v>11</v>
      </c>
      <c r="B216" s="75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0.11106202592328614</v>
      </c>
    </row>
    <row r="217" spans="1:14">
      <c r="A217" s="1">
        <v>12</v>
      </c>
      <c r="B217" s="75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8.872255946404739E-2</v>
      </c>
    </row>
    <row r="218" spans="1:14">
      <c r="A218" s="1">
        <v>13</v>
      </c>
      <c r="B218" s="75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0.21709032411661716</v>
      </c>
      <c r="I218" s="21">
        <f>AVERAGE(F216:F218)</f>
        <v>10.224086666666667</v>
      </c>
      <c r="J218" s="21">
        <f>AVERAGE(G216:G218)</f>
        <v>0.13895830316798355</v>
      </c>
      <c r="L218">
        <f>+J218/I218</f>
        <v>1.3591268119921736E-2</v>
      </c>
      <c r="M218">
        <f>+(L218-$L$927)/$L$928</f>
        <v>-0.24311666062354348</v>
      </c>
      <c r="N218">
        <f>+N215+M218</f>
        <v>14.625381857405984</v>
      </c>
    </row>
    <row r="219" spans="1:14">
      <c r="A219" s="1">
        <v>11</v>
      </c>
      <c r="B219" s="75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1.26E-2</v>
      </c>
    </row>
    <row r="220" spans="1:14">
      <c r="A220" s="1">
        <v>12</v>
      </c>
      <c r="B220" s="75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1.03E-2</v>
      </c>
    </row>
    <row r="221" spans="1:14">
      <c r="A221" s="1">
        <v>13</v>
      </c>
      <c r="B221" s="75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1.1900000000000001E-2</v>
      </c>
      <c r="I221" s="21">
        <f>AVERAGE(F219:F221)</f>
        <v>5.7648000000000001</v>
      </c>
      <c r="J221" s="21">
        <f>AVERAGE(G219:G221)</f>
        <v>1.1599999999999999E-2</v>
      </c>
      <c r="L221">
        <f>+J221/I221</f>
        <v>2.0122120455176242E-3</v>
      </c>
      <c r="M221">
        <f>+(L221-$L$927)/$L$928</f>
        <v>-0.75693605961793675</v>
      </c>
      <c r="N221">
        <f>+N218+M221</f>
        <v>13.868445797788047</v>
      </c>
    </row>
    <row r="222" spans="1:14">
      <c r="A222" s="1">
        <v>11</v>
      </c>
      <c r="B222" s="75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1.43E-2</v>
      </c>
    </row>
    <row r="223" spans="1:14">
      <c r="A223" s="1">
        <v>12</v>
      </c>
      <c r="B223" s="75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1.35E-2</v>
      </c>
    </row>
    <row r="224" spans="1:14">
      <c r="A224" s="1">
        <v>13</v>
      </c>
      <c r="B224" s="75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1.2800000000000001E-2</v>
      </c>
      <c r="I224" s="21">
        <f>AVERAGE(F222:F224)</f>
        <v>4.0482666666666667</v>
      </c>
      <c r="J224" s="21">
        <f>AVERAGE(G222:G224)</f>
        <v>1.3533333333333333E-2</v>
      </c>
      <c r="L224">
        <f>+J224/I224</f>
        <v>3.3429945326394835E-3</v>
      </c>
      <c r="M224">
        <f>+(L224-$L$927)/$L$928</f>
        <v>-0.69788272631240589</v>
      </c>
      <c r="N224">
        <f>+N221+M224</f>
        <v>13.170563071475641</v>
      </c>
    </row>
    <row r="225" spans="1:14">
      <c r="A225" s="1">
        <v>11</v>
      </c>
      <c r="B225" s="75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2.7799999999999998E-2</v>
      </c>
    </row>
    <row r="226" spans="1:14">
      <c r="A226" s="1">
        <v>12</v>
      </c>
      <c r="B226" s="75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2.2499999999999999E-2</v>
      </c>
    </row>
    <row r="227" spans="1:14">
      <c r="A227" s="1">
        <v>13</v>
      </c>
      <c r="B227" s="75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3.3000000000000002E-2</v>
      </c>
      <c r="I227" s="21">
        <f>AVERAGE(F225:F227)</f>
        <v>5.0528000000000004</v>
      </c>
      <c r="J227" s="21">
        <f>AVERAGE(G225:G227)</f>
        <v>2.7766666666666665E-2</v>
      </c>
      <c r="L227">
        <f>+J227/I227</f>
        <v>5.4953029343466318E-3</v>
      </c>
      <c r="M227">
        <f>+(L227-$L$927)/$L$928</f>
        <v>-0.60237426670140404</v>
      </c>
      <c r="N227">
        <f>+N224+M227</f>
        <v>12.568188804774238</v>
      </c>
    </row>
    <row r="228" spans="1:14">
      <c r="A228" s="5">
        <v>11</v>
      </c>
      <c r="B228" s="75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0.21029999999999999</v>
      </c>
    </row>
    <row r="229" spans="1:14">
      <c r="A229" s="5">
        <v>12</v>
      </c>
      <c r="B229" s="75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0.24990000000000001</v>
      </c>
    </row>
    <row r="230" spans="1:14">
      <c r="A230" s="5">
        <v>13</v>
      </c>
      <c r="B230" s="75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0.19739999999999999</v>
      </c>
      <c r="I230" s="21">
        <f>AVERAGE(F228:F230)</f>
        <v>4.2113666666666667</v>
      </c>
      <c r="J230" s="21">
        <f>AVERAGE(G228:G230)</f>
        <v>0.21919999999999998</v>
      </c>
      <c r="L230">
        <f>+J230/I230</f>
        <v>5.2049611764985231E-2</v>
      </c>
      <c r="M230">
        <f>+(L230-$L$927)/$L$928</f>
        <v>1.4634683054608617</v>
      </c>
      <c r="N230">
        <f>+N227+M230</f>
        <v>14.031657110235098</v>
      </c>
    </row>
    <row r="231" spans="1:14">
      <c r="A231" s="5">
        <v>11</v>
      </c>
      <c r="B231" s="75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9.1600000000000001E-2</v>
      </c>
    </row>
    <row r="232" spans="1:14">
      <c r="A232" s="5">
        <v>12</v>
      </c>
      <c r="B232" s="75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6.8599999999999994E-2</v>
      </c>
    </row>
    <row r="233" spans="1:14">
      <c r="A233" s="5">
        <v>13</v>
      </c>
      <c r="B233" s="75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8.9800000000000005E-2</v>
      </c>
      <c r="I233" s="21">
        <f>AVERAGE(F231:F233)</f>
        <v>3.5848666666666666</v>
      </c>
      <c r="J233" s="21">
        <f>AVERAGE(G231:G233)</f>
        <v>8.3333333333333329E-2</v>
      </c>
      <c r="L233">
        <f>+J233/I233</f>
        <v>2.324586688486787E-2</v>
      </c>
      <c r="M233">
        <f>+(L233-$L$927)/$L$928</f>
        <v>0.1853051470834311</v>
      </c>
      <c r="N233">
        <f>+N230+M233</f>
        <v>14.21696225731853</v>
      </c>
    </row>
    <row r="234" spans="1:14">
      <c r="A234" s="5">
        <v>11</v>
      </c>
      <c r="B234" s="75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3.85E-2</v>
      </c>
    </row>
    <row r="235" spans="1:14">
      <c r="A235" s="5">
        <v>12</v>
      </c>
      <c r="B235" s="75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3.6299999999999999E-2</v>
      </c>
    </row>
    <row r="236" spans="1:14">
      <c r="A236" s="5">
        <v>13</v>
      </c>
      <c r="B236" s="75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3.0499999999999999E-2</v>
      </c>
      <c r="I236" s="21">
        <f>AVERAGE(F234:F236)</f>
        <v>4.2099000000000002</v>
      </c>
      <c r="J236" s="21">
        <f>AVERAGE(G234:G236)</f>
        <v>3.5099999999999999E-2</v>
      </c>
      <c r="L236">
        <f>+J236/I236</f>
        <v>8.3374902016674982E-3</v>
      </c>
      <c r="M236">
        <f>+(L236-$L$927)/$L$928</f>
        <v>-0.47625250477708603</v>
      </c>
      <c r="N236">
        <f>+N233+M236</f>
        <v>13.740709752541443</v>
      </c>
    </row>
    <row r="237" spans="1:14">
      <c r="A237" s="5">
        <v>11</v>
      </c>
      <c r="B237" s="74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3.4599999999999999E-2</v>
      </c>
    </row>
    <row r="238" spans="1:14">
      <c r="A238" s="5">
        <v>12</v>
      </c>
      <c r="B238" s="74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2.5000000000000001E-2</v>
      </c>
    </row>
    <row r="239" spans="1:14">
      <c r="A239" s="5">
        <v>13</v>
      </c>
      <c r="B239" s="74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1.09E-2</v>
      </c>
      <c r="I239" s="21">
        <f>AVERAGE(F237:F239)</f>
        <v>3.2113</v>
      </c>
      <c r="J239" s="21">
        <f>AVERAGE(G237:G239)</f>
        <v>2.3500000000000004E-2</v>
      </c>
      <c r="L239">
        <f>+J239/I239</f>
        <v>7.3179086351321905E-3</v>
      </c>
      <c r="M239">
        <f>+(L239-$L$927)/$L$928</f>
        <v>-0.52149632986754302</v>
      </c>
      <c r="N239">
        <f>+N236+M239</f>
        <v>13.219213422673899</v>
      </c>
    </row>
    <row r="240" spans="1:14">
      <c r="A240" s="5">
        <v>11</v>
      </c>
      <c r="B240" s="74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3.1800000000000002E-2</v>
      </c>
    </row>
    <row r="241" spans="1:14">
      <c r="A241" s="5">
        <v>12</v>
      </c>
      <c r="B241" s="74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1.54E-2</v>
      </c>
    </row>
    <row r="242" spans="1:14">
      <c r="A242" s="5">
        <v>13</v>
      </c>
      <c r="B242" s="74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3.7499999999999999E-2</v>
      </c>
      <c r="I242" s="21">
        <f>AVERAGE(F240:F242)</f>
        <v>4.9666000000000006</v>
      </c>
      <c r="J242" s="21">
        <f>AVERAGE(G240:G242)</f>
        <v>2.8233333333333333E-2</v>
      </c>
      <c r="L242">
        <f>+J242/I242</f>
        <v>5.6846400622827141E-3</v>
      </c>
      <c r="M242">
        <f>+(L242-$L$927)/$L$928</f>
        <v>-0.59397245150521594</v>
      </c>
      <c r="N242">
        <f>+N239+M242</f>
        <v>12.625240971168683</v>
      </c>
    </row>
    <row r="243" spans="1:14">
      <c r="A243" s="5">
        <v>11</v>
      </c>
      <c r="B243" s="74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0.23100000000000001</v>
      </c>
    </row>
    <row r="244" spans="1:14">
      <c r="A244" s="5">
        <v>12</v>
      </c>
      <c r="B244" s="74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0.19189999999999999</v>
      </c>
    </row>
    <row r="245" spans="1:14">
      <c r="A245" s="5">
        <v>13</v>
      </c>
      <c r="B245" s="74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0.21729999999999999</v>
      </c>
      <c r="I245" s="21">
        <f>AVERAGE(F243:F245)</f>
        <v>9.6408333333333331</v>
      </c>
      <c r="J245" s="21">
        <f>AVERAGE(G243:G245)</f>
        <v>0.21340000000000001</v>
      </c>
      <c r="L245">
        <f>+J245/I245</f>
        <v>2.2135015991010459E-2</v>
      </c>
      <c r="M245">
        <f>+(L245-$L$927)/$L$928</f>
        <v>0.13601125516456208</v>
      </c>
      <c r="N245">
        <f>+N242+M245</f>
        <v>12.761252226333244</v>
      </c>
    </row>
    <row r="246" spans="1:14">
      <c r="A246" s="5">
        <v>11</v>
      </c>
      <c r="B246" s="74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0.1336</v>
      </c>
    </row>
    <row r="247" spans="1:14">
      <c r="A247" s="5">
        <v>12</v>
      </c>
      <c r="B247" s="74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0.13039999999999999</v>
      </c>
    </row>
    <row r="248" spans="1:14">
      <c r="A248" s="5">
        <v>13</v>
      </c>
      <c r="B248" s="74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4.8500000000000001E-2</v>
      </c>
      <c r="I248" s="21">
        <f>AVERAGE(F246:F248)</f>
        <v>9.3822666666666663</v>
      </c>
      <c r="J248" s="21">
        <f>AVERAGE(G246:G248)</f>
        <v>0.10416666666666667</v>
      </c>
      <c r="L248">
        <f>+J248/I248</f>
        <v>1.1102505435786662E-2</v>
      </c>
      <c r="M248">
        <f>+(L248-$L$927)/$L$928</f>
        <v>-0.35355524373298453</v>
      </c>
      <c r="N248">
        <f>+N245+M248</f>
        <v>12.40769698260026</v>
      </c>
    </row>
    <row r="249" spans="1:14">
      <c r="A249" s="5">
        <v>11</v>
      </c>
      <c r="B249" s="74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8.2299999999999998E-2</v>
      </c>
    </row>
    <row r="250" spans="1:14">
      <c r="A250" s="5">
        <v>12</v>
      </c>
      <c r="B250" s="74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3.9600000000000003E-2</v>
      </c>
    </row>
    <row r="251" spans="1:14">
      <c r="A251" s="5">
        <v>13</v>
      </c>
      <c r="B251" s="74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6.5600000000000006E-2</v>
      </c>
      <c r="I251" s="21">
        <f>AVERAGE(F249:F251)</f>
        <v>9.8842999999999996</v>
      </c>
      <c r="J251" s="21">
        <f>AVERAGE(G249:G251)</f>
        <v>6.25E-2</v>
      </c>
      <c r="L251">
        <f>+J251/I251</f>
        <v>6.3231589490403972E-3</v>
      </c>
      <c r="M251">
        <f>+(L251-$L$927)/$L$928</f>
        <v>-0.56563824286746345</v>
      </c>
      <c r="N251">
        <f>+N248+M251</f>
        <v>11.842058739732797</v>
      </c>
    </row>
    <row r="252" spans="1:14">
      <c r="A252" s="5">
        <v>11</v>
      </c>
      <c r="B252" s="74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6.3100000000000003E-2</v>
      </c>
    </row>
    <row r="253" spans="1:14">
      <c r="A253" s="5">
        <v>12</v>
      </c>
      <c r="B253" s="74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2.18E-2</v>
      </c>
    </row>
    <row r="254" spans="1:14">
      <c r="A254" s="5">
        <v>13</v>
      </c>
      <c r="B254" s="74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4.9299999999999997E-2</v>
      </c>
      <c r="I254" s="21">
        <f>AVERAGE(F252:F254)</f>
        <v>3.7456999999999998</v>
      </c>
      <c r="J254" s="21">
        <f>AVERAGE(G252:G254)</f>
        <v>4.4733333333333326E-2</v>
      </c>
      <c r="L254">
        <f>+J254/I254</f>
        <v>1.1942583050787124E-2</v>
      </c>
      <c r="M254">
        <f>+(L254-$L$927)/$L$928</f>
        <v>-0.31627688766712581</v>
      </c>
      <c r="N254">
        <f>+N251+M254</f>
        <v>11.525781852065672</v>
      </c>
    </row>
    <row r="255" spans="1:14">
      <c r="A255" s="5">
        <v>11</v>
      </c>
      <c r="B255" s="74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2.7E-2</v>
      </c>
    </row>
    <row r="256" spans="1:14">
      <c r="A256" s="5">
        <v>12</v>
      </c>
      <c r="B256" s="74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2.9000000000000001E-2</v>
      </c>
    </row>
    <row r="257" spans="1:14">
      <c r="A257" s="5">
        <v>13</v>
      </c>
      <c r="B257" s="74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3.3000000000000002E-2</v>
      </c>
      <c r="I257" s="21">
        <f>AVERAGE(F255:F257)</f>
        <v>4.7063333333333333</v>
      </c>
      <c r="J257" s="21">
        <f>AVERAGE(G255:G257)</f>
        <v>2.9666666666666664E-2</v>
      </c>
      <c r="L257">
        <f>+J257/I257</f>
        <v>6.3035625752532048E-3</v>
      </c>
      <c r="M257">
        <f>+(L257-$L$927)/$L$928</f>
        <v>-0.56650782989917869</v>
      </c>
      <c r="N257">
        <f>+N254+M257</f>
        <v>10.959274022166493</v>
      </c>
    </row>
    <row r="258" spans="1:14">
      <c r="A258" s="5">
        <v>11</v>
      </c>
      <c r="B258" s="74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2.1000000000000001E-2</v>
      </c>
    </row>
    <row r="259" spans="1:14">
      <c r="A259" s="5">
        <v>12</v>
      </c>
      <c r="B259" s="74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1.7999999999999999E-2</v>
      </c>
    </row>
    <row r="260" spans="1:14">
      <c r="A260" s="5">
        <v>13</v>
      </c>
      <c r="B260" s="74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1.4999999999999999E-2</v>
      </c>
      <c r="I260" s="21">
        <f>AVERAGE(F258:F260)</f>
        <v>3.7926666666666669</v>
      </c>
      <c r="J260" s="21">
        <f>AVERAGE(G258:G260)</f>
        <v>1.7999999999999999E-2</v>
      </c>
      <c r="L260">
        <f>+J260/I260</f>
        <v>4.7460010546669E-3</v>
      </c>
      <c r="M260">
        <f>+(L260-$L$927)/$L$928</f>
        <v>-0.63562445903214837</v>
      </c>
      <c r="N260">
        <f>+N257+M260</f>
        <v>10.323649563134344</v>
      </c>
    </row>
    <row r="261" spans="1:14">
      <c r="A261" s="5">
        <v>11</v>
      </c>
      <c r="B261" s="75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7.3999999999999996E-2</v>
      </c>
    </row>
    <row r="262" spans="1:14">
      <c r="A262" s="5">
        <v>12</v>
      </c>
      <c r="B262" s="75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9.6000000000000002E-2</v>
      </c>
    </row>
    <row r="263" spans="1:14">
      <c r="A263" s="5">
        <v>13</v>
      </c>
      <c r="B263" s="75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1.6E-2</v>
      </c>
      <c r="I263" s="21">
        <f>AVERAGE(F261:F263)</f>
        <v>3.8180000000000001</v>
      </c>
      <c r="J263" s="21">
        <f>AVERAGE(G261:G263)</f>
        <v>6.2E-2</v>
      </c>
      <c r="L263">
        <f>+J263/I263</f>
        <v>1.6238868517548456E-2</v>
      </c>
      <c r="M263">
        <f>+(L263-$L$927)/$L$928</f>
        <v>-0.12562967063538188</v>
      </c>
      <c r="N263">
        <f>+N260+M263</f>
        <v>10.198019892498962</v>
      </c>
    </row>
    <row r="264" spans="1:14">
      <c r="A264" s="10">
        <v>11</v>
      </c>
      <c r="B264" s="75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8.6999999999999994E-2</v>
      </c>
    </row>
    <row r="265" spans="1:14">
      <c r="A265" s="10">
        <v>12</v>
      </c>
      <c r="B265" s="75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0.13500000000000001</v>
      </c>
    </row>
    <row r="266" spans="1:14">
      <c r="A266" s="10">
        <v>13</v>
      </c>
      <c r="B266" s="75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0.13400000000000001</v>
      </c>
      <c r="I266" s="21">
        <f>AVERAGE(F264:F266)</f>
        <v>3.5136666666666669</v>
      </c>
      <c r="J266" s="21">
        <f>AVERAGE(G264:G266)</f>
        <v>0.11866666666666666</v>
      </c>
      <c r="L266">
        <f>+J266/I266</f>
        <v>3.3772886822882077E-2</v>
      </c>
      <c r="M266">
        <f>+(L266-$L$927)/$L$928</f>
        <v>0.65244055285361302</v>
      </c>
      <c r="N266">
        <f>+N263+M266</f>
        <v>10.850460445352574</v>
      </c>
    </row>
    <row r="267" spans="1:14">
      <c r="A267" s="10">
        <v>11</v>
      </c>
      <c r="B267" s="75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5.8000000000000003E-2</v>
      </c>
    </row>
    <row r="268" spans="1:14">
      <c r="A268" s="10">
        <v>12</v>
      </c>
      <c r="B268" s="75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3.9E-2</v>
      </c>
    </row>
    <row r="269" spans="1:14">
      <c r="A269" s="10">
        <v>13</v>
      </c>
      <c r="B269" s="75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2.3E-2</v>
      </c>
      <c r="I269" s="21">
        <f>AVERAGE(F267:F269)</f>
        <v>3.3679999999999999</v>
      </c>
      <c r="J269" s="21">
        <f>AVERAGE(G267:G269)</f>
        <v>0.04</v>
      </c>
      <c r="L269">
        <f>+J269/I269</f>
        <v>1.1876484560570073E-2</v>
      </c>
      <c r="M269">
        <f>+(L269-$L$927)/$L$928</f>
        <v>-0.31921000123869214</v>
      </c>
      <c r="N269">
        <f>+N266+M269</f>
        <v>10.531250444113882</v>
      </c>
    </row>
    <row r="270" spans="1:14">
      <c r="A270" s="10">
        <v>11</v>
      </c>
      <c r="B270" s="75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2.9000000000000001E-2</v>
      </c>
    </row>
    <row r="271" spans="1:14">
      <c r="A271" s="10">
        <v>12</v>
      </c>
      <c r="B271" s="75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1.7000000000000001E-2</v>
      </c>
    </row>
    <row r="272" spans="1:14">
      <c r="A272" s="10">
        <v>13</v>
      </c>
      <c r="B272" s="75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1.7999999999999999E-2</v>
      </c>
      <c r="I272" s="21">
        <f>AVERAGE(F270:F272)</f>
        <v>3.1379999999999999</v>
      </c>
      <c r="J272" s="21">
        <f>AVERAGE(G270:G272)</f>
        <v>2.1333333333333333E-2</v>
      </c>
      <c r="L272">
        <f>+J272/I272</f>
        <v>6.7983853834714253E-3</v>
      </c>
      <c r="M272">
        <f>+(L272-$L$927)/$L$928</f>
        <v>-0.54455011967706213</v>
      </c>
      <c r="N272">
        <f>+N269+M272</f>
        <v>9.9867003244368195</v>
      </c>
    </row>
    <row r="273" spans="1:14">
      <c r="A273" s="10">
        <v>11</v>
      </c>
      <c r="B273" s="75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2.8000000000000001E-2</v>
      </c>
    </row>
    <row r="274" spans="1:14">
      <c r="A274" s="10">
        <v>12</v>
      </c>
      <c r="B274" s="75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2.5000000000000001E-2</v>
      </c>
    </row>
    <row r="275" spans="1:14">
      <c r="A275" s="10">
        <v>13</v>
      </c>
      <c r="B275" s="75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2.9000000000000001E-2</v>
      </c>
      <c r="I275" s="21">
        <f>AVERAGE(F273:F275)</f>
        <v>3.3476666666666666</v>
      </c>
      <c r="J275" s="21">
        <f>AVERAGE(G273:G275)</f>
        <v>2.7333333333333334E-2</v>
      </c>
      <c r="L275">
        <f>+J275/I275</f>
        <v>8.1648909688340141E-3</v>
      </c>
      <c r="M275">
        <f>+(L275-$L$927)/$L$928</f>
        <v>-0.48391157763341625</v>
      </c>
      <c r="N275">
        <f>+N272+M275</f>
        <v>9.5027887468034038</v>
      </c>
    </row>
    <row r="276" spans="1:14">
      <c r="A276" s="10">
        <v>11</v>
      </c>
      <c r="B276" s="75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0.10100000000000001</v>
      </c>
    </row>
    <row r="277" spans="1:14">
      <c r="A277" s="10">
        <v>12</v>
      </c>
      <c r="B277" s="75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0.11600000000000001</v>
      </c>
    </row>
    <row r="278" spans="1:14">
      <c r="A278" s="10">
        <v>13</v>
      </c>
      <c r="B278" s="75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9.9989999999999996E-4</v>
      </c>
      <c r="I278" s="21">
        <f>AVERAGE(F276:F278)</f>
        <v>8.6986666666666661</v>
      </c>
      <c r="J278" s="21">
        <f>AVERAGE(G276:G278)</f>
        <v>7.2666633333333341E-2</v>
      </c>
      <c r="L278">
        <f>+J278/I278</f>
        <v>8.3537668608215827E-3</v>
      </c>
      <c r="M278">
        <f>+(L278-$L$927)/$L$928</f>
        <v>-0.47553022973407316</v>
      </c>
      <c r="N278">
        <f>+N275+M278</f>
        <v>9.0272585170693311</v>
      </c>
    </row>
    <row r="279" spans="1:14">
      <c r="A279" s="10">
        <v>11</v>
      </c>
      <c r="B279" s="75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0.04</v>
      </c>
    </row>
    <row r="280" spans="1:14">
      <c r="A280" s="10">
        <v>12</v>
      </c>
      <c r="B280" s="75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8.4000000000000005E-2</v>
      </c>
    </row>
    <row r="281" spans="1:14">
      <c r="A281" s="10">
        <v>13</v>
      </c>
      <c r="B281" s="75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0.56299999999999994</v>
      </c>
      <c r="I281" s="21">
        <f>AVERAGE(F279:F281)</f>
        <v>5.1043333333333329</v>
      </c>
      <c r="J281" s="21">
        <f>AVERAGE(G279:G281)</f>
        <v>0.22899999999999998</v>
      </c>
      <c r="L281">
        <f>+J281/I281</f>
        <v>4.486384118069614E-2</v>
      </c>
      <c r="M281">
        <f>+(L281-$L$927)/$L$928</f>
        <v>1.1446004893620423</v>
      </c>
      <c r="N281">
        <f>+N278+M281</f>
        <v>10.171859006431374</v>
      </c>
    </row>
    <row r="282" spans="1:14">
      <c r="A282" s="10">
        <v>11</v>
      </c>
      <c r="B282" s="75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0.155</v>
      </c>
    </row>
    <row r="283" spans="1:14">
      <c r="A283" s="10">
        <v>12</v>
      </c>
      <c r="B283" s="75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0.109</v>
      </c>
    </row>
    <row r="284" spans="1:14">
      <c r="A284" s="10">
        <v>13</v>
      </c>
      <c r="B284" s="75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0.20799999999999999</v>
      </c>
      <c r="I284" s="21">
        <f>AVERAGE(F282:F284)</f>
        <v>9.1116666666666664</v>
      </c>
      <c r="J284" s="21">
        <f>AVERAGE(G282:G284)</f>
        <v>0.15733333333333333</v>
      </c>
      <c r="L284">
        <f>+J284/I284</f>
        <v>1.7267239802451071E-2</v>
      </c>
      <c r="M284">
        <f>+(L284-$L$927)/$L$928</f>
        <v>-7.9995802714162179E-2</v>
      </c>
      <c r="N284">
        <f>+N281+M284</f>
        <v>10.091863203717212</v>
      </c>
    </row>
    <row r="285" spans="1:14">
      <c r="A285" s="10">
        <v>11</v>
      </c>
      <c r="B285" s="75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9.9989999999999996E-4</v>
      </c>
    </row>
    <row r="286" spans="1:14">
      <c r="A286" s="10">
        <v>12</v>
      </c>
      <c r="B286" s="75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9.8000000000000004E-2</v>
      </c>
    </row>
    <row r="287" spans="1:14">
      <c r="A287" s="10">
        <v>13</v>
      </c>
      <c r="B287" s="75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9.9989999999999996E-4</v>
      </c>
      <c r="I287" s="21">
        <f>AVERAGE(F285:F287)</f>
        <v>15.113666666666665</v>
      </c>
      <c r="J287" s="21">
        <f>AVERAGE(G285:G287)</f>
        <v>3.3333266666666667E-2</v>
      </c>
      <c r="L287">
        <f>+J287/I287</f>
        <v>2.2055049513685187E-3</v>
      </c>
      <c r="M287">
        <f>+(L287-$L$927)/$L$928</f>
        <v>-0.74835870719162523</v>
      </c>
      <c r="N287">
        <f>+N284+M287</f>
        <v>9.3435044965255862</v>
      </c>
    </row>
    <row r="288" spans="1:14">
      <c r="A288" s="10">
        <v>11</v>
      </c>
      <c r="B288" s="75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9.9989999999999996E-4</v>
      </c>
    </row>
    <row r="289" spans="1:14">
      <c r="A289" s="10">
        <v>12</v>
      </c>
      <c r="B289" s="75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9.9989999999999996E-4</v>
      </c>
    </row>
    <row r="290" spans="1:14">
      <c r="A290" s="10">
        <v>13</v>
      </c>
      <c r="B290" s="75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9.9989999999999996E-4</v>
      </c>
      <c r="I290" s="21">
        <f>AVERAGE(F288:F290)</f>
        <v>9.1173333333333328</v>
      </c>
      <c r="J290" s="21">
        <f>AVERAGE(G288:G290)</f>
        <v>9.9989999999999996E-4</v>
      </c>
      <c r="L290">
        <f>+J290/I290</f>
        <v>1.0967022521205031E-4</v>
      </c>
      <c r="M290">
        <f>+(L290-$L$927)/$L$928</f>
        <v>-0.84136115337251693</v>
      </c>
      <c r="N290">
        <f>+N287+M290</f>
        <v>8.5021433431530689</v>
      </c>
    </row>
    <row r="291" spans="1:14">
      <c r="A291" s="10">
        <v>11</v>
      </c>
      <c r="B291" s="75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0.03</v>
      </c>
    </row>
    <row r="292" spans="1:14">
      <c r="A292" s="10">
        <v>12</v>
      </c>
      <c r="B292" s="75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1.4999999999999999E-2</v>
      </c>
    </row>
    <row r="293" spans="1:14">
      <c r="A293" s="10">
        <v>13</v>
      </c>
      <c r="B293" s="75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2.9000000000000001E-2</v>
      </c>
      <c r="I293" s="21">
        <f>AVERAGE(F291:F293)</f>
        <v>4.8120000000000003</v>
      </c>
      <c r="J293" s="21">
        <f>AVERAGE(G291:G293)</f>
        <v>2.4666666666666667E-2</v>
      </c>
      <c r="L293">
        <f>+J293/I293</f>
        <v>5.1260737046273201E-3</v>
      </c>
      <c r="M293">
        <f>+(L293-$L$927)/$L$928</f>
        <v>-0.61875877504875676</v>
      </c>
      <c r="N293">
        <f>+N290+M293</f>
        <v>7.8833845681043124</v>
      </c>
    </row>
    <row r="294" spans="1:14">
      <c r="A294" s="10">
        <v>11</v>
      </c>
      <c r="B294" s="75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9.9989999999999996E-4</v>
      </c>
    </row>
    <row r="295" spans="1:14">
      <c r="A295" s="10">
        <v>12</v>
      </c>
      <c r="B295" s="75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9.9989999999999996E-4</v>
      </c>
    </row>
    <row r="296" spans="1:14">
      <c r="A296" s="10">
        <v>13</v>
      </c>
      <c r="B296" s="75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9.9989999999999996E-4</v>
      </c>
      <c r="I296" s="21">
        <f>AVERAGE(F294:F296)</f>
        <v>2.238</v>
      </c>
      <c r="J296" s="21">
        <f>AVERAGE(G294:G296)</f>
        <v>9.9989999999999996E-4</v>
      </c>
      <c r="L296">
        <f>+J296/I296</f>
        <v>4.4678284182305631E-4</v>
      </c>
      <c r="M296">
        <f>+(L296-$L$927)/$L$928</f>
        <v>-0.82640181636374377</v>
      </c>
      <c r="N296">
        <f>+N293+M296</f>
        <v>7.056982751740569</v>
      </c>
    </row>
    <row r="297" spans="1:14">
      <c r="A297" s="10">
        <v>11</v>
      </c>
      <c r="B297" s="75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9.5000000000000001E-2</v>
      </c>
    </row>
    <row r="298" spans="1:14">
      <c r="A298" s="10">
        <v>12</v>
      </c>
      <c r="B298" s="75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5.2999999999999999E-2</v>
      </c>
    </row>
    <row r="299" spans="1:14">
      <c r="A299" s="10">
        <v>13</v>
      </c>
      <c r="B299" s="75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5.5E-2</v>
      </c>
      <c r="I299" s="21">
        <f>AVERAGE(F297:F299)</f>
        <v>5.8593333333333328</v>
      </c>
      <c r="J299" s="21">
        <f>AVERAGE(G297:G299)</f>
        <v>6.7666666666666667E-2</v>
      </c>
      <c r="L299">
        <f>+J299/I299</f>
        <v>1.1548526567300035E-2</v>
      </c>
      <c r="M299">
        <f>+(L299-$L$927)/$L$928</f>
        <v>-0.33376310279676452</v>
      </c>
      <c r="N299">
        <f>+N296+M299</f>
        <v>6.7232196489438047</v>
      </c>
    </row>
    <row r="300" spans="1:14">
      <c r="A300" s="10">
        <v>11</v>
      </c>
      <c r="B300" s="75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3.4000000000000002E-2</v>
      </c>
    </row>
    <row r="301" spans="1:14">
      <c r="A301" s="10">
        <v>12</v>
      </c>
      <c r="B301" s="75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3.2000000000000001E-2</v>
      </c>
    </row>
    <row r="302" spans="1:14">
      <c r="A302" s="10">
        <v>13</v>
      </c>
      <c r="B302" s="75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2.7E-2</v>
      </c>
      <c r="I302" s="21">
        <f>AVERAGE(F300:F302)</f>
        <v>2.4083333333333332</v>
      </c>
      <c r="J302" s="21">
        <f>AVERAGE(G300:G302)</f>
        <v>3.1E-2</v>
      </c>
      <c r="L302">
        <f>+J302/I302</f>
        <v>1.28719723183391E-2</v>
      </c>
      <c r="M302">
        <f>+(L302-$L$927)/$L$928</f>
        <v>-0.27503533638549671</v>
      </c>
      <c r="N302">
        <f>+N299+M302</f>
        <v>6.4481843125583076</v>
      </c>
    </row>
    <row r="303" spans="1:14">
      <c r="A303" s="10">
        <v>11</v>
      </c>
      <c r="B303" s="75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5.5E-2</v>
      </c>
    </row>
    <row r="304" spans="1:14">
      <c r="A304" s="10">
        <v>12</v>
      </c>
      <c r="B304" s="75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3.7999999999999999E-2</v>
      </c>
    </row>
    <row r="305" spans="1:14">
      <c r="A305" s="10">
        <v>13</v>
      </c>
      <c r="B305" s="75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0.05</v>
      </c>
      <c r="I305" s="21">
        <f>AVERAGE(F303:F305)</f>
        <v>2.4493333333333331</v>
      </c>
      <c r="J305" s="21">
        <f>AVERAGE(G303:G305)</f>
        <v>4.766666666666667E-2</v>
      </c>
      <c r="L305">
        <f>+J305/I305</f>
        <v>1.9461077844311381E-2</v>
      </c>
      <c r="M305">
        <f>+(L305-$L$927)/$L$928</f>
        <v>1.7355530323380934E-2</v>
      </c>
      <c r="N305">
        <f>+N302+M305</f>
        <v>6.4655398428816886</v>
      </c>
    </row>
    <row r="306" spans="1:14">
      <c r="A306" s="10">
        <v>11</v>
      </c>
      <c r="B306" s="75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2.5000000000000001E-2</v>
      </c>
    </row>
    <row r="307" spans="1:14">
      <c r="A307" s="10">
        <v>12</v>
      </c>
      <c r="B307" s="75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5.0999999999999997E-2</v>
      </c>
    </row>
    <row r="308" spans="1:14">
      <c r="A308" s="10">
        <v>13</v>
      </c>
      <c r="B308" s="75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6.0999999999999999E-2</v>
      </c>
      <c r="I308" s="21">
        <f>AVERAGE(F306:F308)</f>
        <v>2.3610000000000002</v>
      </c>
      <c r="J308" s="21">
        <f>AVERAGE(G306:G308)</f>
        <v>4.5666666666666668E-2</v>
      </c>
      <c r="L308">
        <f>+J308/I308</f>
        <v>1.9342086686432301E-2</v>
      </c>
      <c r="M308">
        <f>+(L308-$L$927)/$L$928</f>
        <v>1.2075310171219492E-2</v>
      </c>
      <c r="N308">
        <f>+N305+M308</f>
        <v>6.4776151530529082</v>
      </c>
    </row>
    <row r="309" spans="1:14">
      <c r="A309" s="10">
        <v>11</v>
      </c>
      <c r="B309" s="75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9.9989999999999996E-4</v>
      </c>
    </row>
    <row r="310" spans="1:14">
      <c r="A310" s="10">
        <v>12</v>
      </c>
      <c r="B310" s="75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9.9989999999999996E-4</v>
      </c>
    </row>
    <row r="311" spans="1:14">
      <c r="A311" s="10">
        <v>13</v>
      </c>
      <c r="B311" s="75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1.4999999999999999E-2</v>
      </c>
      <c r="I311" s="21">
        <f>AVERAGE(F309:F311)</f>
        <v>1.7116666666666667</v>
      </c>
      <c r="J311" s="21">
        <f>AVERAGE(G309:G311)</f>
        <v>5.6665999999999999E-3</v>
      </c>
      <c r="L311">
        <f>+J311/I311</f>
        <v>3.3105744888023369E-3</v>
      </c>
      <c r="M311">
        <f>+(L311-$L$927)/$L$928</f>
        <v>-0.69932136235775666</v>
      </c>
      <c r="N311">
        <f>+N308+M311</f>
        <v>5.7782937906951517</v>
      </c>
    </row>
    <row r="312" spans="1:14">
      <c r="A312" s="10">
        <v>11</v>
      </c>
      <c r="B312" s="75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9.9989999999999996E-4</v>
      </c>
    </row>
    <row r="313" spans="1:14">
      <c r="A313" s="10">
        <v>12</v>
      </c>
      <c r="B313" s="75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2.1000000000000001E-2</v>
      </c>
    </row>
    <row r="314" spans="1:14">
      <c r="A314" s="10">
        <v>13</v>
      </c>
      <c r="B314" s="75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9.9989999999999996E-4</v>
      </c>
      <c r="I314" s="21">
        <f>AVERAGE(F312:F314)</f>
        <v>2.0786666666666669</v>
      </c>
      <c r="J314" s="21">
        <f>AVERAGE(G312:G314)</f>
        <v>7.6666000000000017E-3</v>
      </c>
      <c r="L314">
        <f>+J314/I314</f>
        <v>3.6882296343810138E-3</v>
      </c>
      <c r="M314">
        <f>+(L314-$L$927)/$L$928</f>
        <v>-0.68256295487777874</v>
      </c>
      <c r="N314">
        <f>+N311+M314</f>
        <v>5.0957308358173732</v>
      </c>
    </row>
    <row r="315" spans="1:14">
      <c r="A315" s="10">
        <v>11</v>
      </c>
      <c r="B315" s="75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1.2E-2</v>
      </c>
    </row>
    <row r="316" spans="1:14">
      <c r="A316" s="10">
        <v>12</v>
      </c>
      <c r="B316" s="75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1.4E-2</v>
      </c>
    </row>
    <row r="317" spans="1:14">
      <c r="A317" s="10">
        <v>13</v>
      </c>
      <c r="B317" s="75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0.115</v>
      </c>
      <c r="I317" s="21">
        <f>AVERAGE(F315:F317)</f>
        <v>4.4799999999999995</v>
      </c>
      <c r="J317" s="21">
        <f>AVERAGE(G315:G317)</f>
        <v>4.7000000000000007E-2</v>
      </c>
      <c r="L317">
        <f>+J317/I317</f>
        <v>1.0491071428571431E-2</v>
      </c>
      <c r="M317">
        <f>+(L317-$L$927)/$L$928</f>
        <v>-0.38068756368145934</v>
      </c>
      <c r="N317">
        <f>+N314+M317</f>
        <v>4.7150432721359135</v>
      </c>
    </row>
    <row r="318" spans="1:14">
      <c r="A318" s="10">
        <v>11</v>
      </c>
      <c r="B318" s="75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4.5999999999999999E-2</v>
      </c>
    </row>
    <row r="319" spans="1:14">
      <c r="A319" s="10">
        <v>12</v>
      </c>
      <c r="B319" s="75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2.3E-2</v>
      </c>
    </row>
    <row r="320" spans="1:14">
      <c r="A320" s="10">
        <v>13</v>
      </c>
      <c r="B320" s="75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0.14399999999999999</v>
      </c>
      <c r="I320" s="21">
        <f>AVERAGE(F318:F320)</f>
        <v>4.9279999999999999</v>
      </c>
      <c r="J320" s="21">
        <f>AVERAGE(G318:G320)</f>
        <v>7.0999999999999994E-2</v>
      </c>
      <c r="L320">
        <f>+J320/I320</f>
        <v>1.4407467532467532E-2</v>
      </c>
      <c r="M320">
        <f>+(L320-$L$927)/$L$928</f>
        <v>-0.2068978972874794</v>
      </c>
      <c r="N320">
        <f>+N317+M320</f>
        <v>4.5081453748484339</v>
      </c>
    </row>
    <row r="321" spans="1:14">
      <c r="A321" s="10">
        <v>11</v>
      </c>
      <c r="B321" s="75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6.3E-2</v>
      </c>
    </row>
    <row r="322" spans="1:14">
      <c r="A322" s="10">
        <v>12</v>
      </c>
      <c r="B322" s="75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3.1E-2</v>
      </c>
    </row>
    <row r="323" spans="1:14">
      <c r="A323" s="10">
        <v>13</v>
      </c>
      <c r="B323" s="75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0.14899999999999999</v>
      </c>
      <c r="I323" s="21">
        <f>AVERAGE(F321:F323)</f>
        <v>10.154999999999999</v>
      </c>
      <c r="J323" s="21">
        <f>AVERAGE(G321:G323)</f>
        <v>8.1000000000000003E-2</v>
      </c>
      <c r="L323">
        <f>+J323/I323</f>
        <v>7.9763663220088626E-3</v>
      </c>
      <c r="M323">
        <f>+(L323-$L$927)/$L$928</f>
        <v>-0.49227733906551246</v>
      </c>
      <c r="N323">
        <f>+N320+M323</f>
        <v>4.0158680357829217</v>
      </c>
    </row>
    <row r="324" spans="1:14">
      <c r="A324" s="10">
        <v>11</v>
      </c>
      <c r="B324" s="75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4.4999999999999998E-2</v>
      </c>
    </row>
    <row r="325" spans="1:14">
      <c r="A325" s="10">
        <v>12</v>
      </c>
      <c r="B325" s="75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5.3999999999999999E-2</v>
      </c>
    </row>
    <row r="326" spans="1:14">
      <c r="A326" s="10">
        <v>13</v>
      </c>
      <c r="B326" s="75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4.3999999999999997E-2</v>
      </c>
      <c r="I326" s="21">
        <f>AVERAGE(F324:F326)</f>
        <v>17.096999999999998</v>
      </c>
      <c r="J326" s="21">
        <f>AVERAGE(G324:G326)</f>
        <v>4.766666666666667E-2</v>
      </c>
      <c r="L326">
        <f>+J326/I326</f>
        <v>2.7880134916457083E-3</v>
      </c>
      <c r="M326">
        <f>+(L326-$L$927)/$L$928</f>
        <v>-0.72250995180508304</v>
      </c>
      <c r="N326">
        <f>+N323+M326</f>
        <v>3.2933580839778385</v>
      </c>
    </row>
    <row r="327" spans="1:14">
      <c r="A327" s="10">
        <v>11</v>
      </c>
      <c r="B327" s="75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2.9000000000000001E-2</v>
      </c>
    </row>
    <row r="328" spans="1:14">
      <c r="A328" s="10">
        <v>12</v>
      </c>
      <c r="B328" s="75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1.7999999999999999E-2</v>
      </c>
    </row>
    <row r="329" spans="1:14">
      <c r="A329" s="10">
        <v>13</v>
      </c>
      <c r="B329" s="75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1.7000000000000001E-2</v>
      </c>
      <c r="I329" s="21">
        <f>AVERAGE(F327:F329)</f>
        <v>6.5926666666666662</v>
      </c>
      <c r="J329" s="21">
        <f>AVERAGE(G327:G329)</f>
        <v>2.1333333333333333E-2</v>
      </c>
      <c r="L329">
        <f>+J329/I329</f>
        <v>3.2359186975427245E-3</v>
      </c>
      <c r="M329">
        <f>+(L329-$L$927)/$L$928</f>
        <v>-0.70263420526567366</v>
      </c>
      <c r="N329">
        <f>+N326+M329</f>
        <v>2.5907238787121649</v>
      </c>
    </row>
    <row r="330" spans="1:14">
      <c r="A330" s="10">
        <v>11</v>
      </c>
      <c r="B330" s="75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4.1000000000000002E-2</v>
      </c>
    </row>
    <row r="331" spans="1:14">
      <c r="A331" s="10">
        <v>12</v>
      </c>
      <c r="B331" s="75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1.2999999999999999E-2</v>
      </c>
    </row>
    <row r="332" spans="1:14">
      <c r="A332" s="10">
        <v>13</v>
      </c>
      <c r="B332" s="75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3.5000000000000003E-2</v>
      </c>
      <c r="I332" s="21">
        <f>AVERAGE(F330:F332)</f>
        <v>2.1003333333333334</v>
      </c>
      <c r="J332" s="21">
        <f>AVERAGE(G330:G332)</f>
        <v>2.9666666666666664E-2</v>
      </c>
      <c r="L332">
        <f>+J332/I332</f>
        <v>1.4124742104427867E-2</v>
      </c>
      <c r="M332">
        <f>+(L332-$L$927)/$L$928</f>
        <v>-0.21944380850703873</v>
      </c>
      <c r="N332">
        <f>+N329+M332</f>
        <v>2.3712800702051262</v>
      </c>
    </row>
    <row r="333" spans="1:14">
      <c r="A333" s="10">
        <v>11</v>
      </c>
      <c r="B333" s="75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0.04</v>
      </c>
    </row>
    <row r="334" spans="1:14">
      <c r="A334" s="10">
        <v>12</v>
      </c>
      <c r="B334" s="75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2.8000000000000001E-2</v>
      </c>
    </row>
    <row r="335" spans="1:14">
      <c r="A335" s="10">
        <v>13</v>
      </c>
      <c r="B335" s="75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3.5000000000000003E-2</v>
      </c>
      <c r="I335" s="21">
        <f>AVERAGE(F333:F335)</f>
        <v>4.6689999999999996</v>
      </c>
      <c r="J335" s="21">
        <f>AVERAGE(G333:G335)</f>
        <v>3.4333333333333334E-2</v>
      </c>
      <c r="L335">
        <f>+J335/I335</f>
        <v>7.3534661240808171E-3</v>
      </c>
      <c r="M335">
        <f>+(L335-$L$927)/$L$928</f>
        <v>-0.51991847002439739</v>
      </c>
      <c r="N335">
        <f>+N332+M335</f>
        <v>1.8513616001807289</v>
      </c>
    </row>
    <row r="336" spans="1:14">
      <c r="A336" s="10">
        <v>11</v>
      </c>
      <c r="B336" s="75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6.3E-2</v>
      </c>
    </row>
    <row r="337" spans="1:14">
      <c r="A337" s="10">
        <v>12</v>
      </c>
      <c r="B337" s="75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4.4999999999999998E-2</v>
      </c>
    </row>
    <row r="338" spans="1:14">
      <c r="A338" s="10">
        <v>13</v>
      </c>
      <c r="B338" s="75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4.7E-2</v>
      </c>
      <c r="I338" s="21">
        <f>AVERAGE(F336:F338)</f>
        <v>4.085</v>
      </c>
      <c r="J338" s="21">
        <f>AVERAGE(G336:G338)</f>
        <v>5.1666666666666666E-2</v>
      </c>
      <c r="L338">
        <f>+J338/I338</f>
        <v>1.2647898816809465E-2</v>
      </c>
      <c r="M338">
        <f>+(L338-$L$927)/$L$928</f>
        <v>-0.28497857451706021</v>
      </c>
      <c r="N338">
        <f>+N335+M338</f>
        <v>1.5663830256636686</v>
      </c>
    </row>
    <row r="339" spans="1:14">
      <c r="A339" s="5">
        <v>11</v>
      </c>
      <c r="B339" s="75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2.9000000000000001E-2</v>
      </c>
    </row>
    <row r="340" spans="1:14">
      <c r="A340" s="5">
        <v>12</v>
      </c>
      <c r="B340" s="75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2.4E-2</v>
      </c>
    </row>
    <row r="341" spans="1:14">
      <c r="A341" s="5">
        <v>13</v>
      </c>
      <c r="B341" s="75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1.9E-2</v>
      </c>
      <c r="I341" s="21">
        <f>AVERAGE(F339:F341)</f>
        <v>3.6169999999999995</v>
      </c>
      <c r="J341" s="21">
        <f>AVERAGE(G339:G341)</f>
        <v>2.4000000000000004E-2</v>
      </c>
      <c r="L341">
        <f>+J341/I341</f>
        <v>6.6353331490185252E-3</v>
      </c>
      <c r="M341">
        <f>+(L341-$L$927)/$L$928</f>
        <v>-0.55178554548145731</v>
      </c>
      <c r="N341">
        <f>+N338+M341</f>
        <v>1.0145974801822113</v>
      </c>
    </row>
    <row r="342" spans="1:14">
      <c r="A342" s="5">
        <v>11</v>
      </c>
      <c r="B342" s="75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5.5E-2</v>
      </c>
    </row>
    <row r="343" spans="1:14">
      <c r="A343" s="5">
        <v>12</v>
      </c>
      <c r="B343" s="75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3.4000000000000002E-2</v>
      </c>
    </row>
    <row r="344" spans="1:14">
      <c r="A344" s="5">
        <v>13</v>
      </c>
      <c r="B344" s="75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3.3000000000000002E-2</v>
      </c>
      <c r="I344" s="21">
        <f>AVERAGE(F342:F344)</f>
        <v>5.4849999999999994</v>
      </c>
      <c r="J344" s="21">
        <f>AVERAGE(G342:G344)</f>
        <v>4.0666666666666663E-2</v>
      </c>
      <c r="L344">
        <f>+J344/I344</f>
        <v>7.4141598298389545E-3</v>
      </c>
      <c r="M344">
        <f>+(L344-$L$927)/$L$928</f>
        <v>-0.51722519319639026</v>
      </c>
      <c r="N344">
        <f>+N341+M344</f>
        <v>0.49737228698582103</v>
      </c>
    </row>
    <row r="345" spans="1:14">
      <c r="A345" s="5">
        <v>11</v>
      </c>
      <c r="B345" s="75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1.6E-2</v>
      </c>
    </row>
    <row r="346" spans="1:14">
      <c r="A346" s="5">
        <v>12</v>
      </c>
      <c r="B346" s="75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0.01</v>
      </c>
    </row>
    <row r="347" spans="1:14">
      <c r="A347" s="5">
        <v>13</v>
      </c>
      <c r="B347" s="75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9.9989999999999996E-4</v>
      </c>
      <c r="I347" s="21">
        <f>AVERAGE(F345:F347)</f>
        <v>0.96566666666666656</v>
      </c>
      <c r="J347" s="21">
        <f>AVERAGE(G345:G347)</f>
        <v>8.9999666666666679E-3</v>
      </c>
      <c r="L347">
        <f>+J347/I347</f>
        <v>9.3199516741456698E-3</v>
      </c>
      <c r="M347">
        <f>+(L347-$L$927)/$L$928</f>
        <v>-0.43265587996759269</v>
      </c>
      <c r="N347">
        <f>+N344+M347</f>
        <v>6.4716407018228339E-2</v>
      </c>
    </row>
    <row r="348" spans="1:14">
      <c r="A348" s="5">
        <v>11</v>
      </c>
      <c r="B348" s="75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2.7E-2</v>
      </c>
    </row>
    <row r="349" spans="1:14">
      <c r="A349" s="5">
        <v>12</v>
      </c>
      <c r="B349" s="75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1.2E-2</v>
      </c>
    </row>
    <row r="350" spans="1:14">
      <c r="A350" s="5">
        <v>13</v>
      </c>
      <c r="B350" s="75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1.2E-2</v>
      </c>
      <c r="I350" s="21">
        <f>AVERAGE(F348:F350)</f>
        <v>1.389</v>
      </c>
      <c r="J350" s="21">
        <f>AVERAGE(G348:G350)</f>
        <v>1.7000000000000001E-2</v>
      </c>
      <c r="L350">
        <f>+J350/I350</f>
        <v>1.2239020878329735E-2</v>
      </c>
      <c r="M350">
        <f>+(L350-$L$927)/$L$928</f>
        <v>-0.30312249015765641</v>
      </c>
      <c r="N350">
        <f>+N347+M350</f>
        <v>-0.23840608313942807</v>
      </c>
    </row>
    <row r="351" spans="1:14">
      <c r="A351" s="10">
        <v>11</v>
      </c>
      <c r="B351" s="75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5.2999999999999999E-2</v>
      </c>
    </row>
    <row r="352" spans="1:14">
      <c r="A352" s="10">
        <v>12</v>
      </c>
      <c r="B352" s="75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5.5E-2</v>
      </c>
    </row>
    <row r="353" spans="1:14">
      <c r="A353" s="10">
        <v>13</v>
      </c>
      <c r="B353" s="75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0.14599999999999999</v>
      </c>
      <c r="I353" s="21">
        <f>AVERAGE(F351:F353)</f>
        <v>3.4943333333333335</v>
      </c>
      <c r="J353" s="21">
        <f>AVERAGE(G351:G353)</f>
        <v>8.4666666666666668E-2</v>
      </c>
      <c r="L353">
        <f>+J353/I353</f>
        <v>2.4229705237050463E-2</v>
      </c>
      <c r="M353">
        <f>+(L353-$L$927)/$L$928</f>
        <v>0.22896287078541336</v>
      </c>
      <c r="N353">
        <f>+N350+M353</f>
        <v>-9.4432123540147128E-3</v>
      </c>
    </row>
    <row r="354" spans="1:14">
      <c r="A354" s="10">
        <v>11</v>
      </c>
      <c r="B354" s="75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8.6999999999999994E-2</v>
      </c>
    </row>
    <row r="355" spans="1:14">
      <c r="A355" s="10">
        <v>12</v>
      </c>
      <c r="B355" s="75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6.6000000000000003E-2</v>
      </c>
    </row>
    <row r="356" spans="1:14">
      <c r="A356" s="10">
        <v>13</v>
      </c>
      <c r="B356" s="75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0.13900000000000001</v>
      </c>
      <c r="I356" s="21">
        <f>AVERAGE(F354:F356)</f>
        <v>7.1093333333333328</v>
      </c>
      <c r="J356" s="21">
        <f>AVERAGE(G354:G356)</f>
        <v>9.7333333333333341E-2</v>
      </c>
      <c r="L356">
        <f>+J356/I356</f>
        <v>1.3690922730682674E-2</v>
      </c>
      <c r="M356">
        <f>+(L356-$L$927)/$L$928</f>
        <v>-0.2386944977219064</v>
      </c>
      <c r="N356">
        <f>+N353+M356</f>
        <v>-0.24813771007592111</v>
      </c>
    </row>
    <row r="357" spans="1:14">
      <c r="A357" s="10">
        <v>11</v>
      </c>
      <c r="B357" s="75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0.125</v>
      </c>
    </row>
    <row r="358" spans="1:14">
      <c r="A358" s="10">
        <v>12</v>
      </c>
      <c r="B358" s="75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5.6000000000000001E-2</v>
      </c>
    </row>
    <row r="359" spans="1:14">
      <c r="A359" s="10">
        <v>13</v>
      </c>
      <c r="B359" s="75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0.249</v>
      </c>
      <c r="I359" s="21">
        <f>AVERAGE(F357:F359)</f>
        <v>9.8573333333333331</v>
      </c>
      <c r="J359" s="21">
        <f>AVERAGE(G357:G359)</f>
        <v>0.14333333333333334</v>
      </c>
      <c r="L359">
        <f>+J359/I359</f>
        <v>1.4540781820641148E-2</v>
      </c>
      <c r="M359">
        <f>+(L359-$L$927)/$L$928</f>
        <v>-0.20098208973057904</v>
      </c>
      <c r="N359">
        <f>+N356+M359</f>
        <v>-0.44911979980650019</v>
      </c>
    </row>
    <row r="360" spans="1:14">
      <c r="A360" s="10">
        <v>11</v>
      </c>
      <c r="B360" s="75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4.2000000000000003E-2</v>
      </c>
    </row>
    <row r="361" spans="1:14">
      <c r="A361" s="10">
        <v>12</v>
      </c>
      <c r="B361" s="75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2.3E-2</v>
      </c>
    </row>
    <row r="362" spans="1:14">
      <c r="A362" s="10">
        <v>13</v>
      </c>
      <c r="B362" s="75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3.9E-2</v>
      </c>
      <c r="I362" s="21">
        <f>AVERAGE(F360:F362)</f>
        <v>9.9670000000000005</v>
      </c>
      <c r="J362" s="21">
        <f>AVERAGE(G360:G362)</f>
        <v>3.4666666666666672E-2</v>
      </c>
      <c r="L362">
        <f>+J362/I362</f>
        <v>3.4781445436607474E-3</v>
      </c>
      <c r="M362">
        <f>+(L362-$L$927)/$L$928</f>
        <v>-0.6918854587466553</v>
      </c>
      <c r="N362">
        <f>+N359+M362</f>
        <v>-1.1410052585531556</v>
      </c>
    </row>
    <row r="363" spans="1:14">
      <c r="A363" s="10">
        <v>11</v>
      </c>
      <c r="B363" s="75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3.7999999999999999E-2</v>
      </c>
    </row>
    <row r="364" spans="1:14">
      <c r="A364" s="10">
        <v>12</v>
      </c>
      <c r="B364" s="75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3.4000000000000002E-2</v>
      </c>
    </row>
    <row r="365" spans="1:14">
      <c r="A365" s="10">
        <v>13</v>
      </c>
      <c r="B365" s="75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9.4E-2</v>
      </c>
      <c r="I365" s="21">
        <f>AVERAGE(F363:F365)</f>
        <v>4.9780000000000006</v>
      </c>
      <c r="J365" s="21">
        <f>AVERAGE(G363:G365)</f>
        <v>5.5333333333333339E-2</v>
      </c>
      <c r="L365">
        <f>+J365/I365</f>
        <v>1.1115575197535824E-2</v>
      </c>
      <c r="M365">
        <f>+(L365-$L$927)/$L$928</f>
        <v>-0.35297527442600457</v>
      </c>
      <c r="N365">
        <f>+N362+M365</f>
        <v>-1.4939805329791602</v>
      </c>
    </row>
    <row r="366" spans="1:14">
      <c r="A366" s="10">
        <v>11</v>
      </c>
      <c r="B366" s="75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4.2999999999999997E-2</v>
      </c>
    </row>
    <row r="367" spans="1:14">
      <c r="A367" s="10">
        <v>12</v>
      </c>
      <c r="B367" s="75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0.06</v>
      </c>
    </row>
    <row r="368" spans="1:14">
      <c r="A368" s="10">
        <v>13</v>
      </c>
      <c r="B368" s="75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1.7000000000000001E-2</v>
      </c>
      <c r="I368" s="21">
        <f>AVERAGE(F366:F368)</f>
        <v>2.9256666666666669</v>
      </c>
      <c r="J368" s="21">
        <f>AVERAGE(G366:G368)</f>
        <v>0.04</v>
      </c>
      <c r="L368">
        <f>+J368/I368</f>
        <v>1.367209752762903E-2</v>
      </c>
      <c r="M368">
        <f>+(L368-$L$927)/$L$928</f>
        <v>-0.2395298641331938</v>
      </c>
      <c r="N368">
        <f>+N365+M368</f>
        <v>-1.733510397112354</v>
      </c>
    </row>
    <row r="369" spans="1:14">
      <c r="A369" s="10">
        <v>11</v>
      </c>
      <c r="B369" s="75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9.9989999999999996E-4</v>
      </c>
    </row>
    <row r="370" spans="1:14">
      <c r="A370" s="10">
        <v>12</v>
      </c>
      <c r="B370" s="75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4.8000000000000001E-2</v>
      </c>
    </row>
    <row r="371" spans="1:14">
      <c r="A371" s="10">
        <v>13</v>
      </c>
      <c r="B371" s="75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2.3E-2</v>
      </c>
      <c r="I371" s="21">
        <f>AVERAGE(F369:F371)</f>
        <v>3.3103333333333338</v>
      </c>
      <c r="J371" s="21">
        <f>AVERAGE(G369:G371)</f>
        <v>2.3999966666666667E-2</v>
      </c>
      <c r="L371">
        <f>+J371/I371</f>
        <v>7.2500151042191111E-3</v>
      </c>
      <c r="M371">
        <f>+(L371-$L$927)/$L$928</f>
        <v>-0.52450909818174785</v>
      </c>
      <c r="N371">
        <f>+N368+M371</f>
        <v>-2.2580194952941017</v>
      </c>
    </row>
    <row r="372" spans="1:14">
      <c r="A372" s="10">
        <v>11</v>
      </c>
      <c r="B372" s="70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0.28056087499999999</v>
      </c>
    </row>
    <row r="373" spans="1:14">
      <c r="A373" s="10">
        <v>11</v>
      </c>
      <c r="B373" s="70">
        <v>40197</v>
      </c>
      <c r="C373" s="10">
        <v>2010</v>
      </c>
      <c r="D373" s="4" t="s">
        <v>25</v>
      </c>
      <c r="E373" s="10">
        <v>1</v>
      </c>
      <c r="F373" s="20">
        <v>6.298</v>
      </c>
      <c r="G373" s="21">
        <v>0.29824125000000001</v>
      </c>
    </row>
    <row r="374" spans="1:14">
      <c r="A374" s="10">
        <v>12</v>
      </c>
      <c r="B374" s="70">
        <v>40197</v>
      </c>
      <c r="C374" s="10">
        <v>2010</v>
      </c>
      <c r="D374" s="4" t="s">
        <v>25</v>
      </c>
      <c r="E374" s="10">
        <v>1</v>
      </c>
      <c r="F374" s="20">
        <v>5.3440000000000003</v>
      </c>
      <c r="G374" s="21">
        <v>0.19030737499999997</v>
      </c>
      <c r="I374" s="21"/>
      <c r="J374" s="21"/>
    </row>
    <row r="375" spans="1:14">
      <c r="A375" s="10">
        <v>13</v>
      </c>
      <c r="B375" s="70">
        <v>40197</v>
      </c>
      <c r="C375" s="10">
        <v>2010</v>
      </c>
      <c r="D375" s="4" t="s">
        <v>25</v>
      </c>
      <c r="E375" s="10">
        <v>1</v>
      </c>
      <c r="F375" s="20">
        <v>4.0140000000000002</v>
      </c>
      <c r="G375" s="21">
        <v>0.10376024999999998</v>
      </c>
      <c r="I375" s="21">
        <f>AVERAGE(F372:F375)</f>
        <v>5.4885000000000002</v>
      </c>
      <c r="J375" s="21">
        <f>AVERAGE(G372:G375)</f>
        <v>0.21821743749999997</v>
      </c>
      <c r="L375">
        <f>+J375/I375</f>
        <v>3.9759030245057843E-2</v>
      </c>
      <c r="M375">
        <f>+(L375-$L$927)/$L$928</f>
        <v>0.91807503943976432</v>
      </c>
      <c r="N375">
        <f>+N371+M375</f>
        <v>-1.3399444558543374</v>
      </c>
    </row>
    <row r="376" spans="1:14">
      <c r="A376" s="10">
        <v>11</v>
      </c>
      <c r="B376" s="70">
        <v>40225</v>
      </c>
      <c r="C376" s="10">
        <v>2010</v>
      </c>
      <c r="D376" s="4" t="s">
        <v>14</v>
      </c>
      <c r="E376" s="10">
        <v>2</v>
      </c>
      <c r="F376" s="20">
        <v>8.09</v>
      </c>
      <c r="G376" s="21">
        <v>7.6776374999999994E-2</v>
      </c>
    </row>
    <row r="377" spans="1:14">
      <c r="A377" s="10">
        <v>12</v>
      </c>
      <c r="B377" s="70">
        <v>40225</v>
      </c>
      <c r="C377" s="10">
        <v>2010</v>
      </c>
      <c r="D377" s="4" t="s">
        <v>14</v>
      </c>
      <c r="E377" s="10">
        <v>2</v>
      </c>
      <c r="F377" s="20">
        <v>5.6180000000000003</v>
      </c>
      <c r="G377" s="21">
        <v>0.11805737500000001</v>
      </c>
      <c r="I377" s="21"/>
      <c r="J377" s="21"/>
    </row>
    <row r="378" spans="1:14">
      <c r="A378" s="10">
        <v>13</v>
      </c>
      <c r="B378" s="70">
        <v>40225</v>
      </c>
      <c r="C378" s="10">
        <v>2010</v>
      </c>
      <c r="D378" s="4" t="s">
        <v>14</v>
      </c>
      <c r="E378" s="10">
        <v>2</v>
      </c>
      <c r="F378" s="20">
        <v>11.273</v>
      </c>
      <c r="G378" s="21">
        <v>0</v>
      </c>
      <c r="I378" s="21">
        <f>AVERAGE(F376:F378)</f>
        <v>8.327</v>
      </c>
      <c r="J378" s="21">
        <f>AVERAGE(G376:G378)</f>
        <v>6.4944583333333333E-2</v>
      </c>
      <c r="L378">
        <f>+J378/I378</f>
        <v>7.7992774508626557E-3</v>
      </c>
      <c r="M378">
        <f>+(L378-$L$927)/$L$928</f>
        <v>-0.50013563915113679</v>
      </c>
      <c r="N378">
        <f>+N375+M378</f>
        <v>-1.8400800950054741</v>
      </c>
    </row>
    <row r="379" spans="1:14">
      <c r="A379" s="10">
        <v>11</v>
      </c>
      <c r="B379" s="70">
        <v>40255</v>
      </c>
      <c r="C379" s="10">
        <v>2010</v>
      </c>
      <c r="D379" s="4" t="s">
        <v>15</v>
      </c>
      <c r="E379" s="10">
        <v>3</v>
      </c>
      <c r="F379" s="20">
        <v>9.875</v>
      </c>
      <c r="G379" s="21">
        <v>0</v>
      </c>
    </row>
    <row r="380" spans="1:14">
      <c r="A380" s="10">
        <v>12</v>
      </c>
      <c r="B380" s="70">
        <v>40255</v>
      </c>
      <c r="C380" s="10">
        <v>2010</v>
      </c>
      <c r="D380" s="4" t="s">
        <v>15</v>
      </c>
      <c r="E380" s="10">
        <v>3</v>
      </c>
      <c r="F380" s="20">
        <v>7.36</v>
      </c>
      <c r="G380" s="21">
        <v>0</v>
      </c>
    </row>
    <row r="381" spans="1:14">
      <c r="A381" s="10">
        <v>13</v>
      </c>
      <c r="B381" s="70">
        <v>40255</v>
      </c>
      <c r="C381" s="10">
        <v>2010</v>
      </c>
      <c r="D381" s="4" t="s">
        <v>15</v>
      </c>
      <c r="E381" s="10">
        <v>3</v>
      </c>
      <c r="F381" s="20">
        <v>7.2409999999999997</v>
      </c>
      <c r="G381" s="21">
        <v>0</v>
      </c>
      <c r="I381" s="21">
        <f>AVERAGE(F379:F381)</f>
        <v>8.158666666666667</v>
      </c>
      <c r="J381" s="21">
        <f>AVERAGE(G379:G381)</f>
        <v>0</v>
      </c>
      <c r="L381">
        <f>+J381/I381</f>
        <v>0</v>
      </c>
      <c r="M381">
        <f>+(L381-$L$927)/$L$928</f>
        <v>-0.84622775811507456</v>
      </c>
      <c r="N381">
        <f>+N378+M381</f>
        <v>-2.6863078531205486</v>
      </c>
    </row>
    <row r="382" spans="1:14">
      <c r="A382" s="10">
        <v>11</v>
      </c>
      <c r="B382" s="70">
        <v>40281</v>
      </c>
      <c r="C382" s="10">
        <v>2010</v>
      </c>
      <c r="D382" s="4" t="s">
        <v>16</v>
      </c>
      <c r="E382" s="10">
        <v>4</v>
      </c>
      <c r="F382" s="20">
        <v>7.1959999999999997</v>
      </c>
      <c r="G382" s="21">
        <v>7.2235875000000005E-2</v>
      </c>
    </row>
    <row r="383" spans="1:14">
      <c r="A383" s="10">
        <v>12</v>
      </c>
      <c r="B383" s="70">
        <v>40281</v>
      </c>
      <c r="C383" s="10">
        <v>2010</v>
      </c>
      <c r="D383" s="4" t="s">
        <v>16</v>
      </c>
      <c r="E383" s="10">
        <v>4</v>
      </c>
      <c r="F383" s="20">
        <v>2.206</v>
      </c>
      <c r="G383" s="21">
        <v>0</v>
      </c>
    </row>
    <row r="384" spans="1:14">
      <c r="A384" s="10">
        <v>13</v>
      </c>
      <c r="B384" s="70">
        <v>40281</v>
      </c>
      <c r="C384" s="10">
        <v>2010</v>
      </c>
      <c r="D384" s="4" t="s">
        <v>16</v>
      </c>
      <c r="E384" s="10">
        <v>4</v>
      </c>
      <c r="F384" s="20">
        <v>3.1669999999999998</v>
      </c>
      <c r="G384" s="21">
        <v>0</v>
      </c>
      <c r="I384" s="21">
        <f>AVERAGE(F382:F384)</f>
        <v>4.1896666666666667</v>
      </c>
      <c r="J384" s="21">
        <f>AVERAGE(G382:G384)</f>
        <v>2.4078625000000003E-2</v>
      </c>
      <c r="L384">
        <f>+J384/I384</f>
        <v>5.7471457554300271E-3</v>
      </c>
      <c r="M384">
        <f>+(L384-$L$927)/$L$928</f>
        <v>-0.59119876792683912</v>
      </c>
      <c r="N384">
        <f>+N381+M384</f>
        <v>-3.2775066210473875</v>
      </c>
    </row>
    <row r="385" spans="1:14">
      <c r="A385" s="10">
        <v>11</v>
      </c>
      <c r="B385" s="75">
        <v>40317</v>
      </c>
      <c r="C385" s="10">
        <v>2010</v>
      </c>
      <c r="D385" s="4" t="s">
        <v>17</v>
      </c>
      <c r="E385" s="10">
        <v>5</v>
      </c>
      <c r="F385" s="22">
        <v>2.11</v>
      </c>
      <c r="G385" s="21">
        <v>0</v>
      </c>
    </row>
    <row r="386" spans="1:14">
      <c r="A386" s="10">
        <v>12</v>
      </c>
      <c r="B386" s="75">
        <v>40317</v>
      </c>
      <c r="C386" s="10">
        <v>2010</v>
      </c>
      <c r="D386" s="4" t="s">
        <v>17</v>
      </c>
      <c r="E386" s="10">
        <v>5</v>
      </c>
      <c r="F386" s="22">
        <v>1.224</v>
      </c>
      <c r="G386" s="21">
        <v>0</v>
      </c>
    </row>
    <row r="387" spans="1:14">
      <c r="A387" s="10">
        <v>13</v>
      </c>
      <c r="B387" s="75">
        <v>40317</v>
      </c>
      <c r="C387" s="10">
        <v>2010</v>
      </c>
      <c r="D387" s="4" t="s">
        <v>17</v>
      </c>
      <c r="E387" s="10">
        <v>5</v>
      </c>
      <c r="F387" s="22">
        <v>2.8039999999999998</v>
      </c>
      <c r="G387" s="21">
        <v>0.17299762500000002</v>
      </c>
      <c r="I387" s="21">
        <f>AVERAGE(F385:F387)</f>
        <v>2.0459999999999998</v>
      </c>
      <c r="J387" s="21">
        <f>AVERAGE(G385:G387)</f>
        <v>5.7665875000000005E-2</v>
      </c>
      <c r="L387">
        <f>+J387/I387</f>
        <v>2.8184689638318675E-2</v>
      </c>
      <c r="M387">
        <f>+(L387-$L$927)/$L$928</f>
        <v>0.40446488882848708</v>
      </c>
      <c r="N387">
        <f>+N384+M387</f>
        <v>-2.8730417322189004</v>
      </c>
    </row>
    <row r="388" spans="1:14">
      <c r="A388" s="10">
        <v>11</v>
      </c>
      <c r="B388" s="75">
        <v>40345</v>
      </c>
      <c r="C388" s="10">
        <v>2010</v>
      </c>
      <c r="D388" s="4" t="s">
        <v>18</v>
      </c>
      <c r="E388" s="10">
        <v>6</v>
      </c>
      <c r="F388" s="22">
        <v>7.0090000000000003</v>
      </c>
      <c r="G388" s="21">
        <v>0.160388375</v>
      </c>
    </row>
    <row r="389" spans="1:14">
      <c r="A389" s="10">
        <v>12</v>
      </c>
      <c r="B389" s="75">
        <v>40345</v>
      </c>
      <c r="C389" s="10">
        <v>2010</v>
      </c>
      <c r="D389" s="4" t="s">
        <v>18</v>
      </c>
      <c r="E389" s="10">
        <v>6</v>
      </c>
      <c r="F389" s="22">
        <v>7.4489999999999998</v>
      </c>
      <c r="G389" s="21">
        <v>0.26101762499999998</v>
      </c>
      <c r="I389" s="21"/>
      <c r="J389" s="21"/>
    </row>
    <row r="390" spans="1:14">
      <c r="A390" s="10">
        <v>13</v>
      </c>
      <c r="B390" s="75">
        <v>40345</v>
      </c>
      <c r="C390" s="10">
        <v>2010</v>
      </c>
      <c r="D390" s="4" t="s">
        <v>18</v>
      </c>
      <c r="E390" s="10">
        <v>6</v>
      </c>
      <c r="F390" s="22">
        <v>9.2870000000000008</v>
      </c>
      <c r="G390" s="21">
        <v>0.41241524999999996</v>
      </c>
      <c r="I390" s="21">
        <f>AVERAGE(F388:F390)</f>
        <v>7.915</v>
      </c>
      <c r="J390" s="21">
        <f>AVERAGE(G388:G390)</f>
        <v>0.27794041666666663</v>
      </c>
      <c r="L390">
        <f>+J390/I390</f>
        <v>3.5115655927563695E-2</v>
      </c>
      <c r="M390">
        <f>+(L390-$L$927)/$L$928</f>
        <v>0.71202579105630948</v>
      </c>
      <c r="N390">
        <f>+N387+M390</f>
        <v>-2.1610159411625909</v>
      </c>
    </row>
    <row r="391" spans="1:14">
      <c r="A391" s="10">
        <v>11</v>
      </c>
      <c r="B391" s="75">
        <v>40374</v>
      </c>
      <c r="C391" s="10">
        <v>2010</v>
      </c>
      <c r="D391" s="4" t="s">
        <v>19</v>
      </c>
      <c r="E391" s="10">
        <v>7</v>
      </c>
      <c r="F391" s="22">
        <v>9.1110000000000007</v>
      </c>
      <c r="G391" s="21">
        <v>0.21518424999999997</v>
      </c>
    </row>
    <row r="392" spans="1:14">
      <c r="A392" s="10">
        <v>12</v>
      </c>
      <c r="B392" s="75">
        <v>40374</v>
      </c>
      <c r="C392" s="10">
        <v>2010</v>
      </c>
      <c r="D392" s="4" t="s">
        <v>19</v>
      </c>
      <c r="E392" s="10">
        <v>7</v>
      </c>
      <c r="F392" s="22">
        <v>9.8789999999999996</v>
      </c>
      <c r="G392" s="21">
        <v>0.22296774999999999</v>
      </c>
    </row>
    <row r="393" spans="1:14">
      <c r="A393" s="10">
        <v>13</v>
      </c>
      <c r="B393" s="75">
        <v>40374</v>
      </c>
      <c r="C393" s="10">
        <v>2010</v>
      </c>
      <c r="D393" s="4" t="s">
        <v>19</v>
      </c>
      <c r="E393" s="10">
        <v>7</v>
      </c>
      <c r="F393" s="22">
        <v>11.994</v>
      </c>
      <c r="G393" s="21">
        <v>0.3593377499999999</v>
      </c>
      <c r="I393" s="21">
        <f>AVERAGE(F391:F393)</f>
        <v>10.328000000000001</v>
      </c>
      <c r="J393" s="21">
        <f>AVERAGE(G391:G393)</f>
        <v>0.26582991666666661</v>
      </c>
      <c r="L393">
        <f>+J393/I393</f>
        <v>2.573876032791117E-2</v>
      </c>
      <c r="M393">
        <f>+(L393-$L$927)/$L$928</f>
        <v>0.29592703218622779</v>
      </c>
      <c r="N393">
        <f>+N390+M393</f>
        <v>-1.8650889089763631</v>
      </c>
    </row>
    <row r="394" spans="1:14">
      <c r="A394" s="10">
        <v>11</v>
      </c>
      <c r="B394" s="75">
        <v>40409</v>
      </c>
      <c r="C394" s="10">
        <v>2010</v>
      </c>
      <c r="D394" s="4" t="s">
        <v>20</v>
      </c>
      <c r="E394" s="10">
        <v>8</v>
      </c>
      <c r="F394" s="22">
        <v>8.5289999999999999</v>
      </c>
      <c r="G394" s="21">
        <v>0.11170112500000001</v>
      </c>
    </row>
    <row r="395" spans="1:14">
      <c r="A395" s="10">
        <v>12</v>
      </c>
      <c r="B395" s="75">
        <v>40409</v>
      </c>
      <c r="C395" s="10">
        <v>2010</v>
      </c>
      <c r="D395" s="4" t="s">
        <v>20</v>
      </c>
      <c r="E395" s="10">
        <v>8</v>
      </c>
      <c r="F395" s="22">
        <v>4.7140000000000004</v>
      </c>
      <c r="G395" s="21">
        <v>5.6065249999999997E-2</v>
      </c>
    </row>
    <row r="396" spans="1:14">
      <c r="A396" s="10">
        <v>13</v>
      </c>
      <c r="B396" s="75">
        <v>40409</v>
      </c>
      <c r="C396" s="10">
        <v>2010</v>
      </c>
      <c r="D396" s="4" t="s">
        <v>20</v>
      </c>
      <c r="E396" s="10">
        <v>8</v>
      </c>
      <c r="F396" s="22">
        <v>14.83</v>
      </c>
      <c r="G396" s="21">
        <v>0.46560637500000002</v>
      </c>
      <c r="I396" s="21">
        <f>AVERAGE(F394:F396)</f>
        <v>9.3576666666666668</v>
      </c>
      <c r="J396" s="21">
        <f>AVERAGE(G394:G396)</f>
        <v>0.21112425000000001</v>
      </c>
      <c r="L396">
        <f>+J396/I396</f>
        <v>2.2561633954333346E-2</v>
      </c>
      <c r="M396">
        <f>+(L396-$L$927)/$L$928</f>
        <v>0.15494238254715911</v>
      </c>
      <c r="N396">
        <f>+N393+M396</f>
        <v>-1.710146526429204</v>
      </c>
    </row>
    <row r="397" spans="1:14">
      <c r="A397" s="10">
        <v>11</v>
      </c>
      <c r="B397" s="75">
        <v>40434</v>
      </c>
      <c r="C397" s="10">
        <v>2010</v>
      </c>
      <c r="D397" s="4" t="s">
        <v>26</v>
      </c>
      <c r="E397" s="10">
        <v>9</v>
      </c>
      <c r="F397" s="22">
        <v>7.556</v>
      </c>
      <c r="G397" s="21">
        <v>0.12148437499999999</v>
      </c>
    </row>
    <row r="398" spans="1:14">
      <c r="A398" s="10">
        <v>11</v>
      </c>
      <c r="B398" s="75">
        <v>40434</v>
      </c>
      <c r="C398" s="10">
        <v>2010</v>
      </c>
      <c r="D398" s="4" t="s">
        <v>26</v>
      </c>
      <c r="E398" s="10">
        <v>9</v>
      </c>
      <c r="F398" s="22">
        <v>7.556</v>
      </c>
      <c r="G398" s="21">
        <v>0.11366125000000001</v>
      </c>
    </row>
    <row r="399" spans="1:14">
      <c r="A399" s="10">
        <v>12</v>
      </c>
      <c r="B399" s="75">
        <v>40434</v>
      </c>
      <c r="C399" s="10">
        <v>2010</v>
      </c>
      <c r="D399" s="4" t="s">
        <v>26</v>
      </c>
      <c r="E399" s="10">
        <v>9</v>
      </c>
      <c r="F399" s="22">
        <v>7.0720000000000001</v>
      </c>
      <c r="G399" s="21">
        <v>7.5326500000000005E-2</v>
      </c>
      <c r="I399" s="21"/>
      <c r="J399" s="21"/>
    </row>
    <row r="400" spans="1:14">
      <c r="A400" s="10">
        <v>13</v>
      </c>
      <c r="B400" s="75">
        <v>40434</v>
      </c>
      <c r="C400" s="10">
        <v>2010</v>
      </c>
      <c r="D400" s="4" t="s">
        <v>26</v>
      </c>
      <c r="E400" s="10">
        <v>9</v>
      </c>
      <c r="F400" s="22">
        <v>6.4009999999999998</v>
      </c>
      <c r="G400" s="21">
        <v>0.10688587499999999</v>
      </c>
      <c r="I400" s="21">
        <f>AVERAGE(F397:F400)</f>
        <v>7.1462500000000002</v>
      </c>
      <c r="J400" s="21">
        <f>AVERAGE(G397:G400)</f>
        <v>0.1043395</v>
      </c>
      <c r="L400">
        <f>+J400/I400</f>
        <v>1.4600594717509184E-2</v>
      </c>
      <c r="M400">
        <f>+(L400-$L$927)/$L$928</f>
        <v>-0.19832789870469877</v>
      </c>
      <c r="N400">
        <f>+N396+M400</f>
        <v>-1.9084744251339028</v>
      </c>
    </row>
    <row r="401" spans="1:14">
      <c r="A401" s="10">
        <v>11</v>
      </c>
      <c r="B401" s="75">
        <v>40463</v>
      </c>
      <c r="C401" s="10">
        <v>2010</v>
      </c>
      <c r="D401" s="4" t="s">
        <v>22</v>
      </c>
      <c r="E401" s="10">
        <v>10</v>
      </c>
      <c r="F401" s="20">
        <v>4.1390000000000002</v>
      </c>
      <c r="G401" s="21">
        <v>9.5263874999999984E-2</v>
      </c>
    </row>
    <row r="402" spans="1:14">
      <c r="A402" s="10">
        <v>12</v>
      </c>
      <c r="B402" s="75">
        <v>40463</v>
      </c>
      <c r="C402" s="10">
        <v>2010</v>
      </c>
      <c r="D402" s="4" t="s">
        <v>22</v>
      </c>
      <c r="E402" s="10">
        <v>10</v>
      </c>
      <c r="F402" s="20">
        <v>4.9029999999999996</v>
      </c>
      <c r="G402" s="21">
        <v>6.5592625000000002E-2</v>
      </c>
    </row>
    <row r="403" spans="1:14">
      <c r="A403" s="10">
        <v>13</v>
      </c>
      <c r="B403" s="75">
        <v>40463</v>
      </c>
      <c r="C403" s="10">
        <v>2010</v>
      </c>
      <c r="D403" s="4" t="s">
        <v>22</v>
      </c>
      <c r="E403" s="10">
        <v>10</v>
      </c>
      <c r="F403" s="20">
        <v>4.6959999999999997</v>
      </c>
      <c r="G403" s="21">
        <v>0.144603125</v>
      </c>
      <c r="I403" s="21">
        <f>AVERAGE(F401:F403)</f>
        <v>4.5793333333333335</v>
      </c>
      <c r="J403" s="21">
        <f>AVERAGE(G401:G403)</f>
        <v>0.101819875</v>
      </c>
      <c r="L403">
        <f>+J403/I403</f>
        <v>2.2234650240209639E-2</v>
      </c>
      <c r="M403">
        <f>+(L403-$L$927)/$L$928</f>
        <v>0.14043251452403149</v>
      </c>
      <c r="N403">
        <f>+N400+M403</f>
        <v>-1.7680419106098713</v>
      </c>
    </row>
    <row r="404" spans="1:14">
      <c r="A404" s="10">
        <v>11</v>
      </c>
      <c r="B404" s="75">
        <v>40500</v>
      </c>
      <c r="C404" s="10">
        <v>2010</v>
      </c>
      <c r="D404" s="4" t="s">
        <v>23</v>
      </c>
      <c r="E404" s="10">
        <v>11</v>
      </c>
      <c r="F404" s="20">
        <v>1.873</v>
      </c>
      <c r="G404" s="21">
        <v>0</v>
      </c>
    </row>
    <row r="405" spans="1:14">
      <c r="A405" s="10">
        <v>12</v>
      </c>
      <c r="B405" s="75">
        <v>40500</v>
      </c>
      <c r="C405" s="10">
        <v>2010</v>
      </c>
      <c r="D405" s="4" t="s">
        <v>23</v>
      </c>
      <c r="E405" s="10">
        <v>11</v>
      </c>
      <c r="F405" s="20">
        <v>2.181</v>
      </c>
      <c r="G405" s="21">
        <v>3.2155875E-2</v>
      </c>
    </row>
    <row r="406" spans="1:14">
      <c r="A406" s="10">
        <v>13</v>
      </c>
      <c r="B406" s="75">
        <v>40500</v>
      </c>
      <c r="C406" s="10">
        <v>2010</v>
      </c>
      <c r="D406" s="4" t="s">
        <v>23</v>
      </c>
      <c r="E406" s="10">
        <v>11</v>
      </c>
      <c r="F406" s="20">
        <v>2.2469999999999999</v>
      </c>
      <c r="G406" s="21">
        <v>3.0115249999999996E-2</v>
      </c>
      <c r="I406" s="21"/>
      <c r="J406" s="21"/>
    </row>
    <row r="407" spans="1:14">
      <c r="A407" s="10">
        <v>13</v>
      </c>
      <c r="B407" s="75">
        <v>40500</v>
      </c>
      <c r="C407" s="10">
        <v>2010</v>
      </c>
      <c r="D407" s="4" t="s">
        <v>23</v>
      </c>
      <c r="E407" s="10">
        <v>11</v>
      </c>
      <c r="F407" s="20">
        <v>2.2469999999999999</v>
      </c>
      <c r="G407" s="21">
        <v>2.5701124999999995E-2</v>
      </c>
      <c r="I407" s="21">
        <f>AVERAGE(F404:F407)</f>
        <v>2.137</v>
      </c>
      <c r="J407" s="21">
        <f>AVERAGE(G404:G407)</f>
        <v>2.1993062499999997E-2</v>
      </c>
      <c r="L407">
        <f>+J407/I407</f>
        <v>1.0291559429106222E-2</v>
      </c>
      <c r="M407">
        <f>+(L407-$L$927)/$L$928</f>
        <v>-0.38954088773470341</v>
      </c>
      <c r="N407">
        <f>+N403+M407</f>
        <v>-2.1575827983445746</v>
      </c>
    </row>
    <row r="408" spans="1:14">
      <c r="A408" s="10">
        <v>11</v>
      </c>
      <c r="B408" s="75">
        <v>40521</v>
      </c>
      <c r="C408" s="10">
        <v>2010</v>
      </c>
      <c r="D408" s="4" t="s">
        <v>24</v>
      </c>
      <c r="E408" s="10">
        <v>12</v>
      </c>
      <c r="F408" s="20">
        <v>3.871</v>
      </c>
      <c r="G408" s="21">
        <v>3.1928874999999995E-2</v>
      </c>
    </row>
    <row r="409" spans="1:14">
      <c r="A409" s="10">
        <v>12</v>
      </c>
      <c r="B409" s="75">
        <v>40521</v>
      </c>
      <c r="C409" s="10">
        <v>2010</v>
      </c>
      <c r="D409" s="4" t="s">
        <v>24</v>
      </c>
      <c r="E409" s="10">
        <v>12</v>
      </c>
      <c r="F409" s="20">
        <v>2.9849999999999999</v>
      </c>
      <c r="G409" s="21">
        <v>2.4042999999999998E-2</v>
      </c>
    </row>
    <row r="410" spans="1:14">
      <c r="A410" s="10">
        <v>13</v>
      </c>
      <c r="B410" s="75">
        <v>40521</v>
      </c>
      <c r="C410" s="10">
        <v>2010</v>
      </c>
      <c r="D410" s="4" t="s">
        <v>24</v>
      </c>
      <c r="E410" s="10">
        <v>12</v>
      </c>
      <c r="F410" s="20">
        <v>3.0150000000000001</v>
      </c>
      <c r="G410" s="21">
        <v>2.3383999999999995E-2</v>
      </c>
      <c r="I410" s="21">
        <f>AVERAGE(F408:F410)</f>
        <v>3.2903333333333333</v>
      </c>
      <c r="J410" s="21">
        <f>AVERAGE(G408:G410)</f>
        <v>2.6451958333333331E-2</v>
      </c>
      <c r="L410">
        <f>+J410/I410</f>
        <v>8.0392943977307257E-3</v>
      </c>
      <c r="M410">
        <f>+(L410-$L$927)/$L$928</f>
        <v>-0.48948491230468555</v>
      </c>
      <c r="N410">
        <f>+N407+M410</f>
        <v>-2.6470677106492602</v>
      </c>
    </row>
    <row r="411" spans="1:14">
      <c r="A411" s="10">
        <v>11</v>
      </c>
      <c r="B411" s="75">
        <v>40563</v>
      </c>
      <c r="C411" s="10">
        <v>2011</v>
      </c>
      <c r="D411" s="4" t="s">
        <v>25</v>
      </c>
      <c r="E411" s="10">
        <v>1</v>
      </c>
      <c r="F411" s="20">
        <v>4.7370000000000001</v>
      </c>
      <c r="G411" s="21">
        <v>3.3315874999999995E-2</v>
      </c>
    </row>
    <row r="412" spans="1:14">
      <c r="A412" s="10">
        <v>12</v>
      </c>
      <c r="B412" s="75">
        <v>40563</v>
      </c>
      <c r="C412" s="10">
        <v>2011</v>
      </c>
      <c r="D412" s="4" t="s">
        <v>25</v>
      </c>
      <c r="E412" s="10">
        <v>1</v>
      </c>
      <c r="F412" s="20">
        <v>4.4649999999999999</v>
      </c>
      <c r="G412" s="21">
        <v>3.6811874999999994E-2</v>
      </c>
    </row>
    <row r="413" spans="1:14">
      <c r="A413" s="10">
        <v>13</v>
      </c>
      <c r="B413" s="75">
        <v>40563</v>
      </c>
      <c r="C413" s="10">
        <v>2011</v>
      </c>
      <c r="D413" s="4" t="s">
        <v>25</v>
      </c>
      <c r="E413" s="10">
        <v>1</v>
      </c>
      <c r="F413" s="20">
        <v>2.9350000000000001</v>
      </c>
      <c r="G413" s="21">
        <v>0</v>
      </c>
      <c r="I413" s="21">
        <f>AVERAGE(F411:F413)</f>
        <v>4.0456666666666665</v>
      </c>
      <c r="J413" s="21">
        <f>AVERAGE(G411:G413)</f>
        <v>2.3375916666666663E-2</v>
      </c>
      <c r="L413">
        <f>+J413/I413</f>
        <v>5.7780135124000983E-3</v>
      </c>
      <c r="M413">
        <f>+(L413-$L$927)/$L$928</f>
        <v>-0.58982901444842495</v>
      </c>
      <c r="N413">
        <f>+N410+M413</f>
        <v>-3.2368967250976852</v>
      </c>
    </row>
    <row r="414" spans="1:14">
      <c r="A414" s="10">
        <v>11</v>
      </c>
      <c r="B414" s="75">
        <v>40598</v>
      </c>
      <c r="C414" s="10">
        <v>2011</v>
      </c>
      <c r="D414" s="4" t="s">
        <v>14</v>
      </c>
      <c r="E414" s="10">
        <v>2</v>
      </c>
      <c r="F414" s="20">
        <v>4.5720000000000001</v>
      </c>
      <c r="G414" s="21">
        <v>2.2770624999999999E-2</v>
      </c>
    </row>
    <row r="415" spans="1:14">
      <c r="A415" s="10">
        <v>12</v>
      </c>
      <c r="B415" s="75">
        <v>40598</v>
      </c>
      <c r="C415" s="10">
        <v>2011</v>
      </c>
      <c r="D415" s="4" t="s">
        <v>14</v>
      </c>
      <c r="E415" s="10">
        <v>2</v>
      </c>
      <c r="F415" s="20">
        <v>4.8120000000000003</v>
      </c>
      <c r="G415" s="21">
        <v>2.3152874999999996E-2</v>
      </c>
    </row>
    <row r="416" spans="1:14">
      <c r="A416" s="10">
        <v>13</v>
      </c>
      <c r="B416" s="75">
        <v>40598</v>
      </c>
      <c r="C416" s="10">
        <v>2011</v>
      </c>
      <c r="D416" s="4" t="s">
        <v>14</v>
      </c>
      <c r="E416" s="10">
        <v>2</v>
      </c>
      <c r="F416" s="20">
        <v>3.6349999999999998</v>
      </c>
      <c r="G416" s="21">
        <v>4.2264999999999997E-2</v>
      </c>
      <c r="I416" s="21">
        <f>AVERAGE(F414:F416)</f>
        <v>4.339666666666667</v>
      </c>
      <c r="J416" s="21">
        <f>AVERAGE(G414:G416)</f>
        <v>2.9396166666666664E-2</v>
      </c>
      <c r="L416">
        <f>+J416/I416</f>
        <v>6.7738305553421913E-3</v>
      </c>
      <c r="M416">
        <f>+(L416-$L$927)/$L$928</f>
        <v>-0.54563973760020734</v>
      </c>
      <c r="N416">
        <f>+N413+M416</f>
        <v>-3.7825364626978928</v>
      </c>
    </row>
    <row r="417" spans="1:14">
      <c r="A417" s="10">
        <v>11</v>
      </c>
      <c r="B417" s="75">
        <v>40617</v>
      </c>
      <c r="C417" s="10">
        <v>2011</v>
      </c>
      <c r="D417" s="4" t="s">
        <v>15</v>
      </c>
      <c r="E417" s="10">
        <v>3</v>
      </c>
      <c r="F417" s="20">
        <v>4.766</v>
      </c>
      <c r="G417" s="21">
        <v>0.10769475000000003</v>
      </c>
    </row>
    <row r="418" spans="1:14">
      <c r="A418" s="10">
        <v>12</v>
      </c>
      <c r="B418" s="75">
        <v>40617</v>
      </c>
      <c r="C418" s="10">
        <v>2011</v>
      </c>
      <c r="D418" s="4" t="s">
        <v>15</v>
      </c>
      <c r="E418" s="10">
        <v>3</v>
      </c>
      <c r="F418" s="20">
        <v>3.7519999999999998</v>
      </c>
      <c r="G418" s="21">
        <v>8.0132624999999999E-2</v>
      </c>
      <c r="I418" s="21"/>
      <c r="J418" s="21"/>
    </row>
    <row r="419" spans="1:14">
      <c r="A419" s="10">
        <v>13</v>
      </c>
      <c r="B419" s="75">
        <v>40617</v>
      </c>
      <c r="C419" s="10">
        <v>2011</v>
      </c>
      <c r="D419" s="4" t="s">
        <v>15</v>
      </c>
      <c r="E419" s="10">
        <v>3</v>
      </c>
      <c r="F419" s="20">
        <v>4.41</v>
      </c>
      <c r="G419" s="21">
        <v>9.529799999999998E-2</v>
      </c>
      <c r="I419" s="21">
        <f>AVERAGE(F417:F419)</f>
        <v>4.3093333333333339</v>
      </c>
      <c r="J419" s="21">
        <f>AVERAGE(G417:G419)</f>
        <v>9.4375125000000004E-2</v>
      </c>
      <c r="L419">
        <f>+J419/I419</f>
        <v>2.1900168239480197E-2</v>
      </c>
      <c r="M419">
        <f>+(L419-$L$927)/$L$928</f>
        <v>0.12558991081912732</v>
      </c>
      <c r="N419">
        <f>+N416+M419</f>
        <v>-3.6569465518787654</v>
      </c>
    </row>
    <row r="420" spans="1:14">
      <c r="A420" s="10">
        <v>11</v>
      </c>
      <c r="B420" s="75">
        <v>40647</v>
      </c>
      <c r="C420" s="10">
        <v>2011</v>
      </c>
      <c r="D420" s="4" t="s">
        <v>16</v>
      </c>
      <c r="E420" s="10">
        <v>4</v>
      </c>
      <c r="F420" s="20">
        <v>4.5590000000000002</v>
      </c>
      <c r="G420" s="21">
        <v>8.8226750000000007E-2</v>
      </c>
    </row>
    <row r="421" spans="1:14">
      <c r="A421" s="10">
        <v>11</v>
      </c>
      <c r="B421" s="75">
        <v>40647</v>
      </c>
      <c r="C421" s="10">
        <v>2011</v>
      </c>
      <c r="D421" s="4" t="s">
        <v>16</v>
      </c>
      <c r="E421" s="10">
        <v>4</v>
      </c>
      <c r="F421" s="20">
        <v>4.5590000000000002</v>
      </c>
      <c r="G421" s="21">
        <v>8.5696999999999995E-2</v>
      </c>
      <c r="H421" t="s">
        <v>41</v>
      </c>
    </row>
    <row r="422" spans="1:14">
      <c r="A422" s="10">
        <v>12</v>
      </c>
      <c r="B422" s="75">
        <v>40647</v>
      </c>
      <c r="C422" s="10">
        <v>2011</v>
      </c>
      <c r="D422" s="4" t="s">
        <v>16</v>
      </c>
      <c r="E422" s="10">
        <v>4</v>
      </c>
      <c r="F422" s="20">
        <v>3.8530000000000002</v>
      </c>
      <c r="G422" s="21">
        <v>7.9927374999999995E-2</v>
      </c>
    </row>
    <row r="423" spans="1:14">
      <c r="A423" s="10">
        <v>13</v>
      </c>
      <c r="B423" s="75">
        <v>40647</v>
      </c>
      <c r="C423" s="10">
        <v>2011</v>
      </c>
      <c r="D423" s="4" t="s">
        <v>16</v>
      </c>
      <c r="E423" s="10">
        <v>4</v>
      </c>
      <c r="F423" s="20">
        <v>2.294</v>
      </c>
      <c r="G423" s="21">
        <v>3.421337499999999E-2</v>
      </c>
      <c r="I423" s="21">
        <f>AVERAGE(F420:F423)</f>
        <v>3.8162500000000001</v>
      </c>
      <c r="J423" s="21">
        <f>AVERAGE(G420:G423)</f>
        <v>7.2016124999999986E-2</v>
      </c>
      <c r="L423">
        <f>+J423/I423</f>
        <v>1.8870913855224367E-2</v>
      </c>
      <c r="M423">
        <f>+(L423-$L$927)/$L$928</f>
        <v>-8.8329348012625725E-3</v>
      </c>
      <c r="N423">
        <f>+N419+M423</f>
        <v>-3.665779486680028</v>
      </c>
    </row>
    <row r="424" spans="1:14">
      <c r="A424" s="10">
        <v>11</v>
      </c>
      <c r="B424" s="75">
        <v>40682</v>
      </c>
      <c r="C424" s="10">
        <v>2011</v>
      </c>
      <c r="D424" s="4" t="s">
        <v>17</v>
      </c>
      <c r="E424" s="10">
        <v>5</v>
      </c>
      <c r="F424" s="20">
        <v>2.02</v>
      </c>
      <c r="G424" s="21">
        <v>0.1153435</v>
      </c>
    </row>
    <row r="425" spans="1:14">
      <c r="A425" s="10">
        <v>12</v>
      </c>
      <c r="B425" s="75">
        <v>40682</v>
      </c>
      <c r="C425" s="10">
        <v>2011</v>
      </c>
      <c r="D425" s="4" t="s">
        <v>17</v>
      </c>
      <c r="E425" s="10">
        <v>5</v>
      </c>
      <c r="F425" s="20">
        <v>1.5920000000000001</v>
      </c>
      <c r="G425" s="21">
        <v>6.7288749999999994E-2</v>
      </c>
    </row>
    <row r="426" spans="1:14">
      <c r="A426" s="10">
        <v>13</v>
      </c>
      <c r="B426" s="75">
        <v>40682</v>
      </c>
      <c r="C426" s="10">
        <v>2011</v>
      </c>
      <c r="D426" s="4" t="s">
        <v>17</v>
      </c>
      <c r="E426" s="10">
        <v>5</v>
      </c>
      <c r="F426" s="20">
        <v>2.5779999999999998</v>
      </c>
      <c r="G426" s="21">
        <v>0.22370912499999998</v>
      </c>
      <c r="I426" s="21">
        <f>AVERAGE(F424:F426)</f>
        <v>2.063333333333333</v>
      </c>
      <c r="J426" s="21">
        <f>AVERAGE(G424:G426)</f>
        <v>0.135447125</v>
      </c>
      <c r="L426">
        <f>+J426/I426</f>
        <v>6.5644810177705987E-2</v>
      </c>
      <c r="M426">
        <f>+(L426-$L$927)/$L$928</f>
        <v>2.0667538092831759</v>
      </c>
      <c r="N426">
        <f>+N423+M426</f>
        <v>-1.5990256773968521</v>
      </c>
    </row>
    <row r="427" spans="1:14">
      <c r="A427" s="10">
        <v>11</v>
      </c>
      <c r="B427" s="75">
        <v>40709</v>
      </c>
      <c r="C427" s="10">
        <v>2011</v>
      </c>
      <c r="D427" s="4" t="s">
        <v>18</v>
      </c>
      <c r="E427" s="10">
        <v>6</v>
      </c>
      <c r="F427" s="20">
        <v>4.0220000000000002</v>
      </c>
      <c r="G427" s="21">
        <v>0.10144599999999999</v>
      </c>
    </row>
    <row r="428" spans="1:14">
      <c r="A428" s="10">
        <v>12</v>
      </c>
      <c r="B428" s="75">
        <v>40709</v>
      </c>
      <c r="C428" s="10">
        <v>2011</v>
      </c>
      <c r="D428" s="4" t="s">
        <v>18</v>
      </c>
      <c r="E428" s="10">
        <v>6</v>
      </c>
      <c r="F428" s="20">
        <v>4.2</v>
      </c>
      <c r="G428" s="21">
        <v>8.8062625000000005E-2</v>
      </c>
    </row>
    <row r="429" spans="1:14">
      <c r="A429" s="10">
        <v>13</v>
      </c>
      <c r="B429" s="75">
        <v>40709</v>
      </c>
      <c r="C429" s="10">
        <v>2011</v>
      </c>
      <c r="D429" s="4" t="s">
        <v>18</v>
      </c>
      <c r="E429" s="10">
        <v>6</v>
      </c>
      <c r="F429" s="20">
        <v>7.6539999999999999</v>
      </c>
      <c r="G429" s="21">
        <v>6.9927000000000003E-2</v>
      </c>
      <c r="I429" s="21">
        <f>AVERAGE(F427:F429)</f>
        <v>5.2920000000000007</v>
      </c>
      <c r="J429" s="21">
        <f>AVERAGE(G427:G429)</f>
        <v>8.6478541666666672E-2</v>
      </c>
      <c r="L429">
        <f>+J429/I429</f>
        <v>1.6341372197026957E-2</v>
      </c>
      <c r="M429">
        <f>+(L429-$L$927)/$L$928</f>
        <v>-0.12108108060818762</v>
      </c>
      <c r="N429">
        <f>+N426+M429</f>
        <v>-1.7201067580050398</v>
      </c>
    </row>
    <row r="430" spans="1:14">
      <c r="A430" s="10">
        <v>11</v>
      </c>
      <c r="B430" s="75">
        <v>40736</v>
      </c>
      <c r="C430" s="10">
        <v>2011</v>
      </c>
      <c r="D430" s="4" t="s">
        <v>19</v>
      </c>
      <c r="E430" s="10">
        <v>7</v>
      </c>
      <c r="F430" s="20">
        <v>7.407</v>
      </c>
      <c r="G430" s="21">
        <v>0.169541625</v>
      </c>
    </row>
    <row r="431" spans="1:14">
      <c r="A431" s="10">
        <v>12</v>
      </c>
      <c r="B431" s="75">
        <v>40736</v>
      </c>
      <c r="C431" s="10">
        <v>2011</v>
      </c>
      <c r="D431" s="4" t="s">
        <v>19</v>
      </c>
      <c r="E431" s="10">
        <v>7</v>
      </c>
      <c r="F431" s="20">
        <v>8.0679999999999996</v>
      </c>
      <c r="G431" s="21">
        <v>0.15381462500000001</v>
      </c>
    </row>
    <row r="432" spans="1:14">
      <c r="A432" s="10">
        <v>13</v>
      </c>
      <c r="B432" s="75">
        <v>40736</v>
      </c>
      <c r="C432" s="10">
        <v>2011</v>
      </c>
      <c r="D432" s="4" t="s">
        <v>19</v>
      </c>
      <c r="E432" s="10">
        <v>7</v>
      </c>
      <c r="F432" s="20">
        <v>8.9009999999999998</v>
      </c>
      <c r="G432" s="21">
        <v>0.17544412499999998</v>
      </c>
      <c r="I432" s="21">
        <f>AVERAGE(F430:F432)</f>
        <v>8.125333333333332</v>
      </c>
      <c r="J432" s="21">
        <f>AVERAGE(G430:G432)</f>
        <v>0.16626679166666666</v>
      </c>
      <c r="L432">
        <f>+J432/I432</f>
        <v>2.0462765630127999E-2</v>
      </c>
      <c r="M432">
        <f>+(L432-$L$927)/$L$928</f>
        <v>6.1805320770984939E-2</v>
      </c>
      <c r="N432">
        <f>+N429+M432</f>
        <v>-1.6583014372340548</v>
      </c>
    </row>
    <row r="433" spans="1:14">
      <c r="A433" s="10">
        <v>11</v>
      </c>
      <c r="B433" s="75">
        <v>40772</v>
      </c>
      <c r="C433" s="10">
        <v>2011</v>
      </c>
      <c r="D433" s="4" t="s">
        <v>20</v>
      </c>
      <c r="E433" s="10">
        <v>8</v>
      </c>
      <c r="F433" s="20">
        <v>14.526999999999999</v>
      </c>
      <c r="G433" s="21">
        <v>0.16420162499999999</v>
      </c>
    </row>
    <row r="434" spans="1:14">
      <c r="A434" s="10">
        <v>12</v>
      </c>
      <c r="B434" s="75">
        <v>40772</v>
      </c>
      <c r="C434" s="10">
        <v>2011</v>
      </c>
      <c r="D434" s="4" t="s">
        <v>20</v>
      </c>
      <c r="E434" s="10">
        <v>8</v>
      </c>
      <c r="F434" s="20">
        <v>11.542999999999999</v>
      </c>
      <c r="G434" s="21">
        <v>9.0062874999999987E-2</v>
      </c>
    </row>
    <row r="435" spans="1:14">
      <c r="A435" s="10">
        <v>13</v>
      </c>
      <c r="B435" s="75">
        <v>40772</v>
      </c>
      <c r="C435" s="10">
        <v>2011</v>
      </c>
      <c r="D435" s="4" t="s">
        <v>20</v>
      </c>
      <c r="E435" s="10">
        <v>8</v>
      </c>
      <c r="F435" s="20">
        <v>10.285</v>
      </c>
      <c r="G435" s="21">
        <v>5.3601499999999996E-2</v>
      </c>
      <c r="I435" s="21">
        <f>AVERAGE(F433:F435)</f>
        <v>12.118333333333334</v>
      </c>
      <c r="J435" s="21">
        <f>AVERAGE(G433:G435)</f>
        <v>0.10262199999999999</v>
      </c>
      <c r="L435">
        <f>+J435/I435</f>
        <v>8.4683262274790252E-3</v>
      </c>
      <c r="M435">
        <f>+(L435-$L$927)/$L$928</f>
        <v>-0.47044666985260547</v>
      </c>
      <c r="N435">
        <f>+N432+M435</f>
        <v>-2.1287481070866603</v>
      </c>
    </row>
    <row r="436" spans="1:14">
      <c r="A436" s="10">
        <v>11</v>
      </c>
      <c r="B436" s="75">
        <v>40798</v>
      </c>
      <c r="C436" s="10">
        <v>2011</v>
      </c>
      <c r="D436" s="4" t="s">
        <v>26</v>
      </c>
      <c r="E436" s="10">
        <v>9</v>
      </c>
      <c r="F436" s="20">
        <v>6.1180000000000003</v>
      </c>
      <c r="G436" s="21">
        <v>9.5918249999999983E-2</v>
      </c>
    </row>
    <row r="437" spans="1:14">
      <c r="A437" s="10">
        <v>12</v>
      </c>
      <c r="B437" s="75">
        <v>40798</v>
      </c>
      <c r="C437" s="10">
        <v>2011</v>
      </c>
      <c r="D437" s="4" t="s">
        <v>26</v>
      </c>
      <c r="E437" s="10">
        <v>9</v>
      </c>
      <c r="F437" s="20">
        <v>5.444</v>
      </c>
      <c r="G437" s="21">
        <v>7.2165750000000001E-2</v>
      </c>
    </row>
    <row r="438" spans="1:14">
      <c r="A438" s="10">
        <v>13</v>
      </c>
      <c r="B438" s="75">
        <v>40798</v>
      </c>
      <c r="C438" s="10">
        <v>2011</v>
      </c>
      <c r="D438" s="4" t="s">
        <v>26</v>
      </c>
      <c r="E438" s="10">
        <v>9</v>
      </c>
      <c r="F438" s="20">
        <v>7.492</v>
      </c>
      <c r="G438" s="21">
        <v>7.4966000000000005E-2</v>
      </c>
      <c r="I438" s="21">
        <f>AVERAGE(F436:F438)</f>
        <v>6.3513333333333337</v>
      </c>
      <c r="J438" s="21">
        <f>AVERAGE(G436:G438)</f>
        <v>8.1016666666666667E-2</v>
      </c>
      <c r="L438">
        <f>+J438/I438</f>
        <v>1.2755851789650467E-2</v>
      </c>
      <c r="M438">
        <f>+(L438-$L$927)/$L$928</f>
        <v>-0.28018817266837787</v>
      </c>
      <c r="N438">
        <f>+N435+M438</f>
        <v>-2.408936279755038</v>
      </c>
    </row>
    <row r="439" spans="1:14">
      <c r="A439" s="10">
        <v>11</v>
      </c>
      <c r="B439" s="75">
        <v>40829</v>
      </c>
      <c r="C439" s="10">
        <v>2011</v>
      </c>
      <c r="D439" s="4" t="s">
        <v>22</v>
      </c>
      <c r="E439" s="10">
        <v>10</v>
      </c>
      <c r="F439" s="22">
        <v>4.2300000000000004</v>
      </c>
      <c r="G439" s="21">
        <v>0.21483774999999997</v>
      </c>
    </row>
    <row r="440" spans="1:14">
      <c r="A440" s="10">
        <v>12</v>
      </c>
      <c r="B440" s="75">
        <v>40829</v>
      </c>
      <c r="C440" s="10">
        <v>2011</v>
      </c>
      <c r="D440" s="4" t="s">
        <v>22</v>
      </c>
      <c r="E440" s="10">
        <v>10</v>
      </c>
      <c r="F440" s="22">
        <v>4.702</v>
      </c>
      <c r="G440" s="21">
        <v>0.22009462499999996</v>
      </c>
    </row>
    <row r="441" spans="1:14">
      <c r="A441" s="10">
        <v>13</v>
      </c>
      <c r="B441" s="75">
        <v>40829</v>
      </c>
      <c r="C441" s="10">
        <v>2011</v>
      </c>
      <c r="D441" s="4" t="s">
        <v>22</v>
      </c>
      <c r="E441" s="10">
        <v>10</v>
      </c>
      <c r="F441" s="22">
        <v>2.5640000000000001</v>
      </c>
      <c r="G441" s="21">
        <v>0.10417475</v>
      </c>
      <c r="I441" s="21">
        <f>AVERAGE(F439:F441)</f>
        <v>3.8320000000000003</v>
      </c>
      <c r="J441" s="21">
        <f>AVERAGE(G439:G441)</f>
        <v>0.17970237499999997</v>
      </c>
      <c r="L441">
        <f>+J441/I441</f>
        <v>4.6895191805845497E-2</v>
      </c>
      <c r="M441">
        <f>+(L441-$L$927)/$L$928</f>
        <v>1.234741460323256</v>
      </c>
      <c r="N441">
        <f>+N438+M441</f>
        <v>-1.1741948194317819</v>
      </c>
    </row>
    <row r="442" spans="1:14">
      <c r="A442" s="10">
        <v>11</v>
      </c>
      <c r="B442" s="76">
        <v>40877</v>
      </c>
      <c r="C442" s="10">
        <v>2011</v>
      </c>
      <c r="D442" s="4" t="s">
        <v>23</v>
      </c>
      <c r="E442" s="10">
        <v>11</v>
      </c>
      <c r="F442" s="22">
        <v>5.2469999999999999</v>
      </c>
      <c r="G442" s="21">
        <v>7.938824999999998E-2</v>
      </c>
    </row>
    <row r="443" spans="1:14">
      <c r="A443" s="10">
        <v>12</v>
      </c>
      <c r="B443" s="76">
        <v>40877</v>
      </c>
      <c r="C443" s="10">
        <v>2011</v>
      </c>
      <c r="D443" s="4" t="s">
        <v>23</v>
      </c>
      <c r="E443" s="10">
        <v>11</v>
      </c>
      <c r="F443" s="22">
        <v>3.9009999999999998</v>
      </c>
      <c r="G443" s="21">
        <v>5.4116624999999995E-2</v>
      </c>
    </row>
    <row r="444" spans="1:14">
      <c r="A444" s="10">
        <v>12</v>
      </c>
      <c r="B444" s="76">
        <v>40877</v>
      </c>
      <c r="C444" s="10">
        <v>2011</v>
      </c>
      <c r="D444" s="4" t="s">
        <v>23</v>
      </c>
      <c r="E444" s="10">
        <v>11</v>
      </c>
      <c r="F444" s="22">
        <v>3.9009999999999998</v>
      </c>
      <c r="G444" s="21">
        <v>5.2376875000000003E-2</v>
      </c>
      <c r="H444" t="s">
        <v>41</v>
      </c>
      <c r="I444" s="21"/>
      <c r="J444" s="21"/>
    </row>
    <row r="445" spans="1:14">
      <c r="A445" s="10">
        <v>13</v>
      </c>
      <c r="B445" s="76">
        <v>40877</v>
      </c>
      <c r="C445" s="10">
        <v>2011</v>
      </c>
      <c r="D445" s="4" t="s">
        <v>23</v>
      </c>
      <c r="E445" s="10">
        <v>11</v>
      </c>
      <c r="F445" s="22">
        <v>4.9690000000000003</v>
      </c>
      <c r="G445" s="21">
        <v>0.12483712499999999</v>
      </c>
      <c r="I445" s="21">
        <f>AVERAGE(F442:F445)</f>
        <v>4.5045000000000002</v>
      </c>
      <c r="J445" s="21">
        <f>AVERAGE(G442:G445)</f>
        <v>7.7679718749999987E-2</v>
      </c>
      <c r="L445">
        <f>+J445/I445</f>
        <v>1.7244914807414805E-2</v>
      </c>
      <c r="M445">
        <f>+(L445-$L$927)/$L$928</f>
        <v>-8.0986472027651732E-2</v>
      </c>
      <c r="N445">
        <f>+N441+M445</f>
        <v>-1.2551812914594336</v>
      </c>
    </row>
    <row r="446" spans="1:14">
      <c r="A446" s="10">
        <v>11</v>
      </c>
      <c r="B446" s="76">
        <v>40891</v>
      </c>
      <c r="C446" s="10">
        <v>2011</v>
      </c>
      <c r="D446" s="4" t="s">
        <v>24</v>
      </c>
      <c r="E446" s="10">
        <v>12</v>
      </c>
      <c r="F446" s="22">
        <v>5.8280000000000003</v>
      </c>
      <c r="G446" s="21">
        <v>0.20053412499999995</v>
      </c>
    </row>
    <row r="447" spans="1:14">
      <c r="A447" s="10">
        <v>12</v>
      </c>
      <c r="B447" s="76">
        <v>40891</v>
      </c>
      <c r="C447" s="10">
        <v>2011</v>
      </c>
      <c r="D447" s="4" t="s">
        <v>24</v>
      </c>
      <c r="E447" s="10">
        <v>12</v>
      </c>
      <c r="F447" s="22">
        <v>3.7679999999999998</v>
      </c>
      <c r="G447" s="21">
        <v>0.10218200000000001</v>
      </c>
    </row>
    <row r="448" spans="1:14">
      <c r="A448" s="10">
        <v>13</v>
      </c>
      <c r="B448" s="76">
        <v>40891</v>
      </c>
      <c r="C448" s="10">
        <v>2011</v>
      </c>
      <c r="D448" s="4" t="s">
        <v>24</v>
      </c>
      <c r="E448" s="10">
        <v>12</v>
      </c>
      <c r="F448" s="22">
        <v>2.89</v>
      </c>
      <c r="G448" s="21">
        <v>4.8685375000000003E-2</v>
      </c>
      <c r="I448" s="21">
        <f>AVERAGE(F446:F448)</f>
        <v>4.1619999999999999</v>
      </c>
      <c r="J448" s="21">
        <f>AVERAGE(G446:G448)</f>
        <v>0.11713383333333331</v>
      </c>
      <c r="L448">
        <f>+J448/I448</f>
        <v>2.8143640877783111E-2</v>
      </c>
      <c r="M448">
        <f>+(L448-$L$927)/$L$928</f>
        <v>0.40264335438454635</v>
      </c>
      <c r="N448">
        <f>+N445+M448</f>
        <v>-0.85253793707488723</v>
      </c>
    </row>
    <row r="449" spans="1:14">
      <c r="A449" s="10">
        <v>11</v>
      </c>
      <c r="B449" s="75">
        <v>40919</v>
      </c>
      <c r="C449" s="10">
        <v>2012</v>
      </c>
      <c r="D449" s="4" t="s">
        <v>25</v>
      </c>
      <c r="E449" s="10">
        <v>1</v>
      </c>
      <c r="F449" s="24">
        <v>3.1659999999999999</v>
      </c>
      <c r="G449" s="21">
        <v>0.14568062500000001</v>
      </c>
    </row>
    <row r="450" spans="1:14">
      <c r="A450" s="10">
        <v>12</v>
      </c>
      <c r="B450" s="75">
        <v>40919</v>
      </c>
      <c r="C450" s="10">
        <v>2012</v>
      </c>
      <c r="D450" s="4" t="s">
        <v>25</v>
      </c>
      <c r="E450" s="10">
        <v>1</v>
      </c>
      <c r="F450" s="24">
        <v>1.8680000000000001</v>
      </c>
      <c r="G450" s="21">
        <v>0.10425999999999998</v>
      </c>
    </row>
    <row r="451" spans="1:14">
      <c r="A451" s="10">
        <v>13</v>
      </c>
      <c r="B451" s="75">
        <v>40919</v>
      </c>
      <c r="C451" s="10">
        <v>2012</v>
      </c>
      <c r="D451" s="4" t="s">
        <v>25</v>
      </c>
      <c r="E451" s="10">
        <v>1</v>
      </c>
      <c r="F451" s="24">
        <v>1.752</v>
      </c>
      <c r="G451" s="21">
        <v>0.10891674999999999</v>
      </c>
      <c r="I451" s="21">
        <f>AVERAGE(F449:F451)</f>
        <v>2.262</v>
      </c>
      <c r="J451" s="21">
        <f>AVERAGE(G449:G451)</f>
        <v>0.11961912499999999</v>
      </c>
      <c r="L451">
        <f>+J451/I451</f>
        <v>5.2882018125552606E-2</v>
      </c>
      <c r="M451">
        <f>+(L451-$L$927)/$L$928</f>
        <v>1.5004062504157443</v>
      </c>
      <c r="N451">
        <f>+N448+M451</f>
        <v>0.64786831334085704</v>
      </c>
    </row>
    <row r="452" spans="1:14">
      <c r="A452" s="10">
        <v>11</v>
      </c>
      <c r="B452" s="75">
        <v>40960</v>
      </c>
      <c r="C452" s="10">
        <v>2012</v>
      </c>
      <c r="D452" s="4" t="s">
        <v>14</v>
      </c>
      <c r="E452" s="10">
        <v>2</v>
      </c>
      <c r="F452" s="24">
        <v>10.074</v>
      </c>
      <c r="G452" s="21">
        <v>0.26395262499999994</v>
      </c>
    </row>
    <row r="453" spans="1:14">
      <c r="A453" s="10">
        <v>12</v>
      </c>
      <c r="B453" s="75">
        <v>40960</v>
      </c>
      <c r="C453" s="10">
        <v>2012</v>
      </c>
      <c r="D453" s="4" t="s">
        <v>14</v>
      </c>
      <c r="E453" s="10">
        <v>2</v>
      </c>
      <c r="F453" s="24">
        <v>3.7719999999999998</v>
      </c>
      <c r="G453" s="21">
        <v>0.20643375</v>
      </c>
    </row>
    <row r="454" spans="1:14">
      <c r="A454" s="10">
        <v>13</v>
      </c>
      <c r="B454" s="75">
        <v>40960</v>
      </c>
      <c r="C454" s="10">
        <v>2012</v>
      </c>
      <c r="D454" s="4" t="s">
        <v>14</v>
      </c>
      <c r="E454" s="10">
        <v>2</v>
      </c>
      <c r="F454" s="24">
        <v>2.944</v>
      </c>
      <c r="G454" s="21">
        <v>0.20164462499999999</v>
      </c>
      <c r="I454" s="21">
        <f>AVERAGE(F452:F454)</f>
        <v>5.5966666666666667</v>
      </c>
      <c r="J454" s="21">
        <f>AVERAGE(G452:G454)</f>
        <v>0.22401033333333331</v>
      </c>
      <c r="L454">
        <f>+J454/I454</f>
        <v>4.0025670041691476E-2</v>
      </c>
      <c r="M454">
        <f>+(L454-$L$927)/$L$928</f>
        <v>0.92990715245259736</v>
      </c>
      <c r="N454">
        <f>+N451+M454</f>
        <v>1.5777754657934544</v>
      </c>
    </row>
    <row r="455" spans="1:14">
      <c r="A455" s="10">
        <v>11</v>
      </c>
      <c r="B455" s="75">
        <v>40982</v>
      </c>
      <c r="C455" s="10">
        <v>2012</v>
      </c>
      <c r="D455" s="4" t="s">
        <v>15</v>
      </c>
      <c r="E455" s="10">
        <v>3</v>
      </c>
      <c r="F455" s="24">
        <v>4.5389999999999997</v>
      </c>
      <c r="G455" s="21">
        <v>0.10550762500000001</v>
      </c>
    </row>
    <row r="456" spans="1:14">
      <c r="A456" s="10">
        <v>12</v>
      </c>
      <c r="B456" s="75">
        <v>40982</v>
      </c>
      <c r="C456" s="10">
        <v>2012</v>
      </c>
      <c r="D456" s="4" t="s">
        <v>15</v>
      </c>
      <c r="E456" s="10">
        <v>3</v>
      </c>
      <c r="F456" s="24">
        <v>4.1820000000000004</v>
      </c>
      <c r="G456" s="21">
        <v>8.6993874999999984E-2</v>
      </c>
    </row>
    <row r="457" spans="1:14">
      <c r="A457" s="10">
        <v>13</v>
      </c>
      <c r="B457" s="75">
        <v>40982</v>
      </c>
      <c r="C457" s="10">
        <v>2012</v>
      </c>
      <c r="D457" s="4" t="s">
        <v>15</v>
      </c>
      <c r="E457" s="10">
        <v>3</v>
      </c>
      <c r="F457" s="24">
        <v>4.2619999999999996</v>
      </c>
      <c r="G457" s="21">
        <v>7.7480624999999997E-2</v>
      </c>
      <c r="I457" s="21">
        <f>AVERAGE(F455:F457)</f>
        <v>4.3276666666666666</v>
      </c>
      <c r="J457" s="21">
        <f>AVERAGE(G455:G457)</f>
        <v>8.9994041666666649E-2</v>
      </c>
      <c r="L457">
        <f>+J457/I457</f>
        <v>2.0795049295232224E-2</v>
      </c>
      <c r="M457">
        <f>+(L457-$L$927)/$L$928</f>
        <v>7.6550373563061797E-2</v>
      </c>
      <c r="N457">
        <f>+N454+M457</f>
        <v>1.6543258393565161</v>
      </c>
    </row>
    <row r="458" spans="1:14">
      <c r="A458" s="10">
        <v>11</v>
      </c>
      <c r="B458" s="75">
        <v>41016</v>
      </c>
      <c r="C458" s="10">
        <v>2012</v>
      </c>
      <c r="D458" s="4" t="s">
        <v>16</v>
      </c>
      <c r="E458" s="10">
        <v>4</v>
      </c>
      <c r="F458" s="20">
        <v>2.2309999999999999</v>
      </c>
      <c r="G458" s="21">
        <v>2.6335625000000001E-2</v>
      </c>
    </row>
    <row r="459" spans="1:14">
      <c r="A459" s="10">
        <v>12</v>
      </c>
      <c r="B459" s="75">
        <v>41016</v>
      </c>
      <c r="C459" s="10">
        <v>2012</v>
      </c>
      <c r="D459" s="4" t="s">
        <v>16</v>
      </c>
      <c r="E459" s="10">
        <v>4</v>
      </c>
      <c r="F459" s="20">
        <v>3.3519999999999999</v>
      </c>
      <c r="G459" s="21">
        <v>3.5134625000000003E-2</v>
      </c>
    </row>
    <row r="460" spans="1:14">
      <c r="A460" s="10">
        <v>13</v>
      </c>
      <c r="B460" s="75">
        <v>41016</v>
      </c>
      <c r="C460" s="10">
        <v>2012</v>
      </c>
      <c r="D460" s="4" t="s">
        <v>16</v>
      </c>
      <c r="E460" s="10">
        <v>4</v>
      </c>
      <c r="F460" s="20">
        <v>3.3849999999999998</v>
      </c>
      <c r="G460" s="21">
        <v>3.8184875E-2</v>
      </c>
      <c r="I460" s="21">
        <f>AVERAGE(F458:F460)</f>
        <v>2.9893333333333332</v>
      </c>
      <c r="J460" s="21">
        <f>AVERAGE(G458:G460)</f>
        <v>3.3218375000000001E-2</v>
      </c>
      <c r="L460">
        <f>+J460/I460</f>
        <v>1.1112302074041036E-2</v>
      </c>
      <c r="M460">
        <f>+(L460-$L$927)/$L$928</f>
        <v>-0.35312051893782997</v>
      </c>
      <c r="N460">
        <f>+N457+M460</f>
        <v>1.3012053204186862</v>
      </c>
    </row>
    <row r="461" spans="1:14">
      <c r="A461" s="10">
        <v>11</v>
      </c>
      <c r="B461" s="75">
        <v>41051</v>
      </c>
      <c r="C461" s="10">
        <v>2012</v>
      </c>
      <c r="D461" s="4" t="s">
        <v>17</v>
      </c>
      <c r="E461" s="10">
        <v>5</v>
      </c>
      <c r="F461" s="20">
        <v>4.1159999999999997</v>
      </c>
      <c r="G461" s="21">
        <v>0.245240875</v>
      </c>
    </row>
    <row r="462" spans="1:14">
      <c r="A462" s="10">
        <v>12</v>
      </c>
      <c r="B462" s="75">
        <v>41051</v>
      </c>
      <c r="C462" s="10">
        <v>2012</v>
      </c>
      <c r="D462" s="4" t="s">
        <v>17</v>
      </c>
      <c r="E462" s="10">
        <v>5</v>
      </c>
      <c r="F462" s="20">
        <v>3.0649999999999999</v>
      </c>
      <c r="G462" s="21">
        <v>3.5334249999999998E-2</v>
      </c>
    </row>
    <row r="463" spans="1:14">
      <c r="A463" s="10">
        <v>13</v>
      </c>
      <c r="B463" s="75">
        <v>41051</v>
      </c>
      <c r="C463" s="10">
        <v>2012</v>
      </c>
      <c r="D463" s="4" t="s">
        <v>17</v>
      </c>
      <c r="E463" s="10">
        <v>5</v>
      </c>
      <c r="F463" s="20">
        <v>3.484</v>
      </c>
      <c r="G463" s="21">
        <v>0</v>
      </c>
      <c r="I463" s="21">
        <f>AVERAGE(F461:F463)</f>
        <v>3.5549999999999997</v>
      </c>
      <c r="J463" s="21">
        <f>AVERAGE(G461:G463)</f>
        <v>9.3525041666666656E-2</v>
      </c>
      <c r="L463">
        <f>+J463/I463</f>
        <v>2.6308028598218472E-2</v>
      </c>
      <c r="M463">
        <f>+(L463-$L$927)/$L$928</f>
        <v>0.32118825198137663</v>
      </c>
      <c r="N463">
        <f>+N460+M463</f>
        <v>1.6223935724000629</v>
      </c>
    </row>
    <row r="464" spans="1:14">
      <c r="A464" s="10">
        <v>11</v>
      </c>
      <c r="B464" s="75">
        <v>41080</v>
      </c>
      <c r="C464" s="10">
        <v>2012</v>
      </c>
      <c r="D464" s="4" t="s">
        <v>18</v>
      </c>
      <c r="E464" s="10">
        <v>6</v>
      </c>
      <c r="F464" s="20">
        <v>6.0650000000000004</v>
      </c>
      <c r="G464" s="21">
        <v>0.17775512499999999</v>
      </c>
    </row>
    <row r="465" spans="1:14">
      <c r="A465" s="10">
        <v>12</v>
      </c>
      <c r="B465" s="75">
        <v>41080</v>
      </c>
      <c r="C465" s="10">
        <v>2012</v>
      </c>
      <c r="D465" s="4" t="s">
        <v>18</v>
      </c>
      <c r="E465" s="10">
        <v>6</v>
      </c>
      <c r="F465" s="20">
        <v>7.391</v>
      </c>
      <c r="G465" s="21">
        <v>0.17740075</v>
      </c>
    </row>
    <row r="466" spans="1:14">
      <c r="A466" s="10">
        <v>13</v>
      </c>
      <c r="B466" s="75">
        <v>41080</v>
      </c>
      <c r="C466" s="10">
        <v>2012</v>
      </c>
      <c r="D466" s="4" t="s">
        <v>18</v>
      </c>
      <c r="E466" s="10">
        <v>6</v>
      </c>
      <c r="F466" s="20">
        <v>3.9510000000000001</v>
      </c>
      <c r="G466" s="21">
        <v>4.9295499999999999E-2</v>
      </c>
      <c r="I466" s="21">
        <f>AVERAGE(F464:F466)</f>
        <v>5.8023333333333333</v>
      </c>
      <c r="J466" s="21">
        <f>AVERAGE(G464:G466)</f>
        <v>0.13481712500000001</v>
      </c>
      <c r="L466">
        <f>+J466/I466</f>
        <v>2.3234984488998682E-2</v>
      </c>
      <c r="M466">
        <f>+(L466-$L$927)/$L$928</f>
        <v>0.18482224190798369</v>
      </c>
      <c r="N466">
        <f>+N463+M466</f>
        <v>1.8072158143080466</v>
      </c>
    </row>
    <row r="467" spans="1:14">
      <c r="A467" s="10">
        <v>11</v>
      </c>
      <c r="B467" s="75">
        <v>41106</v>
      </c>
      <c r="C467" s="10">
        <v>2012</v>
      </c>
      <c r="D467" s="4" t="s">
        <v>19</v>
      </c>
      <c r="E467" s="10">
        <v>7</v>
      </c>
      <c r="F467" s="20">
        <v>11.896000000000001</v>
      </c>
      <c r="G467" s="21">
        <v>0.21758912499999999</v>
      </c>
    </row>
    <row r="468" spans="1:14">
      <c r="A468" s="10">
        <v>12</v>
      </c>
      <c r="B468" s="75">
        <v>41106</v>
      </c>
      <c r="C468" s="10">
        <v>2012</v>
      </c>
      <c r="D468" s="4" t="s">
        <v>19</v>
      </c>
      <c r="E468" s="10">
        <v>7</v>
      </c>
      <c r="F468" s="20">
        <v>14.032999999999999</v>
      </c>
      <c r="G468" s="21">
        <v>0.228720375</v>
      </c>
    </row>
    <row r="469" spans="1:14">
      <c r="A469" s="10">
        <v>13</v>
      </c>
      <c r="B469" s="75">
        <v>41106</v>
      </c>
      <c r="C469" s="10">
        <v>2012</v>
      </c>
      <c r="D469" s="4" t="s">
        <v>19</v>
      </c>
      <c r="E469" s="10">
        <v>7</v>
      </c>
      <c r="F469" s="20">
        <v>17.782</v>
      </c>
      <c r="G469" s="21">
        <v>0.55870212500000005</v>
      </c>
      <c r="I469" s="21">
        <f>AVERAGE(F467:F469)</f>
        <v>14.570333333333332</v>
      </c>
      <c r="J469" s="21">
        <f>AVERAGE(G467:G469)</f>
        <v>0.33500387500000001</v>
      </c>
      <c r="L469">
        <f>+J469/I469</f>
        <v>2.2992190180961315E-2</v>
      </c>
      <c r="M469">
        <f>+(L469-$L$927)/$L$928</f>
        <v>0.17404826995090947</v>
      </c>
      <c r="N469">
        <f>+N466+M469</f>
        <v>1.9812640842589559</v>
      </c>
    </row>
    <row r="470" spans="1:14">
      <c r="A470" s="10">
        <v>11</v>
      </c>
      <c r="B470" s="75">
        <v>41137</v>
      </c>
      <c r="C470" s="10">
        <v>2012</v>
      </c>
      <c r="D470" s="4" t="s">
        <v>20</v>
      </c>
      <c r="E470" s="10">
        <v>8</v>
      </c>
      <c r="F470" s="20">
        <v>7.7460000000000004</v>
      </c>
      <c r="G470" s="21">
        <v>0.10947012499999999</v>
      </c>
    </row>
    <row r="471" spans="1:14">
      <c r="A471" s="10">
        <v>12</v>
      </c>
      <c r="B471" s="75">
        <v>41137</v>
      </c>
      <c r="C471" s="10">
        <v>2012</v>
      </c>
      <c r="D471" s="4" t="s">
        <v>20</v>
      </c>
      <c r="E471" s="10">
        <v>8</v>
      </c>
      <c r="F471" s="20">
        <v>9.8290000000000006</v>
      </c>
      <c r="G471" s="21">
        <v>7.978399999999998E-2</v>
      </c>
    </row>
    <row r="472" spans="1:14">
      <c r="A472" s="10">
        <v>13</v>
      </c>
      <c r="B472" s="75">
        <v>41137</v>
      </c>
      <c r="C472" s="10">
        <v>2012</v>
      </c>
      <c r="D472" s="4" t="s">
        <v>20</v>
      </c>
      <c r="E472" s="10">
        <v>8</v>
      </c>
      <c r="F472" s="20">
        <v>11.077</v>
      </c>
      <c r="G472" s="21">
        <v>0.201011625</v>
      </c>
      <c r="I472" s="21">
        <f>AVERAGE(F470:F472)</f>
        <v>9.5506666666666664</v>
      </c>
      <c r="J472" s="21">
        <f>AVERAGE(G470:G472)</f>
        <v>0.13008858333333331</v>
      </c>
      <c r="L472">
        <f>+J472/I472</f>
        <v>1.3620890339243331E-2</v>
      </c>
      <c r="M472">
        <f>+(L472-$L$927)/$L$928</f>
        <v>-0.24180217774765969</v>
      </c>
      <c r="N472">
        <f>+N469+M472</f>
        <v>1.7394619065112962</v>
      </c>
    </row>
    <row r="473" spans="1:14">
      <c r="A473" s="10">
        <v>11</v>
      </c>
      <c r="B473" s="75">
        <v>41163</v>
      </c>
      <c r="C473" s="10">
        <v>2012</v>
      </c>
      <c r="D473" s="4" t="s">
        <v>26</v>
      </c>
      <c r="E473" s="10">
        <v>9</v>
      </c>
      <c r="F473" s="20">
        <v>17.579999999999998</v>
      </c>
      <c r="G473" s="21">
        <v>6.2420887499999989</v>
      </c>
    </row>
    <row r="474" spans="1:14">
      <c r="A474" s="10">
        <v>12</v>
      </c>
      <c r="B474" s="75">
        <v>41163</v>
      </c>
      <c r="C474" s="10">
        <v>2012</v>
      </c>
      <c r="D474" s="4" t="s">
        <v>26</v>
      </c>
      <c r="E474" s="10">
        <v>9</v>
      </c>
      <c r="F474" s="20">
        <v>11.577999999999999</v>
      </c>
      <c r="G474" s="21">
        <v>0.26427774999999998</v>
      </c>
    </row>
    <row r="475" spans="1:14">
      <c r="A475" s="10">
        <v>13</v>
      </c>
      <c r="B475" s="75">
        <v>41163</v>
      </c>
      <c r="C475" s="10">
        <v>2012</v>
      </c>
      <c r="D475" s="4" t="s">
        <v>26</v>
      </c>
      <c r="E475" s="10">
        <v>9</v>
      </c>
      <c r="F475" s="20">
        <v>11.763</v>
      </c>
      <c r="G475" s="21">
        <v>0.33641437499999993</v>
      </c>
      <c r="I475" s="21">
        <f>AVERAGE(F473:F475)</f>
        <v>13.640333333333333</v>
      </c>
      <c r="J475" s="21">
        <f>AVERAGE(G473:G475)</f>
        <v>2.2809269583333331</v>
      </c>
      <c r="L475">
        <f>+J475/I475</f>
        <v>0.16721929754893575</v>
      </c>
      <c r="M475">
        <f>+(L475-$L$927)/$L$928</f>
        <v>6.5741110341625566</v>
      </c>
      <c r="N475">
        <f>+N472+M475</f>
        <v>8.3135729406738523</v>
      </c>
    </row>
    <row r="476" spans="1:14">
      <c r="A476" s="10">
        <v>11</v>
      </c>
      <c r="B476" s="75">
        <v>41199</v>
      </c>
      <c r="C476" s="10">
        <v>2012</v>
      </c>
      <c r="D476" s="4" t="s">
        <v>22</v>
      </c>
      <c r="E476" s="10">
        <v>10</v>
      </c>
      <c r="F476" s="20">
        <v>4.9379999999999997</v>
      </c>
      <c r="G476" s="21">
        <v>0.12928187499999999</v>
      </c>
    </row>
    <row r="477" spans="1:14">
      <c r="A477" s="10">
        <v>11</v>
      </c>
      <c r="B477" s="75">
        <v>41199</v>
      </c>
      <c r="C477" s="10">
        <v>2012</v>
      </c>
      <c r="D477" s="4" t="s">
        <v>22</v>
      </c>
      <c r="E477" s="10">
        <v>10</v>
      </c>
      <c r="F477" s="20">
        <v>4.9379999999999997</v>
      </c>
      <c r="G477" s="21">
        <v>0.19589262499999996</v>
      </c>
      <c r="H477" t="s">
        <v>41</v>
      </c>
    </row>
    <row r="478" spans="1:14">
      <c r="A478" s="10">
        <v>12</v>
      </c>
      <c r="B478" s="75">
        <v>41199</v>
      </c>
      <c r="C478" s="10">
        <v>2012</v>
      </c>
      <c r="D478" s="4" t="s">
        <v>22</v>
      </c>
      <c r="E478" s="10">
        <v>10</v>
      </c>
      <c r="F478" s="20">
        <v>7.0069999999999997</v>
      </c>
      <c r="G478" s="21">
        <v>0.13850662499999999</v>
      </c>
    </row>
    <row r="479" spans="1:14">
      <c r="A479" s="10">
        <v>13</v>
      </c>
      <c r="B479" s="75">
        <v>41199</v>
      </c>
      <c r="C479" s="10">
        <v>2012</v>
      </c>
      <c r="D479" s="4" t="s">
        <v>22</v>
      </c>
      <c r="E479" s="10">
        <v>10</v>
      </c>
      <c r="F479" s="20">
        <v>3.952</v>
      </c>
      <c r="G479" s="21">
        <v>0.15555174999999999</v>
      </c>
      <c r="I479" s="21">
        <f>AVERAGE(F476:F479)</f>
        <v>5.2087500000000002</v>
      </c>
      <c r="J479" s="21">
        <f>AVERAGE(G476:G479)</f>
        <v>0.15480821874999998</v>
      </c>
      <c r="L479">
        <f>+J479/I479</f>
        <v>2.9720800335973116E-2</v>
      </c>
      <c r="M479">
        <f>+(L479-$L$927)/$L$928</f>
        <v>0.47262963994342472</v>
      </c>
      <c r="N479">
        <f>+N475+M479</f>
        <v>8.7862025806172763</v>
      </c>
    </row>
    <row r="480" spans="1:14">
      <c r="A480" s="10">
        <v>11</v>
      </c>
      <c r="B480" s="75">
        <v>41225</v>
      </c>
      <c r="C480" s="10">
        <v>2012</v>
      </c>
      <c r="D480" s="4" t="s">
        <v>23</v>
      </c>
      <c r="E480" s="10">
        <v>11</v>
      </c>
      <c r="F480" s="20">
        <v>3.0910000000000002</v>
      </c>
      <c r="G480" s="21">
        <v>0</v>
      </c>
    </row>
    <row r="481" spans="1:14">
      <c r="A481" s="10">
        <v>12</v>
      </c>
      <c r="B481" s="75">
        <v>41225</v>
      </c>
      <c r="C481" s="10">
        <v>2012</v>
      </c>
      <c r="D481" s="4" t="s">
        <v>23</v>
      </c>
      <c r="E481" s="10">
        <v>11</v>
      </c>
      <c r="F481" s="20">
        <v>2.972</v>
      </c>
      <c r="G481" s="21">
        <v>0</v>
      </c>
    </row>
    <row r="482" spans="1:14">
      <c r="A482" s="10">
        <v>13</v>
      </c>
      <c r="B482" s="75">
        <v>41225</v>
      </c>
      <c r="C482" s="10">
        <v>2012</v>
      </c>
      <c r="D482" s="4" t="s">
        <v>23</v>
      </c>
      <c r="E482" s="10">
        <v>11</v>
      </c>
      <c r="F482" s="20">
        <v>3.5569999999999999</v>
      </c>
      <c r="G482" s="21">
        <v>0</v>
      </c>
      <c r="I482" s="21">
        <f>AVERAGE(F480:F482)</f>
        <v>3.206666666666667</v>
      </c>
      <c r="J482" s="21">
        <f>AVERAGE(G480:G482)</f>
        <v>0</v>
      </c>
      <c r="L482">
        <f>+J482/I482</f>
        <v>0</v>
      </c>
      <c r="M482">
        <f>+(L482-$L$927)/$L$928</f>
        <v>-0.84622775811507456</v>
      </c>
      <c r="N482">
        <f>+N479+M482</f>
        <v>7.9399748225022018</v>
      </c>
    </row>
    <row r="483" spans="1:14">
      <c r="A483" s="10">
        <v>11</v>
      </c>
      <c r="B483" s="75">
        <v>41255</v>
      </c>
      <c r="C483" s="10">
        <v>2012</v>
      </c>
      <c r="D483" s="4" t="s">
        <v>24</v>
      </c>
      <c r="E483" s="10">
        <v>12</v>
      </c>
      <c r="F483" s="20">
        <v>4.9489999999999998</v>
      </c>
      <c r="G483" s="21">
        <v>0</v>
      </c>
    </row>
    <row r="484" spans="1:14">
      <c r="A484" s="10">
        <v>12</v>
      </c>
      <c r="B484" s="75">
        <v>41255</v>
      </c>
      <c r="C484" s="10">
        <v>2012</v>
      </c>
      <c r="D484" s="4" t="s">
        <v>24</v>
      </c>
      <c r="E484" s="10">
        <v>12</v>
      </c>
      <c r="F484" s="20">
        <v>3.1360000000000001</v>
      </c>
      <c r="G484" s="21">
        <v>2.6516999999999999E-2</v>
      </c>
    </row>
    <row r="485" spans="1:14">
      <c r="A485" s="10">
        <v>12</v>
      </c>
      <c r="B485" s="75">
        <v>41255</v>
      </c>
      <c r="C485" s="10">
        <v>2012</v>
      </c>
      <c r="D485" s="4" t="s">
        <v>24</v>
      </c>
      <c r="E485" s="10">
        <v>12</v>
      </c>
      <c r="F485" s="20">
        <v>3.1360000000000001</v>
      </c>
      <c r="G485" s="21">
        <v>2.9669875000000002E-2</v>
      </c>
      <c r="H485" t="s">
        <v>41</v>
      </c>
    </row>
    <row r="486" spans="1:14">
      <c r="A486" s="10">
        <v>13</v>
      </c>
      <c r="B486" s="75">
        <v>41255</v>
      </c>
      <c r="C486" s="10">
        <v>2012</v>
      </c>
      <c r="D486" s="4" t="s">
        <v>24</v>
      </c>
      <c r="E486" s="10">
        <v>12</v>
      </c>
      <c r="F486" s="20">
        <v>3.4969999999999999</v>
      </c>
      <c r="G486" s="21">
        <v>4.8518999999999993E-2</v>
      </c>
      <c r="I486" s="21">
        <f>AVERAGE(F483:F486)</f>
        <v>3.6795</v>
      </c>
      <c r="J486" s="21">
        <f>AVERAGE(G483:G486)</f>
        <v>2.6176468749999997E-2</v>
      </c>
      <c r="L486">
        <f>+J486/I486</f>
        <v>7.1141374507405894E-3</v>
      </c>
      <c r="M486">
        <f>+(L486-$L$927)/$L$928</f>
        <v>-0.53053865480523066</v>
      </c>
      <c r="N486">
        <f>+N482+M486</f>
        <v>7.4094361676969713</v>
      </c>
    </row>
    <row r="487" spans="1:14">
      <c r="A487" s="10">
        <v>11</v>
      </c>
      <c r="B487" s="75">
        <v>41297</v>
      </c>
      <c r="C487" s="10">
        <v>2013</v>
      </c>
      <c r="D487" s="4" t="s">
        <v>25</v>
      </c>
      <c r="E487" s="10">
        <v>1</v>
      </c>
      <c r="F487" s="20">
        <v>4.6619999999999999</v>
      </c>
      <c r="G487" s="21">
        <v>8.4186874999999994E-2</v>
      </c>
    </row>
    <row r="488" spans="1:14">
      <c r="A488" s="10">
        <v>12</v>
      </c>
      <c r="B488" s="75">
        <v>41297</v>
      </c>
      <c r="C488" s="10">
        <v>2013</v>
      </c>
      <c r="D488" s="4" t="s">
        <v>25</v>
      </c>
      <c r="E488" s="10">
        <v>1</v>
      </c>
      <c r="F488" s="20">
        <v>2.7789999999999999</v>
      </c>
      <c r="G488" s="21">
        <v>9.9780375000000018E-2</v>
      </c>
    </row>
    <row r="489" spans="1:14">
      <c r="A489" s="10">
        <v>13</v>
      </c>
      <c r="B489" s="75">
        <v>41297</v>
      </c>
      <c r="C489" s="10">
        <v>2013</v>
      </c>
      <c r="D489" s="4" t="s">
        <v>25</v>
      </c>
      <c r="E489" s="10">
        <v>1</v>
      </c>
      <c r="F489" s="20">
        <v>5.9459999999999997</v>
      </c>
      <c r="G489" s="21">
        <v>0.25616124999999995</v>
      </c>
      <c r="I489" s="21">
        <f>AVERAGE(F487:F489)</f>
        <v>4.4623333333333335</v>
      </c>
      <c r="J489" s="21">
        <f>AVERAGE(G487:G489)</f>
        <v>0.14670949999999999</v>
      </c>
      <c r="L489">
        <f>+J489/I489</f>
        <v>3.2877306341973556E-2</v>
      </c>
      <c r="M489">
        <f>+(L489-$L$927)/$L$928</f>
        <v>0.61269926293372567</v>
      </c>
      <c r="N489">
        <f>+N486+M489</f>
        <v>8.0221354306306978</v>
      </c>
    </row>
    <row r="490" spans="1:14">
      <c r="A490" s="10">
        <v>11</v>
      </c>
      <c r="B490" s="75">
        <v>41319</v>
      </c>
      <c r="C490" s="10">
        <v>2013</v>
      </c>
      <c r="D490" s="4" t="s">
        <v>14</v>
      </c>
      <c r="E490" s="10">
        <v>2</v>
      </c>
      <c r="F490" s="25">
        <v>7.484</v>
      </c>
      <c r="G490" s="21">
        <v>0.6740044999999999</v>
      </c>
    </row>
    <row r="491" spans="1:14">
      <c r="A491" s="10">
        <v>12</v>
      </c>
      <c r="B491" s="75">
        <v>41319</v>
      </c>
      <c r="C491" s="10">
        <v>2013</v>
      </c>
      <c r="D491" s="4" t="s">
        <v>14</v>
      </c>
      <c r="E491" s="10">
        <v>2</v>
      </c>
      <c r="F491" s="25">
        <v>4.5819999999999999</v>
      </c>
      <c r="G491" s="21">
        <v>0.32861562499999997</v>
      </c>
    </row>
    <row r="492" spans="1:14">
      <c r="A492" s="10">
        <v>13</v>
      </c>
      <c r="B492" s="75">
        <v>41319</v>
      </c>
      <c r="C492" s="10">
        <v>2013</v>
      </c>
      <c r="D492" s="4" t="s">
        <v>14</v>
      </c>
      <c r="E492" s="10">
        <v>2</v>
      </c>
      <c r="F492" s="25">
        <v>1.8879999999999999</v>
      </c>
      <c r="G492" s="21">
        <v>7.4541499999999997E-2</v>
      </c>
      <c r="I492" s="21">
        <f>AVERAGE(F490:F492)</f>
        <v>4.6513333333333327</v>
      </c>
      <c r="J492" s="21">
        <f>AVERAGE(G490:G492)</f>
        <v>0.35905387500000002</v>
      </c>
      <c r="L492">
        <f>+J492/I492</f>
        <v>7.7193752687401473E-2</v>
      </c>
      <c r="M492">
        <f>+(L492-$L$927)/$L$928</f>
        <v>2.5792369220016638</v>
      </c>
      <c r="N492">
        <f>+N489+M492</f>
        <v>10.601372352632362</v>
      </c>
    </row>
    <row r="493" spans="1:14">
      <c r="A493" s="10">
        <v>11</v>
      </c>
      <c r="B493" s="75">
        <v>41346</v>
      </c>
      <c r="C493" s="10">
        <v>2013</v>
      </c>
      <c r="D493" s="4" t="s">
        <v>15</v>
      </c>
      <c r="E493" s="10">
        <v>3</v>
      </c>
      <c r="F493" s="25">
        <v>13.848000000000001</v>
      </c>
      <c r="G493" s="21">
        <v>0.30542249999999999</v>
      </c>
    </row>
    <row r="494" spans="1:14">
      <c r="A494" s="10">
        <v>12</v>
      </c>
      <c r="B494" s="75">
        <v>41346</v>
      </c>
      <c r="C494" s="10">
        <v>2013</v>
      </c>
      <c r="D494" s="4" t="s">
        <v>15</v>
      </c>
      <c r="E494" s="10">
        <v>3</v>
      </c>
      <c r="F494" s="25">
        <v>9.6890000000000001</v>
      </c>
      <c r="G494" s="21">
        <v>0.1077465</v>
      </c>
    </row>
    <row r="495" spans="1:14">
      <c r="A495" s="10">
        <v>13</v>
      </c>
      <c r="B495" s="75">
        <v>41346</v>
      </c>
      <c r="C495" s="10">
        <v>2013</v>
      </c>
      <c r="D495" s="4" t="s">
        <v>15</v>
      </c>
      <c r="E495" s="10">
        <v>3</v>
      </c>
      <c r="F495" s="25">
        <v>5.9370000000000003</v>
      </c>
      <c r="G495" s="21">
        <v>6.590625E-2</v>
      </c>
      <c r="I495" s="21">
        <f>AVERAGE(F493:F495)</f>
        <v>9.8246666666666673</v>
      </c>
      <c r="J495" s="21">
        <f>AVERAGE(G493:G495)</f>
        <v>0.15969174999999999</v>
      </c>
      <c r="L495">
        <f>+J495/I495</f>
        <v>1.6254164687521205E-2</v>
      </c>
      <c r="M495">
        <f>+(L495-$L$927)/$L$928</f>
        <v>-0.1249509046969659</v>
      </c>
      <c r="N495">
        <f>+N492+M495</f>
        <v>10.476421447935396</v>
      </c>
    </row>
    <row r="496" spans="1:14">
      <c r="A496" s="10">
        <v>11</v>
      </c>
      <c r="B496" s="75">
        <v>41380</v>
      </c>
      <c r="C496" s="10">
        <v>2013</v>
      </c>
      <c r="D496" s="4" t="s">
        <v>16</v>
      </c>
      <c r="E496" s="10">
        <v>4</v>
      </c>
      <c r="F496" s="26">
        <v>1.5489999999999999</v>
      </c>
      <c r="G496" s="21">
        <v>0</v>
      </c>
    </row>
    <row r="497" spans="1:14">
      <c r="A497" s="10">
        <v>12</v>
      </c>
      <c r="B497" s="75">
        <v>41380</v>
      </c>
      <c r="C497" s="10">
        <v>2013</v>
      </c>
      <c r="D497" s="4" t="s">
        <v>16</v>
      </c>
      <c r="E497" s="10">
        <v>4</v>
      </c>
      <c r="F497" s="26">
        <v>2.6190000000000002</v>
      </c>
      <c r="G497" s="21">
        <v>0</v>
      </c>
    </row>
    <row r="498" spans="1:14">
      <c r="A498" s="10">
        <v>13</v>
      </c>
      <c r="B498" s="75">
        <v>41380</v>
      </c>
      <c r="C498" s="10">
        <v>2013</v>
      </c>
      <c r="D498" s="4" t="s">
        <v>16</v>
      </c>
      <c r="E498" s="10">
        <v>4</v>
      </c>
      <c r="F498" s="26">
        <v>2.4119999999999999</v>
      </c>
      <c r="G498" s="21">
        <v>0</v>
      </c>
      <c r="I498" s="21">
        <f>AVERAGE(F496:F498)</f>
        <v>2.1933333333333334</v>
      </c>
      <c r="J498" s="21">
        <f>AVERAGE(G496:G498)</f>
        <v>0</v>
      </c>
      <c r="L498">
        <f>+J498/I498</f>
        <v>0</v>
      </c>
      <c r="M498">
        <f>+(L498-$L$927)/$L$928</f>
        <v>-0.84622775811507456</v>
      </c>
      <c r="N498">
        <f>+N495+M498</f>
        <v>9.6301936898203202</v>
      </c>
    </row>
    <row r="499" spans="1:14">
      <c r="A499" s="10">
        <v>11</v>
      </c>
      <c r="B499" s="75">
        <v>41407</v>
      </c>
      <c r="C499" s="10">
        <v>2013</v>
      </c>
      <c r="D499" s="4" t="s">
        <v>17</v>
      </c>
      <c r="E499" s="10">
        <v>5</v>
      </c>
      <c r="F499" s="26">
        <v>2.3940000000000001</v>
      </c>
      <c r="G499" s="21">
        <v>3.300575E-2</v>
      </c>
    </row>
    <row r="500" spans="1:14">
      <c r="A500" s="10">
        <v>12</v>
      </c>
      <c r="B500" s="75">
        <v>41407</v>
      </c>
      <c r="C500" s="10">
        <v>2013</v>
      </c>
      <c r="D500" s="4" t="s">
        <v>17</v>
      </c>
      <c r="E500" s="10">
        <v>5</v>
      </c>
      <c r="F500" s="26">
        <v>2.3199999999999998</v>
      </c>
      <c r="G500" s="21">
        <v>3.9878375000000001E-2</v>
      </c>
    </row>
    <row r="501" spans="1:14">
      <c r="A501" s="10">
        <v>13</v>
      </c>
      <c r="B501" s="75">
        <v>41407</v>
      </c>
      <c r="C501" s="10">
        <v>2013</v>
      </c>
      <c r="D501" s="4" t="s">
        <v>17</v>
      </c>
      <c r="E501" s="10">
        <v>5</v>
      </c>
      <c r="F501" s="26">
        <v>5.3440000000000003</v>
      </c>
      <c r="G501" s="21">
        <v>4.5995374999999998E-2</v>
      </c>
      <c r="I501" s="21">
        <f>AVERAGE(F499:F501)</f>
        <v>3.3526666666666665</v>
      </c>
      <c r="J501" s="21">
        <f>AVERAGE(G499:G501)</f>
        <v>3.9626500000000002E-2</v>
      </c>
      <c r="L501">
        <f>+J501/I501</f>
        <v>1.1819397494531717E-2</v>
      </c>
      <c r="M501">
        <f>+(L501-$L$927)/$L$928</f>
        <v>-0.32174323380736597</v>
      </c>
      <c r="N501">
        <f>+N498+M501</f>
        <v>9.3084504560129542</v>
      </c>
    </row>
    <row r="502" spans="1:14">
      <c r="A502" s="10">
        <v>11</v>
      </c>
      <c r="B502" s="75">
        <v>41437</v>
      </c>
      <c r="C502" s="10">
        <v>2013</v>
      </c>
      <c r="D502" s="4" t="s">
        <v>18</v>
      </c>
      <c r="E502" s="10">
        <v>6</v>
      </c>
      <c r="F502" s="26">
        <v>5.2050000000000001</v>
      </c>
      <c r="G502" s="21">
        <v>8.9013375000000006E-2</v>
      </c>
    </row>
    <row r="503" spans="1:14">
      <c r="A503" s="10">
        <v>12</v>
      </c>
      <c r="B503" s="75">
        <v>41437</v>
      </c>
      <c r="C503" s="10">
        <v>2013</v>
      </c>
      <c r="D503" s="4" t="s">
        <v>18</v>
      </c>
      <c r="E503" s="10">
        <v>6</v>
      </c>
      <c r="F503" s="26">
        <v>8.9550000000000001</v>
      </c>
      <c r="G503" s="21">
        <v>0.10504349999999998</v>
      </c>
    </row>
    <row r="504" spans="1:14">
      <c r="A504" s="10">
        <v>13</v>
      </c>
      <c r="B504" s="75">
        <v>41437</v>
      </c>
      <c r="C504" s="10">
        <v>2013</v>
      </c>
      <c r="D504" s="4" t="s">
        <v>18</v>
      </c>
      <c r="E504" s="10">
        <v>6</v>
      </c>
      <c r="F504" s="26">
        <v>9.2710000000000008</v>
      </c>
      <c r="G504" s="21">
        <v>0.128155875</v>
      </c>
      <c r="I504" s="21">
        <f>AVERAGE(F502:F504)</f>
        <v>7.8103333333333333</v>
      </c>
      <c r="J504" s="21">
        <f>AVERAGE(G502:G504)</f>
        <v>0.10740424999999999</v>
      </c>
      <c r="L504">
        <f>+J504/I504</f>
        <v>1.3751557765353591E-2</v>
      </c>
      <c r="M504">
        <f>+(L504-$L$927)/$L$928</f>
        <v>-0.23600382441724171</v>
      </c>
      <c r="N504">
        <f>+N501+M504</f>
        <v>9.072446631595712</v>
      </c>
    </row>
    <row r="505" spans="1:14">
      <c r="A505" s="10">
        <v>11</v>
      </c>
      <c r="B505" s="75">
        <v>41470</v>
      </c>
      <c r="C505" s="10">
        <v>2013</v>
      </c>
      <c r="D505" s="4" t="s">
        <v>19</v>
      </c>
      <c r="E505" s="10">
        <v>7</v>
      </c>
      <c r="F505" s="26">
        <v>8.0090000000000003</v>
      </c>
      <c r="G505" s="21">
        <v>0.26799774999999998</v>
      </c>
    </row>
    <row r="506" spans="1:14">
      <c r="A506" s="10">
        <v>12</v>
      </c>
      <c r="B506" s="75">
        <v>41470</v>
      </c>
      <c r="C506" s="10">
        <v>2013</v>
      </c>
      <c r="D506" s="4" t="s">
        <v>19</v>
      </c>
      <c r="E506" s="10">
        <v>7</v>
      </c>
      <c r="F506" s="26">
        <v>14.608000000000001</v>
      </c>
      <c r="G506" s="21">
        <v>0.30088987499999997</v>
      </c>
    </row>
    <row r="507" spans="1:14">
      <c r="A507" s="10">
        <v>13</v>
      </c>
      <c r="B507" s="75">
        <v>41470</v>
      </c>
      <c r="C507" s="10">
        <v>2013</v>
      </c>
      <c r="D507" s="4" t="s">
        <v>19</v>
      </c>
      <c r="E507" s="10">
        <v>7</v>
      </c>
      <c r="F507" s="26">
        <v>14.583</v>
      </c>
      <c r="G507" s="21">
        <v>0.38650437499999996</v>
      </c>
      <c r="I507" s="21">
        <f>AVERAGE(F505:F507)</f>
        <v>12.4</v>
      </c>
      <c r="J507" s="21">
        <f>AVERAGE(G505:G507)</f>
        <v>0.31846399999999991</v>
      </c>
      <c r="L507">
        <f>+J507/I507</f>
        <v>2.5682580645161282E-2</v>
      </c>
      <c r="M507">
        <f>+(L507-$L$927)/$L$928</f>
        <v>0.2934340646558215</v>
      </c>
      <c r="N507">
        <f>+N504+M507</f>
        <v>9.3658806962515335</v>
      </c>
    </row>
    <row r="508" spans="1:14">
      <c r="A508" s="10">
        <v>11</v>
      </c>
      <c r="B508" s="75">
        <v>41498</v>
      </c>
      <c r="C508" s="10">
        <v>2013</v>
      </c>
      <c r="D508" s="4" t="s">
        <v>20</v>
      </c>
      <c r="E508" s="10">
        <v>8</v>
      </c>
      <c r="F508" s="26">
        <v>7.4829999999999997</v>
      </c>
      <c r="G508" s="21">
        <v>0.28127637500000002</v>
      </c>
    </row>
    <row r="509" spans="1:14">
      <c r="A509" s="10">
        <v>11</v>
      </c>
      <c r="B509" s="75">
        <v>41498</v>
      </c>
      <c r="C509" s="10">
        <v>2013</v>
      </c>
      <c r="D509" s="4" t="s">
        <v>20</v>
      </c>
      <c r="E509" s="10">
        <v>8</v>
      </c>
      <c r="F509" s="26">
        <v>7.4829999999999997</v>
      </c>
      <c r="G509" s="21">
        <v>0.24466137499999999</v>
      </c>
      <c r="H509" t="s">
        <v>41</v>
      </c>
    </row>
    <row r="510" spans="1:14">
      <c r="A510" s="10">
        <v>12</v>
      </c>
      <c r="B510" s="75">
        <v>41498</v>
      </c>
      <c r="C510" s="10">
        <v>2013</v>
      </c>
      <c r="D510" s="4" t="s">
        <v>20</v>
      </c>
      <c r="E510" s="10">
        <v>8</v>
      </c>
      <c r="F510" s="26">
        <v>11.888</v>
      </c>
      <c r="G510" s="21">
        <v>0.32197499999999996</v>
      </c>
    </row>
    <row r="511" spans="1:14">
      <c r="A511" s="10">
        <v>13</v>
      </c>
      <c r="B511" s="75">
        <v>41498</v>
      </c>
      <c r="C511" s="10">
        <v>2013</v>
      </c>
      <c r="D511" s="4" t="s">
        <v>20</v>
      </c>
      <c r="E511" s="10">
        <v>8</v>
      </c>
      <c r="F511" s="26">
        <v>14.917999999999999</v>
      </c>
      <c r="G511" s="21">
        <v>0.90310837500000007</v>
      </c>
      <c r="I511" s="21">
        <f>AVERAGE(F508:F511)</f>
        <v>10.443</v>
      </c>
      <c r="J511" s="21">
        <f>AVERAGE(G508:G511)</f>
        <v>0.43775528124999996</v>
      </c>
      <c r="L511">
        <f>+J511/I511</f>
        <v>4.1918536938619168E-2</v>
      </c>
      <c r="M511">
        <f>+(L511-$L$927)/$L$928</f>
        <v>1.0139029224969029</v>
      </c>
      <c r="N511">
        <f>+N507+M511</f>
        <v>10.379783618748437</v>
      </c>
    </row>
    <row r="512" spans="1:14">
      <c r="A512" s="10">
        <v>11</v>
      </c>
      <c r="B512" s="75">
        <v>41535</v>
      </c>
      <c r="C512" s="10">
        <v>2013</v>
      </c>
      <c r="D512" s="4" t="s">
        <v>26</v>
      </c>
      <c r="E512" s="10">
        <v>9</v>
      </c>
      <c r="F512" s="26">
        <v>8.3040000000000003</v>
      </c>
      <c r="G512" s="21">
        <v>0.20773874999999997</v>
      </c>
    </row>
    <row r="513" spans="1:14">
      <c r="A513" s="10">
        <v>12</v>
      </c>
      <c r="B513" s="75">
        <v>41535</v>
      </c>
      <c r="C513" s="10">
        <v>2013</v>
      </c>
      <c r="D513" s="4" t="s">
        <v>26</v>
      </c>
      <c r="E513" s="10">
        <v>9</v>
      </c>
      <c r="F513" s="26">
        <v>8.327</v>
      </c>
      <c r="G513" s="21">
        <v>6.4568000000000014E-2</v>
      </c>
    </row>
    <row r="514" spans="1:14">
      <c r="A514" s="10">
        <v>12</v>
      </c>
      <c r="B514" s="75">
        <v>41535</v>
      </c>
      <c r="C514" s="10">
        <v>2013</v>
      </c>
      <c r="D514" s="4" t="s">
        <v>26</v>
      </c>
      <c r="E514" s="10">
        <v>9</v>
      </c>
      <c r="F514" s="26">
        <v>8.327</v>
      </c>
      <c r="G514" s="21">
        <v>6.3570749999999981E-2</v>
      </c>
      <c r="H514" t="s">
        <v>41</v>
      </c>
    </row>
    <row r="515" spans="1:14">
      <c r="A515" s="10">
        <v>13</v>
      </c>
      <c r="B515" s="75">
        <v>41535</v>
      </c>
      <c r="C515" s="10">
        <v>2013</v>
      </c>
      <c r="D515" s="4" t="s">
        <v>26</v>
      </c>
      <c r="E515" s="10">
        <v>9</v>
      </c>
      <c r="F515" s="26">
        <v>10.843999999999999</v>
      </c>
      <c r="G515" s="21">
        <v>6.9035374999999996E-2</v>
      </c>
      <c r="I515" s="21">
        <f>AVERAGE(F512:F515)</f>
        <v>8.9504999999999999</v>
      </c>
      <c r="J515" s="21">
        <f>AVERAGE(G512:G515)</f>
        <v>0.10122821874999999</v>
      </c>
      <c r="L515">
        <f>+J515/I515</f>
        <v>1.1309783671303277E-2</v>
      </c>
      <c r="M515">
        <f>+(L515-$L$927)/$L$928</f>
        <v>-0.34435729376941232</v>
      </c>
      <c r="N515">
        <f>+N511+M515</f>
        <v>10.035426324979024</v>
      </c>
    </row>
    <row r="516" spans="1:14">
      <c r="A516" s="10">
        <v>11</v>
      </c>
      <c r="B516" s="75">
        <v>406810</v>
      </c>
      <c r="C516" s="10">
        <v>2013</v>
      </c>
      <c r="D516" s="4" t="s">
        <v>22</v>
      </c>
      <c r="E516" s="10">
        <v>10</v>
      </c>
      <c r="F516" s="20">
        <v>4.2169999999999996</v>
      </c>
      <c r="G516" s="21">
        <v>8.8088374999999997E-2</v>
      </c>
    </row>
    <row r="517" spans="1:14">
      <c r="A517" s="10">
        <v>12</v>
      </c>
      <c r="B517" s="75">
        <v>406810</v>
      </c>
      <c r="C517" s="10">
        <v>2013</v>
      </c>
      <c r="D517" s="4" t="s">
        <v>22</v>
      </c>
      <c r="E517" s="10">
        <v>10</v>
      </c>
      <c r="F517" s="20">
        <v>3.31</v>
      </c>
      <c r="G517" s="21">
        <v>7.1377874999999993E-2</v>
      </c>
    </row>
    <row r="518" spans="1:14">
      <c r="A518" s="10">
        <v>13</v>
      </c>
      <c r="B518" s="75">
        <v>406810</v>
      </c>
      <c r="C518" s="10">
        <v>2013</v>
      </c>
      <c r="D518" s="4" t="s">
        <v>22</v>
      </c>
      <c r="E518" s="10">
        <v>10</v>
      </c>
      <c r="F518" s="20">
        <v>2.3879999999999999</v>
      </c>
      <c r="G518" s="21">
        <v>0</v>
      </c>
      <c r="I518" s="21">
        <f>AVERAGE(F516:F518)</f>
        <v>3.3049999999999997</v>
      </c>
      <c r="J518" s="21">
        <f>AVERAGE(G516:G518)</f>
        <v>5.3155416666666656E-2</v>
      </c>
      <c r="L518">
        <f>+J518/I518</f>
        <v>1.6083333333333331E-2</v>
      </c>
      <c r="M518">
        <f>+(L518-$L$927)/$L$928</f>
        <v>-0.13253152812379637</v>
      </c>
      <c r="N518">
        <f>+N515+M518</f>
        <v>9.9028947968552288</v>
      </c>
    </row>
    <row r="519" spans="1:14">
      <c r="A519" s="10">
        <v>11</v>
      </c>
      <c r="B519" s="75">
        <v>41599</v>
      </c>
      <c r="C519" s="10">
        <v>2013</v>
      </c>
      <c r="D519" s="4" t="s">
        <v>23</v>
      </c>
      <c r="E519" s="10">
        <v>11</v>
      </c>
      <c r="F519" s="20">
        <v>7.8630000000000004</v>
      </c>
      <c r="G519" s="21">
        <v>0.18172362499999997</v>
      </c>
    </row>
    <row r="520" spans="1:14">
      <c r="A520" s="10">
        <v>12</v>
      </c>
      <c r="B520" s="75">
        <v>41599</v>
      </c>
      <c r="C520" s="10">
        <v>2013</v>
      </c>
      <c r="D520" s="4" t="s">
        <v>23</v>
      </c>
      <c r="E520" s="10">
        <v>11</v>
      </c>
      <c r="F520" s="20">
        <v>2.5579999999999998</v>
      </c>
      <c r="G520" s="21">
        <v>4.4638500000000005E-2</v>
      </c>
    </row>
    <row r="521" spans="1:14">
      <c r="A521" s="10">
        <v>13</v>
      </c>
      <c r="B521" s="75">
        <v>41599</v>
      </c>
      <c r="C521" s="10">
        <v>2013</v>
      </c>
      <c r="D521" s="4" t="s">
        <v>23</v>
      </c>
      <c r="E521" s="10">
        <v>11</v>
      </c>
      <c r="F521" s="20">
        <v>3.8180000000000001</v>
      </c>
      <c r="G521" s="21">
        <v>7.666187499999999E-2</v>
      </c>
      <c r="I521" s="21">
        <f>AVERAGE(F519:F521)</f>
        <v>4.7463333333333333</v>
      </c>
      <c r="J521" s="21">
        <f>AVERAGE(G519:G521)</f>
        <v>0.10100799999999999</v>
      </c>
      <c r="L521">
        <f>+J521/I521</f>
        <v>2.128126975208933E-2</v>
      </c>
      <c r="M521">
        <f>+(L521-$L$927)/$L$928</f>
        <v>9.8126355345666189E-2</v>
      </c>
      <c r="N521">
        <f>+N518+M521</f>
        <v>10.001021152200895</v>
      </c>
    </row>
    <row r="522" spans="1:14">
      <c r="A522" s="10">
        <v>11</v>
      </c>
      <c r="B522" s="75">
        <v>41627</v>
      </c>
      <c r="C522" s="10">
        <v>2013</v>
      </c>
      <c r="D522" s="4" t="s">
        <v>24</v>
      </c>
      <c r="E522" s="10">
        <v>12</v>
      </c>
      <c r="F522" s="20">
        <v>6.5869999999999997</v>
      </c>
      <c r="G522" s="21">
        <v>8.2325874999999993E-2</v>
      </c>
    </row>
    <row r="523" spans="1:14">
      <c r="A523" s="10">
        <v>12</v>
      </c>
      <c r="B523" s="75">
        <v>41627</v>
      </c>
      <c r="C523" s="10">
        <v>2013</v>
      </c>
      <c r="D523" s="4" t="s">
        <v>24</v>
      </c>
      <c r="E523" s="10">
        <v>12</v>
      </c>
      <c r="F523" s="20">
        <v>4.4809999999999999</v>
      </c>
      <c r="G523" s="21">
        <v>5.9084125000000001E-2</v>
      </c>
    </row>
    <row r="524" spans="1:14">
      <c r="A524" s="10">
        <v>13</v>
      </c>
      <c r="B524" s="75">
        <v>41627</v>
      </c>
      <c r="C524" s="10">
        <v>2013</v>
      </c>
      <c r="D524" s="4" t="s">
        <v>24</v>
      </c>
      <c r="E524" s="10">
        <v>12</v>
      </c>
      <c r="F524" s="20">
        <v>4.6399999999999997</v>
      </c>
      <c r="G524" s="21">
        <v>6.2109125000000001E-2</v>
      </c>
      <c r="I524" s="21">
        <f>AVERAGE(F522:F524)</f>
        <v>5.2359999999999998</v>
      </c>
      <c r="J524" s="21">
        <f>AVERAGE(G522:G524)</f>
        <v>6.7839708333333318E-2</v>
      </c>
      <c r="L524">
        <f>+J524/I524</f>
        <v>1.2956399605296662E-2</v>
      </c>
      <c r="M524">
        <f>+(L524-$L$927)/$L$928</f>
        <v>-0.27128888438072968</v>
      </c>
      <c r="N524">
        <f>+N521+M524</f>
        <v>9.7297322678201663</v>
      </c>
    </row>
    <row r="525" spans="1:14">
      <c r="A525" s="10">
        <v>11</v>
      </c>
      <c r="B525" s="75">
        <v>41655</v>
      </c>
      <c r="C525" s="10">
        <v>2014</v>
      </c>
      <c r="D525" s="4" t="s">
        <v>25</v>
      </c>
      <c r="E525" s="10">
        <v>1</v>
      </c>
      <c r="F525" s="20">
        <v>8.5459999999999994</v>
      </c>
      <c r="G525" s="21">
        <v>9.3754875000000001E-2</v>
      </c>
    </row>
    <row r="526" spans="1:14">
      <c r="A526" s="10">
        <v>12</v>
      </c>
      <c r="B526" s="75">
        <v>41655</v>
      </c>
      <c r="C526" s="10">
        <v>2014</v>
      </c>
      <c r="D526" s="4" t="s">
        <v>25</v>
      </c>
      <c r="E526" s="10">
        <v>1</v>
      </c>
      <c r="F526" s="20">
        <v>5.734</v>
      </c>
      <c r="G526" s="21">
        <v>8.9193750000000002E-2</v>
      </c>
    </row>
    <row r="527" spans="1:14">
      <c r="A527" s="10">
        <v>13</v>
      </c>
      <c r="B527" s="75">
        <v>41655</v>
      </c>
      <c r="C527" s="10">
        <v>2014</v>
      </c>
      <c r="D527" s="4" t="s">
        <v>25</v>
      </c>
      <c r="E527" s="10">
        <v>1</v>
      </c>
      <c r="F527" s="20">
        <v>5.601</v>
      </c>
      <c r="G527" s="21">
        <v>8.9579624999999996E-2</v>
      </c>
      <c r="I527" s="21">
        <f>AVERAGE(F525:F527)</f>
        <v>6.6269999999999998</v>
      </c>
      <c r="J527" s="21">
        <f>AVERAGE(G525:G527)</f>
        <v>9.0842750000000014E-2</v>
      </c>
      <c r="L527">
        <f>+J527/I527</f>
        <v>1.3707974950958204E-2</v>
      </c>
      <c r="M527">
        <f>+(L527-$L$927)/$L$928</f>
        <v>-0.23793780723546329</v>
      </c>
      <c r="N527">
        <f>+N524+M527</f>
        <v>9.4917944605847033</v>
      </c>
    </row>
    <row r="528" spans="1:14">
      <c r="A528" s="10">
        <v>11</v>
      </c>
      <c r="B528" s="75">
        <v>41690</v>
      </c>
      <c r="C528" s="10">
        <v>2014</v>
      </c>
      <c r="D528" s="4" t="s">
        <v>14</v>
      </c>
      <c r="E528" s="10">
        <v>2</v>
      </c>
      <c r="F528" s="20">
        <v>10.32</v>
      </c>
      <c r="G528" s="21">
        <v>0.39623962499999998</v>
      </c>
    </row>
    <row r="529" spans="1:14">
      <c r="A529" s="10">
        <v>12</v>
      </c>
      <c r="B529" s="75">
        <v>41690</v>
      </c>
      <c r="C529" s="10">
        <v>2014</v>
      </c>
      <c r="D529" s="4" t="s">
        <v>14</v>
      </c>
      <c r="E529" s="10">
        <v>2</v>
      </c>
      <c r="F529" s="20">
        <v>11.166</v>
      </c>
      <c r="G529" s="21">
        <v>0.62290074999999989</v>
      </c>
    </row>
    <row r="530" spans="1:14">
      <c r="A530" s="10">
        <v>13</v>
      </c>
      <c r="B530" s="75">
        <v>41690</v>
      </c>
      <c r="C530" s="10">
        <v>2014</v>
      </c>
      <c r="D530" s="4" t="s">
        <v>14</v>
      </c>
      <c r="E530" s="10">
        <v>2</v>
      </c>
      <c r="F530" s="20">
        <v>8.5</v>
      </c>
      <c r="G530" s="21">
        <v>0.18424799999999997</v>
      </c>
      <c r="I530" s="21">
        <f>AVERAGE(F528:F530)</f>
        <v>9.995333333333333</v>
      </c>
      <c r="J530" s="21">
        <f>AVERAGE(G528:G530)</f>
        <v>0.4011294583333333</v>
      </c>
      <c r="L530">
        <f>+J530/I530</f>
        <v>4.0131673947842325E-2</v>
      </c>
      <c r="M530">
        <f>+(L530-$L$927)/$L$928</f>
        <v>0.93461106467130473</v>
      </c>
      <c r="N530">
        <f>+N527+M530</f>
        <v>10.426405525256008</v>
      </c>
    </row>
    <row r="531" spans="1:14">
      <c r="A531" s="10">
        <v>11</v>
      </c>
      <c r="B531" s="75">
        <v>41718</v>
      </c>
      <c r="C531" s="10">
        <v>2014</v>
      </c>
      <c r="D531" s="4" t="s">
        <v>15</v>
      </c>
      <c r="E531" s="10">
        <v>3</v>
      </c>
      <c r="F531" s="20">
        <v>6.4219999999999997</v>
      </c>
      <c r="G531" s="21">
        <v>7.2317624999999996E-2</v>
      </c>
    </row>
    <row r="532" spans="1:14">
      <c r="A532" s="10">
        <v>12</v>
      </c>
      <c r="B532" s="75">
        <v>41718</v>
      </c>
      <c r="C532" s="10">
        <v>2014</v>
      </c>
      <c r="D532" s="4" t="s">
        <v>15</v>
      </c>
      <c r="E532" s="10">
        <v>3</v>
      </c>
      <c r="F532" s="20">
        <v>3.379</v>
      </c>
      <c r="G532" s="21">
        <v>5.9186374999999999E-2</v>
      </c>
    </row>
    <row r="533" spans="1:14">
      <c r="A533" s="10">
        <v>13</v>
      </c>
      <c r="B533" s="75">
        <v>41718</v>
      </c>
      <c r="C533" s="10">
        <v>2014</v>
      </c>
      <c r="D533" s="4" t="s">
        <v>15</v>
      </c>
      <c r="E533" s="10">
        <v>3</v>
      </c>
      <c r="F533" s="20">
        <v>2.87</v>
      </c>
      <c r="G533" s="21">
        <v>0</v>
      </c>
      <c r="I533" s="21">
        <f>AVERAGE(F531:F533)</f>
        <v>4.2236666666666665</v>
      </c>
      <c r="J533" s="21">
        <f>AVERAGE(G531:G533)</f>
        <v>4.3834666666666668E-2</v>
      </c>
      <c r="L533">
        <f>+J533/I533</f>
        <v>1.0378344250651093E-2</v>
      </c>
      <c r="M533">
        <f>+(L533-$L$927)/$L$928</f>
        <v>-0.38568982037986149</v>
      </c>
      <c r="N533">
        <f>+N530+M533</f>
        <v>10.040715704876147</v>
      </c>
    </row>
    <row r="534" spans="1:14">
      <c r="A534" s="10">
        <v>11</v>
      </c>
      <c r="B534" s="75">
        <v>41750</v>
      </c>
      <c r="C534" s="10">
        <v>2014</v>
      </c>
      <c r="D534" s="4" t="s">
        <v>16</v>
      </c>
      <c r="E534" s="10">
        <v>4</v>
      </c>
      <c r="F534" s="27">
        <v>3.4980000000000002</v>
      </c>
      <c r="G534" s="21">
        <v>2.7999875E-2</v>
      </c>
    </row>
    <row r="535" spans="1:14">
      <c r="A535" s="10">
        <v>12</v>
      </c>
      <c r="B535" s="75">
        <v>41750</v>
      </c>
      <c r="C535" s="10">
        <v>2014</v>
      </c>
      <c r="D535" s="4" t="s">
        <v>16</v>
      </c>
      <c r="E535" s="10">
        <v>4</v>
      </c>
      <c r="F535" s="27">
        <v>3.8290000000000002</v>
      </c>
      <c r="G535" s="21">
        <v>3.2552999999999999E-2</v>
      </c>
    </row>
    <row r="536" spans="1:14">
      <c r="A536" s="10">
        <v>13</v>
      </c>
      <c r="B536" s="75">
        <v>41750</v>
      </c>
      <c r="C536" s="10">
        <v>2014</v>
      </c>
      <c r="D536" s="4" t="s">
        <v>16</v>
      </c>
      <c r="E536" s="10">
        <v>4</v>
      </c>
      <c r="F536" s="27">
        <v>2.5150000000000001</v>
      </c>
      <c r="G536" s="21">
        <v>0</v>
      </c>
      <c r="I536" s="21">
        <f>AVERAGE(F534:F536)</f>
        <v>3.2806666666666668</v>
      </c>
      <c r="J536" s="21">
        <f>AVERAGE(G534:G536)</f>
        <v>2.0184291666666666E-2</v>
      </c>
      <c r="L536">
        <f>+J536/I536</f>
        <v>6.1524969518390567E-3</v>
      </c>
      <c r="M536">
        <f>+(L536-$L$927)/$L$928</f>
        <v>-0.57321135109577726</v>
      </c>
      <c r="N536">
        <f>+N533+M536</f>
        <v>9.4675043537803703</v>
      </c>
    </row>
    <row r="537" spans="1:14">
      <c r="A537" s="10">
        <v>11</v>
      </c>
      <c r="B537" s="75">
        <v>41406</v>
      </c>
      <c r="C537" s="10">
        <v>2014</v>
      </c>
      <c r="D537" s="4" t="s">
        <v>17</v>
      </c>
      <c r="E537" s="10">
        <v>5</v>
      </c>
      <c r="F537" s="27">
        <v>3.577</v>
      </c>
      <c r="G537" s="21">
        <v>8.7122124999999995E-2</v>
      </c>
    </row>
    <row r="538" spans="1:14">
      <c r="A538" s="10">
        <v>11</v>
      </c>
      <c r="B538" s="75">
        <v>41406</v>
      </c>
      <c r="C538" s="10">
        <v>2014</v>
      </c>
      <c r="D538" s="4" t="s">
        <v>17</v>
      </c>
      <c r="E538" s="10">
        <v>5</v>
      </c>
      <c r="F538" s="27">
        <v>3.577</v>
      </c>
      <c r="G538" s="21">
        <v>8.4066375000000013E-2</v>
      </c>
      <c r="H538" t="s">
        <v>41</v>
      </c>
    </row>
    <row r="539" spans="1:14">
      <c r="A539" s="10">
        <v>12</v>
      </c>
      <c r="B539" s="75">
        <v>41406</v>
      </c>
      <c r="C539" s="10">
        <v>2014</v>
      </c>
      <c r="D539" s="4" t="s">
        <v>17</v>
      </c>
      <c r="E539" s="10">
        <v>5</v>
      </c>
      <c r="F539" s="27">
        <v>3.3809999999999998</v>
      </c>
      <c r="G539" s="21">
        <v>7.0245749999999996E-2</v>
      </c>
      <c r="I539" s="21"/>
      <c r="J539" s="21"/>
    </row>
    <row r="540" spans="1:14">
      <c r="A540" s="10">
        <v>13</v>
      </c>
      <c r="B540" s="75">
        <v>41406</v>
      </c>
      <c r="C540" s="10">
        <v>2014</v>
      </c>
      <c r="D540" s="4" t="s">
        <v>17</v>
      </c>
      <c r="E540" s="10">
        <v>5</v>
      </c>
      <c r="F540" s="27">
        <v>4.5170000000000003</v>
      </c>
      <c r="G540" s="21">
        <v>7.8030000000000002E-2</v>
      </c>
      <c r="I540" s="21">
        <f>AVERAGE(F537:F540)</f>
        <v>3.7629999999999999</v>
      </c>
      <c r="J540" s="21">
        <f>AVERAGE(G537:G540)</f>
        <v>7.9866062500000001E-2</v>
      </c>
      <c r="L540">
        <f>+J540/I540</f>
        <v>2.1224039994685091E-2</v>
      </c>
      <c r="M540">
        <f>+(L540-$L$927)/$L$928</f>
        <v>9.5586790862595472E-2</v>
      </c>
      <c r="N540">
        <f>+N536+M540</f>
        <v>9.5630911446429661</v>
      </c>
    </row>
    <row r="541" spans="1:14">
      <c r="A541" s="10">
        <v>11</v>
      </c>
      <c r="B541" s="75">
        <v>41807</v>
      </c>
      <c r="C541" s="10">
        <v>2014</v>
      </c>
      <c r="D541" s="4" t="s">
        <v>18</v>
      </c>
      <c r="E541" s="10">
        <v>6</v>
      </c>
      <c r="F541" s="27">
        <v>6.2009999999999996</v>
      </c>
      <c r="G541" s="21">
        <v>0.17851162500000001</v>
      </c>
    </row>
    <row r="542" spans="1:14">
      <c r="A542" s="10">
        <v>12</v>
      </c>
      <c r="B542" s="75">
        <v>41807</v>
      </c>
      <c r="C542" s="10">
        <v>2014</v>
      </c>
      <c r="D542" s="4" t="s">
        <v>18</v>
      </c>
      <c r="E542" s="10">
        <v>6</v>
      </c>
      <c r="F542" s="27">
        <v>8.0289999999999999</v>
      </c>
      <c r="G542" s="21">
        <v>0.16368337499999999</v>
      </c>
    </row>
    <row r="543" spans="1:14">
      <c r="A543" s="10">
        <v>13</v>
      </c>
      <c r="B543" s="75">
        <v>41807</v>
      </c>
      <c r="C543" s="10">
        <v>2014</v>
      </c>
      <c r="D543" s="4" t="s">
        <v>18</v>
      </c>
      <c r="E543" s="10">
        <v>6</v>
      </c>
      <c r="F543" s="27">
        <v>4.383</v>
      </c>
      <c r="G543" s="21">
        <v>7.9969124999999974E-2</v>
      </c>
      <c r="I543" s="21">
        <f>AVERAGE(F541:F543)</f>
        <v>6.2043333333333335</v>
      </c>
      <c r="J543" s="21">
        <f>AVERAGE(G541:G543)</f>
        <v>0.14072137500000001</v>
      </c>
      <c r="L543">
        <f>+J543/I543</f>
        <v>2.2681143555579434E-2</v>
      </c>
      <c r="M543">
        <f>+(L543-$L$927)/$L$928</f>
        <v>0.16024560856936185</v>
      </c>
      <c r="N543">
        <f>+N540+M543</f>
        <v>9.7233367532123278</v>
      </c>
    </row>
    <row r="544" spans="1:14">
      <c r="A544" s="10">
        <v>11</v>
      </c>
      <c r="B544" s="75">
        <v>41837</v>
      </c>
      <c r="C544" s="10">
        <v>2014</v>
      </c>
      <c r="D544" s="4" t="s">
        <v>19</v>
      </c>
      <c r="E544" s="10">
        <v>7</v>
      </c>
      <c r="F544" s="27">
        <v>9.3789999999999996</v>
      </c>
      <c r="G544" s="21">
        <v>0.19356124999999996</v>
      </c>
    </row>
    <row r="545" spans="1:14">
      <c r="A545" s="10">
        <v>12</v>
      </c>
      <c r="B545" s="75">
        <v>41837</v>
      </c>
      <c r="C545" s="10">
        <v>2014</v>
      </c>
      <c r="D545" s="4" t="s">
        <v>19</v>
      </c>
      <c r="E545" s="10">
        <v>7</v>
      </c>
      <c r="F545" s="27">
        <v>11.09</v>
      </c>
      <c r="G545" s="21">
        <v>0.16732699999999998</v>
      </c>
    </row>
    <row r="546" spans="1:14">
      <c r="A546" s="10">
        <v>13</v>
      </c>
      <c r="B546" s="75">
        <v>41837</v>
      </c>
      <c r="C546" s="10">
        <v>2014</v>
      </c>
      <c r="D546" s="4" t="s">
        <v>19</v>
      </c>
      <c r="E546" s="10">
        <v>7</v>
      </c>
      <c r="F546" s="27">
        <v>8.7759999999999998</v>
      </c>
      <c r="G546" s="21">
        <v>0.295799125</v>
      </c>
      <c r="I546" s="21">
        <f>AVERAGE(F544:F546)</f>
        <v>9.7483333333333331</v>
      </c>
      <c r="J546" s="21">
        <f>AVERAGE(G544:G546)</f>
        <v>0.21889579166666664</v>
      </c>
      <c r="L546">
        <f>+J546/I546</f>
        <v>2.2454688835698407E-2</v>
      </c>
      <c r="M546">
        <f>+(L546-$L$927)/$L$928</f>
        <v>0.15019670412317615</v>
      </c>
      <c r="N546">
        <f>+N543+M546</f>
        <v>9.8735334573355047</v>
      </c>
    </row>
    <row r="547" spans="1:14">
      <c r="A547" s="10">
        <v>11</v>
      </c>
      <c r="B547" s="75">
        <v>41862</v>
      </c>
      <c r="C547" s="10">
        <v>2014</v>
      </c>
      <c r="D547" s="4" t="s">
        <v>20</v>
      </c>
      <c r="E547" s="10">
        <v>8</v>
      </c>
      <c r="F547" s="27">
        <v>5.7380000000000004</v>
      </c>
      <c r="G547" s="21">
        <v>0.15042475</v>
      </c>
    </row>
    <row r="548" spans="1:14">
      <c r="A548" s="10">
        <v>12</v>
      </c>
      <c r="B548" s="75">
        <v>41862</v>
      </c>
      <c r="C548" s="10">
        <v>2014</v>
      </c>
      <c r="D548" s="4" t="s">
        <v>20</v>
      </c>
      <c r="E548" s="10">
        <v>8</v>
      </c>
      <c r="F548" s="27">
        <v>7.4029999999999996</v>
      </c>
      <c r="G548" s="21">
        <v>0.176650375</v>
      </c>
    </row>
    <row r="549" spans="1:14">
      <c r="A549" s="10">
        <v>13</v>
      </c>
      <c r="B549" s="75">
        <v>41862</v>
      </c>
      <c r="C549" s="10">
        <v>2014</v>
      </c>
      <c r="D549" s="4" t="s">
        <v>20</v>
      </c>
      <c r="E549" s="10">
        <v>8</v>
      </c>
      <c r="F549" s="27">
        <v>5.2350000000000003</v>
      </c>
      <c r="G549" s="21">
        <v>0.13140399999999997</v>
      </c>
      <c r="I549" s="21">
        <f>AVERAGE(F547:F549)</f>
        <v>6.1253333333333337</v>
      </c>
      <c r="J549" s="21">
        <f>AVERAGE(G547:G549)</f>
        <v>0.15282637499999999</v>
      </c>
      <c r="L549">
        <f>+J549/I549</f>
        <v>2.4949887080975182E-2</v>
      </c>
      <c r="M549">
        <f>+(L549-$L$927)/$L$928</f>
        <v>0.26092086458337638</v>
      </c>
      <c r="N549">
        <f>+N546+M549</f>
        <v>10.134454321918881</v>
      </c>
    </row>
    <row r="550" spans="1:14">
      <c r="A550" s="10">
        <v>11</v>
      </c>
      <c r="B550" s="75">
        <v>41897</v>
      </c>
      <c r="C550" s="10">
        <v>2014</v>
      </c>
      <c r="D550" s="4" t="s">
        <v>26</v>
      </c>
      <c r="E550" s="10">
        <v>9</v>
      </c>
      <c r="F550" s="27">
        <v>4.7690000000000001</v>
      </c>
      <c r="G550" s="21">
        <v>3.8092124999999998E-2</v>
      </c>
    </row>
    <row r="551" spans="1:14">
      <c r="A551" s="10">
        <v>12</v>
      </c>
      <c r="B551" s="75">
        <v>41897</v>
      </c>
      <c r="C551" s="10">
        <v>2014</v>
      </c>
      <c r="D551" s="4" t="s">
        <v>26</v>
      </c>
      <c r="E551" s="10">
        <v>9</v>
      </c>
      <c r="F551" s="27">
        <v>3.3559999999999999</v>
      </c>
      <c r="G551" s="21">
        <v>0</v>
      </c>
    </row>
    <row r="552" spans="1:14">
      <c r="A552" s="10">
        <v>13</v>
      </c>
      <c r="B552" s="75">
        <v>41897</v>
      </c>
      <c r="C552" s="10">
        <v>2014</v>
      </c>
      <c r="D552" s="4" t="s">
        <v>26</v>
      </c>
      <c r="E552" s="10">
        <v>9</v>
      </c>
      <c r="F552" s="27">
        <v>6.6619999999999999</v>
      </c>
      <c r="G552" s="21">
        <v>8.597299999999998E-2</v>
      </c>
      <c r="I552" s="21">
        <f>AVERAGE(F550:F552)</f>
        <v>4.9289999999999994</v>
      </c>
      <c r="J552" s="21">
        <f>AVERAGE(G550:G552)</f>
        <v>4.1355041666666655E-2</v>
      </c>
      <c r="L552">
        <f>+J552/I552</f>
        <v>8.3901484411983487E-3</v>
      </c>
      <c r="M552">
        <f>+(L552-$L$927)/$L$928</f>
        <v>-0.47391580092022723</v>
      </c>
      <c r="N552">
        <f>+N549+M552</f>
        <v>9.660538520998653</v>
      </c>
    </row>
    <row r="553" spans="1:14">
      <c r="A553" s="10">
        <v>11</v>
      </c>
      <c r="B553" s="75">
        <v>41928</v>
      </c>
      <c r="C553" s="10">
        <v>2014</v>
      </c>
      <c r="D553" s="4" t="s">
        <v>22</v>
      </c>
      <c r="E553" s="10">
        <v>10</v>
      </c>
      <c r="F553" s="20">
        <v>2.2810000000000001</v>
      </c>
      <c r="G553" s="21">
        <v>4.6055249999999992E-2</v>
      </c>
    </row>
    <row r="554" spans="1:14">
      <c r="A554" s="10">
        <v>12</v>
      </c>
      <c r="B554" s="75">
        <v>41928</v>
      </c>
      <c r="C554" s="10">
        <v>2014</v>
      </c>
      <c r="D554" s="4" t="s">
        <v>22</v>
      </c>
      <c r="E554" s="10">
        <v>10</v>
      </c>
      <c r="F554" s="20">
        <v>3.64</v>
      </c>
      <c r="G554" s="21">
        <v>9.3949499999999991E-2</v>
      </c>
    </row>
    <row r="555" spans="1:14">
      <c r="A555" s="10">
        <v>13</v>
      </c>
      <c r="B555" s="75">
        <v>41928</v>
      </c>
      <c r="C555" s="10">
        <v>2014</v>
      </c>
      <c r="D555" s="4" t="s">
        <v>22</v>
      </c>
      <c r="E555" s="10">
        <v>10</v>
      </c>
      <c r="F555" s="20">
        <v>6.1680000000000001</v>
      </c>
      <c r="G555" s="21">
        <v>0.19410250000000001</v>
      </c>
    </row>
    <row r="556" spans="1:14">
      <c r="A556" s="10">
        <v>13</v>
      </c>
      <c r="B556" s="75">
        <v>41928</v>
      </c>
      <c r="C556" s="10">
        <v>2014</v>
      </c>
      <c r="D556" s="4" t="s">
        <v>22</v>
      </c>
      <c r="E556" s="10">
        <v>10</v>
      </c>
      <c r="F556" s="20">
        <v>6.1680000000000001</v>
      </c>
      <c r="G556" s="21">
        <v>0.20803674999999996</v>
      </c>
      <c r="H556" t="s">
        <v>41</v>
      </c>
      <c r="I556" s="21">
        <f>AVERAGE(F553:F556)</f>
        <v>4.5642500000000004</v>
      </c>
      <c r="J556" s="21">
        <f>AVERAGE(G553:G556)</f>
        <v>0.13553599999999999</v>
      </c>
      <c r="L556">
        <f>+J556/I556</f>
        <v>2.9695130634824995E-2</v>
      </c>
      <c r="M556">
        <f>+(L556-$L$927)/$L$928</f>
        <v>0.47149054964698428</v>
      </c>
      <c r="N556">
        <f>+N552+M556</f>
        <v>10.132029070645638</v>
      </c>
    </row>
    <row r="557" spans="1:14">
      <c r="A557" s="10">
        <v>11</v>
      </c>
      <c r="B557" s="75">
        <v>41955</v>
      </c>
      <c r="C557" s="10">
        <v>2014</v>
      </c>
      <c r="D557" s="4" t="s">
        <v>23</v>
      </c>
      <c r="E557" s="10">
        <v>11</v>
      </c>
      <c r="F557" s="20">
        <v>6.0449999999999999</v>
      </c>
      <c r="G557" s="21">
        <v>0.14972750000000001</v>
      </c>
    </row>
    <row r="558" spans="1:14">
      <c r="A558" s="10">
        <v>12</v>
      </c>
      <c r="B558" s="75">
        <v>41955</v>
      </c>
      <c r="C558" s="10">
        <v>2014</v>
      </c>
      <c r="D558" s="4" t="s">
        <v>23</v>
      </c>
      <c r="E558" s="10">
        <v>11</v>
      </c>
      <c r="F558" s="20">
        <v>4.6319999999999997</v>
      </c>
      <c r="G558" s="21">
        <v>8.1879999999999994E-2</v>
      </c>
    </row>
    <row r="559" spans="1:14">
      <c r="A559" s="10">
        <v>13</v>
      </c>
      <c r="B559" s="75">
        <v>41955</v>
      </c>
      <c r="C559" s="10">
        <v>2014</v>
      </c>
      <c r="D559" s="4" t="s">
        <v>23</v>
      </c>
      <c r="E559" s="10">
        <v>11</v>
      </c>
      <c r="F559" s="20">
        <v>5.8710000000000004</v>
      </c>
      <c r="G559" s="21">
        <v>0.10663075</v>
      </c>
      <c r="I559" s="21">
        <f>AVERAGE(F557:F559)</f>
        <v>5.5160000000000009</v>
      </c>
      <c r="J559" s="21">
        <f>AVERAGE(G557:G559)</f>
        <v>0.11274608333333334</v>
      </c>
      <c r="L559">
        <f>+J559/I559</f>
        <v>2.0439826565143822E-2</v>
      </c>
      <c r="M559">
        <f>+(L559-$L$927)/$L$928</f>
        <v>6.0787402167954953E-2</v>
      </c>
      <c r="N559">
        <f>+N556+M559</f>
        <v>10.192816472813593</v>
      </c>
    </row>
    <row r="560" spans="1:14">
      <c r="A560" s="1">
        <v>11</v>
      </c>
      <c r="B560" s="70">
        <v>41987</v>
      </c>
      <c r="D560" s="4" t="s">
        <v>24</v>
      </c>
      <c r="E560" s="10">
        <v>12</v>
      </c>
    </row>
    <row r="561" spans="1:14">
      <c r="A561" s="1">
        <v>12</v>
      </c>
      <c r="B561" s="70">
        <v>41987</v>
      </c>
      <c r="D561" s="4" t="s">
        <v>24</v>
      </c>
      <c r="E561" s="10">
        <v>12</v>
      </c>
    </row>
    <row r="562" spans="1:14">
      <c r="A562" s="1">
        <v>13</v>
      </c>
      <c r="B562" s="70">
        <v>41987</v>
      </c>
      <c r="D562" s="4" t="s">
        <v>24</v>
      </c>
      <c r="E562" s="10">
        <v>12</v>
      </c>
    </row>
    <row r="563" spans="1:14">
      <c r="A563" s="1">
        <v>11</v>
      </c>
      <c r="B563" s="70">
        <v>42014</v>
      </c>
      <c r="E563" s="3">
        <v>1</v>
      </c>
      <c r="F563" s="79">
        <v>13.555</v>
      </c>
      <c r="G563" s="80">
        <v>4.9000000000000002E-2</v>
      </c>
    </row>
    <row r="564" spans="1:14">
      <c r="A564" s="1">
        <v>12</v>
      </c>
      <c r="B564" s="70">
        <v>42009</v>
      </c>
      <c r="E564" s="3">
        <v>1</v>
      </c>
      <c r="F564" s="79">
        <v>10.689</v>
      </c>
      <c r="G564" s="80">
        <v>4.4999999999999998E-2</v>
      </c>
    </row>
    <row r="565" spans="1:14">
      <c r="A565" s="1">
        <v>13</v>
      </c>
      <c r="B565" s="70">
        <v>42009</v>
      </c>
      <c r="E565" s="3">
        <v>1</v>
      </c>
      <c r="F565" s="79">
        <v>7.84</v>
      </c>
      <c r="G565" s="80">
        <v>3.4000000000000002E-2</v>
      </c>
      <c r="I565" s="21">
        <f>AVERAGE(F563:F565)</f>
        <v>10.694666666666668</v>
      </c>
      <c r="J565" s="21">
        <f>AVERAGE(G563:G565)</f>
        <v>4.2666666666666665E-2</v>
      </c>
      <c r="L565">
        <f>+J565/I565</f>
        <v>3.989527490337862E-3</v>
      </c>
      <c r="M565">
        <f>+(L565-$L$927)/$L$928</f>
        <v>-0.6691928941171037</v>
      </c>
      <c r="N565">
        <f>+N559+M565</f>
        <v>9.5236235786964905</v>
      </c>
    </row>
    <row r="566" spans="1:14">
      <c r="A566" s="1">
        <v>11</v>
      </c>
      <c r="B566" s="71">
        <v>42036</v>
      </c>
      <c r="E566" s="5">
        <v>2</v>
      </c>
    </row>
    <row r="567" spans="1:14">
      <c r="A567" s="1">
        <v>12</v>
      </c>
      <c r="B567" s="71">
        <v>42036</v>
      </c>
      <c r="E567" s="5">
        <v>2</v>
      </c>
    </row>
    <row r="568" spans="1:14">
      <c r="A568" s="1">
        <v>13</v>
      </c>
      <c r="B568" s="71">
        <v>42036</v>
      </c>
      <c r="E568" s="5">
        <v>2</v>
      </c>
      <c r="I568" s="21"/>
      <c r="J568" s="21"/>
    </row>
    <row r="569" spans="1:14">
      <c r="A569" s="1">
        <v>11</v>
      </c>
      <c r="B569" s="71">
        <v>42064</v>
      </c>
      <c r="E569" s="5">
        <v>3</v>
      </c>
      <c r="F569" s="79">
        <v>6.0410000000000004</v>
      </c>
      <c r="G569" s="80">
        <v>7.6999999999999999E-2</v>
      </c>
    </row>
    <row r="570" spans="1:14">
      <c r="A570" s="1">
        <v>12</v>
      </c>
      <c r="B570" s="71">
        <v>42064</v>
      </c>
      <c r="E570" s="5">
        <v>3</v>
      </c>
      <c r="F570" s="79">
        <v>8.9909999999999997</v>
      </c>
      <c r="G570" s="80">
        <v>7.8E-2</v>
      </c>
    </row>
    <row r="571" spans="1:14">
      <c r="A571" s="1">
        <v>13</v>
      </c>
      <c r="B571" s="71">
        <v>42064</v>
      </c>
      <c r="E571" s="5">
        <v>3</v>
      </c>
      <c r="F571" s="79">
        <v>5.2249999999999996</v>
      </c>
      <c r="G571" s="80">
        <v>1.2999999999999999E-2</v>
      </c>
      <c r="I571" s="21">
        <f>AVERAGE(F569:F571)</f>
        <v>6.7523333333333326</v>
      </c>
      <c r="J571" s="21">
        <f>AVERAGE(G569:G571)</f>
        <v>5.6000000000000001E-2</v>
      </c>
      <c r="L571">
        <f>+J571/I571</f>
        <v>8.2934294318013531E-3</v>
      </c>
      <c r="M571">
        <f>+(L571-$L$927)/$L$928</f>
        <v>-0.47820769681919884</v>
      </c>
      <c r="N571">
        <f>+N565+M571</f>
        <v>9.0454158818772914</v>
      </c>
    </row>
    <row r="572" spans="1:14">
      <c r="A572" s="1">
        <v>11</v>
      </c>
      <c r="B572" s="71">
        <v>42095</v>
      </c>
      <c r="E572" s="5">
        <v>4</v>
      </c>
      <c r="F572" s="79">
        <v>3.56</v>
      </c>
      <c r="G572" s="80">
        <v>1.9E-2</v>
      </c>
    </row>
    <row r="573" spans="1:14">
      <c r="A573" s="1">
        <v>12</v>
      </c>
      <c r="B573" s="71">
        <v>42095</v>
      </c>
      <c r="E573" s="5">
        <v>4</v>
      </c>
      <c r="F573" s="79">
        <v>2.726</v>
      </c>
      <c r="G573" s="80">
        <v>0.02</v>
      </c>
    </row>
    <row r="574" spans="1:14">
      <c r="A574" s="1">
        <v>13</v>
      </c>
      <c r="B574" s="71">
        <v>42095</v>
      </c>
      <c r="E574" s="5">
        <v>4</v>
      </c>
      <c r="F574" s="79">
        <v>1.62</v>
      </c>
      <c r="G574" s="80">
        <v>1.4999999999999999E-2</v>
      </c>
      <c r="I574" s="21">
        <f>AVERAGE(F572:F574)</f>
        <v>2.6353333333333331</v>
      </c>
      <c r="J574" s="21">
        <f>AVERAGE(G572:G574)</f>
        <v>1.7999999999999999E-2</v>
      </c>
      <c r="L574">
        <f>+J574/I574</f>
        <v>6.8302555021502662E-3</v>
      </c>
      <c r="M574">
        <f>+(L574-$L$927)/$L$928</f>
        <v>-0.54313588650293998</v>
      </c>
      <c r="N574">
        <f>+N571+M574</f>
        <v>8.5022799953743515</v>
      </c>
    </row>
    <row r="575" spans="1:14">
      <c r="A575" s="1">
        <v>11</v>
      </c>
      <c r="B575" s="71">
        <v>42125</v>
      </c>
      <c r="E575" s="5">
        <v>5</v>
      </c>
      <c r="F575" s="79">
        <v>7.9779999999999998</v>
      </c>
      <c r="G575" s="80">
        <v>0.11600000000000001</v>
      </c>
    </row>
    <row r="576" spans="1:14">
      <c r="A576" s="1">
        <v>12</v>
      </c>
      <c r="B576" s="71">
        <v>42125</v>
      </c>
      <c r="E576" s="5">
        <v>5</v>
      </c>
      <c r="F576" s="79">
        <v>6.3070000000000004</v>
      </c>
      <c r="G576" s="80">
        <v>8.2000000000000003E-2</v>
      </c>
    </row>
    <row r="577" spans="1:14">
      <c r="A577" s="1">
        <v>13</v>
      </c>
      <c r="B577" s="71">
        <v>42125</v>
      </c>
      <c r="E577" s="5">
        <v>5</v>
      </c>
      <c r="F577" s="79">
        <v>7.58</v>
      </c>
      <c r="G577" s="80">
        <v>0.28899999999999998</v>
      </c>
      <c r="I577" s="21">
        <f>AVERAGE(F575:F577)</f>
        <v>7.288333333333334</v>
      </c>
      <c r="J577" s="21">
        <f>AVERAGE(G575:G577)</f>
        <v>0.16233333333333333</v>
      </c>
      <c r="L577">
        <f>+J577/I577</f>
        <v>2.2273039103590211E-2</v>
      </c>
      <c r="M577">
        <f>+(L577-$L$927)/$L$928</f>
        <v>0.14213601631066555</v>
      </c>
      <c r="N577">
        <f>+N574+M577</f>
        <v>8.6444160116850171</v>
      </c>
    </row>
    <row r="578" spans="1:14">
      <c r="A578" s="1">
        <v>11</v>
      </c>
      <c r="B578" s="71">
        <v>42156</v>
      </c>
      <c r="E578" s="5">
        <v>6</v>
      </c>
      <c r="F578" s="79">
        <v>7.2409999999999997</v>
      </c>
      <c r="G578" s="80">
        <v>0.65300000000000002</v>
      </c>
    </row>
    <row r="579" spans="1:14">
      <c r="A579" s="1">
        <v>12</v>
      </c>
      <c r="B579" s="71">
        <v>42156</v>
      </c>
      <c r="E579" s="5">
        <v>6</v>
      </c>
      <c r="F579" s="79">
        <v>7.2489999999999997</v>
      </c>
      <c r="G579" s="80">
        <v>0.44</v>
      </c>
    </row>
    <row r="580" spans="1:14">
      <c r="A580" s="1">
        <v>13</v>
      </c>
      <c r="B580" s="71">
        <v>42156</v>
      </c>
      <c r="E580" s="5">
        <v>6</v>
      </c>
      <c r="F580" s="79">
        <v>12.542</v>
      </c>
      <c r="G580" s="80">
        <v>0.94499999999999995</v>
      </c>
      <c r="I580" s="21">
        <f>AVERAGE(F578:F580)</f>
        <v>9.0106666666666655</v>
      </c>
      <c r="J580" s="21">
        <f>AVERAGE(G578:G580)</f>
        <v>0.67933333333333323</v>
      </c>
      <c r="L580">
        <f>+J580/I580</f>
        <v>7.5392127848475876E-2</v>
      </c>
      <c r="M580">
        <f>+(L580-$L$927)/$L$928</f>
        <v>2.4992900087125545</v>
      </c>
      <c r="N580">
        <f>+N577+M580</f>
        <v>11.143706020397572</v>
      </c>
    </row>
    <row r="581" spans="1:14">
      <c r="A581" s="1">
        <v>11</v>
      </c>
      <c r="B581" s="71">
        <v>42186</v>
      </c>
      <c r="E581" s="5">
        <v>7</v>
      </c>
      <c r="F581" s="79">
        <v>11.587</v>
      </c>
      <c r="G581" s="80">
        <v>0.38500000000000001</v>
      </c>
    </row>
    <row r="582" spans="1:14">
      <c r="A582" s="1">
        <v>12</v>
      </c>
      <c r="B582" s="71">
        <v>42186</v>
      </c>
      <c r="E582" s="5">
        <v>7</v>
      </c>
      <c r="F582" s="79">
        <v>9.7639999999999993</v>
      </c>
      <c r="G582" s="80">
        <v>0.31</v>
      </c>
    </row>
    <row r="583" spans="1:14">
      <c r="A583" s="1">
        <v>13</v>
      </c>
      <c r="B583" s="71">
        <v>42186</v>
      </c>
      <c r="E583" s="5">
        <v>7</v>
      </c>
      <c r="F583" s="79">
        <v>12.468</v>
      </c>
      <c r="G583" s="80">
        <v>0.30099999999999999</v>
      </c>
      <c r="I583" s="21">
        <f>AVERAGE(F581:F583)</f>
        <v>11.273000000000001</v>
      </c>
      <c r="J583" s="21">
        <f>AVERAGE(G581:G583)</f>
        <v>0.33200000000000002</v>
      </c>
      <c r="L583">
        <f>+J583/I583</f>
        <v>2.9450900381442383E-2</v>
      </c>
      <c r="M583">
        <f>+(L583-$L$927)/$L$928</f>
        <v>0.46065285776580389</v>
      </c>
      <c r="N583">
        <f>+N580+M583</f>
        <v>11.604358878163376</v>
      </c>
    </row>
    <row r="584" spans="1:14">
      <c r="A584" s="1">
        <v>11</v>
      </c>
      <c r="B584" s="71">
        <v>42217</v>
      </c>
      <c r="E584" s="5">
        <v>8</v>
      </c>
      <c r="F584" s="79">
        <v>8.31</v>
      </c>
      <c r="G584" s="80">
        <v>0.26700000000000002</v>
      </c>
    </row>
    <row r="585" spans="1:14">
      <c r="A585" s="1">
        <v>12</v>
      </c>
      <c r="B585" s="71">
        <v>42217</v>
      </c>
      <c r="E585" s="5">
        <v>8</v>
      </c>
      <c r="F585" s="79">
        <v>3.1019999999999999</v>
      </c>
      <c r="G585" s="80">
        <v>4.2999999999999997E-2</v>
      </c>
    </row>
    <row r="586" spans="1:14">
      <c r="A586" s="1">
        <v>13</v>
      </c>
      <c r="B586" s="71">
        <v>42217</v>
      </c>
      <c r="E586" s="5">
        <v>8</v>
      </c>
      <c r="F586" s="79">
        <v>7.0839999999999996</v>
      </c>
      <c r="G586" s="80">
        <v>6.5000000000000002E-2</v>
      </c>
      <c r="I586" s="21">
        <f>AVERAGE(F584:F586)</f>
        <v>6.1653333333333338</v>
      </c>
      <c r="J586" s="21">
        <f>AVERAGE(G584:G586)</f>
        <v>0.125</v>
      </c>
      <c r="L586">
        <f>+J586/I586</f>
        <v>2.0274653979238753E-2</v>
      </c>
      <c r="M586">
        <f>+(L586-$L$927)/$L$928</f>
        <v>5.3457885990233184E-2</v>
      </c>
      <c r="N586">
        <f>+N583+M586</f>
        <v>11.65781676415361</v>
      </c>
    </row>
    <row r="587" spans="1:14">
      <c r="A587" s="1">
        <v>11</v>
      </c>
      <c r="B587" s="71">
        <v>42248</v>
      </c>
      <c r="E587" s="5">
        <v>9</v>
      </c>
      <c r="F587" s="79">
        <v>3.8239999999999998</v>
      </c>
      <c r="G587" s="80">
        <v>1.4E-2</v>
      </c>
    </row>
    <row r="588" spans="1:14">
      <c r="A588" s="1">
        <v>12</v>
      </c>
      <c r="B588" s="71">
        <v>42248</v>
      </c>
      <c r="E588" s="5">
        <v>9</v>
      </c>
      <c r="F588" s="79">
        <v>4.8499999999999996</v>
      </c>
      <c r="G588" s="80">
        <v>1.2999999999999999E-2</v>
      </c>
    </row>
    <row r="589" spans="1:14">
      <c r="A589" s="1">
        <v>13</v>
      </c>
      <c r="B589" s="71">
        <v>42248</v>
      </c>
      <c r="E589" s="5">
        <v>9</v>
      </c>
      <c r="F589" s="79">
        <v>6.0039999999999996</v>
      </c>
      <c r="G589" s="80">
        <v>1.6E-2</v>
      </c>
      <c r="I589" s="21">
        <f>AVERAGE(F587:F589)</f>
        <v>4.8926666666666661</v>
      </c>
      <c r="J589" s="21">
        <f>AVERAGE(G587:G589)</f>
        <v>1.4333333333333332E-2</v>
      </c>
      <c r="L589">
        <f>+J589/I589</f>
        <v>2.9295544352091565E-3</v>
      </c>
      <c r="M589">
        <f>+(L589-$L$927)/$L$928</f>
        <v>-0.71622908727799661</v>
      </c>
      <c r="N589">
        <f>+N586+M589</f>
        <v>10.941587676875614</v>
      </c>
    </row>
    <row r="590" spans="1:14">
      <c r="A590" s="1">
        <v>11</v>
      </c>
      <c r="B590" s="71">
        <v>42278</v>
      </c>
      <c r="E590" s="5">
        <v>10</v>
      </c>
      <c r="F590" s="79">
        <v>5.8849999999999998</v>
      </c>
      <c r="G590" s="80">
        <v>7.4999999999999997E-2</v>
      </c>
    </row>
    <row r="591" spans="1:14">
      <c r="A591" s="1">
        <v>12</v>
      </c>
      <c r="B591" s="71">
        <v>42278</v>
      </c>
      <c r="E591" s="5">
        <v>10</v>
      </c>
      <c r="F591" s="79">
        <v>3.806</v>
      </c>
      <c r="G591" s="80">
        <v>0.03</v>
      </c>
    </row>
    <row r="592" spans="1:14">
      <c r="A592" s="1">
        <v>13</v>
      </c>
      <c r="B592" s="71">
        <v>42278</v>
      </c>
      <c r="E592" s="5">
        <v>10</v>
      </c>
      <c r="F592" s="79">
        <v>5.2089999999999996</v>
      </c>
      <c r="G592" s="80">
        <v>5.8000000000000003E-2</v>
      </c>
      <c r="I592" s="21">
        <f>AVERAGE(F590:F592)</f>
        <v>4.9666666666666659</v>
      </c>
      <c r="J592" s="21">
        <f>AVERAGE(G590:G592)</f>
        <v>5.4333333333333338E-2</v>
      </c>
      <c r="L592">
        <f>+J592/I592</f>
        <v>1.0939597315436244E-2</v>
      </c>
      <c r="M592">
        <f>+(L592-$L$927)/$L$928</f>
        <v>-0.36078427448919542</v>
      </c>
      <c r="N592">
        <f>+N589+M592</f>
        <v>10.580803402386419</v>
      </c>
    </row>
    <row r="593" spans="1:14">
      <c r="A593" s="1">
        <v>11</v>
      </c>
      <c r="B593" s="71">
        <v>42309</v>
      </c>
      <c r="E593" s="5">
        <v>11</v>
      </c>
      <c r="F593" s="79">
        <v>1.7250000000000001</v>
      </c>
      <c r="G593" s="80">
        <v>3.5000000000000003E-2</v>
      </c>
    </row>
    <row r="594" spans="1:14">
      <c r="A594" s="1">
        <v>12</v>
      </c>
      <c r="B594" s="71">
        <v>42309</v>
      </c>
      <c r="E594" s="5">
        <v>11</v>
      </c>
      <c r="F594" s="79">
        <v>1.4059999999999999</v>
      </c>
      <c r="G594" s="80">
        <v>3.3000000000000002E-2</v>
      </c>
    </row>
    <row r="595" spans="1:14">
      <c r="A595" s="1">
        <v>13</v>
      </c>
      <c r="B595" s="71">
        <v>42309</v>
      </c>
      <c r="E595" s="5">
        <v>11</v>
      </c>
      <c r="F595" s="79">
        <v>0.94499999999999995</v>
      </c>
      <c r="G595" s="80">
        <v>1.2E-2</v>
      </c>
      <c r="I595" s="21">
        <f>AVERAGE(F593:F595)</f>
        <v>1.3586666666666669</v>
      </c>
      <c r="J595" s="21">
        <f>AVERAGE(G593:G595)</f>
        <v>2.6666666666666668E-2</v>
      </c>
      <c r="L595">
        <f>+J595/I595</f>
        <v>1.9627085377821391E-2</v>
      </c>
      <c r="M595">
        <f>+(L595-$L$927)/$L$928</f>
        <v>2.4722097213510142E-2</v>
      </c>
      <c r="N595">
        <f>+N592+M595</f>
        <v>10.60552549959993</v>
      </c>
    </row>
    <row r="596" spans="1:14">
      <c r="A596" s="1">
        <v>11</v>
      </c>
      <c r="B596" s="72">
        <v>42339</v>
      </c>
      <c r="E596" s="5">
        <v>12</v>
      </c>
      <c r="F596" s="79">
        <v>3.4</v>
      </c>
      <c r="G596" s="80">
        <v>2.5999999999999999E-2</v>
      </c>
    </row>
    <row r="597" spans="1:14">
      <c r="A597" s="1">
        <v>12</v>
      </c>
      <c r="B597" s="71">
        <v>42339</v>
      </c>
      <c r="E597" s="5">
        <v>12</v>
      </c>
      <c r="F597" s="79">
        <v>4.452</v>
      </c>
      <c r="G597" s="80">
        <v>3.4000000000000002E-2</v>
      </c>
    </row>
    <row r="598" spans="1:14">
      <c r="A598" s="1">
        <v>13</v>
      </c>
      <c r="B598" s="71">
        <v>42339</v>
      </c>
      <c r="E598" s="5">
        <v>12</v>
      </c>
      <c r="F598" s="79">
        <v>5.8179999999999996</v>
      </c>
      <c r="G598" s="80">
        <v>6.4000000000000001E-2</v>
      </c>
      <c r="I598" s="21">
        <f>AVERAGE(F596:F598)</f>
        <v>4.5566666666666666</v>
      </c>
      <c r="J598" s="21">
        <f>AVERAGE(G596:G598)</f>
        <v>4.1333333333333333E-2</v>
      </c>
      <c r="L598">
        <f>+J598/I598</f>
        <v>9.070958302852962E-3</v>
      </c>
      <c r="M598">
        <f>+(L598-$L$927)/$L$928</f>
        <v>-0.44370493470652062</v>
      </c>
      <c r="N598">
        <f>+N595+M598</f>
        <v>10.161820564893409</v>
      </c>
    </row>
    <row r="599" spans="1:14">
      <c r="A599" s="1">
        <v>11</v>
      </c>
      <c r="B599" s="70">
        <v>42379</v>
      </c>
      <c r="E599" s="3">
        <v>1</v>
      </c>
      <c r="F599" s="81">
        <v>5.2149999999999999</v>
      </c>
      <c r="G599" s="81">
        <v>5.8999999999999997E-2</v>
      </c>
    </row>
    <row r="600" spans="1:14">
      <c r="A600" s="1">
        <v>12</v>
      </c>
      <c r="B600" s="70">
        <v>42374</v>
      </c>
      <c r="E600" s="3">
        <v>1</v>
      </c>
      <c r="F600" s="81">
        <v>8.0749999999999993</v>
      </c>
      <c r="G600" s="81">
        <v>5.3999999999999999E-2</v>
      </c>
    </row>
    <row r="601" spans="1:14">
      <c r="A601" s="1">
        <v>13</v>
      </c>
      <c r="B601" s="70">
        <v>42374</v>
      </c>
      <c r="E601" s="3">
        <v>1</v>
      </c>
      <c r="F601" s="81">
        <v>6.2149999999999999</v>
      </c>
      <c r="G601" s="81">
        <v>5.2999999999999999E-2</v>
      </c>
      <c r="I601" s="21">
        <f>AVERAGE(F599:F601)</f>
        <v>6.501666666666666</v>
      </c>
      <c r="J601" s="21">
        <f>AVERAGE(G599:G601)</f>
        <v>5.5333333333333325E-2</v>
      </c>
      <c r="L601">
        <f>+J601/I601</f>
        <v>8.5106382978723406E-3</v>
      </c>
      <c r="M601">
        <f>+(L601-$L$927)/$L$928</f>
        <v>-0.46856907616621163</v>
      </c>
      <c r="N601">
        <f>+N598+M601</f>
        <v>9.6932514887271974</v>
      </c>
    </row>
    <row r="602" spans="1:14">
      <c r="A602" s="1">
        <v>11</v>
      </c>
      <c r="B602" s="71">
        <v>42401</v>
      </c>
      <c r="E602" s="5">
        <v>2</v>
      </c>
      <c r="F602" s="81">
        <v>5.5350000000000001</v>
      </c>
      <c r="G602" s="81">
        <v>0.17399999999999999</v>
      </c>
    </row>
    <row r="603" spans="1:14">
      <c r="A603" s="1">
        <v>12</v>
      </c>
      <c r="B603" s="71">
        <v>42401</v>
      </c>
      <c r="E603" s="5">
        <v>2</v>
      </c>
      <c r="F603" s="81">
        <v>6.8559999999999999</v>
      </c>
      <c r="G603" s="81">
        <v>0.16800000000000001</v>
      </c>
    </row>
    <row r="604" spans="1:14">
      <c r="A604" s="1">
        <v>13</v>
      </c>
      <c r="B604" s="71">
        <v>42401</v>
      </c>
      <c r="E604" s="5">
        <v>2</v>
      </c>
      <c r="F604" s="81">
        <v>7.1429999999999998</v>
      </c>
      <c r="G604" s="81">
        <v>0.19700000000000001</v>
      </c>
      <c r="I604" s="21">
        <f>AVERAGE(F602:F604)</f>
        <v>6.511333333333333</v>
      </c>
      <c r="J604" s="21">
        <f>AVERAGE(G602:G604)</f>
        <v>0.17966666666666664</v>
      </c>
      <c r="L604">
        <f>+J604/I604</f>
        <v>2.7592914917579602E-2</v>
      </c>
      <c r="M604">
        <f>+(L604-$L$927)/$L$928</f>
        <v>0.37820494765570256</v>
      </c>
      <c r="N604">
        <f>+N601+M604</f>
        <v>10.071456436382899</v>
      </c>
    </row>
    <row r="605" spans="1:14">
      <c r="A605" s="1">
        <v>11</v>
      </c>
      <c r="B605" s="71">
        <v>42430</v>
      </c>
      <c r="E605" s="5">
        <v>3</v>
      </c>
      <c r="F605" s="81">
        <v>5.6139999999999999</v>
      </c>
      <c r="G605" s="81">
        <v>2.4E-2</v>
      </c>
    </row>
    <row r="606" spans="1:14">
      <c r="A606" s="1">
        <v>12</v>
      </c>
      <c r="B606" s="71">
        <v>42430</v>
      </c>
      <c r="E606" s="5">
        <v>3</v>
      </c>
      <c r="F606" s="81">
        <v>4.2729999999999997</v>
      </c>
      <c r="G606" s="81">
        <v>2.1999999999999999E-2</v>
      </c>
    </row>
    <row r="607" spans="1:14">
      <c r="A607" s="1">
        <v>13</v>
      </c>
      <c r="B607" s="71">
        <v>42430</v>
      </c>
      <c r="E607" s="5">
        <v>3</v>
      </c>
      <c r="F607" s="81">
        <v>2.7320000000000002</v>
      </c>
      <c r="G607" s="81">
        <v>1.2E-2</v>
      </c>
      <c r="I607" s="21">
        <f>AVERAGE(F605:F607)</f>
        <v>4.2063333333333333</v>
      </c>
      <c r="J607" s="21">
        <f>AVERAGE(G605:G607)</f>
        <v>1.9333333333333331E-2</v>
      </c>
      <c r="L607">
        <f>+J607/I607</f>
        <v>4.596243759410412E-3</v>
      </c>
      <c r="M607">
        <f>+(L607-$L$927)/$L$928</f>
        <v>-0.64226992330395638</v>
      </c>
      <c r="N607">
        <f>+N604+M607</f>
        <v>9.4291865130789425</v>
      </c>
    </row>
    <row r="608" spans="1:14">
      <c r="A608" s="1">
        <v>11</v>
      </c>
      <c r="B608" s="71">
        <v>42461</v>
      </c>
      <c r="E608" s="5">
        <v>4</v>
      </c>
      <c r="F608" s="81">
        <v>4.4889999999999999</v>
      </c>
      <c r="G608" s="81">
        <v>1.2999999999999999E-2</v>
      </c>
    </row>
    <row r="609" spans="1:14">
      <c r="A609" s="1">
        <v>12</v>
      </c>
      <c r="B609" s="71">
        <v>42461</v>
      </c>
      <c r="E609" s="5">
        <v>4</v>
      </c>
      <c r="F609" s="81">
        <v>4.5019999999999998</v>
      </c>
      <c r="G609" s="81">
        <v>1.6E-2</v>
      </c>
    </row>
    <row r="610" spans="1:14">
      <c r="A610" s="1">
        <v>13</v>
      </c>
      <c r="B610" s="71">
        <v>42461</v>
      </c>
      <c r="E610" s="5">
        <v>4</v>
      </c>
      <c r="F610" s="81">
        <v>3.6019999999999999</v>
      </c>
      <c r="G610" s="81">
        <v>1.7999999999999999E-2</v>
      </c>
      <c r="I610" s="21">
        <f>AVERAGE(F608:F610)</f>
        <v>4.1976666666666667</v>
      </c>
      <c r="J610" s="21">
        <f>AVERAGE(G608:G610)</f>
        <v>1.5666666666666666E-2</v>
      </c>
      <c r="L610">
        <f>+J610/I610</f>
        <v>3.73223219248789E-3</v>
      </c>
      <c r="M610">
        <f>+(L610-$L$927)/$L$928</f>
        <v>-0.68061034597637882</v>
      </c>
      <c r="N610">
        <f>+N607+M610</f>
        <v>8.7485761671025628</v>
      </c>
    </row>
    <row r="611" spans="1:14">
      <c r="A611" s="1">
        <v>11</v>
      </c>
      <c r="B611" s="71">
        <v>42491</v>
      </c>
      <c r="E611" s="5">
        <v>5</v>
      </c>
      <c r="F611" s="81">
        <v>7.3659999999999997</v>
      </c>
      <c r="G611" s="81">
        <v>8.3000000000000004E-2</v>
      </c>
    </row>
    <row r="612" spans="1:14">
      <c r="A612" s="1">
        <v>12</v>
      </c>
      <c r="B612" s="71">
        <v>42491</v>
      </c>
      <c r="E612" s="5">
        <v>5</v>
      </c>
      <c r="F612" s="81">
        <v>7.1539999999999999</v>
      </c>
      <c r="G612" s="81">
        <v>6.3E-2</v>
      </c>
    </row>
    <row r="613" spans="1:14">
      <c r="A613" s="1">
        <v>13</v>
      </c>
      <c r="B613" s="71">
        <v>42491</v>
      </c>
      <c r="E613" s="5">
        <v>5</v>
      </c>
      <c r="F613" s="81">
        <v>8.9220000000000006</v>
      </c>
      <c r="G613" s="81">
        <v>0.05</v>
      </c>
      <c r="I613" s="21">
        <f>AVERAGE(F611:F613)</f>
        <v>7.8140000000000001</v>
      </c>
      <c r="J613" s="21">
        <f>AVERAGE(G611:G613)</f>
        <v>6.533333333333334E-2</v>
      </c>
      <c r="L613">
        <f>+J613/I613</f>
        <v>8.3610613428888331E-3</v>
      </c>
      <c r="M613">
        <f>+(L613-$L$927)/$L$928</f>
        <v>-0.47520653785731864</v>
      </c>
      <c r="N613">
        <f>+N610+M613</f>
        <v>8.273369629245245</v>
      </c>
    </row>
    <row r="614" spans="1:14">
      <c r="A614" s="1">
        <v>11</v>
      </c>
      <c r="B614" s="71">
        <v>42522</v>
      </c>
      <c r="E614" s="5">
        <v>6</v>
      </c>
      <c r="F614" s="81">
        <v>5.7859999999999996</v>
      </c>
      <c r="G614" s="81">
        <v>0.10100000000000001</v>
      </c>
    </row>
    <row r="615" spans="1:14">
      <c r="A615" s="1">
        <v>12</v>
      </c>
      <c r="B615" s="71">
        <v>42522</v>
      </c>
      <c r="E615" s="5">
        <v>6</v>
      </c>
      <c r="F615" s="81">
        <v>7.0030000000000001</v>
      </c>
      <c r="G615" s="81">
        <v>8.7999999999999995E-2</v>
      </c>
    </row>
    <row r="616" spans="1:14">
      <c r="A616" s="1">
        <v>13</v>
      </c>
      <c r="B616" s="71">
        <v>42522</v>
      </c>
      <c r="E616" s="5">
        <v>6</v>
      </c>
      <c r="F616" s="81">
        <v>7.8079999999999998</v>
      </c>
      <c r="G616" s="81">
        <v>0.16200000000000001</v>
      </c>
      <c r="I616" s="21">
        <f>AVERAGE(F614:F616)</f>
        <v>6.8656666666666668</v>
      </c>
      <c r="J616" s="21">
        <f>AVERAGE(G614:G616)</f>
        <v>0.11699999999999999</v>
      </c>
      <c r="L616">
        <f>+J616/I616</f>
        <v>1.7041316696606301E-2</v>
      </c>
      <c r="M616">
        <f>+(L616-$L$927)/$L$928</f>
        <v>-9.0021116843239865E-2</v>
      </c>
      <c r="N616">
        <f>+N613+M616</f>
        <v>8.1833485124020058</v>
      </c>
    </row>
    <row r="617" spans="1:14">
      <c r="A617" s="1">
        <v>11</v>
      </c>
      <c r="B617" s="71">
        <v>42552</v>
      </c>
      <c r="E617" s="5">
        <v>7</v>
      </c>
      <c r="F617" s="81">
        <v>8.6720000000000006</v>
      </c>
      <c r="G617" s="81">
        <v>0.41799999999999998</v>
      </c>
    </row>
    <row r="618" spans="1:14">
      <c r="A618" s="1">
        <v>12</v>
      </c>
      <c r="B618" s="71">
        <v>42552</v>
      </c>
      <c r="E618" s="5">
        <v>7</v>
      </c>
      <c r="F618" s="81">
        <v>8.9190000000000005</v>
      </c>
      <c r="G618" s="81">
        <v>0.46100000000000002</v>
      </c>
    </row>
    <row r="619" spans="1:14">
      <c r="A619" s="1">
        <v>13</v>
      </c>
      <c r="B619" s="71">
        <v>42552</v>
      </c>
      <c r="E619" s="5">
        <v>7</v>
      </c>
      <c r="F619" s="81">
        <v>18.024999999999999</v>
      </c>
      <c r="G619" s="81">
        <v>0.34</v>
      </c>
      <c r="I619" s="21">
        <f>AVERAGE(F617:F619)</f>
        <v>11.872</v>
      </c>
      <c r="J619" s="21">
        <f>AVERAGE(G617:G619)</f>
        <v>0.40633333333333338</v>
      </c>
      <c r="L619">
        <f>+J619/I619</f>
        <v>3.4226190476190479E-2</v>
      </c>
      <c r="M619">
        <f>+(L619-$L$927)/$L$928</f>
        <v>0.67255585493076209</v>
      </c>
      <c r="N619">
        <f>+N616+M619</f>
        <v>8.8559043673327675</v>
      </c>
    </row>
    <row r="620" spans="1:14">
      <c r="A620" s="1">
        <v>11</v>
      </c>
      <c r="B620" s="71">
        <v>42583</v>
      </c>
      <c r="E620" s="5">
        <v>8</v>
      </c>
      <c r="F620" s="81">
        <v>7.4160000000000004</v>
      </c>
      <c r="G620" s="81">
        <v>5.6000000000000001E-2</v>
      </c>
    </row>
    <row r="621" spans="1:14">
      <c r="A621" s="1">
        <v>12</v>
      </c>
      <c r="B621" s="71">
        <v>42583</v>
      </c>
      <c r="E621" s="5">
        <v>8</v>
      </c>
      <c r="F621" s="81">
        <v>7.9630000000000001</v>
      </c>
      <c r="G621" s="81">
        <v>5.8999999999999997E-2</v>
      </c>
    </row>
    <row r="622" spans="1:14">
      <c r="A622" s="1">
        <v>13</v>
      </c>
      <c r="B622" s="71">
        <v>42583</v>
      </c>
      <c r="E622" s="5">
        <v>8</v>
      </c>
      <c r="F622" s="81">
        <v>14.641</v>
      </c>
      <c r="G622" s="81">
        <v>7.3999999999999996E-2</v>
      </c>
      <c r="I622" s="21">
        <f>AVERAGE(F620:F622)</f>
        <v>10.006666666666668</v>
      </c>
      <c r="J622" s="21">
        <f>AVERAGE(G620:G622)</f>
        <v>6.3E-2</v>
      </c>
      <c r="L622">
        <f>+J622/I622</f>
        <v>6.2958027981345763E-3</v>
      </c>
      <c r="M622">
        <f>+(L622-$L$927)/$L$928</f>
        <v>-0.56685216919504222</v>
      </c>
      <c r="N622">
        <f>+N619+M622</f>
        <v>8.2890521981377248</v>
      </c>
    </row>
    <row r="623" spans="1:14">
      <c r="A623" s="1">
        <v>11</v>
      </c>
      <c r="B623" s="71">
        <v>42614</v>
      </c>
      <c r="E623" s="5">
        <v>9</v>
      </c>
      <c r="F623" s="81">
        <v>6.0890000000000004</v>
      </c>
      <c r="G623" s="81">
        <v>1.9E-2</v>
      </c>
    </row>
    <row r="624" spans="1:14">
      <c r="A624" s="1">
        <v>12</v>
      </c>
      <c r="B624" s="71">
        <v>42614</v>
      </c>
      <c r="E624" s="5">
        <v>9</v>
      </c>
      <c r="F624" s="81">
        <v>7.117</v>
      </c>
      <c r="G624" s="81">
        <v>4.8000000000000001E-2</v>
      </c>
    </row>
    <row r="625" spans="1:14">
      <c r="A625" s="1">
        <v>13</v>
      </c>
      <c r="B625" s="71">
        <v>42614</v>
      </c>
      <c r="E625" s="5">
        <v>9</v>
      </c>
      <c r="F625" s="81">
        <v>10.36</v>
      </c>
      <c r="G625" s="81">
        <v>9.8000000000000004E-2</v>
      </c>
      <c r="I625" s="21">
        <f>AVERAGE(F623:F625)</f>
        <v>7.8553333333333333</v>
      </c>
      <c r="J625" s="21">
        <f>AVERAGE(G623:G625)</f>
        <v>5.5E-2</v>
      </c>
      <c r="L625">
        <f>+J625/I625</f>
        <v>7.0016124925740475E-3</v>
      </c>
      <c r="M625">
        <f>+(L625-$L$927)/$L$928</f>
        <v>-0.53553193802326515</v>
      </c>
      <c r="N625">
        <f>+N622+M625</f>
        <v>7.7535202601144597</v>
      </c>
    </row>
    <row r="626" spans="1:14">
      <c r="A626" s="1">
        <v>11</v>
      </c>
      <c r="B626" s="71">
        <v>42644</v>
      </c>
      <c r="E626" s="5">
        <v>10</v>
      </c>
      <c r="F626" s="81">
        <v>2.234</v>
      </c>
      <c r="G626" s="81">
        <v>1.2E-2</v>
      </c>
    </row>
    <row r="627" spans="1:14">
      <c r="A627" s="1">
        <v>12</v>
      </c>
      <c r="B627" s="71">
        <v>42644</v>
      </c>
      <c r="E627" s="5">
        <v>10</v>
      </c>
      <c r="F627" s="81">
        <v>3.1469999999999998</v>
      </c>
      <c r="G627" s="81">
        <v>1.4E-2</v>
      </c>
    </row>
    <row r="628" spans="1:14">
      <c r="A628" s="1">
        <v>13</v>
      </c>
      <c r="B628" s="71">
        <v>42644</v>
      </c>
      <c r="E628" s="5">
        <v>10</v>
      </c>
      <c r="F628" s="81">
        <v>5.1710000000000003</v>
      </c>
      <c r="G628" s="81">
        <v>0.16200000000000001</v>
      </c>
      <c r="I628" s="21">
        <f>AVERAGE(F626:F628)</f>
        <v>3.5173333333333332</v>
      </c>
      <c r="J628" s="21">
        <f>AVERAGE(G626:G628)</f>
        <v>6.2666666666666662E-2</v>
      </c>
      <c r="L628">
        <f>+J628/I628</f>
        <v>1.7816527672479151E-2</v>
      </c>
      <c r="M628">
        <f>+(L628-$L$927)/$L$928</f>
        <v>-5.5621211086039075E-2</v>
      </c>
      <c r="N628">
        <f>+N625+M628</f>
        <v>7.6978990490284209</v>
      </c>
    </row>
    <row r="629" spans="1:14">
      <c r="A629" s="1">
        <v>11</v>
      </c>
      <c r="B629" s="71">
        <v>42675</v>
      </c>
      <c r="E629" s="5">
        <v>11</v>
      </c>
      <c r="F629" s="81">
        <v>4.2850000000000001</v>
      </c>
      <c r="G629" s="81">
        <v>4.2000000000000003E-2</v>
      </c>
    </row>
    <row r="630" spans="1:14">
      <c r="A630" s="1">
        <v>12</v>
      </c>
      <c r="B630" s="71">
        <v>42675</v>
      </c>
      <c r="E630" s="5">
        <v>11</v>
      </c>
      <c r="F630" s="81">
        <v>5.68</v>
      </c>
      <c r="G630" s="81">
        <v>5.2999999999999999E-2</v>
      </c>
    </row>
    <row r="631" spans="1:14">
      <c r="A631" s="1">
        <v>13</v>
      </c>
      <c r="B631" s="71">
        <v>42675</v>
      </c>
      <c r="E631" s="5">
        <v>11</v>
      </c>
      <c r="F631" s="81">
        <v>2.0910000000000002</v>
      </c>
      <c r="G631" s="81">
        <v>4.4999999999999998E-2</v>
      </c>
      <c r="I631" s="21">
        <f>AVERAGE(F629:F631)</f>
        <v>4.0186666666666673</v>
      </c>
      <c r="J631" s="21">
        <f>AVERAGE(G629:G631)</f>
        <v>4.6666666666666669E-2</v>
      </c>
      <c r="L631">
        <f>+J631/I631</f>
        <v>1.1612475116124749E-2</v>
      </c>
      <c r="M631">
        <f>+(L631-$L$927)/$L$928</f>
        <v>-0.3309253926490166</v>
      </c>
      <c r="N631">
        <f>+N628+M631</f>
        <v>7.3669736563794039</v>
      </c>
    </row>
    <row r="632" spans="1:14">
      <c r="A632" s="1">
        <v>11</v>
      </c>
      <c r="B632" s="72">
        <v>42705</v>
      </c>
      <c r="E632" s="5">
        <v>12</v>
      </c>
      <c r="F632" s="81">
        <v>6.109</v>
      </c>
      <c r="G632" s="81">
        <v>0.09</v>
      </c>
    </row>
    <row r="633" spans="1:14">
      <c r="A633" s="1">
        <v>12</v>
      </c>
      <c r="B633" s="71">
        <v>42705</v>
      </c>
      <c r="E633" s="5">
        <v>12</v>
      </c>
      <c r="F633" s="81">
        <v>3.9180000000000001</v>
      </c>
      <c r="G633" s="81">
        <v>0.11799999999999999</v>
      </c>
    </row>
    <row r="634" spans="1:14">
      <c r="A634" s="1">
        <v>13</v>
      </c>
      <c r="B634" s="71">
        <v>42705</v>
      </c>
      <c r="E634" s="5">
        <v>12</v>
      </c>
      <c r="F634" s="81">
        <v>3.7839999999999998</v>
      </c>
      <c r="G634" s="81">
        <v>8.2000000000000003E-2</v>
      </c>
      <c r="I634" s="21">
        <f>AVERAGE(F632:F634)</f>
        <v>4.6036666666666664</v>
      </c>
      <c r="J634" s="21">
        <f>AVERAGE(G632:G634)</f>
        <v>9.6666666666666665E-2</v>
      </c>
      <c r="L634">
        <f>+J634/I634</f>
        <v>2.0997755412352475E-2</v>
      </c>
      <c r="M634">
        <f>+(L634-$L$927)/$L$928</f>
        <v>8.5545436252277993E-2</v>
      </c>
      <c r="N634">
        <f>+N631+M634</f>
        <v>7.4525190926316816</v>
      </c>
    </row>
    <row r="635" spans="1:14">
      <c r="A635" s="1">
        <v>11</v>
      </c>
      <c r="B635" s="70">
        <v>42745</v>
      </c>
      <c r="E635" s="3">
        <v>1</v>
      </c>
    </row>
    <row r="636" spans="1:14">
      <c r="A636" s="1">
        <v>12</v>
      </c>
      <c r="B636" s="70">
        <v>42740</v>
      </c>
      <c r="E636" s="3">
        <v>1</v>
      </c>
    </row>
    <row r="637" spans="1:14">
      <c r="A637" s="1">
        <v>13</v>
      </c>
      <c r="B637" s="70">
        <v>42740</v>
      </c>
      <c r="E637" s="3">
        <v>1</v>
      </c>
    </row>
    <row r="638" spans="1:14">
      <c r="A638" s="1">
        <v>11</v>
      </c>
      <c r="B638" s="71">
        <v>42767</v>
      </c>
      <c r="E638" s="5">
        <v>2</v>
      </c>
    </row>
    <row r="639" spans="1:14">
      <c r="A639" s="1">
        <v>12</v>
      </c>
      <c r="B639" s="71">
        <v>42767</v>
      </c>
      <c r="E639" s="5">
        <v>2</v>
      </c>
    </row>
    <row r="640" spans="1:14">
      <c r="A640" s="1">
        <v>13</v>
      </c>
      <c r="B640" s="71">
        <v>42767</v>
      </c>
      <c r="E640" s="5">
        <v>2</v>
      </c>
    </row>
    <row r="641" spans="1:14">
      <c r="A641" s="1">
        <v>11</v>
      </c>
      <c r="B641" s="71">
        <v>42795</v>
      </c>
      <c r="E641" s="5">
        <v>3</v>
      </c>
      <c r="F641" s="81">
        <v>4.8869999999999996</v>
      </c>
      <c r="G641" s="81">
        <v>2.5000000000000001E-2</v>
      </c>
    </row>
    <row r="642" spans="1:14">
      <c r="A642" s="1">
        <v>12</v>
      </c>
      <c r="B642" s="71">
        <v>42795</v>
      </c>
      <c r="E642" s="5">
        <v>3</v>
      </c>
      <c r="F642" s="81">
        <v>5.0990000000000002</v>
      </c>
      <c r="G642" s="81">
        <v>3.4000000000000002E-2</v>
      </c>
    </row>
    <row r="643" spans="1:14">
      <c r="A643" s="1">
        <v>13</v>
      </c>
      <c r="B643" s="71">
        <v>42795</v>
      </c>
      <c r="E643" s="5">
        <v>3</v>
      </c>
      <c r="F643" s="81">
        <v>4.2910000000000004</v>
      </c>
      <c r="G643" s="81">
        <v>2.3E-2</v>
      </c>
      <c r="I643" s="21">
        <f>AVERAGE(F641:F643)</f>
        <v>4.7590000000000003</v>
      </c>
      <c r="J643" s="21">
        <f>AVERAGE(G641:G643)</f>
        <v>2.7333333333333334E-2</v>
      </c>
      <c r="L643">
        <f>+J643/I643</f>
        <v>5.7435035371576661E-3</v>
      </c>
      <c r="M643">
        <f>+(L643-$L$927)/$L$928</f>
        <v>-0.59136039098071203</v>
      </c>
      <c r="N643">
        <f>+N634+M643</f>
        <v>6.8611587016509699</v>
      </c>
    </row>
    <row r="644" spans="1:14">
      <c r="A644" s="1">
        <v>11</v>
      </c>
      <c r="B644" s="71">
        <v>42826</v>
      </c>
      <c r="E644" s="5">
        <v>4</v>
      </c>
      <c r="F644" s="81">
        <v>1.1439999999999999</v>
      </c>
      <c r="G644" s="81">
        <v>9.9989999999999996E-4</v>
      </c>
    </row>
    <row r="645" spans="1:14">
      <c r="A645" s="1">
        <v>12</v>
      </c>
      <c r="B645" s="71">
        <v>42826</v>
      </c>
      <c r="E645" s="5">
        <v>4</v>
      </c>
      <c r="F645" s="81">
        <v>1.2629999999999999</v>
      </c>
      <c r="G645" s="81">
        <v>9.9989999999999996E-4</v>
      </c>
    </row>
    <row r="646" spans="1:14">
      <c r="A646" s="1">
        <v>13</v>
      </c>
      <c r="B646" s="71">
        <v>42826</v>
      </c>
      <c r="E646" s="5">
        <v>4</v>
      </c>
      <c r="F646" s="81">
        <v>1.915</v>
      </c>
      <c r="G646" s="81">
        <v>1.0999999999999999E-2</v>
      </c>
      <c r="I646" s="21">
        <f>AVERAGE(F644:F646)</f>
        <v>1.4406666666666668</v>
      </c>
      <c r="J646" s="21">
        <f>AVERAGE(G644:G646)</f>
        <v>4.333266666666666E-3</v>
      </c>
      <c r="L646">
        <f>+J646/I646</f>
        <v>3.0078204534937521E-3</v>
      </c>
      <c r="M646">
        <f>+(L646-$L$927)/$L$928</f>
        <v>-0.71275604092445399</v>
      </c>
      <c r="N646">
        <f>+N643+M646</f>
        <v>6.1484026607265161</v>
      </c>
    </row>
    <row r="647" spans="1:14">
      <c r="A647" s="1">
        <v>11</v>
      </c>
      <c r="B647" s="71">
        <v>42856</v>
      </c>
      <c r="E647" s="5">
        <v>5</v>
      </c>
      <c r="F647" s="81">
        <v>3.423</v>
      </c>
      <c r="G647" s="81">
        <v>0.34699999999999998</v>
      </c>
    </row>
    <row r="648" spans="1:14">
      <c r="A648" s="1">
        <v>12</v>
      </c>
      <c r="B648" s="71">
        <v>42856</v>
      </c>
      <c r="E648" s="5">
        <v>5</v>
      </c>
      <c r="F648" s="81">
        <v>4.0819999999999999</v>
      </c>
      <c r="G648" s="81">
        <v>0.23499999999999999</v>
      </c>
    </row>
    <row r="649" spans="1:14">
      <c r="A649" s="1">
        <v>13</v>
      </c>
      <c r="B649" s="71">
        <v>42856</v>
      </c>
      <c r="E649" s="5">
        <v>5</v>
      </c>
      <c r="F649" s="81">
        <v>4.6100000000000003</v>
      </c>
      <c r="G649" s="81">
        <v>0.28799999999999998</v>
      </c>
      <c r="I649" s="21">
        <f>AVERAGE(F647:F649)</f>
        <v>4.0383333333333331</v>
      </c>
      <c r="J649" s="21">
        <f>AVERAGE(G647:G649)</f>
        <v>0.28999999999999998</v>
      </c>
      <c r="L649">
        <f>+J649/I649</f>
        <v>7.1811803549319028E-2</v>
      </c>
      <c r="M649">
        <f>+(L649-$L$927)/$L$928</f>
        <v>2.3404134934096894</v>
      </c>
      <c r="N649">
        <f>+N646+M649</f>
        <v>8.4888161541362059</v>
      </c>
    </row>
    <row r="650" spans="1:14">
      <c r="A650" s="1">
        <v>11</v>
      </c>
      <c r="B650" s="71">
        <v>42887</v>
      </c>
      <c r="E650" s="5">
        <v>6</v>
      </c>
      <c r="F650" s="81">
        <v>4.7759999999999998</v>
      </c>
      <c r="G650" s="81">
        <v>0.21199999999999999</v>
      </c>
    </row>
    <row r="651" spans="1:14">
      <c r="A651" s="1">
        <v>12</v>
      </c>
      <c r="B651" s="71">
        <v>42887</v>
      </c>
      <c r="E651" s="5">
        <v>6</v>
      </c>
      <c r="F651" s="81">
        <v>4.5810000000000004</v>
      </c>
      <c r="G651" s="81">
        <v>0.11700000000000001</v>
      </c>
    </row>
    <row r="652" spans="1:14">
      <c r="A652" s="1">
        <v>13</v>
      </c>
      <c r="B652" s="71">
        <v>42887</v>
      </c>
      <c r="E652" s="5">
        <v>6</v>
      </c>
      <c r="F652" s="81">
        <v>3.6120000000000001</v>
      </c>
      <c r="G652" s="81">
        <v>0.125</v>
      </c>
      <c r="I652" s="21">
        <f>AVERAGE(F650:F652)</f>
        <v>4.3229999999999995</v>
      </c>
      <c r="J652" s="21">
        <f>AVERAGE(G650:G652)</f>
        <v>0.15133333333333335</v>
      </c>
      <c r="L652">
        <f>+J652/I652</f>
        <v>3.5006554090523563E-2</v>
      </c>
      <c r="M652">
        <f>+(L652-$L$927)/$L$928</f>
        <v>0.70718440847927333</v>
      </c>
      <c r="N652">
        <f>+N649+M652</f>
        <v>9.1960005626154793</v>
      </c>
    </row>
    <row r="653" spans="1:14">
      <c r="A653" s="1">
        <v>11</v>
      </c>
      <c r="B653" s="71">
        <v>42917</v>
      </c>
      <c r="E653" s="5">
        <v>7</v>
      </c>
      <c r="F653" s="81">
        <v>3.9660000000000002</v>
      </c>
      <c r="G653" s="81">
        <v>0.129</v>
      </c>
    </row>
    <row r="654" spans="1:14">
      <c r="A654" s="1">
        <v>12</v>
      </c>
      <c r="B654" s="71">
        <v>42917</v>
      </c>
      <c r="E654" s="5">
        <v>7</v>
      </c>
      <c r="F654" s="81">
        <v>3.403</v>
      </c>
      <c r="G654" s="81">
        <v>7.5999999999999998E-2</v>
      </c>
    </row>
    <row r="655" spans="1:14">
      <c r="A655" s="1">
        <v>13</v>
      </c>
      <c r="B655" s="71">
        <v>42917</v>
      </c>
      <c r="E655" s="5">
        <v>7</v>
      </c>
      <c r="F655" s="81">
        <v>8.1620000000000008</v>
      </c>
      <c r="G655" s="81">
        <v>0.16800000000000001</v>
      </c>
      <c r="I655" s="21">
        <f>AVERAGE(F653:F655)</f>
        <v>5.1770000000000005</v>
      </c>
      <c r="J655" s="21">
        <f>AVERAGE(G653:G655)</f>
        <v>0.12433333333333334</v>
      </c>
      <c r="L655">
        <f>+J655/I655</f>
        <v>2.4016483162706843E-2</v>
      </c>
      <c r="M655">
        <f>+(L655-$L$927)/$L$928</f>
        <v>0.21950116359722918</v>
      </c>
      <c r="N655">
        <f>+N652+M655</f>
        <v>9.4155017262127085</v>
      </c>
    </row>
    <row r="656" spans="1:14">
      <c r="A656" s="1">
        <v>11</v>
      </c>
      <c r="B656" s="71">
        <v>42948</v>
      </c>
      <c r="E656" s="5">
        <v>8</v>
      </c>
    </row>
    <row r="657" spans="1:14">
      <c r="A657" s="1">
        <v>12</v>
      </c>
      <c r="B657" s="71">
        <v>42948</v>
      </c>
      <c r="E657" s="5">
        <v>8</v>
      </c>
    </row>
    <row r="658" spans="1:14">
      <c r="A658" s="1">
        <v>13</v>
      </c>
      <c r="B658" s="71">
        <v>42948</v>
      </c>
      <c r="E658" s="5">
        <v>8</v>
      </c>
      <c r="I658" s="21"/>
      <c r="J658" s="21"/>
    </row>
    <row r="659" spans="1:14">
      <c r="A659" s="1">
        <v>11</v>
      </c>
      <c r="B659" s="71">
        <v>42979</v>
      </c>
      <c r="E659" s="5">
        <v>9</v>
      </c>
      <c r="F659" s="81">
        <v>3.472</v>
      </c>
      <c r="G659" s="81">
        <v>5.8000000000000003E-2</v>
      </c>
    </row>
    <row r="660" spans="1:14">
      <c r="A660" s="1">
        <v>12</v>
      </c>
      <c r="B660" s="71">
        <v>42979</v>
      </c>
      <c r="E660" s="5">
        <v>9</v>
      </c>
      <c r="F660" s="81">
        <v>1.677</v>
      </c>
      <c r="G660" s="81">
        <v>1.4E-2</v>
      </c>
    </row>
    <row r="661" spans="1:14">
      <c r="A661" s="1">
        <v>13</v>
      </c>
      <c r="B661" s="71">
        <v>42979</v>
      </c>
      <c r="E661" s="5">
        <v>9</v>
      </c>
      <c r="F661" s="81">
        <v>2.4990000000000001</v>
      </c>
      <c r="G661" s="81">
        <v>2.1999999999999999E-2</v>
      </c>
      <c r="I661" s="21">
        <f>AVERAGE(F659:F661)</f>
        <v>2.5493333333333332</v>
      </c>
      <c r="J661" s="21">
        <f>AVERAGE(G659:G661)</f>
        <v>3.1333333333333331E-2</v>
      </c>
      <c r="L661">
        <f>+J661/I661</f>
        <v>1.2290794979079497E-2</v>
      </c>
      <c r="M661">
        <f>+(L661-$L$927)/$L$928</f>
        <v>-0.30082501986648791</v>
      </c>
      <c r="N661">
        <f>+N655+M661</f>
        <v>9.11467670634622</v>
      </c>
    </row>
    <row r="662" spans="1:14">
      <c r="A662" s="1">
        <v>11</v>
      </c>
      <c r="B662" s="71">
        <v>43009</v>
      </c>
      <c r="E662" s="5">
        <v>10</v>
      </c>
    </row>
    <row r="663" spans="1:14">
      <c r="A663" s="1">
        <v>12</v>
      </c>
      <c r="B663" s="71">
        <v>43009</v>
      </c>
      <c r="E663" s="5">
        <v>10</v>
      </c>
    </row>
    <row r="664" spans="1:14">
      <c r="A664" s="1">
        <v>13</v>
      </c>
      <c r="B664" s="71">
        <v>43009</v>
      </c>
      <c r="E664" s="5">
        <v>10</v>
      </c>
      <c r="I664" s="21"/>
      <c r="J664" s="21"/>
    </row>
    <row r="665" spans="1:14">
      <c r="A665" s="1">
        <v>11</v>
      </c>
      <c r="B665" s="71">
        <v>43040</v>
      </c>
      <c r="E665" s="5">
        <v>11</v>
      </c>
      <c r="F665" s="81">
        <v>2.278</v>
      </c>
      <c r="G665" s="81">
        <v>4.1000000000000002E-2</v>
      </c>
    </row>
    <row r="666" spans="1:14">
      <c r="A666" s="1">
        <v>12</v>
      </c>
      <c r="B666" s="71">
        <v>43040</v>
      </c>
      <c r="E666" s="5">
        <v>11</v>
      </c>
      <c r="F666" s="81">
        <v>0.95399999999999996</v>
      </c>
      <c r="G666" s="81">
        <v>1.2E-2</v>
      </c>
    </row>
    <row r="667" spans="1:14">
      <c r="A667" s="1">
        <v>13</v>
      </c>
      <c r="B667" s="71">
        <v>43040</v>
      </c>
      <c r="E667" s="5">
        <v>11</v>
      </c>
      <c r="F667" s="81">
        <v>0.90400000000000003</v>
      </c>
      <c r="G667" s="81">
        <v>1.2999999999999999E-2</v>
      </c>
      <c r="I667" s="21">
        <f>AVERAGE(F665:F667)</f>
        <v>1.3786666666666667</v>
      </c>
      <c r="J667" s="21">
        <f>AVERAGE(G665:G667)</f>
        <v>2.2000000000000002E-2</v>
      </c>
      <c r="L667">
        <f>+J667/I667</f>
        <v>1.5957446808510641E-2</v>
      </c>
      <c r="M667">
        <f>+(L667-$L$927)/$L$928</f>
        <v>-0.13811772946095643</v>
      </c>
      <c r="N667">
        <f>+N661+M667</f>
        <v>8.9765589768852632</v>
      </c>
    </row>
    <row r="668" spans="1:14">
      <c r="A668" s="1">
        <v>11</v>
      </c>
      <c r="B668" s="72">
        <v>43070</v>
      </c>
      <c r="E668" s="5">
        <v>12</v>
      </c>
      <c r="F668" s="81">
        <v>1.851</v>
      </c>
      <c r="G668" s="81">
        <v>2.8000000000000001E-2</v>
      </c>
    </row>
    <row r="669" spans="1:14">
      <c r="A669" s="1">
        <v>12</v>
      </c>
      <c r="B669" s="71">
        <v>43070</v>
      </c>
      <c r="E669" s="5">
        <v>12</v>
      </c>
      <c r="F669" s="81">
        <v>1.3420000000000001</v>
      </c>
      <c r="G669" s="81">
        <v>2.1000000000000001E-2</v>
      </c>
    </row>
    <row r="670" spans="1:14">
      <c r="A670" s="1">
        <v>13</v>
      </c>
      <c r="B670" s="71">
        <v>43070</v>
      </c>
      <c r="E670" s="5">
        <v>12</v>
      </c>
      <c r="F670" s="81">
        <v>1.829</v>
      </c>
      <c r="G670" s="81">
        <v>2.3E-2</v>
      </c>
      <c r="I670" s="21">
        <f>AVERAGE(F668:F670)</f>
        <v>1.6740000000000002</v>
      </c>
      <c r="J670" s="21">
        <f>AVERAGE(G668:G670)</f>
        <v>2.4000000000000004E-2</v>
      </c>
      <c r="L670">
        <f>+J670/I670</f>
        <v>1.4336917562724016E-2</v>
      </c>
      <c r="M670">
        <f>+(L670-$L$927)/$L$928</f>
        <v>-0.21002854479620142</v>
      </c>
      <c r="N670">
        <f>+N667+M670</f>
        <v>8.7665304320890609</v>
      </c>
    </row>
    <row r="671" spans="1:14">
      <c r="A671" s="1">
        <v>11</v>
      </c>
      <c r="B671" s="70">
        <v>43110</v>
      </c>
      <c r="E671" s="3">
        <v>1</v>
      </c>
      <c r="F671" s="77">
        <v>16.562000000000001</v>
      </c>
      <c r="G671" s="77">
        <v>5.1999999999999998E-2</v>
      </c>
    </row>
    <row r="672" spans="1:14">
      <c r="A672" s="1">
        <v>12</v>
      </c>
      <c r="B672" s="70">
        <v>43105</v>
      </c>
      <c r="E672" s="3">
        <v>1</v>
      </c>
      <c r="F672" s="77">
        <v>11.834</v>
      </c>
      <c r="G672" s="77">
        <v>4.1000000000000002E-2</v>
      </c>
    </row>
    <row r="673" spans="1:14">
      <c r="A673" s="1">
        <v>13</v>
      </c>
      <c r="B673" s="70">
        <v>43105</v>
      </c>
      <c r="E673" s="3">
        <v>1</v>
      </c>
      <c r="F673" s="77">
        <v>6.98</v>
      </c>
      <c r="G673" s="77">
        <v>3.5000000000000003E-2</v>
      </c>
      <c r="I673">
        <v>11.792000000000002</v>
      </c>
      <c r="J673">
        <v>4.2666666666666665E-2</v>
      </c>
      <c r="L673">
        <v>3.6182722749886925E-3</v>
      </c>
      <c r="M673">
        <f>+(L673-$L$927)/$L$928</f>
        <v>-0.68566730536431419</v>
      </c>
      <c r="N673">
        <f>+N670+M673</f>
        <v>8.080863126724747</v>
      </c>
    </row>
    <row r="674" spans="1:14">
      <c r="A674" s="1">
        <v>11</v>
      </c>
      <c r="B674" s="71">
        <v>43132</v>
      </c>
      <c r="E674" s="5">
        <v>2</v>
      </c>
      <c r="F674" s="77">
        <v>4.88</v>
      </c>
      <c r="G674" s="77">
        <v>2.8000000000000001E-2</v>
      </c>
    </row>
    <row r="675" spans="1:14">
      <c r="A675" s="1">
        <v>12</v>
      </c>
      <c r="B675" s="71">
        <v>43132</v>
      </c>
      <c r="E675" s="5">
        <v>2</v>
      </c>
      <c r="F675" s="77">
        <v>4.6459999999999999</v>
      </c>
      <c r="G675" s="77">
        <v>2.1000000000000001E-2</v>
      </c>
    </row>
    <row r="676" spans="1:14">
      <c r="A676" s="1">
        <v>13</v>
      </c>
      <c r="B676" s="71">
        <v>43132</v>
      </c>
      <c r="E676" s="5">
        <v>2</v>
      </c>
      <c r="F676" s="77">
        <v>5.0780000000000003</v>
      </c>
      <c r="G676" s="77">
        <v>2.5999999999999999E-2</v>
      </c>
      <c r="I676">
        <v>4.8679999999999994</v>
      </c>
      <c r="J676">
        <v>2.4999999999999998E-2</v>
      </c>
      <c r="L676">
        <v>5.1355792933442893E-3</v>
      </c>
      <c r="M676">
        <f>+(L676-$L$927)/$L$928</f>
        <v>-0.61833696554630202</v>
      </c>
      <c r="N676">
        <f>+N673+M676</f>
        <v>7.4625261611784452</v>
      </c>
    </row>
    <row r="677" spans="1:14">
      <c r="A677" s="1">
        <v>11</v>
      </c>
      <c r="B677" s="71">
        <v>43160</v>
      </c>
      <c r="E677" s="5">
        <v>3</v>
      </c>
      <c r="F677" s="77">
        <v>10.882999999999999</v>
      </c>
      <c r="G677" s="77">
        <v>0.06</v>
      </c>
    </row>
    <row r="678" spans="1:14">
      <c r="A678" s="1">
        <v>12</v>
      </c>
      <c r="B678" s="71">
        <v>43160</v>
      </c>
      <c r="E678" s="5">
        <v>3</v>
      </c>
      <c r="F678" s="77">
        <v>7.585</v>
      </c>
      <c r="G678" s="77">
        <v>5.3999999999999999E-2</v>
      </c>
    </row>
    <row r="679" spans="1:14">
      <c r="A679" s="1">
        <v>13</v>
      </c>
      <c r="B679" s="71">
        <v>43160</v>
      </c>
      <c r="E679" s="5">
        <v>3</v>
      </c>
      <c r="F679" s="77">
        <v>3.06</v>
      </c>
      <c r="G679" s="77">
        <v>9.9989999999999996E-4</v>
      </c>
      <c r="I679">
        <v>7.1759999999999993</v>
      </c>
      <c r="J679">
        <v>3.8333299999999994E-2</v>
      </c>
      <c r="L679">
        <v>5.3418756967670011E-3</v>
      </c>
      <c r="M679">
        <f>+(L679-$L$927)/$L$928</f>
        <v>-0.60918258427893102</v>
      </c>
      <c r="N679">
        <f>+N676+M679</f>
        <v>6.8533435768995146</v>
      </c>
    </row>
    <row r="680" spans="1:14">
      <c r="A680" s="1">
        <v>11</v>
      </c>
      <c r="B680" s="71">
        <v>43191</v>
      </c>
      <c r="E680" s="5">
        <v>4</v>
      </c>
      <c r="F680" s="78">
        <v>2.5720000000000001</v>
      </c>
      <c r="G680" s="78">
        <v>1.4999999999999999E-2</v>
      </c>
    </row>
    <row r="681" spans="1:14">
      <c r="A681" s="1">
        <v>12</v>
      </c>
      <c r="B681" s="71">
        <v>43191</v>
      </c>
      <c r="E681" s="5">
        <v>4</v>
      </c>
      <c r="F681" s="78">
        <v>1.6890000000000001</v>
      </c>
      <c r="G681" s="78">
        <v>1.0999999999999999E-2</v>
      </c>
    </row>
    <row r="682" spans="1:14">
      <c r="A682" s="1">
        <v>13</v>
      </c>
      <c r="B682" s="71">
        <v>43191</v>
      </c>
      <c r="E682" s="5">
        <v>4</v>
      </c>
      <c r="F682" s="78">
        <v>2.3759999999999999</v>
      </c>
      <c r="G682" s="78">
        <v>1.7999999999999999E-2</v>
      </c>
      <c r="I682">
        <v>2.2123333333333335</v>
      </c>
      <c r="J682">
        <v>1.4666666666666666E-2</v>
      </c>
      <c r="L682">
        <v>6.6295012806991101E-3</v>
      </c>
      <c r="M682">
        <f>+(L682-$L$927)/$L$928</f>
        <v>-0.55204433402653741</v>
      </c>
      <c r="N682">
        <f>+N679+M682</f>
        <v>6.301299242872977</v>
      </c>
    </row>
    <row r="683" spans="1:14">
      <c r="A683" s="1">
        <v>11</v>
      </c>
      <c r="B683" s="71">
        <v>43221</v>
      </c>
      <c r="E683" s="5">
        <v>5</v>
      </c>
      <c r="F683" s="78">
        <v>6.6710000000000003</v>
      </c>
      <c r="G683" s="78">
        <v>5.8000000000000003E-2</v>
      </c>
    </row>
    <row r="684" spans="1:14">
      <c r="A684" s="1">
        <v>12</v>
      </c>
      <c r="B684" s="71">
        <v>43221</v>
      </c>
      <c r="E684" s="5">
        <v>5</v>
      </c>
      <c r="F684" s="78">
        <v>6.7629999999999999</v>
      </c>
      <c r="G684" s="78">
        <v>0.09</v>
      </c>
    </row>
    <row r="685" spans="1:14">
      <c r="A685" s="1">
        <v>13</v>
      </c>
      <c r="B685" s="71">
        <v>43221</v>
      </c>
      <c r="E685" s="5">
        <v>5</v>
      </c>
      <c r="F685" s="78">
        <v>6.694</v>
      </c>
      <c r="G685" s="78">
        <v>0.111</v>
      </c>
      <c r="I685">
        <v>6.7093333333333334</v>
      </c>
      <c r="J685">
        <v>8.6333333333333331E-2</v>
      </c>
      <c r="L685">
        <v>1.2867647058823529E-2</v>
      </c>
      <c r="M685">
        <f>+(L685-$L$927)/$L$928</f>
        <v>-0.27522726932290587</v>
      </c>
      <c r="N685">
        <f>+N682+M685</f>
        <v>6.0260719735500707</v>
      </c>
    </row>
    <row r="686" spans="1:14">
      <c r="A686" s="1">
        <v>11</v>
      </c>
      <c r="B686" s="71">
        <v>43252</v>
      </c>
      <c r="E686" s="5">
        <v>6</v>
      </c>
      <c r="F686" s="78">
        <v>6.8620000000000001</v>
      </c>
      <c r="G686" s="78">
        <v>8.3000000000000004E-2</v>
      </c>
    </row>
    <row r="687" spans="1:14">
      <c r="A687" s="1">
        <v>12</v>
      </c>
      <c r="B687" s="71">
        <v>43252</v>
      </c>
      <c r="E687" s="5">
        <v>6</v>
      </c>
      <c r="F687" s="78">
        <v>3.9049999999999998</v>
      </c>
      <c r="G687" s="78">
        <v>6.8000000000000005E-2</v>
      </c>
    </row>
    <row r="688" spans="1:14">
      <c r="A688" s="1">
        <v>13</v>
      </c>
      <c r="B688" s="71">
        <v>43252</v>
      </c>
      <c r="E688" s="5">
        <v>6</v>
      </c>
      <c r="F688" s="78">
        <v>7.6040000000000001</v>
      </c>
      <c r="G688" s="78">
        <v>0.22500000000000001</v>
      </c>
      <c r="I688">
        <v>6.1236666666666659</v>
      </c>
      <c r="J688">
        <v>0.12533333333333332</v>
      </c>
      <c r="L688">
        <v>2.0467040444178325E-2</v>
      </c>
      <c r="M688">
        <f>+(L688-$L$927)/$L$928</f>
        <v>6.1995015196164086E-2</v>
      </c>
      <c r="N688">
        <f>+N685+M688</f>
        <v>6.0880669887462346</v>
      </c>
    </row>
    <row r="689" spans="1:14">
      <c r="A689" s="1">
        <v>11</v>
      </c>
      <c r="B689" s="71">
        <v>43282</v>
      </c>
      <c r="E689" s="5">
        <v>7</v>
      </c>
      <c r="F689" s="78">
        <v>7.431</v>
      </c>
      <c r="G689" s="78">
        <v>6.7000000000000004E-2</v>
      </c>
    </row>
    <row r="690" spans="1:14">
      <c r="A690" s="1">
        <v>12</v>
      </c>
      <c r="B690" s="71">
        <v>43282</v>
      </c>
      <c r="E690" s="5">
        <v>7</v>
      </c>
      <c r="F690" s="78">
        <v>7.0369999999999999</v>
      </c>
      <c r="G690" s="78">
        <v>5.8999999999999997E-2</v>
      </c>
    </row>
    <row r="691" spans="1:14">
      <c r="A691" s="1">
        <v>13</v>
      </c>
      <c r="B691" s="71">
        <v>43282</v>
      </c>
      <c r="E691" s="5">
        <v>7</v>
      </c>
      <c r="F691" s="78">
        <v>6.3840000000000003</v>
      </c>
      <c r="G691" s="78">
        <v>7.2999999999999995E-2</v>
      </c>
      <c r="I691">
        <v>6.9506666666666668</v>
      </c>
      <c r="J691">
        <v>6.6333333333333341E-2</v>
      </c>
      <c r="L691">
        <v>9.5434490696336086E-3</v>
      </c>
      <c r="M691">
        <f>+(L691-$L$927)/$L$928</f>
        <v>-0.42273820648121269</v>
      </c>
      <c r="N691">
        <f>+N688+M691</f>
        <v>5.6653287822650222</v>
      </c>
    </row>
    <row r="692" spans="1:14">
      <c r="A692" s="1">
        <v>11</v>
      </c>
      <c r="B692" s="71">
        <v>43313</v>
      </c>
      <c r="E692" s="5">
        <v>8</v>
      </c>
      <c r="F692" s="78">
        <v>5.2140000000000004</v>
      </c>
      <c r="G692" s="78">
        <v>4.3999999999999997E-2</v>
      </c>
    </row>
    <row r="693" spans="1:14">
      <c r="A693" s="1">
        <v>12</v>
      </c>
      <c r="B693" s="71">
        <v>43313</v>
      </c>
      <c r="E693" s="5">
        <v>8</v>
      </c>
      <c r="F693" s="78">
        <v>6.2210000000000001</v>
      </c>
      <c r="G693" s="78">
        <v>5.5E-2</v>
      </c>
    </row>
    <row r="694" spans="1:14">
      <c r="A694" s="1">
        <v>13</v>
      </c>
      <c r="B694" s="71">
        <v>43313</v>
      </c>
      <c r="E694" s="5">
        <v>8</v>
      </c>
      <c r="F694" s="78">
        <v>6.89</v>
      </c>
      <c r="G694" s="78">
        <v>7.1999999999999995E-2</v>
      </c>
      <c r="I694">
        <v>6.1083333333333334</v>
      </c>
      <c r="J694">
        <v>5.6999999999999995E-2</v>
      </c>
      <c r="L694">
        <v>9.3315143246930406E-3</v>
      </c>
      <c r="M694">
        <f>+(L694-$L$927)/$L$928</f>
        <v>-0.43214278856213989</v>
      </c>
      <c r="N694">
        <f>+N691+M694</f>
        <v>5.2331859937028824</v>
      </c>
    </row>
    <row r="695" spans="1:14">
      <c r="A695" s="1">
        <v>11</v>
      </c>
      <c r="B695" s="71">
        <v>43344</v>
      </c>
      <c r="E695" s="5">
        <v>9</v>
      </c>
      <c r="F695" s="78">
        <v>3.496</v>
      </c>
      <c r="G695" s="78">
        <v>9.9989999999999996E-4</v>
      </c>
    </row>
    <row r="696" spans="1:14">
      <c r="A696" s="1">
        <v>12</v>
      </c>
      <c r="B696" s="71">
        <v>43344</v>
      </c>
      <c r="E696" s="5">
        <v>9</v>
      </c>
      <c r="F696" s="78">
        <v>5.05</v>
      </c>
      <c r="G696" s="78">
        <v>2.1000000000000001E-2</v>
      </c>
    </row>
    <row r="697" spans="1:14">
      <c r="A697" s="1">
        <v>13</v>
      </c>
      <c r="B697" s="71">
        <v>43344</v>
      </c>
      <c r="E697" s="5">
        <v>9</v>
      </c>
      <c r="F697" s="78">
        <v>4.2130000000000001</v>
      </c>
      <c r="G697" s="78">
        <v>2.3E-2</v>
      </c>
      <c r="I697">
        <v>4.2530000000000001</v>
      </c>
      <c r="J697">
        <v>1.4999966666666668E-2</v>
      </c>
      <c r="L697">
        <v>3.5269143349792305E-3</v>
      </c>
      <c r="M697">
        <f>+(L697-$L$927)/$L$928</f>
        <v>-0.68972130437143475</v>
      </c>
      <c r="N697">
        <f>+N694+M697</f>
        <v>4.5434646893314472</v>
      </c>
    </row>
    <row r="698" spans="1:14">
      <c r="A698" s="1">
        <v>11</v>
      </c>
      <c r="B698" s="71">
        <v>43374</v>
      </c>
      <c r="E698" s="5">
        <v>10</v>
      </c>
      <c r="F698" s="78">
        <v>0.52800000000000002</v>
      </c>
      <c r="G698" s="78">
        <v>9.9989999999999996E-4</v>
      </c>
    </row>
    <row r="699" spans="1:14">
      <c r="A699" s="1">
        <v>12</v>
      </c>
      <c r="B699" s="71">
        <v>43374</v>
      </c>
      <c r="E699" s="5">
        <v>10</v>
      </c>
      <c r="F699" s="78">
        <v>0.90700000000000003</v>
      </c>
      <c r="G699" s="78">
        <v>9.9989999999999996E-4</v>
      </c>
    </row>
    <row r="700" spans="1:14">
      <c r="A700" s="1">
        <v>13</v>
      </c>
      <c r="B700" s="71">
        <v>43374</v>
      </c>
      <c r="E700" s="5">
        <v>10</v>
      </c>
      <c r="F700" s="78">
        <v>1.72</v>
      </c>
      <c r="G700" s="78">
        <v>2.7E-2</v>
      </c>
      <c r="I700">
        <v>1.0516666666666667</v>
      </c>
      <c r="J700">
        <v>9.6665999999999992E-3</v>
      </c>
      <c r="L700">
        <v>9.1916957210776522E-3</v>
      </c>
      <c r="M700">
        <f>+(L700-$L$927)/$L$928</f>
        <v>-0.43834722443465479</v>
      </c>
      <c r="N700">
        <f>+N697+M700</f>
        <v>4.1051174648967921</v>
      </c>
    </row>
    <row r="701" spans="1:14">
      <c r="A701" s="1">
        <v>11</v>
      </c>
      <c r="B701" s="71">
        <v>43405</v>
      </c>
      <c r="E701" s="5">
        <v>11</v>
      </c>
    </row>
    <row r="702" spans="1:14">
      <c r="A702" s="1">
        <v>12</v>
      </c>
      <c r="B702" s="71">
        <v>43405</v>
      </c>
      <c r="E702" s="5">
        <v>11</v>
      </c>
    </row>
    <row r="703" spans="1:14">
      <c r="A703" s="1">
        <v>13</v>
      </c>
      <c r="B703" s="71">
        <v>43405</v>
      </c>
      <c r="E703" s="5">
        <v>11</v>
      </c>
    </row>
    <row r="704" spans="1:14">
      <c r="A704" s="1">
        <v>11</v>
      </c>
      <c r="B704" s="72">
        <v>43435</v>
      </c>
      <c r="E704" s="5">
        <v>12</v>
      </c>
    </row>
    <row r="705" spans="1:14">
      <c r="A705" s="1">
        <v>12</v>
      </c>
      <c r="B705" s="71">
        <v>43435</v>
      </c>
      <c r="E705" s="5">
        <v>12</v>
      </c>
    </row>
    <row r="706" spans="1:14">
      <c r="A706" s="1">
        <v>13</v>
      </c>
      <c r="B706" s="71">
        <v>43435</v>
      </c>
      <c r="E706" s="5">
        <v>12</v>
      </c>
    </row>
    <row r="707" spans="1:14">
      <c r="A707" s="1">
        <v>11</v>
      </c>
      <c r="B707" s="70">
        <v>43475</v>
      </c>
      <c r="E707" s="3">
        <v>1</v>
      </c>
    </row>
    <row r="708" spans="1:14">
      <c r="A708" s="1">
        <v>12</v>
      </c>
      <c r="B708" s="70">
        <v>43470</v>
      </c>
      <c r="E708" s="3">
        <v>1</v>
      </c>
    </row>
    <row r="709" spans="1:14">
      <c r="A709" s="1">
        <v>13</v>
      </c>
      <c r="B709" s="70">
        <v>43470</v>
      </c>
      <c r="E709" s="3">
        <v>1</v>
      </c>
    </row>
    <row r="710" spans="1:14">
      <c r="A710" s="1">
        <v>11</v>
      </c>
      <c r="B710" s="71">
        <v>43497</v>
      </c>
      <c r="E710" s="5">
        <v>2</v>
      </c>
    </row>
    <row r="711" spans="1:14">
      <c r="A711" s="1">
        <v>12</v>
      </c>
      <c r="B711" s="71">
        <v>43497</v>
      </c>
      <c r="E711" s="5">
        <v>2</v>
      </c>
    </row>
    <row r="712" spans="1:14">
      <c r="A712" s="1">
        <v>13</v>
      </c>
      <c r="B712" s="71">
        <v>43497</v>
      </c>
      <c r="E712" s="5">
        <v>2</v>
      </c>
    </row>
    <row r="713" spans="1:14">
      <c r="A713" s="1">
        <v>11</v>
      </c>
      <c r="B713" s="71">
        <v>43525</v>
      </c>
      <c r="E713" s="5">
        <v>3</v>
      </c>
      <c r="F713" s="84">
        <v>2.323</v>
      </c>
      <c r="G713" s="84">
        <v>2.5999999999999999E-2</v>
      </c>
    </row>
    <row r="714" spans="1:14">
      <c r="A714" s="1">
        <v>12</v>
      </c>
      <c r="B714" s="71">
        <v>43525</v>
      </c>
      <c r="E714" s="5">
        <v>3</v>
      </c>
      <c r="F714" s="84">
        <v>2.004</v>
      </c>
      <c r="G714" s="84">
        <v>2.1999999999999999E-2</v>
      </c>
    </row>
    <row r="715" spans="1:14">
      <c r="A715" s="1">
        <v>13</v>
      </c>
      <c r="B715" s="71">
        <v>43525</v>
      </c>
      <c r="E715" s="5">
        <v>3</v>
      </c>
      <c r="F715" s="84">
        <v>1.974</v>
      </c>
      <c r="G715" s="84">
        <v>2.3E-2</v>
      </c>
      <c r="I715" s="21">
        <f>AVERAGE(F713:F715)</f>
        <v>2.1003333333333334</v>
      </c>
      <c r="J715" s="21">
        <f>AVERAGE(G713:G715)</f>
        <v>2.3666666666666669E-2</v>
      </c>
      <c r="L715">
        <f>+J715/I715</f>
        <v>1.1268052690049199E-2</v>
      </c>
      <c r="M715">
        <f>+(L715-$L$927)/$L$928</f>
        <v>-0.34620910168619196</v>
      </c>
      <c r="N715">
        <f>+N700+M715</f>
        <v>3.7589083632106002</v>
      </c>
    </row>
    <row r="716" spans="1:14">
      <c r="A716" s="1">
        <v>11</v>
      </c>
      <c r="B716" s="71">
        <v>43556</v>
      </c>
      <c r="E716" s="5">
        <v>4</v>
      </c>
      <c r="F716" s="77">
        <v>3.5760000000000001</v>
      </c>
      <c r="G716" s="84">
        <v>2.5000000000000001E-2</v>
      </c>
    </row>
    <row r="717" spans="1:14">
      <c r="A717" s="1">
        <v>12</v>
      </c>
      <c r="B717" s="71">
        <v>43556</v>
      </c>
      <c r="E717" s="5">
        <v>4</v>
      </c>
      <c r="F717" s="77">
        <v>2.4489999999999998</v>
      </c>
      <c r="G717" s="84">
        <v>1.9E-2</v>
      </c>
    </row>
    <row r="718" spans="1:14">
      <c r="A718" s="1">
        <v>13</v>
      </c>
      <c r="B718" s="71">
        <v>43556</v>
      </c>
      <c r="E718" s="5">
        <v>4</v>
      </c>
      <c r="F718" s="77">
        <v>2.714</v>
      </c>
      <c r="G718" s="84">
        <v>1.7999999999999999E-2</v>
      </c>
      <c r="I718" s="21">
        <f>AVERAGE(F716:F718)</f>
        <v>2.9130000000000003</v>
      </c>
      <c r="J718" s="21">
        <f>AVERAGE(G716:G718)</f>
        <v>2.0666666666666667E-2</v>
      </c>
      <c r="L718">
        <f>+J718/I718</f>
        <v>7.0946332532326349E-3</v>
      </c>
      <c r="M718">
        <f>+(L718-$L$927)/$L$928</f>
        <v>-0.53140415152422127</v>
      </c>
      <c r="N718">
        <f>+N715+M718</f>
        <v>3.2275042116863788</v>
      </c>
    </row>
    <row r="719" spans="1:14">
      <c r="A719" s="1">
        <v>11</v>
      </c>
      <c r="B719" s="71">
        <v>43586</v>
      </c>
      <c r="E719" s="5">
        <v>5</v>
      </c>
      <c r="F719" s="77">
        <v>2.3780000000000001</v>
      </c>
      <c r="G719" s="84">
        <v>5.3999999999999999E-2</v>
      </c>
    </row>
    <row r="720" spans="1:14">
      <c r="A720" s="1">
        <v>12</v>
      </c>
      <c r="B720" s="71">
        <v>43586</v>
      </c>
      <c r="E720" s="5">
        <v>5</v>
      </c>
      <c r="F720" s="77">
        <v>2.9510000000000001</v>
      </c>
      <c r="G720" s="84">
        <v>7.1999999999999995E-2</v>
      </c>
    </row>
    <row r="721" spans="1:14">
      <c r="A721" s="1">
        <v>13</v>
      </c>
      <c r="B721" s="71">
        <v>43586</v>
      </c>
      <c r="E721" s="5">
        <v>5</v>
      </c>
      <c r="F721" s="77">
        <v>2.593</v>
      </c>
      <c r="G721" s="84">
        <v>6.0999999999999999E-2</v>
      </c>
      <c r="I721" s="21">
        <f>AVERAGE(F719:F721)</f>
        <v>2.6406666666666667</v>
      </c>
      <c r="J721" s="21">
        <f>AVERAGE(G719:G721)</f>
        <v>6.2333333333333331E-2</v>
      </c>
      <c r="L721">
        <f>+J721/I721</f>
        <v>2.3605150214592273E-2</v>
      </c>
      <c r="M721">
        <f>+(L721-$L$927)/$L$928</f>
        <v>0.20124830716154629</v>
      </c>
      <c r="N721">
        <f>+N718+M721</f>
        <v>3.4287525188479249</v>
      </c>
    </row>
    <row r="722" spans="1:14">
      <c r="A722" s="1">
        <v>11</v>
      </c>
      <c r="B722" s="71">
        <v>43617</v>
      </c>
      <c r="E722" s="5">
        <v>6</v>
      </c>
      <c r="F722" s="78">
        <v>4.9560000000000004</v>
      </c>
      <c r="G722" s="78">
        <v>7.8E-2</v>
      </c>
    </row>
    <row r="723" spans="1:14">
      <c r="A723" s="1">
        <v>12</v>
      </c>
      <c r="B723" s="71">
        <v>43617</v>
      </c>
      <c r="E723" s="5">
        <v>6</v>
      </c>
      <c r="F723" s="78">
        <v>4.57</v>
      </c>
      <c r="G723" s="78">
        <v>8.5000000000000006E-2</v>
      </c>
    </row>
    <row r="724" spans="1:14">
      <c r="A724" s="1">
        <v>13</v>
      </c>
      <c r="B724" s="71">
        <v>43617</v>
      </c>
      <c r="E724" s="5">
        <v>6</v>
      </c>
      <c r="F724" s="78">
        <v>5.2789999999999999</v>
      </c>
      <c r="G724" s="78">
        <v>0.184</v>
      </c>
      <c r="I724" s="21">
        <f>AVERAGE(F722:F724)</f>
        <v>4.9349999999999996</v>
      </c>
      <c r="J724" s="21">
        <f>AVERAGE(G722:G724)</f>
        <v>0.11566666666666665</v>
      </c>
      <c r="L724">
        <f>+J724/I724</f>
        <v>2.3438027693346842E-2</v>
      </c>
      <c r="M724">
        <f>+(L724-$L$927)/$L$928</f>
        <v>0.19383226280758764</v>
      </c>
      <c r="N724">
        <f>+N721+M724</f>
        <v>3.6225847816555126</v>
      </c>
    </row>
    <row r="725" spans="1:14">
      <c r="A725" s="1">
        <v>11</v>
      </c>
      <c r="B725" s="71">
        <v>43647</v>
      </c>
      <c r="E725" s="5">
        <v>7</v>
      </c>
      <c r="F725" s="78">
        <v>5.9390000000000001</v>
      </c>
      <c r="G725" s="78">
        <v>9.1999999999999998E-2</v>
      </c>
    </row>
    <row r="726" spans="1:14">
      <c r="A726" s="1">
        <v>12</v>
      </c>
      <c r="B726" s="71">
        <v>43647</v>
      </c>
      <c r="E726" s="5">
        <v>7</v>
      </c>
      <c r="F726" s="78">
        <v>6.3949999999999996</v>
      </c>
      <c r="G726" s="78">
        <v>4.1000000000000002E-2</v>
      </c>
    </row>
    <row r="727" spans="1:14">
      <c r="A727" s="1">
        <v>13</v>
      </c>
      <c r="B727" s="71">
        <v>43647</v>
      </c>
      <c r="E727" s="5">
        <v>7</v>
      </c>
      <c r="F727" s="78">
        <v>7.7030000000000003</v>
      </c>
      <c r="G727" s="78">
        <v>0.185</v>
      </c>
      <c r="I727" s="21">
        <f>AVERAGE(F725:F727)</f>
        <v>6.6789999999999994</v>
      </c>
      <c r="J727" s="21">
        <f>AVERAGE(G725:G727)</f>
        <v>0.106</v>
      </c>
      <c r="L727">
        <f>+J727/I727</f>
        <v>1.5870639317263065E-2</v>
      </c>
      <c r="M727">
        <f>+(L727-$L$927)/$L$928</f>
        <v>-0.14196980278147842</v>
      </c>
      <c r="N727">
        <f>+N724+M727</f>
        <v>3.4806149788740344</v>
      </c>
    </row>
    <row r="728" spans="1:14">
      <c r="A728" s="1">
        <v>11</v>
      </c>
      <c r="B728" s="71">
        <v>43678</v>
      </c>
      <c r="E728" s="5">
        <v>8</v>
      </c>
    </row>
    <row r="729" spans="1:14">
      <c r="A729" s="1">
        <v>12</v>
      </c>
      <c r="B729" s="71">
        <v>43678</v>
      </c>
      <c r="E729" s="5">
        <v>8</v>
      </c>
    </row>
    <row r="730" spans="1:14">
      <c r="A730" s="1">
        <v>13</v>
      </c>
      <c r="B730" s="71">
        <v>43678</v>
      </c>
      <c r="E730" s="5">
        <v>8</v>
      </c>
      <c r="I730" s="21"/>
      <c r="J730" s="21"/>
    </row>
    <row r="731" spans="1:14">
      <c r="A731" s="1">
        <v>11</v>
      </c>
      <c r="B731" s="71">
        <v>43709</v>
      </c>
      <c r="E731" s="5">
        <v>9</v>
      </c>
    </row>
    <row r="732" spans="1:14">
      <c r="A732" s="1">
        <v>12</v>
      </c>
      <c r="B732" s="71">
        <v>43709</v>
      </c>
      <c r="E732" s="5">
        <v>9</v>
      </c>
    </row>
    <row r="733" spans="1:14">
      <c r="A733" s="1">
        <v>13</v>
      </c>
      <c r="B733" s="71">
        <v>43709</v>
      </c>
      <c r="E733" s="5">
        <v>9</v>
      </c>
      <c r="I733" s="21"/>
      <c r="J733" s="21"/>
    </row>
    <row r="734" spans="1:14">
      <c r="A734" s="1">
        <v>11</v>
      </c>
      <c r="B734" s="71">
        <v>43739</v>
      </c>
      <c r="E734" s="5">
        <v>10</v>
      </c>
      <c r="F734" s="78">
        <v>3.2589999999999999</v>
      </c>
      <c r="G734" s="78">
        <v>1.2E-2</v>
      </c>
    </row>
    <row r="735" spans="1:14">
      <c r="A735" s="1">
        <v>12</v>
      </c>
      <c r="B735" s="71">
        <v>43739</v>
      </c>
      <c r="E735" s="5">
        <v>10</v>
      </c>
      <c r="F735" s="78">
        <v>2.6760000000000002</v>
      </c>
      <c r="G735" s="78">
        <v>9.9989999999999996E-4</v>
      </c>
    </row>
    <row r="736" spans="1:14">
      <c r="A736" s="1">
        <v>13</v>
      </c>
      <c r="B736" s="71">
        <v>43739</v>
      </c>
      <c r="E736" s="5">
        <v>10</v>
      </c>
      <c r="F736" s="78">
        <v>2.246</v>
      </c>
      <c r="G736" s="78">
        <v>1.4E-2</v>
      </c>
      <c r="I736" s="21">
        <f>AVERAGE(F734:F736)</f>
        <v>2.7270000000000003</v>
      </c>
      <c r="J736" s="21">
        <f>AVERAGE(G734:G736)</f>
        <v>8.9999666666666662E-3</v>
      </c>
      <c r="L736">
        <f>+J736/I736</f>
        <v>3.3003178095587331E-3</v>
      </c>
      <c r="M736">
        <f>+(L736-$L$927)/$L$928</f>
        <v>-0.69977650142356318</v>
      </c>
      <c r="N736">
        <f>+N727+M736</f>
        <v>2.7808384774504713</v>
      </c>
    </row>
    <row r="737" spans="1:14">
      <c r="A737" s="1">
        <v>11</v>
      </c>
      <c r="B737" s="71">
        <v>43770</v>
      </c>
      <c r="E737" s="5">
        <v>11</v>
      </c>
    </row>
    <row r="738" spans="1:14">
      <c r="A738" s="1">
        <v>12</v>
      </c>
      <c r="B738" s="71">
        <v>43770</v>
      </c>
      <c r="E738" s="5">
        <v>11</v>
      </c>
    </row>
    <row r="739" spans="1:14">
      <c r="A739" s="1">
        <v>13</v>
      </c>
      <c r="B739" s="71">
        <v>43770</v>
      </c>
      <c r="E739" s="5">
        <v>11</v>
      </c>
      <c r="I739" s="21"/>
      <c r="J739" s="21"/>
    </row>
    <row r="740" spans="1:14">
      <c r="A740" s="1">
        <v>11</v>
      </c>
      <c r="B740" s="72">
        <v>43800</v>
      </c>
      <c r="E740" s="5">
        <v>12</v>
      </c>
      <c r="F740" s="78">
        <v>1.5329999999999999</v>
      </c>
      <c r="G740" s="78">
        <v>2.7E-2</v>
      </c>
    </row>
    <row r="741" spans="1:14">
      <c r="A741" s="1">
        <v>12</v>
      </c>
      <c r="B741" s="71">
        <v>43800</v>
      </c>
      <c r="E741" s="5">
        <v>12</v>
      </c>
      <c r="F741" s="78">
        <v>1.458</v>
      </c>
      <c r="G741" s="78">
        <v>2.5000000000000001E-2</v>
      </c>
    </row>
    <row r="742" spans="1:14">
      <c r="A742" s="1">
        <v>13</v>
      </c>
      <c r="B742" s="71">
        <v>43800</v>
      </c>
      <c r="E742" s="5">
        <v>12</v>
      </c>
      <c r="F742" s="78">
        <v>2.1930000000000001</v>
      </c>
      <c r="G742" s="78">
        <v>2.1000000000000001E-2</v>
      </c>
      <c r="I742" s="21">
        <f>AVERAGE(F740:F742)</f>
        <v>1.7279999999999998</v>
      </c>
      <c r="J742" s="21">
        <f>AVERAGE(G740:G742)</f>
        <v>2.4333333333333335E-2</v>
      </c>
      <c r="L742">
        <f>+J742/I742</f>
        <v>1.4081790123456794E-2</v>
      </c>
      <c r="M742">
        <f>+(L742-$L$927)/$L$928</f>
        <v>-0.22134979815821254</v>
      </c>
      <c r="N742">
        <f>+N736+M742</f>
        <v>2.5594886792922589</v>
      </c>
    </row>
    <row r="743" spans="1:14">
      <c r="A743" s="91">
        <v>11</v>
      </c>
      <c r="B743" s="86">
        <v>43840</v>
      </c>
      <c r="C743" s="87">
        <v>2020</v>
      </c>
      <c r="D743" s="88" t="s">
        <v>25</v>
      </c>
      <c r="E743" s="89">
        <v>1</v>
      </c>
    </row>
    <row r="744" spans="1:14">
      <c r="A744" s="1">
        <v>12</v>
      </c>
      <c r="B744" s="73">
        <v>43835</v>
      </c>
      <c r="C744">
        <v>2020</v>
      </c>
      <c r="D744" s="4" t="s">
        <v>25</v>
      </c>
      <c r="E744" s="10">
        <v>1</v>
      </c>
    </row>
    <row r="745" spans="1:14">
      <c r="A745" s="1">
        <v>13</v>
      </c>
      <c r="B745" s="73">
        <v>43835</v>
      </c>
      <c r="C745">
        <v>2020</v>
      </c>
      <c r="D745" s="4" t="s">
        <v>25</v>
      </c>
      <c r="E745" s="10">
        <v>1</v>
      </c>
    </row>
    <row r="746" spans="1:14">
      <c r="A746" s="1">
        <v>11</v>
      </c>
      <c r="B746" s="71">
        <v>43862</v>
      </c>
      <c r="C746">
        <v>2020</v>
      </c>
      <c r="D746" s="4" t="s">
        <v>14</v>
      </c>
      <c r="E746" s="10">
        <v>2</v>
      </c>
      <c r="F746" s="92">
        <v>3.319</v>
      </c>
      <c r="G746" s="92">
        <v>4.3999999999999997E-2</v>
      </c>
    </row>
    <row r="747" spans="1:14">
      <c r="A747" s="1">
        <v>12</v>
      </c>
      <c r="B747" s="71">
        <v>43862</v>
      </c>
      <c r="C747">
        <v>2020</v>
      </c>
      <c r="D747" s="4" t="s">
        <v>14</v>
      </c>
      <c r="E747" s="10">
        <v>2</v>
      </c>
      <c r="F747" s="92">
        <v>2.327</v>
      </c>
      <c r="G747" s="92">
        <v>2.8000000000000001E-2</v>
      </c>
    </row>
    <row r="748" spans="1:14">
      <c r="A748" s="1">
        <v>13</v>
      </c>
      <c r="B748" s="71">
        <v>43862</v>
      </c>
      <c r="C748">
        <v>2020</v>
      </c>
      <c r="D748" s="4" t="s">
        <v>14</v>
      </c>
      <c r="E748" s="10">
        <v>2</v>
      </c>
      <c r="F748" s="92">
        <v>2.0640000000000001</v>
      </c>
      <c r="G748" s="92">
        <v>0.02</v>
      </c>
      <c r="I748" s="21">
        <f>AVERAGE(F746:F748)</f>
        <v>2.57</v>
      </c>
      <c r="J748" s="21">
        <f>AVERAGE(G746:G748)</f>
        <v>3.0666666666666665E-2</v>
      </c>
      <c r="L748">
        <f>+J748/I748</f>
        <v>1.1932555123216601E-2</v>
      </c>
      <c r="M748">
        <f>+(L748-$L$927)/$L$928</f>
        <v>-0.31672187590142886</v>
      </c>
      <c r="N748">
        <f>+N742+M748</f>
        <v>2.2427668033908299</v>
      </c>
    </row>
    <row r="749" spans="1:14">
      <c r="A749" s="1">
        <v>11</v>
      </c>
      <c r="B749" s="71">
        <v>43891</v>
      </c>
      <c r="C749">
        <v>2020</v>
      </c>
      <c r="D749" s="4" t="s">
        <v>15</v>
      </c>
      <c r="E749" s="10">
        <v>3</v>
      </c>
    </row>
    <row r="750" spans="1:14">
      <c r="A750" s="1">
        <v>12</v>
      </c>
      <c r="B750" s="71">
        <v>43891</v>
      </c>
      <c r="C750">
        <v>2020</v>
      </c>
      <c r="D750" s="4" t="s">
        <v>15</v>
      </c>
      <c r="E750" s="10">
        <v>3</v>
      </c>
    </row>
    <row r="751" spans="1:14">
      <c r="A751" s="1">
        <v>13</v>
      </c>
      <c r="B751" s="71">
        <v>43891</v>
      </c>
      <c r="C751">
        <v>2020</v>
      </c>
      <c r="D751" s="4" t="s">
        <v>15</v>
      </c>
      <c r="E751" s="10">
        <v>3</v>
      </c>
    </row>
    <row r="752" spans="1:14">
      <c r="A752" s="1">
        <v>11</v>
      </c>
      <c r="B752" s="71">
        <v>43922</v>
      </c>
      <c r="C752">
        <v>2020</v>
      </c>
      <c r="D752" s="4" t="s">
        <v>16</v>
      </c>
      <c r="E752" s="10">
        <v>4</v>
      </c>
    </row>
    <row r="753" spans="1:14">
      <c r="A753" s="1">
        <v>12</v>
      </c>
      <c r="B753" s="71">
        <v>43922</v>
      </c>
      <c r="C753">
        <v>2020</v>
      </c>
      <c r="D753" s="4" t="s">
        <v>16</v>
      </c>
      <c r="E753" s="10">
        <v>4</v>
      </c>
    </row>
    <row r="754" spans="1:14">
      <c r="A754" s="1">
        <v>13</v>
      </c>
      <c r="B754" s="71">
        <v>43922</v>
      </c>
      <c r="C754">
        <v>2020</v>
      </c>
      <c r="D754" s="4" t="s">
        <v>16</v>
      </c>
      <c r="E754" s="10">
        <v>4</v>
      </c>
    </row>
    <row r="755" spans="1:14">
      <c r="A755" s="1">
        <v>11</v>
      </c>
      <c r="B755" s="71">
        <v>43952</v>
      </c>
      <c r="C755">
        <v>2020</v>
      </c>
      <c r="D755" s="4" t="s">
        <v>17</v>
      </c>
      <c r="E755" s="10">
        <v>5</v>
      </c>
    </row>
    <row r="756" spans="1:14">
      <c r="A756" s="1">
        <v>12</v>
      </c>
      <c r="B756" s="71">
        <v>43952</v>
      </c>
      <c r="C756">
        <v>2020</v>
      </c>
      <c r="D756" s="4" t="s">
        <v>17</v>
      </c>
      <c r="E756" s="10">
        <v>5</v>
      </c>
    </row>
    <row r="757" spans="1:14">
      <c r="A757" s="1">
        <v>13</v>
      </c>
      <c r="B757" s="71">
        <v>43952</v>
      </c>
      <c r="C757">
        <v>2020</v>
      </c>
      <c r="D757" s="4" t="s">
        <v>17</v>
      </c>
      <c r="E757" s="10">
        <v>5</v>
      </c>
    </row>
    <row r="758" spans="1:14">
      <c r="A758" s="1">
        <v>11</v>
      </c>
      <c r="B758" s="71">
        <v>43983</v>
      </c>
      <c r="C758">
        <v>2020</v>
      </c>
      <c r="D758" s="4" t="s">
        <v>18</v>
      </c>
      <c r="E758" s="10">
        <v>6</v>
      </c>
      <c r="F758" s="92">
        <v>4.7789999999999999</v>
      </c>
      <c r="G758" s="92">
        <v>0.252</v>
      </c>
    </row>
    <row r="759" spans="1:14">
      <c r="A759" s="1">
        <v>12</v>
      </c>
      <c r="B759" s="71">
        <v>43983</v>
      </c>
      <c r="C759">
        <v>2020</v>
      </c>
      <c r="D759" s="4" t="s">
        <v>18</v>
      </c>
      <c r="E759" s="10">
        <v>6</v>
      </c>
      <c r="F759" s="92">
        <v>6.1159999999999997</v>
      </c>
      <c r="G759" s="92">
        <v>0.21199999999999999</v>
      </c>
    </row>
    <row r="760" spans="1:14">
      <c r="A760" s="1">
        <v>13</v>
      </c>
      <c r="B760" s="71">
        <v>43983</v>
      </c>
      <c r="C760">
        <v>2020</v>
      </c>
      <c r="D760" s="4" t="s">
        <v>18</v>
      </c>
      <c r="E760" s="10">
        <v>6</v>
      </c>
      <c r="F760" s="92">
        <v>6.056</v>
      </c>
      <c r="G760" s="92">
        <v>0.187</v>
      </c>
      <c r="I760" s="21">
        <f>AVERAGE(F758:F760)</f>
        <v>5.6503333333333332</v>
      </c>
      <c r="J760" s="21">
        <f>AVERAGE(G758:G760)</f>
        <v>0.217</v>
      </c>
      <c r="L760">
        <f>+J760/I760</f>
        <v>3.8404813875287595E-2</v>
      </c>
      <c r="M760">
        <f>+(L760-$L$927)/$L$928</f>
        <v>0.85798183004924611</v>
      </c>
      <c r="N760">
        <f>+N748+M760</f>
        <v>3.1007486334400758</v>
      </c>
    </row>
    <row r="761" spans="1:14">
      <c r="A761" s="1">
        <v>11</v>
      </c>
      <c r="B761" s="71">
        <v>44013</v>
      </c>
      <c r="C761">
        <v>2020</v>
      </c>
      <c r="D761" s="4" t="s">
        <v>19</v>
      </c>
      <c r="E761" s="10">
        <v>7</v>
      </c>
      <c r="F761" s="92">
        <v>8.2539999999999996</v>
      </c>
      <c r="G761" s="92">
        <v>0.20599999999999999</v>
      </c>
    </row>
    <row r="762" spans="1:14">
      <c r="A762" s="1">
        <v>12</v>
      </c>
      <c r="B762" s="71">
        <v>44013</v>
      </c>
      <c r="C762">
        <v>2020</v>
      </c>
      <c r="D762" s="4" t="s">
        <v>19</v>
      </c>
      <c r="E762" s="10">
        <v>7</v>
      </c>
      <c r="F762" s="92">
        <v>8.3879999999999999</v>
      </c>
      <c r="G762" s="92">
        <v>0.104</v>
      </c>
    </row>
    <row r="763" spans="1:14">
      <c r="A763" s="1">
        <v>13</v>
      </c>
      <c r="B763" s="71">
        <v>44013</v>
      </c>
      <c r="C763">
        <v>2020</v>
      </c>
      <c r="D763" s="4" t="s">
        <v>19</v>
      </c>
      <c r="E763" s="10">
        <v>7</v>
      </c>
      <c r="F763" s="92">
        <v>9.016</v>
      </c>
      <c r="G763" s="92">
        <v>0.129</v>
      </c>
      <c r="I763" s="21">
        <f t="shared" ref="I763:J763" si="0">AVERAGE(F761:F763)</f>
        <v>8.5526666666666671</v>
      </c>
      <c r="J763" s="21">
        <f t="shared" si="0"/>
        <v>0.14633333333333334</v>
      </c>
      <c r="L763">
        <f t="shared" ref="L763" si="1">+J763/I763</f>
        <v>1.7109673396211708E-2</v>
      </c>
      <c r="M763">
        <f t="shared" ref="M763" si="2">+(L763-$L$927)/$L$928</f>
        <v>-8.6987795466885967E-2</v>
      </c>
      <c r="N763">
        <f>+N760+M763</f>
        <v>3.0137608379731899</v>
      </c>
    </row>
    <row r="764" spans="1:14">
      <c r="A764" s="1">
        <v>11</v>
      </c>
      <c r="B764" s="71">
        <v>44044</v>
      </c>
      <c r="C764">
        <v>2020</v>
      </c>
      <c r="D764" s="4" t="s">
        <v>20</v>
      </c>
      <c r="E764" s="10">
        <v>8</v>
      </c>
      <c r="F764" s="92">
        <v>5.327</v>
      </c>
      <c r="G764" s="92">
        <v>0.183</v>
      </c>
    </row>
    <row r="765" spans="1:14">
      <c r="A765" s="1">
        <v>12</v>
      </c>
      <c r="B765" s="71">
        <v>44044</v>
      </c>
      <c r="C765">
        <v>2020</v>
      </c>
      <c r="D765" s="4" t="s">
        <v>20</v>
      </c>
      <c r="E765" s="10">
        <v>8</v>
      </c>
      <c r="F765" s="92">
        <v>4.3920000000000003</v>
      </c>
      <c r="G765" s="92">
        <v>5.3999999999999999E-2</v>
      </c>
    </row>
    <row r="766" spans="1:14">
      <c r="A766" s="1">
        <v>13</v>
      </c>
      <c r="B766" s="71">
        <v>44044</v>
      </c>
      <c r="C766">
        <v>2020</v>
      </c>
      <c r="D766" s="4" t="s">
        <v>20</v>
      </c>
      <c r="E766" s="10">
        <v>8</v>
      </c>
      <c r="F766" s="92">
        <v>5.8490000000000002</v>
      </c>
      <c r="G766" s="92">
        <v>5.8000000000000003E-2</v>
      </c>
      <c r="I766" s="21">
        <f t="shared" ref="I766:J766" si="3">AVERAGE(F764:F766)</f>
        <v>5.1893333333333338</v>
      </c>
      <c r="J766" s="21">
        <f t="shared" si="3"/>
        <v>9.8333333333333328E-2</v>
      </c>
      <c r="L766">
        <f t="shared" ref="L766" si="4">+J766/I766</f>
        <v>1.8949126413155187E-2</v>
      </c>
      <c r="M766">
        <f t="shared" ref="M766" si="5">+(L766-$L$927)/$L$928</f>
        <v>-5.3622607453122396E-3</v>
      </c>
      <c r="N766">
        <f t="shared" ref="N766" si="6">+N763+M766</f>
        <v>3.0083985772278776</v>
      </c>
    </row>
    <row r="767" spans="1:14">
      <c r="A767" s="1">
        <v>11</v>
      </c>
      <c r="B767" s="71">
        <v>44075</v>
      </c>
      <c r="C767">
        <v>2020</v>
      </c>
      <c r="D767" s="4" t="s">
        <v>26</v>
      </c>
      <c r="E767" s="10">
        <v>9</v>
      </c>
      <c r="F767" s="92">
        <v>1.492</v>
      </c>
      <c r="G767" s="92">
        <v>2.4E-2</v>
      </c>
    </row>
    <row r="768" spans="1:14">
      <c r="A768" s="1">
        <v>12</v>
      </c>
      <c r="B768" s="71">
        <v>44075</v>
      </c>
      <c r="C768">
        <v>2020</v>
      </c>
      <c r="D768" s="4" t="s">
        <v>26</v>
      </c>
      <c r="E768" s="10">
        <v>9</v>
      </c>
      <c r="F768" s="92">
        <v>3.5049999999999999</v>
      </c>
      <c r="G768" s="92">
        <v>6.5000000000000002E-2</v>
      </c>
    </row>
    <row r="769" spans="1:14">
      <c r="A769" s="1">
        <v>13</v>
      </c>
      <c r="B769" s="71">
        <v>44075</v>
      </c>
      <c r="C769">
        <v>2020</v>
      </c>
      <c r="D769" s="4" t="s">
        <v>26</v>
      </c>
      <c r="E769" s="10">
        <v>9</v>
      </c>
      <c r="F769" s="92">
        <v>4.734</v>
      </c>
      <c r="G769" s="92">
        <v>0.06</v>
      </c>
      <c r="I769" s="21">
        <f t="shared" ref="I769:J769" si="7">AVERAGE(F767:F769)</f>
        <v>3.2436666666666665</v>
      </c>
      <c r="J769" s="21">
        <f t="shared" si="7"/>
        <v>4.9666666666666665E-2</v>
      </c>
      <c r="L769">
        <f t="shared" ref="L769" si="8">+J769/I769</f>
        <v>1.5311889836604666E-2</v>
      </c>
      <c r="M769">
        <f t="shared" ref="M769" si="9">+(L769-$L$927)/$L$928</f>
        <v>-0.1667642523890733</v>
      </c>
      <c r="N769">
        <f t="shared" ref="N769" si="10">+N766+M769</f>
        <v>2.8416343248388043</v>
      </c>
    </row>
    <row r="770" spans="1:14">
      <c r="A770" s="1">
        <v>11</v>
      </c>
      <c r="B770" s="71">
        <v>44105</v>
      </c>
      <c r="C770">
        <v>2020</v>
      </c>
      <c r="D770" s="4" t="s">
        <v>22</v>
      </c>
      <c r="E770" s="10">
        <v>10</v>
      </c>
      <c r="F770" s="92">
        <v>2.2330000000000001</v>
      </c>
      <c r="G770" s="92">
        <v>3.2000000000000001E-2</v>
      </c>
    </row>
    <row r="771" spans="1:14">
      <c r="A771" s="1">
        <v>12</v>
      </c>
      <c r="B771" s="71">
        <v>44105</v>
      </c>
      <c r="C771">
        <v>2020</v>
      </c>
      <c r="D771" s="4" t="s">
        <v>22</v>
      </c>
      <c r="E771" s="10">
        <v>10</v>
      </c>
      <c r="F771" s="92">
        <v>3.4129999999999998</v>
      </c>
      <c r="G771" s="92">
        <v>3.1E-2</v>
      </c>
    </row>
    <row r="772" spans="1:14">
      <c r="A772" s="1">
        <v>13</v>
      </c>
      <c r="B772" s="71">
        <v>44105</v>
      </c>
      <c r="C772">
        <v>2020</v>
      </c>
      <c r="D772" s="4" t="s">
        <v>22</v>
      </c>
      <c r="E772" s="10">
        <v>10</v>
      </c>
      <c r="F772" s="92">
        <v>3.637</v>
      </c>
      <c r="G772" s="92">
        <v>6.6000000000000003E-2</v>
      </c>
      <c r="I772" s="21">
        <f t="shared" ref="I772:J772" si="11">AVERAGE(F770:F772)</f>
        <v>3.0943333333333332</v>
      </c>
      <c r="J772" s="21">
        <f t="shared" si="11"/>
        <v>4.3000000000000003E-2</v>
      </c>
      <c r="L772">
        <f t="shared" ref="L772" si="12">+J772/I772</f>
        <v>1.3896369708068514E-2</v>
      </c>
      <c r="M772">
        <f t="shared" ref="M772" si="13">+(L772-$L$927)/$L$928</f>
        <v>-0.22957780964584149</v>
      </c>
      <c r="N772">
        <f t="shared" ref="N772" si="14">+N769+M772</f>
        <v>2.6120565151929629</v>
      </c>
    </row>
    <row r="773" spans="1:14">
      <c r="A773" s="1">
        <v>11</v>
      </c>
      <c r="B773" s="71">
        <v>44136</v>
      </c>
      <c r="C773">
        <v>2020</v>
      </c>
      <c r="D773" s="4" t="s">
        <v>23</v>
      </c>
      <c r="E773" s="10">
        <v>11</v>
      </c>
      <c r="F773" s="92">
        <v>1.639</v>
      </c>
      <c r="G773" s="92">
        <v>9.9989999999999996E-4</v>
      </c>
    </row>
    <row r="774" spans="1:14">
      <c r="A774" s="1">
        <v>12</v>
      </c>
      <c r="B774" s="71">
        <v>44136</v>
      </c>
      <c r="C774">
        <v>2020</v>
      </c>
      <c r="D774" s="4" t="s">
        <v>23</v>
      </c>
      <c r="E774" s="10">
        <v>11</v>
      </c>
      <c r="F774" s="92">
        <v>1.468</v>
      </c>
      <c r="G774" s="92">
        <v>9.9989999999999996E-4</v>
      </c>
    </row>
    <row r="775" spans="1:14">
      <c r="A775" s="1">
        <v>13</v>
      </c>
      <c r="B775" s="71">
        <v>44136</v>
      </c>
      <c r="C775">
        <v>2020</v>
      </c>
      <c r="D775" s="4" t="s">
        <v>23</v>
      </c>
      <c r="E775" s="10">
        <v>11</v>
      </c>
      <c r="F775" s="92">
        <v>1.54</v>
      </c>
      <c r="G775" s="92">
        <v>9.9989999999999996E-4</v>
      </c>
      <c r="I775" s="21">
        <f t="shared" ref="I775:J775" si="15">AVERAGE(F773:F775)</f>
        <v>1.5490000000000002</v>
      </c>
      <c r="J775" s="21">
        <f t="shared" si="15"/>
        <v>9.9989999999999996E-4</v>
      </c>
      <c r="L775">
        <f t="shared" ref="L775" si="16">+J775/I775</f>
        <v>6.455132343447385E-4</v>
      </c>
      <c r="M775">
        <f t="shared" ref="M775" si="17">+(L775-$L$927)/$L$928</f>
        <v>-0.81758317603665076</v>
      </c>
      <c r="N775">
        <f t="shared" ref="N775" si="18">+N772+M775</f>
        <v>1.7944733391563121</v>
      </c>
    </row>
    <row r="776" spans="1:14">
      <c r="A776" s="1">
        <v>11</v>
      </c>
      <c r="B776" s="72">
        <v>44166</v>
      </c>
      <c r="C776">
        <v>2020</v>
      </c>
      <c r="D776" s="4" t="s">
        <v>24</v>
      </c>
      <c r="E776" s="10">
        <v>12</v>
      </c>
    </row>
    <row r="777" spans="1:14">
      <c r="A777" s="1">
        <v>12</v>
      </c>
      <c r="B777" s="71">
        <v>44166</v>
      </c>
      <c r="C777">
        <v>2020</v>
      </c>
      <c r="D777" s="4" t="s">
        <v>24</v>
      </c>
      <c r="E777" s="10">
        <v>12</v>
      </c>
    </row>
    <row r="778" spans="1:14">
      <c r="A778" s="1">
        <v>13</v>
      </c>
      <c r="B778" s="71">
        <v>44166</v>
      </c>
      <c r="C778">
        <v>2020</v>
      </c>
      <c r="D778" s="4" t="s">
        <v>24</v>
      </c>
      <c r="E778" s="10">
        <v>12</v>
      </c>
      <c r="I778" s="21"/>
      <c r="J778" s="21"/>
    </row>
    <row r="779" spans="1:14">
      <c r="A779" s="91">
        <v>11</v>
      </c>
      <c r="B779" s="86">
        <v>44206</v>
      </c>
      <c r="C779" s="87">
        <v>2021</v>
      </c>
      <c r="D779" s="88" t="s">
        <v>25</v>
      </c>
      <c r="E779" s="89">
        <v>1</v>
      </c>
    </row>
    <row r="780" spans="1:14">
      <c r="A780" s="1">
        <v>12</v>
      </c>
      <c r="B780" s="73">
        <v>44201</v>
      </c>
      <c r="C780">
        <v>2021</v>
      </c>
      <c r="D780" s="4" t="s">
        <v>25</v>
      </c>
      <c r="E780" s="10">
        <v>1</v>
      </c>
    </row>
    <row r="781" spans="1:14">
      <c r="A781" s="1">
        <v>13</v>
      </c>
      <c r="B781" s="73">
        <v>44201</v>
      </c>
      <c r="C781">
        <v>2021</v>
      </c>
      <c r="D781" s="4" t="s">
        <v>25</v>
      </c>
      <c r="E781" s="10">
        <v>1</v>
      </c>
      <c r="I781" s="21"/>
      <c r="J781" s="21"/>
    </row>
    <row r="782" spans="1:14">
      <c r="A782" s="1">
        <v>11</v>
      </c>
      <c r="B782" s="71">
        <v>44228</v>
      </c>
      <c r="C782">
        <v>2021</v>
      </c>
      <c r="D782" s="4" t="s">
        <v>14</v>
      </c>
      <c r="E782" s="10">
        <v>2</v>
      </c>
      <c r="F782" s="92">
        <v>4.2009999999999996</v>
      </c>
      <c r="G782" s="92">
        <v>6.4000000000000001E-2</v>
      </c>
    </row>
    <row r="783" spans="1:14">
      <c r="A783" s="1">
        <v>12</v>
      </c>
      <c r="B783" s="71">
        <v>44228</v>
      </c>
      <c r="C783">
        <v>2021</v>
      </c>
      <c r="D783" s="4" t="s">
        <v>14</v>
      </c>
      <c r="E783" s="10">
        <v>2</v>
      </c>
      <c r="F783" s="92">
        <v>2.609</v>
      </c>
      <c r="G783" s="92">
        <v>4.2000000000000003E-2</v>
      </c>
    </row>
    <row r="784" spans="1:14">
      <c r="A784" s="1">
        <v>13</v>
      </c>
      <c r="B784" s="71">
        <v>44228</v>
      </c>
      <c r="C784">
        <v>2021</v>
      </c>
      <c r="D784" s="4" t="s">
        <v>14</v>
      </c>
      <c r="E784" s="10">
        <v>2</v>
      </c>
      <c r="F784" s="92">
        <v>3.8620000000000001</v>
      </c>
      <c r="G784" s="92">
        <v>4.8000000000000001E-2</v>
      </c>
      <c r="I784" s="21">
        <f t="shared" ref="I784:J784" si="19">AVERAGE(F782:F784)</f>
        <v>3.5573333333333337</v>
      </c>
      <c r="J784" s="21">
        <f t="shared" si="19"/>
        <v>5.1333333333333342E-2</v>
      </c>
      <c r="L784">
        <f t="shared" ref="L784" si="20">+J784/I784</f>
        <v>1.4430284857571215E-2</v>
      </c>
      <c r="M784">
        <f t="shared" ref="M784" si="21">+(L784-$L$927)/$L$928</f>
        <v>-0.20588538087887934</v>
      </c>
      <c r="N784">
        <f>+N775+M784</f>
        <v>1.5885879582774327</v>
      </c>
    </row>
    <row r="785" spans="1:14">
      <c r="A785" s="1">
        <v>11</v>
      </c>
      <c r="B785" s="71">
        <v>44256</v>
      </c>
      <c r="C785">
        <v>2021</v>
      </c>
      <c r="D785" s="4" t="s">
        <v>15</v>
      </c>
      <c r="E785" s="10">
        <v>3</v>
      </c>
      <c r="F785" s="92">
        <v>4.0389999999999997</v>
      </c>
      <c r="G785" s="92">
        <v>4.2000000000000003E-2</v>
      </c>
    </row>
    <row r="786" spans="1:14">
      <c r="A786" s="1">
        <v>12</v>
      </c>
      <c r="B786" s="71">
        <v>44256</v>
      </c>
      <c r="C786">
        <v>2021</v>
      </c>
      <c r="D786" s="4" t="s">
        <v>15</v>
      </c>
      <c r="E786" s="10">
        <v>3</v>
      </c>
      <c r="F786" s="92">
        <v>2.8650000000000002</v>
      </c>
      <c r="G786" s="92">
        <v>5.7000000000000002E-2</v>
      </c>
    </row>
    <row r="787" spans="1:14">
      <c r="A787" s="1">
        <v>13</v>
      </c>
      <c r="B787" s="71">
        <v>44256</v>
      </c>
      <c r="C787">
        <v>2021</v>
      </c>
      <c r="D787" s="4" t="s">
        <v>15</v>
      </c>
      <c r="E787" s="10">
        <v>3</v>
      </c>
      <c r="F787" s="92">
        <v>2.6309999999999998</v>
      </c>
      <c r="G787" s="92">
        <v>2.7E-2</v>
      </c>
      <c r="I787" s="21">
        <f t="shared" ref="I787:J787" si="22">AVERAGE(F785:F787)</f>
        <v>3.1783333333333332</v>
      </c>
      <c r="J787" s="21">
        <f t="shared" si="22"/>
        <v>4.2000000000000003E-2</v>
      </c>
      <c r="L787">
        <f t="shared" ref="L787" si="23">+J787/I787</f>
        <v>1.3214472994231778E-2</v>
      </c>
      <c r="M787">
        <f t="shared" ref="M787" si="24">+(L787-$L$927)/$L$928</f>
        <v>-0.25983690481115046</v>
      </c>
      <c r="N787">
        <f t="shared" ref="N787" si="25">+N784+M787</f>
        <v>1.3287510534662823</v>
      </c>
    </row>
    <row r="788" spans="1:14">
      <c r="A788" s="1">
        <v>11</v>
      </c>
      <c r="B788" s="71">
        <v>44287</v>
      </c>
      <c r="C788">
        <v>2021</v>
      </c>
      <c r="D788" s="4" t="s">
        <v>16</v>
      </c>
      <c r="E788" s="10">
        <v>4</v>
      </c>
      <c r="F788" s="92">
        <v>4.2439999999999998</v>
      </c>
      <c r="G788" s="92">
        <v>0.02</v>
      </c>
    </row>
    <row r="789" spans="1:14">
      <c r="A789" s="1">
        <v>12</v>
      </c>
      <c r="B789" s="71">
        <v>44287</v>
      </c>
      <c r="C789">
        <v>2021</v>
      </c>
      <c r="D789" s="4" t="s">
        <v>16</v>
      </c>
      <c r="E789" s="10">
        <v>4</v>
      </c>
      <c r="F789" s="92">
        <v>2.375</v>
      </c>
      <c r="G789" s="92">
        <v>9.9989999999999996E-4</v>
      </c>
    </row>
    <row r="790" spans="1:14">
      <c r="A790" s="1">
        <v>13</v>
      </c>
      <c r="B790" s="71">
        <v>44287</v>
      </c>
      <c r="C790">
        <v>2021</v>
      </c>
      <c r="D790" s="4" t="s">
        <v>16</v>
      </c>
      <c r="E790" s="10">
        <v>4</v>
      </c>
      <c r="F790" s="92">
        <v>3.04</v>
      </c>
      <c r="G790" s="92">
        <v>9.9989999999999996E-4</v>
      </c>
      <c r="I790" s="21">
        <f t="shared" ref="I790:J790" si="26">AVERAGE(F788:F790)</f>
        <v>3.2196666666666665</v>
      </c>
      <c r="J790" s="21">
        <f t="shared" si="26"/>
        <v>7.3332666666666678E-3</v>
      </c>
      <c r="L790">
        <f t="shared" ref="L790" si="27">+J790/I790</f>
        <v>2.2776477896262557E-3</v>
      </c>
      <c r="M790">
        <f t="shared" ref="M790" si="28">+(L790-$L$927)/$L$928</f>
        <v>-0.7451573763096303</v>
      </c>
      <c r="N790">
        <f t="shared" ref="N790" si="29">+N787+M790</f>
        <v>0.583593677156652</v>
      </c>
    </row>
    <row r="791" spans="1:14">
      <c r="A791" s="1">
        <v>11</v>
      </c>
      <c r="B791" s="71">
        <v>44317</v>
      </c>
      <c r="C791">
        <v>2021</v>
      </c>
      <c r="D791" s="4" t="s">
        <v>17</v>
      </c>
      <c r="E791" s="10">
        <v>5</v>
      </c>
      <c r="F791" s="92">
        <v>4.9240000000000004</v>
      </c>
      <c r="G791" s="92">
        <v>4.3999999999999997E-2</v>
      </c>
    </row>
    <row r="792" spans="1:14">
      <c r="A792" s="1">
        <v>12</v>
      </c>
      <c r="B792" s="71">
        <v>44317</v>
      </c>
      <c r="C792">
        <v>2021</v>
      </c>
      <c r="D792" s="4" t="s">
        <v>17</v>
      </c>
      <c r="E792" s="10">
        <v>5</v>
      </c>
      <c r="F792" s="92">
        <v>5.173</v>
      </c>
      <c r="G792" s="92">
        <v>4.1000000000000002E-2</v>
      </c>
    </row>
    <row r="793" spans="1:14">
      <c r="A793" s="1">
        <v>13</v>
      </c>
      <c r="B793" s="71">
        <v>44317</v>
      </c>
      <c r="C793">
        <v>2021</v>
      </c>
      <c r="D793" s="4" t="s">
        <v>17</v>
      </c>
      <c r="E793" s="10">
        <v>5</v>
      </c>
      <c r="F793" s="92">
        <v>6.7990000000000004</v>
      </c>
      <c r="G793" s="92">
        <v>9.5000000000000001E-2</v>
      </c>
      <c r="I793" s="21">
        <f t="shared" ref="I793:J793" si="30">AVERAGE(F791:F793)</f>
        <v>5.6320000000000006</v>
      </c>
      <c r="J793" s="21">
        <f t="shared" si="30"/>
        <v>0.06</v>
      </c>
      <c r="L793">
        <f t="shared" ref="L793" si="31">+J793/I793</f>
        <v>1.065340909090909E-2</v>
      </c>
      <c r="M793">
        <f t="shared" ref="M793" si="32">+(L793-$L$927)/$L$928</f>
        <v>-0.37348384693974013</v>
      </c>
      <c r="N793">
        <f t="shared" ref="N793" si="33">+N790+M793</f>
        <v>0.21010983021691187</v>
      </c>
    </row>
    <row r="794" spans="1:14">
      <c r="A794" s="1">
        <v>11</v>
      </c>
      <c r="B794" s="71">
        <v>44348</v>
      </c>
      <c r="C794">
        <v>2021</v>
      </c>
      <c r="D794" s="4" t="s">
        <v>18</v>
      </c>
      <c r="E794" s="10">
        <v>6</v>
      </c>
      <c r="F794" s="92">
        <v>6.56</v>
      </c>
      <c r="G794" s="92">
        <v>0.14399999999999999</v>
      </c>
    </row>
    <row r="795" spans="1:14">
      <c r="A795" s="1">
        <v>12</v>
      </c>
      <c r="B795" s="71">
        <v>44348</v>
      </c>
      <c r="C795">
        <v>2021</v>
      </c>
      <c r="D795" s="4" t="s">
        <v>18</v>
      </c>
      <c r="E795" s="10">
        <v>6</v>
      </c>
      <c r="F795" s="92">
        <v>10.156000000000001</v>
      </c>
      <c r="G795" s="92">
        <v>0.156</v>
      </c>
    </row>
    <row r="796" spans="1:14">
      <c r="A796" s="1">
        <v>13</v>
      </c>
      <c r="B796" s="71">
        <v>44348</v>
      </c>
      <c r="C796">
        <v>2021</v>
      </c>
      <c r="D796" s="4" t="s">
        <v>18</v>
      </c>
      <c r="E796" s="10">
        <v>6</v>
      </c>
      <c r="F796" s="92">
        <v>9.1980000000000004</v>
      </c>
      <c r="G796" s="92">
        <v>0.217</v>
      </c>
      <c r="I796" s="21">
        <f t="shared" ref="I796:J796" si="34">AVERAGE(F794:F796)</f>
        <v>8.6379999999999999</v>
      </c>
      <c r="J796" s="21">
        <f t="shared" si="34"/>
        <v>0.17233333333333334</v>
      </c>
      <c r="L796">
        <f t="shared" ref="L796" si="35">+J796/I796</f>
        <v>1.9950605850119627E-2</v>
      </c>
      <c r="M796">
        <f t="shared" ref="M796" si="36">+(L796-$L$927)/$L$928</f>
        <v>3.9078284243826131E-2</v>
      </c>
      <c r="N796">
        <f t="shared" ref="N796" si="37">+N793+M796</f>
        <v>0.24918811446073802</v>
      </c>
    </row>
    <row r="797" spans="1:14">
      <c r="A797" s="1">
        <v>11</v>
      </c>
      <c r="B797" s="71">
        <v>44378</v>
      </c>
      <c r="C797">
        <v>2021</v>
      </c>
      <c r="D797" s="4" t="s">
        <v>19</v>
      </c>
      <c r="E797" s="10">
        <v>7</v>
      </c>
      <c r="H797" s="90" t="s">
        <v>98</v>
      </c>
    </row>
    <row r="798" spans="1:14">
      <c r="A798" s="1">
        <v>12</v>
      </c>
      <c r="B798" s="71">
        <v>44378</v>
      </c>
      <c r="C798">
        <v>2021</v>
      </c>
      <c r="D798" s="4" t="s">
        <v>19</v>
      </c>
      <c r="E798" s="10">
        <v>7</v>
      </c>
      <c r="H798" s="90" t="s">
        <v>99</v>
      </c>
    </row>
    <row r="799" spans="1:14">
      <c r="A799" s="1">
        <v>13</v>
      </c>
      <c r="B799" s="71">
        <v>44378</v>
      </c>
      <c r="C799">
        <v>2021</v>
      </c>
      <c r="D799" s="4" t="s">
        <v>19</v>
      </c>
      <c r="E799" s="10">
        <v>7</v>
      </c>
      <c r="I799" s="21"/>
      <c r="J799" s="21"/>
    </row>
    <row r="800" spans="1:14">
      <c r="A800" s="1">
        <v>11</v>
      </c>
      <c r="B800" s="71">
        <v>44409</v>
      </c>
      <c r="C800">
        <v>2021</v>
      </c>
      <c r="D800" s="4" t="s">
        <v>20</v>
      </c>
      <c r="E800" s="10">
        <v>8</v>
      </c>
      <c r="F800" s="92">
        <v>3.887</v>
      </c>
      <c r="G800" s="92">
        <v>6.9000000000000006E-2</v>
      </c>
    </row>
    <row r="801" spans="1:14">
      <c r="A801" s="1">
        <v>12</v>
      </c>
      <c r="B801" s="71">
        <v>44409</v>
      </c>
      <c r="C801">
        <v>2021</v>
      </c>
      <c r="D801" s="4" t="s">
        <v>20</v>
      </c>
      <c r="E801" s="10">
        <v>8</v>
      </c>
      <c r="F801" s="92">
        <v>6.1159999999999997</v>
      </c>
      <c r="G801" s="92">
        <v>7.9000000000000001E-2</v>
      </c>
    </row>
    <row r="802" spans="1:14">
      <c r="A802" s="1">
        <v>13</v>
      </c>
      <c r="B802" s="71">
        <v>44409</v>
      </c>
      <c r="C802">
        <v>2021</v>
      </c>
      <c r="D802" s="4" t="s">
        <v>20</v>
      </c>
      <c r="E802" s="10">
        <v>8</v>
      </c>
      <c r="F802" s="92">
        <v>3.4689999999999999</v>
      </c>
      <c r="G802" s="92">
        <v>1.7000000000000001E-2</v>
      </c>
      <c r="I802" s="21">
        <f t="shared" ref="I802:J802" si="38">AVERAGE(F800:F802)</f>
        <v>4.4906666666666668</v>
      </c>
      <c r="J802" s="21">
        <f t="shared" si="38"/>
        <v>5.5000000000000014E-2</v>
      </c>
      <c r="L802">
        <f t="shared" ref="L802" si="39">+J802/I802</f>
        <v>1.2247624703087889E-2</v>
      </c>
      <c r="M802">
        <f t="shared" ref="M802" si="40">+(L802-$L$927)/$L$928</f>
        <v>-0.30274069633630513</v>
      </c>
      <c r="N802">
        <f>+N796+M802</f>
        <v>-5.3552581875567107E-2</v>
      </c>
    </row>
    <row r="803" spans="1:14">
      <c r="A803" s="1">
        <v>11</v>
      </c>
      <c r="B803" s="71">
        <v>44440</v>
      </c>
      <c r="C803">
        <v>2021</v>
      </c>
      <c r="D803" s="4" t="s">
        <v>26</v>
      </c>
      <c r="E803" s="10">
        <v>9</v>
      </c>
      <c r="F803" s="92">
        <v>3.4159999999999999</v>
      </c>
      <c r="G803" s="92">
        <v>7.4999999999999997E-2</v>
      </c>
    </row>
    <row r="804" spans="1:14">
      <c r="A804" s="1">
        <v>12</v>
      </c>
      <c r="B804" s="71">
        <v>44440</v>
      </c>
      <c r="C804">
        <v>2021</v>
      </c>
      <c r="D804" s="4" t="s">
        <v>26</v>
      </c>
      <c r="E804" s="10">
        <v>9</v>
      </c>
      <c r="F804" s="92">
        <v>3.673</v>
      </c>
      <c r="G804" s="92">
        <v>7.0999999999999994E-2</v>
      </c>
    </row>
    <row r="805" spans="1:14">
      <c r="A805" s="1">
        <v>13</v>
      </c>
      <c r="B805" s="71">
        <v>44440</v>
      </c>
      <c r="C805">
        <v>2021</v>
      </c>
      <c r="D805" s="4" t="s">
        <v>26</v>
      </c>
      <c r="E805" s="10">
        <v>9</v>
      </c>
      <c r="F805" s="92">
        <v>4.32</v>
      </c>
      <c r="G805" s="92">
        <v>9.2999999999999999E-2</v>
      </c>
      <c r="I805" s="21">
        <f t="shared" ref="I805:J805" si="41">AVERAGE(F803:F805)</f>
        <v>3.8030000000000004</v>
      </c>
      <c r="J805" s="21">
        <f t="shared" si="41"/>
        <v>7.9666666666666663E-2</v>
      </c>
      <c r="L805">
        <f t="shared" ref="L805" si="42">+J805/I805</f>
        <v>2.09483740906302E-2</v>
      </c>
      <c r="M805">
        <f t="shared" ref="M805" si="43">+(L805-$L$927)/$L$928</f>
        <v>8.3354145279521064E-2</v>
      </c>
      <c r="N805">
        <f t="shared" ref="N805" si="44">+N802+M805</f>
        <v>2.9801563403953957E-2</v>
      </c>
    </row>
    <row r="806" spans="1:14">
      <c r="A806" s="1">
        <v>11</v>
      </c>
      <c r="B806" s="71">
        <v>44470</v>
      </c>
      <c r="C806">
        <v>2021</v>
      </c>
      <c r="D806" s="4" t="s">
        <v>22</v>
      </c>
      <c r="E806" s="10">
        <v>10</v>
      </c>
      <c r="F806" s="92">
        <v>5.6130000000000004</v>
      </c>
      <c r="G806" s="92">
        <v>0.187</v>
      </c>
    </row>
    <row r="807" spans="1:14">
      <c r="A807" s="1">
        <v>12</v>
      </c>
      <c r="B807" s="71">
        <v>44470</v>
      </c>
      <c r="C807">
        <v>2021</v>
      </c>
      <c r="D807" s="4" t="s">
        <v>22</v>
      </c>
      <c r="E807" s="10">
        <v>10</v>
      </c>
      <c r="F807" s="92">
        <v>4.907</v>
      </c>
      <c r="G807" s="92">
        <v>0.157</v>
      </c>
    </row>
    <row r="808" spans="1:14">
      <c r="A808" s="1">
        <v>13</v>
      </c>
      <c r="B808" s="71">
        <v>44470</v>
      </c>
      <c r="C808">
        <v>2021</v>
      </c>
      <c r="D808" s="4" t="s">
        <v>22</v>
      </c>
      <c r="E808" s="10">
        <v>10</v>
      </c>
      <c r="F808" s="92">
        <v>1.738</v>
      </c>
      <c r="G808" s="92">
        <v>7.4999999999999997E-2</v>
      </c>
      <c r="I808" s="21">
        <f t="shared" ref="I808:J808" si="45">AVERAGE(F806:F808)</f>
        <v>4.0859999999999994</v>
      </c>
      <c r="J808" s="21">
        <f t="shared" si="45"/>
        <v>0.13966666666666666</v>
      </c>
      <c r="L808">
        <f t="shared" ref="L808" si="46">+J808/I808</f>
        <v>3.4181758851362376E-2</v>
      </c>
      <c r="M808">
        <f t="shared" ref="M808" si="47">+(L808-$L$927)/$L$928</f>
        <v>0.67058420623860426</v>
      </c>
      <c r="N808">
        <f t="shared" ref="N808" si="48">+N805+M808</f>
        <v>0.70038576964255816</v>
      </c>
    </row>
    <row r="809" spans="1:14">
      <c r="A809" s="1">
        <v>11</v>
      </c>
      <c r="B809" s="71">
        <v>44501</v>
      </c>
      <c r="C809">
        <v>2021</v>
      </c>
      <c r="D809" s="4" t="s">
        <v>23</v>
      </c>
      <c r="E809" s="10">
        <v>11</v>
      </c>
      <c r="F809" s="92">
        <v>3.1869999999999998</v>
      </c>
      <c r="G809" s="92">
        <v>9.9989999999999996E-4</v>
      </c>
    </row>
    <row r="810" spans="1:14">
      <c r="A810" s="1">
        <v>12</v>
      </c>
      <c r="B810" s="71">
        <v>44501</v>
      </c>
      <c r="C810">
        <v>2021</v>
      </c>
      <c r="D810" s="4" t="s">
        <v>23</v>
      </c>
      <c r="E810" s="10">
        <v>11</v>
      </c>
      <c r="F810" s="92">
        <v>1.9430000000000001</v>
      </c>
      <c r="G810" s="92">
        <v>9.9989999999999996E-4</v>
      </c>
    </row>
    <row r="811" spans="1:14">
      <c r="A811" s="1">
        <v>13</v>
      </c>
      <c r="B811" s="71">
        <v>44501</v>
      </c>
      <c r="C811">
        <v>2021</v>
      </c>
      <c r="D811" s="4" t="s">
        <v>23</v>
      </c>
      <c r="E811" s="10">
        <v>11</v>
      </c>
      <c r="F811" s="92">
        <v>1.0009999999999999</v>
      </c>
      <c r="G811" s="92">
        <v>3.5000000000000003E-2</v>
      </c>
      <c r="I811" s="21">
        <f t="shared" ref="I811:J811" si="49">AVERAGE(F809:F811)</f>
        <v>2.0436666666666667</v>
      </c>
      <c r="J811" s="21">
        <f t="shared" si="49"/>
        <v>1.2333266666666669E-2</v>
      </c>
      <c r="L811">
        <f t="shared" ref="L811" si="50">+J811/I811</f>
        <v>6.0348719621595177E-3</v>
      </c>
      <c r="M811">
        <f t="shared" ref="M811" si="51">+(L811-$L$927)/$L$928</f>
        <v>-0.57843094767735548</v>
      </c>
      <c r="N811">
        <f t="shared" ref="N811" si="52">+N808+M811</f>
        <v>0.12195482196520269</v>
      </c>
    </row>
    <row r="812" spans="1:14">
      <c r="A812" s="1">
        <v>11</v>
      </c>
      <c r="B812" s="72">
        <v>44531</v>
      </c>
      <c r="C812">
        <v>2021</v>
      </c>
      <c r="D812" s="4" t="s">
        <v>24</v>
      </c>
      <c r="E812" s="10">
        <v>12</v>
      </c>
      <c r="F812" s="92">
        <v>4.8920000000000003</v>
      </c>
      <c r="G812" s="92">
        <v>9.9989999999999996E-4</v>
      </c>
    </row>
    <row r="813" spans="1:14">
      <c r="A813" s="1">
        <v>12</v>
      </c>
      <c r="B813" s="71">
        <v>44531</v>
      </c>
      <c r="C813">
        <v>2021</v>
      </c>
      <c r="D813" s="4" t="s">
        <v>24</v>
      </c>
      <c r="E813" s="10">
        <v>12</v>
      </c>
      <c r="F813" s="92">
        <v>5.6689999999999996</v>
      </c>
      <c r="G813" s="92">
        <v>5.7000000000000002E-2</v>
      </c>
    </row>
    <row r="814" spans="1:14">
      <c r="A814" s="1">
        <v>13</v>
      </c>
      <c r="B814" s="71">
        <v>44531</v>
      </c>
      <c r="C814">
        <v>2021</v>
      </c>
      <c r="D814" s="4" t="s">
        <v>24</v>
      </c>
      <c r="E814" s="10">
        <v>12</v>
      </c>
      <c r="F814" s="92">
        <v>12.211</v>
      </c>
      <c r="G814" s="92">
        <v>0.64600000000000002</v>
      </c>
      <c r="I814" s="21">
        <f t="shared" ref="I814:J814" si="53">AVERAGE(F812:F814)</f>
        <v>7.5906666666666665</v>
      </c>
      <c r="J814" s="21">
        <f t="shared" si="53"/>
        <v>0.23466663333333335</v>
      </c>
      <c r="L814">
        <f t="shared" ref="L814" si="54">+J814/I814</f>
        <v>3.0915154575794839E-2</v>
      </c>
      <c r="M814">
        <f t="shared" ref="M814" si="55">+(L814-$L$927)/$L$928</f>
        <v>0.5256289840823799</v>
      </c>
      <c r="N814">
        <f t="shared" ref="N814" si="56">+N811+M814</f>
        <v>0.64758380604758259</v>
      </c>
    </row>
    <row r="815" spans="1:14">
      <c r="A815" s="91">
        <v>11</v>
      </c>
      <c r="B815" s="86">
        <v>44571</v>
      </c>
      <c r="C815" s="87">
        <v>2022</v>
      </c>
      <c r="D815" s="88" t="s">
        <v>25</v>
      </c>
      <c r="E815" s="89">
        <v>1</v>
      </c>
      <c r="H815" s="90" t="s">
        <v>95</v>
      </c>
    </row>
    <row r="816" spans="1:14">
      <c r="A816" s="1">
        <v>12</v>
      </c>
      <c r="B816" s="73">
        <v>44566</v>
      </c>
      <c r="C816">
        <v>2022</v>
      </c>
      <c r="D816" s="4" t="s">
        <v>25</v>
      </c>
      <c r="E816" s="10">
        <v>1</v>
      </c>
      <c r="H816" s="90" t="s">
        <v>96</v>
      </c>
    </row>
    <row r="817" spans="1:8">
      <c r="A817" s="1">
        <v>13</v>
      </c>
      <c r="B817" s="73">
        <v>44566</v>
      </c>
      <c r="C817">
        <v>2022</v>
      </c>
      <c r="D817" s="4" t="s">
        <v>25</v>
      </c>
      <c r="E817" s="10">
        <v>1</v>
      </c>
      <c r="H817" s="90" t="s">
        <v>97</v>
      </c>
    </row>
    <row r="818" spans="1:8">
      <c r="A818" s="1">
        <v>11</v>
      </c>
      <c r="B818" s="71">
        <v>44593</v>
      </c>
      <c r="C818">
        <v>2022</v>
      </c>
      <c r="D818" s="4" t="s">
        <v>14</v>
      </c>
      <c r="E818" s="10">
        <v>2</v>
      </c>
    </row>
    <row r="819" spans="1:8">
      <c r="A819" s="1">
        <v>12</v>
      </c>
      <c r="B819" s="71">
        <v>44593</v>
      </c>
      <c r="C819">
        <v>2022</v>
      </c>
      <c r="D819" s="4" t="s">
        <v>14</v>
      </c>
      <c r="E819" s="10">
        <v>2</v>
      </c>
    </row>
    <row r="820" spans="1:8">
      <c r="A820" s="1">
        <v>13</v>
      </c>
      <c r="B820" s="71">
        <v>44593</v>
      </c>
      <c r="C820">
        <v>2022</v>
      </c>
      <c r="D820" s="4" t="s">
        <v>14</v>
      </c>
      <c r="E820" s="10">
        <v>2</v>
      </c>
    </row>
    <row r="821" spans="1:8">
      <c r="A821" s="1">
        <v>11</v>
      </c>
      <c r="B821" s="71">
        <v>44621</v>
      </c>
      <c r="C821">
        <v>2022</v>
      </c>
      <c r="D821" s="4" t="s">
        <v>15</v>
      </c>
      <c r="E821" s="10">
        <v>3</v>
      </c>
    </row>
    <row r="822" spans="1:8">
      <c r="A822" s="1">
        <v>12</v>
      </c>
      <c r="B822" s="71">
        <v>44621</v>
      </c>
      <c r="C822">
        <v>2022</v>
      </c>
      <c r="D822" s="4" t="s">
        <v>15</v>
      </c>
      <c r="E822" s="10">
        <v>3</v>
      </c>
    </row>
    <row r="823" spans="1:8">
      <c r="A823" s="1">
        <v>13</v>
      </c>
      <c r="B823" s="71">
        <v>44621</v>
      </c>
      <c r="C823">
        <v>2022</v>
      </c>
      <c r="D823" s="4" t="s">
        <v>15</v>
      </c>
      <c r="E823" s="10">
        <v>3</v>
      </c>
    </row>
    <row r="824" spans="1:8">
      <c r="A824" s="1">
        <v>11</v>
      </c>
      <c r="B824" s="71">
        <v>44652</v>
      </c>
      <c r="C824">
        <v>2022</v>
      </c>
      <c r="D824" s="4" t="s">
        <v>16</v>
      </c>
      <c r="E824" s="10">
        <v>4</v>
      </c>
    </row>
    <row r="825" spans="1:8">
      <c r="A825" s="1">
        <v>12</v>
      </c>
      <c r="B825" s="71">
        <v>44652</v>
      </c>
      <c r="C825">
        <v>2022</v>
      </c>
      <c r="D825" s="4" t="s">
        <v>16</v>
      </c>
      <c r="E825" s="10">
        <v>4</v>
      </c>
    </row>
    <row r="826" spans="1:8">
      <c r="A826" s="1">
        <v>13</v>
      </c>
      <c r="B826" s="71">
        <v>44652</v>
      </c>
      <c r="C826">
        <v>2022</v>
      </c>
      <c r="D826" s="4" t="s">
        <v>16</v>
      </c>
      <c r="E826" s="10">
        <v>4</v>
      </c>
    </row>
    <row r="827" spans="1:8">
      <c r="A827" s="1">
        <v>11</v>
      </c>
      <c r="B827" s="71">
        <v>44682</v>
      </c>
      <c r="C827">
        <v>2022</v>
      </c>
      <c r="D827" s="4" t="s">
        <v>17</v>
      </c>
      <c r="E827" s="10">
        <v>5</v>
      </c>
    </row>
    <row r="828" spans="1:8">
      <c r="A828" s="1">
        <v>12</v>
      </c>
      <c r="B828" s="71">
        <v>44682</v>
      </c>
      <c r="C828">
        <v>2022</v>
      </c>
      <c r="D828" s="4" t="s">
        <v>17</v>
      </c>
      <c r="E828" s="10">
        <v>5</v>
      </c>
    </row>
    <row r="829" spans="1:8">
      <c r="A829" s="1">
        <v>13</v>
      </c>
      <c r="B829" s="71">
        <v>44682</v>
      </c>
      <c r="C829">
        <v>2022</v>
      </c>
      <c r="D829" s="4" t="s">
        <v>17</v>
      </c>
      <c r="E829" s="10">
        <v>5</v>
      </c>
    </row>
    <row r="830" spans="1:8">
      <c r="A830" s="1">
        <v>11</v>
      </c>
      <c r="B830" s="71">
        <v>44713</v>
      </c>
      <c r="C830">
        <v>2022</v>
      </c>
      <c r="D830" s="4" t="s">
        <v>18</v>
      </c>
      <c r="E830" s="10">
        <v>6</v>
      </c>
    </row>
    <row r="831" spans="1:8">
      <c r="A831" s="1">
        <v>12</v>
      </c>
      <c r="B831" s="71">
        <v>44713</v>
      </c>
      <c r="C831">
        <v>2022</v>
      </c>
      <c r="D831" s="4" t="s">
        <v>18</v>
      </c>
      <c r="E831" s="10">
        <v>6</v>
      </c>
    </row>
    <row r="832" spans="1:8">
      <c r="A832" s="1">
        <v>13</v>
      </c>
      <c r="B832" s="71">
        <v>44713</v>
      </c>
      <c r="C832">
        <v>2022</v>
      </c>
      <c r="D832" s="4" t="s">
        <v>18</v>
      </c>
      <c r="E832" s="10">
        <v>6</v>
      </c>
    </row>
    <row r="833" spans="1:5">
      <c r="A833" s="1">
        <v>11</v>
      </c>
      <c r="B833" s="71">
        <v>44743</v>
      </c>
      <c r="C833">
        <v>2022</v>
      </c>
      <c r="D833" s="4" t="s">
        <v>19</v>
      </c>
      <c r="E833" s="10">
        <v>7</v>
      </c>
    </row>
    <row r="834" spans="1:5">
      <c r="A834" s="1">
        <v>12</v>
      </c>
      <c r="B834" s="71">
        <v>44743</v>
      </c>
      <c r="C834">
        <v>2022</v>
      </c>
      <c r="D834" s="4" t="s">
        <v>19</v>
      </c>
      <c r="E834" s="10">
        <v>7</v>
      </c>
    </row>
    <row r="835" spans="1:5">
      <c r="A835" s="1">
        <v>13</v>
      </c>
      <c r="B835" s="71">
        <v>44743</v>
      </c>
      <c r="C835">
        <v>2022</v>
      </c>
      <c r="D835" s="4" t="s">
        <v>19</v>
      </c>
      <c r="E835" s="10">
        <v>7</v>
      </c>
    </row>
    <row r="836" spans="1:5">
      <c r="A836" s="1">
        <v>11</v>
      </c>
      <c r="B836" s="71">
        <v>44774</v>
      </c>
      <c r="C836">
        <v>2022</v>
      </c>
      <c r="D836" s="4" t="s">
        <v>20</v>
      </c>
      <c r="E836" s="10">
        <v>8</v>
      </c>
    </row>
    <row r="837" spans="1:5">
      <c r="A837" s="1">
        <v>12</v>
      </c>
      <c r="B837" s="71">
        <v>44774</v>
      </c>
      <c r="C837">
        <v>2022</v>
      </c>
      <c r="D837" s="4" t="s">
        <v>20</v>
      </c>
      <c r="E837" s="10">
        <v>8</v>
      </c>
    </row>
    <row r="838" spans="1:5">
      <c r="A838" s="1">
        <v>13</v>
      </c>
      <c r="B838" s="71">
        <v>44774</v>
      </c>
      <c r="C838">
        <v>2022</v>
      </c>
      <c r="D838" s="4" t="s">
        <v>20</v>
      </c>
      <c r="E838" s="10">
        <v>8</v>
      </c>
    </row>
    <row r="839" spans="1:5">
      <c r="A839" s="1">
        <v>11</v>
      </c>
      <c r="B839" s="71">
        <v>44805</v>
      </c>
      <c r="C839">
        <v>2022</v>
      </c>
      <c r="D839" s="4" t="s">
        <v>26</v>
      </c>
      <c r="E839" s="10">
        <v>9</v>
      </c>
    </row>
    <row r="840" spans="1:5">
      <c r="A840" s="1">
        <v>12</v>
      </c>
      <c r="B840" s="71">
        <v>44805</v>
      </c>
      <c r="C840">
        <v>2022</v>
      </c>
      <c r="D840" s="4" t="s">
        <v>26</v>
      </c>
      <c r="E840" s="10">
        <v>9</v>
      </c>
    </row>
    <row r="841" spans="1:5">
      <c r="A841" s="1">
        <v>13</v>
      </c>
      <c r="B841" s="71">
        <v>44805</v>
      </c>
      <c r="C841">
        <v>2022</v>
      </c>
      <c r="D841" s="4" t="s">
        <v>26</v>
      </c>
      <c r="E841" s="10">
        <v>9</v>
      </c>
    </row>
    <row r="842" spans="1:5">
      <c r="A842" s="1">
        <v>11</v>
      </c>
      <c r="B842" s="71">
        <v>44835</v>
      </c>
      <c r="C842">
        <v>2022</v>
      </c>
      <c r="D842" s="4" t="s">
        <v>22</v>
      </c>
      <c r="E842" s="10">
        <v>10</v>
      </c>
    </row>
    <row r="843" spans="1:5">
      <c r="A843" s="1">
        <v>12</v>
      </c>
      <c r="B843" s="71">
        <v>44835</v>
      </c>
      <c r="C843">
        <v>2022</v>
      </c>
      <c r="D843" s="4" t="s">
        <v>22</v>
      </c>
      <c r="E843" s="10">
        <v>10</v>
      </c>
    </row>
    <row r="844" spans="1:5">
      <c r="A844" s="1">
        <v>13</v>
      </c>
      <c r="B844" s="71">
        <v>44835</v>
      </c>
      <c r="C844">
        <v>2022</v>
      </c>
      <c r="D844" s="4" t="s">
        <v>22</v>
      </c>
      <c r="E844" s="10">
        <v>10</v>
      </c>
    </row>
    <row r="845" spans="1:5">
      <c r="A845" s="1">
        <v>11</v>
      </c>
      <c r="B845" s="71">
        <v>44866</v>
      </c>
      <c r="C845">
        <v>2022</v>
      </c>
      <c r="D845" s="4" t="s">
        <v>23</v>
      </c>
      <c r="E845" s="10">
        <v>11</v>
      </c>
    </row>
    <row r="846" spans="1:5">
      <c r="A846" s="1">
        <v>12</v>
      </c>
      <c r="B846" s="71">
        <v>44866</v>
      </c>
      <c r="C846">
        <v>2022</v>
      </c>
      <c r="D846" s="4" t="s">
        <v>23</v>
      </c>
      <c r="E846" s="10">
        <v>11</v>
      </c>
    </row>
    <row r="847" spans="1:5">
      <c r="A847" s="1">
        <v>13</v>
      </c>
      <c r="B847" s="71">
        <v>44866</v>
      </c>
      <c r="C847">
        <v>2022</v>
      </c>
      <c r="D847" s="4" t="s">
        <v>23</v>
      </c>
      <c r="E847" s="10">
        <v>11</v>
      </c>
    </row>
    <row r="848" spans="1:5">
      <c r="A848" s="1">
        <v>11</v>
      </c>
      <c r="B848" s="72">
        <v>44896</v>
      </c>
      <c r="C848">
        <v>2022</v>
      </c>
      <c r="D848" s="4" t="s">
        <v>24</v>
      </c>
      <c r="E848" s="10">
        <v>12</v>
      </c>
    </row>
    <row r="849" spans="1:14">
      <c r="A849" s="1">
        <v>12</v>
      </c>
      <c r="B849" s="71">
        <v>44896</v>
      </c>
      <c r="C849">
        <v>2022</v>
      </c>
      <c r="D849" s="4" t="s">
        <v>24</v>
      </c>
      <c r="E849" s="10">
        <v>12</v>
      </c>
    </row>
    <row r="850" spans="1:14">
      <c r="A850" s="1">
        <v>13</v>
      </c>
      <c r="B850" s="71">
        <v>44896</v>
      </c>
      <c r="C850">
        <v>2022</v>
      </c>
      <c r="D850" s="4" t="s">
        <v>24</v>
      </c>
      <c r="E850" s="10">
        <v>12</v>
      </c>
    </row>
    <row r="851" spans="1:14">
      <c r="A851" s="91">
        <v>11</v>
      </c>
      <c r="B851" s="86">
        <v>44936</v>
      </c>
      <c r="C851" s="87">
        <v>2023</v>
      </c>
      <c r="D851" s="88" t="s">
        <v>25</v>
      </c>
      <c r="E851" s="89">
        <v>1</v>
      </c>
      <c r="F851" s="93">
        <v>2.1349999999999998</v>
      </c>
      <c r="G851" s="92">
        <v>9.5000000000000001E-2</v>
      </c>
    </row>
    <row r="852" spans="1:14">
      <c r="A852" s="1">
        <v>12</v>
      </c>
      <c r="B852" s="73">
        <v>44931</v>
      </c>
      <c r="C852">
        <v>2023</v>
      </c>
      <c r="D852" s="4" t="s">
        <v>25</v>
      </c>
      <c r="E852" s="10">
        <v>1</v>
      </c>
      <c r="F852" s="93">
        <v>2.1859999999999999</v>
      </c>
      <c r="G852" s="92">
        <v>9.4E-2</v>
      </c>
    </row>
    <row r="853" spans="1:14">
      <c r="A853" s="1">
        <v>13</v>
      </c>
      <c r="B853" s="73">
        <v>44931</v>
      </c>
      <c r="C853">
        <v>2023</v>
      </c>
      <c r="D853" s="4" t="s">
        <v>25</v>
      </c>
      <c r="E853" s="10">
        <v>1</v>
      </c>
      <c r="F853" s="93">
        <v>2.4020000000000001</v>
      </c>
      <c r="G853" s="92">
        <v>9.6000000000000002E-2</v>
      </c>
      <c r="I853" s="21">
        <f>AVERAGE(F851:F853)</f>
        <v>2.2410000000000001</v>
      </c>
      <c r="J853" s="21">
        <f>AVERAGE(G851:G853)</f>
        <v>9.5000000000000015E-2</v>
      </c>
      <c r="L853">
        <f>+J853/I853</f>
        <v>4.2391789379741189E-2</v>
      </c>
      <c r="M853">
        <f>+(L853-$L$927)/$L$928</f>
        <v>1.034903449941232</v>
      </c>
      <c r="N853">
        <f>+N814+M853</f>
        <v>1.6824872559888147</v>
      </c>
    </row>
    <row r="854" spans="1:14">
      <c r="A854" s="1">
        <v>11</v>
      </c>
      <c r="B854" s="71">
        <v>44958</v>
      </c>
      <c r="C854">
        <v>2023</v>
      </c>
      <c r="D854" s="4" t="s">
        <v>14</v>
      </c>
      <c r="E854" s="10">
        <v>2</v>
      </c>
      <c r="F854" s="78">
        <v>5.9160000000000004</v>
      </c>
      <c r="G854" s="78">
        <v>1.7999999999999999E-2</v>
      </c>
    </row>
    <row r="855" spans="1:14">
      <c r="A855" s="1">
        <v>12</v>
      </c>
      <c r="B855" s="71">
        <v>44958</v>
      </c>
      <c r="C855">
        <v>2023</v>
      </c>
      <c r="D855" s="4" t="s">
        <v>14</v>
      </c>
      <c r="E855" s="10">
        <v>2</v>
      </c>
      <c r="F855" s="78">
        <v>4.5199999999999996</v>
      </c>
      <c r="G855" s="78">
        <v>2.4E-2</v>
      </c>
    </row>
    <row r="856" spans="1:14">
      <c r="A856" s="1">
        <v>13</v>
      </c>
      <c r="B856" s="71">
        <v>44958</v>
      </c>
      <c r="C856">
        <v>2023</v>
      </c>
      <c r="D856" s="4" t="s">
        <v>14</v>
      </c>
      <c r="E856" s="10">
        <v>2</v>
      </c>
      <c r="F856" s="78">
        <v>1.6619999999999999</v>
      </c>
      <c r="G856" s="78">
        <v>3.7999999999999999E-2</v>
      </c>
      <c r="I856" s="21">
        <f t="shared" ref="I856:J856" si="57">AVERAGE(F854:F856)</f>
        <v>4.0326666666666666</v>
      </c>
      <c r="J856" s="21">
        <f t="shared" si="57"/>
        <v>2.6666666666666661E-2</v>
      </c>
      <c r="L856">
        <f t="shared" ref="L856" si="58">+J856/I856</f>
        <v>6.6126632501239862E-3</v>
      </c>
      <c r="M856">
        <f t="shared" ref="M856" si="59">+(L856-$L$927)/$L$928</f>
        <v>-0.55279151986748731</v>
      </c>
      <c r="N856">
        <f>+N853+M856</f>
        <v>1.1296957361213273</v>
      </c>
    </row>
    <row r="857" spans="1:14">
      <c r="A857" s="1">
        <v>11</v>
      </c>
      <c r="B857" s="71">
        <v>44986</v>
      </c>
      <c r="C857">
        <v>2023</v>
      </c>
      <c r="D857" s="4" t="s">
        <v>15</v>
      </c>
      <c r="E857" s="10">
        <v>3</v>
      </c>
      <c r="F857" s="78">
        <v>3.274</v>
      </c>
      <c r="G857" s="78">
        <v>2.7E-2</v>
      </c>
    </row>
    <row r="858" spans="1:14">
      <c r="A858" s="1">
        <v>12</v>
      </c>
      <c r="B858" s="71">
        <v>44986</v>
      </c>
      <c r="C858">
        <v>2023</v>
      </c>
      <c r="D858" s="4" t="s">
        <v>15</v>
      </c>
      <c r="E858" s="10">
        <v>3</v>
      </c>
      <c r="F858" s="78">
        <v>3.3069999999999999</v>
      </c>
      <c r="G858" s="78">
        <v>3.4000000000000002E-2</v>
      </c>
    </row>
    <row r="859" spans="1:14">
      <c r="A859" s="1">
        <v>13</v>
      </c>
      <c r="B859" s="71">
        <v>44986</v>
      </c>
      <c r="C859">
        <v>2023</v>
      </c>
      <c r="D859" s="4" t="s">
        <v>15</v>
      </c>
      <c r="E859" s="10">
        <v>3</v>
      </c>
      <c r="F859" s="78">
        <v>2.4289999999999998</v>
      </c>
      <c r="G859" s="78">
        <v>4.2000000000000003E-2</v>
      </c>
      <c r="I859" s="21">
        <f t="shared" ref="I859:J859" si="60">AVERAGE(F857:F859)</f>
        <v>3.0033333333333334</v>
      </c>
      <c r="J859" s="21">
        <f t="shared" si="60"/>
        <v>3.4333333333333334E-2</v>
      </c>
      <c r="L859">
        <f t="shared" ref="L859" si="61">+J859/I859</f>
        <v>1.1431742508324084E-2</v>
      </c>
      <c r="M859">
        <f t="shared" ref="M859" si="62">+(L859-$L$927)/$L$928</f>
        <v>-0.33894538316656025</v>
      </c>
      <c r="N859">
        <f t="shared" ref="N859" si="63">+N856+M859</f>
        <v>0.79075035295476703</v>
      </c>
    </row>
    <row r="860" spans="1:14">
      <c r="A860" s="1">
        <v>11</v>
      </c>
      <c r="B860" s="71">
        <v>45017</v>
      </c>
      <c r="C860">
        <v>2023</v>
      </c>
      <c r="D860" s="4" t="s">
        <v>16</v>
      </c>
      <c r="E860" s="10">
        <v>4</v>
      </c>
      <c r="F860" s="78">
        <v>3.097</v>
      </c>
      <c r="G860" s="78">
        <v>2.1999999999999999E-2</v>
      </c>
    </row>
    <row r="861" spans="1:14">
      <c r="A861" s="1">
        <v>12</v>
      </c>
      <c r="B861" s="71">
        <v>45017</v>
      </c>
      <c r="C861">
        <v>2023</v>
      </c>
      <c r="D861" s="4" t="s">
        <v>16</v>
      </c>
      <c r="E861" s="10">
        <v>4</v>
      </c>
      <c r="F861" s="78">
        <v>2.92</v>
      </c>
      <c r="G861" s="78">
        <v>4.2999999999999997E-2</v>
      </c>
    </row>
    <row r="862" spans="1:14">
      <c r="A862" s="1">
        <v>13</v>
      </c>
      <c r="B862" s="71">
        <v>45017</v>
      </c>
      <c r="C862">
        <v>2023</v>
      </c>
      <c r="D862" s="4" t="s">
        <v>16</v>
      </c>
      <c r="E862" s="10">
        <v>4</v>
      </c>
      <c r="F862" s="78">
        <v>2.7730000000000001</v>
      </c>
      <c r="G862" s="78">
        <v>4.7E-2</v>
      </c>
      <c r="I862" s="21">
        <f t="shared" ref="I862:J862" si="64">AVERAGE(F860:F862)</f>
        <v>2.9299999999999997</v>
      </c>
      <c r="J862" s="21">
        <f t="shared" si="64"/>
        <v>3.7333333333333336E-2</v>
      </c>
      <c r="L862">
        <f t="shared" ref="L862" si="65">+J862/I862</f>
        <v>1.2741751990898751E-2</v>
      </c>
      <c r="M862">
        <f t="shared" ref="M862" si="66">+(L862-$L$927)/$L$928</f>
        <v>-0.28081384975932516</v>
      </c>
      <c r="N862">
        <f t="shared" ref="N862" si="67">+N859+M862</f>
        <v>0.50993650319544193</v>
      </c>
    </row>
    <row r="863" spans="1:14">
      <c r="A863" s="1">
        <v>11</v>
      </c>
      <c r="B863" s="71">
        <v>45047</v>
      </c>
      <c r="C863">
        <v>2023</v>
      </c>
      <c r="D863" s="4" t="s">
        <v>17</v>
      </c>
      <c r="E863" s="10">
        <v>5</v>
      </c>
      <c r="F863" s="78">
        <v>4.18</v>
      </c>
      <c r="G863" s="94">
        <v>2.3E-2</v>
      </c>
    </row>
    <row r="864" spans="1:14">
      <c r="A864" s="1">
        <v>12</v>
      </c>
      <c r="B864" s="71">
        <v>45047</v>
      </c>
      <c r="C864">
        <v>2023</v>
      </c>
      <c r="D864" s="4" t="s">
        <v>17</v>
      </c>
      <c r="E864" s="10">
        <v>5</v>
      </c>
      <c r="F864" s="78">
        <v>6.6950000000000003</v>
      </c>
      <c r="G864" s="94">
        <v>6.6000000000000003E-2</v>
      </c>
    </row>
    <row r="865" spans="1:14">
      <c r="A865" s="1">
        <v>13</v>
      </c>
      <c r="B865" s="71">
        <v>45047</v>
      </c>
      <c r="C865">
        <v>2023</v>
      </c>
      <c r="D865" s="4" t="s">
        <v>17</v>
      </c>
      <c r="E865" s="10">
        <v>5</v>
      </c>
      <c r="F865" s="78">
        <v>6.1070000000000002</v>
      </c>
      <c r="G865" s="94">
        <v>5.3999999999999999E-2</v>
      </c>
      <c r="I865" s="21">
        <f t="shared" ref="I865:J865" si="68">AVERAGE(F863:F865)</f>
        <v>5.6606666666666667</v>
      </c>
      <c r="J865" s="21">
        <f t="shared" si="68"/>
        <v>4.7666666666666663E-2</v>
      </c>
      <c r="L865">
        <f t="shared" ref="L865" si="69">+J865/I865</f>
        <v>8.4206807207631608E-3</v>
      </c>
      <c r="M865">
        <f t="shared" ref="M865" si="70">+(L865-$L$927)/$L$928</f>
        <v>-0.47256093421648959</v>
      </c>
      <c r="N865">
        <f t="shared" ref="N865" si="71">+N862+M865</f>
        <v>3.7375568978952334E-2</v>
      </c>
    </row>
    <row r="866" spans="1:14">
      <c r="A866" s="1">
        <v>11</v>
      </c>
      <c r="B866" s="71">
        <v>45078</v>
      </c>
      <c r="C866">
        <v>2023</v>
      </c>
      <c r="D866" s="4" t="s">
        <v>18</v>
      </c>
      <c r="E866" s="10">
        <v>6</v>
      </c>
      <c r="F866" s="78">
        <v>4.3869999999999996</v>
      </c>
      <c r="G866" s="94">
        <v>3.9E-2</v>
      </c>
    </row>
    <row r="867" spans="1:14">
      <c r="A867" s="1">
        <v>12</v>
      </c>
      <c r="B867" s="71">
        <v>45078</v>
      </c>
      <c r="C867">
        <v>2023</v>
      </c>
      <c r="D867" s="4" t="s">
        <v>18</v>
      </c>
      <c r="E867" s="10">
        <v>6</v>
      </c>
      <c r="F867" s="78">
        <v>5.0940000000000003</v>
      </c>
      <c r="G867" s="94">
        <v>0.105</v>
      </c>
    </row>
    <row r="868" spans="1:14">
      <c r="A868" s="1">
        <v>13</v>
      </c>
      <c r="B868" s="71">
        <v>45078</v>
      </c>
      <c r="C868">
        <v>2023</v>
      </c>
      <c r="D868" s="4" t="s">
        <v>18</v>
      </c>
      <c r="E868" s="10">
        <v>6</v>
      </c>
      <c r="F868" s="78">
        <v>6.2880000000000003</v>
      </c>
      <c r="G868" s="94">
        <v>0.246</v>
      </c>
      <c r="I868" s="21">
        <f t="shared" ref="I868:J868" si="72">AVERAGE(F866:F868)</f>
        <v>5.2563333333333331</v>
      </c>
      <c r="J868" s="21">
        <f t="shared" si="72"/>
        <v>0.13</v>
      </c>
      <c r="L868">
        <f t="shared" ref="L868" si="73">+J868/I868</f>
        <v>2.47320692497939E-2</v>
      </c>
      <c r="M868">
        <f t="shared" ref="M868" si="74">+(L868-$L$927)/$L$928</f>
        <v>0.25125522116748267</v>
      </c>
      <c r="N868">
        <f t="shared" ref="N868" si="75">+N865+M868</f>
        <v>0.288630790146435</v>
      </c>
    </row>
    <row r="869" spans="1:14">
      <c r="A869" s="1">
        <v>11</v>
      </c>
      <c r="B869" s="71">
        <v>45108</v>
      </c>
      <c r="C869">
        <v>2023</v>
      </c>
      <c r="D869" s="4" t="s">
        <v>19</v>
      </c>
      <c r="E869" s="10">
        <v>7</v>
      </c>
      <c r="F869" s="78">
        <v>8.6859999999999999</v>
      </c>
      <c r="G869" s="94">
        <v>0.189</v>
      </c>
    </row>
    <row r="870" spans="1:14">
      <c r="A870" s="1">
        <v>12</v>
      </c>
      <c r="B870" s="71">
        <v>45108</v>
      </c>
      <c r="C870">
        <v>2023</v>
      </c>
      <c r="D870" s="4" t="s">
        <v>19</v>
      </c>
      <c r="E870" s="10">
        <v>7</v>
      </c>
      <c r="F870" s="78">
        <v>9.9160000000000004</v>
      </c>
      <c r="G870" s="94">
        <v>0.193</v>
      </c>
    </row>
    <row r="871" spans="1:14">
      <c r="A871" s="1">
        <v>13</v>
      </c>
      <c r="B871" s="71">
        <v>45108</v>
      </c>
      <c r="C871">
        <v>2023</v>
      </c>
      <c r="D871" s="4" t="s">
        <v>19</v>
      </c>
      <c r="E871" s="10">
        <v>7</v>
      </c>
      <c r="F871" s="78">
        <v>9.5730000000000004</v>
      </c>
      <c r="G871" s="94">
        <v>0.34599999999999997</v>
      </c>
      <c r="I871" s="21">
        <f t="shared" ref="I871:J871" si="76">AVERAGE(F869:F871)</f>
        <v>9.3916666666666675</v>
      </c>
      <c r="J871" s="21">
        <f t="shared" si="76"/>
        <v>0.24266666666666667</v>
      </c>
      <c r="L871">
        <f t="shared" ref="L871" si="77">+J871/I871</f>
        <v>2.5838509316770186E-2</v>
      </c>
      <c r="M871">
        <f t="shared" ref="M871" si="78">+(L871-$L$927)/$L$928</f>
        <v>0.30035338310606952</v>
      </c>
      <c r="N871">
        <f t="shared" ref="N871" si="79">+N868+M871</f>
        <v>0.58898417325250452</v>
      </c>
    </row>
    <row r="872" spans="1:14">
      <c r="A872" s="1">
        <v>11</v>
      </c>
      <c r="B872" s="71">
        <v>45139</v>
      </c>
      <c r="C872">
        <v>2023</v>
      </c>
      <c r="D872" s="4" t="s">
        <v>20</v>
      </c>
      <c r="E872" s="10">
        <v>8</v>
      </c>
      <c r="F872" s="78">
        <v>5.7679999999999998</v>
      </c>
      <c r="G872" s="94">
        <v>8.7999999999999995E-2</v>
      </c>
    </row>
    <row r="873" spans="1:14">
      <c r="A873" s="1">
        <v>12</v>
      </c>
      <c r="B873" s="71">
        <v>45139</v>
      </c>
      <c r="C873">
        <v>2023</v>
      </c>
      <c r="D873" s="4" t="s">
        <v>20</v>
      </c>
      <c r="E873" s="10">
        <v>8</v>
      </c>
      <c r="F873" s="78">
        <v>7.024</v>
      </c>
      <c r="G873" s="94">
        <v>4.9000000000000002E-2</v>
      </c>
    </row>
    <row r="874" spans="1:14">
      <c r="A874" s="1">
        <v>13</v>
      </c>
      <c r="B874" s="71">
        <v>45139</v>
      </c>
      <c r="C874">
        <v>2023</v>
      </c>
      <c r="D874" s="4" t="s">
        <v>20</v>
      </c>
      <c r="E874" s="10">
        <v>8</v>
      </c>
      <c r="F874" s="78">
        <v>10.022</v>
      </c>
      <c r="G874" s="94">
        <v>0.14199999999999999</v>
      </c>
      <c r="I874" s="21">
        <f t="shared" ref="I874:J874" si="80">AVERAGE(F872:F874)</f>
        <v>7.6046666666666667</v>
      </c>
      <c r="J874" s="21">
        <f t="shared" si="80"/>
        <v>9.3000000000000013E-2</v>
      </c>
      <c r="L874">
        <f t="shared" ref="L874" si="81">+J874/I874</f>
        <v>1.2229332865784169E-2</v>
      </c>
      <c r="M874">
        <f t="shared" ref="M874" si="82">+(L874-$L$927)/$L$928</f>
        <v>-0.30355239469837425</v>
      </c>
      <c r="N874">
        <f t="shared" ref="N874" si="83">+N871+M874</f>
        <v>0.28543177855413027</v>
      </c>
    </row>
    <row r="875" spans="1:14">
      <c r="A875" s="1">
        <v>11</v>
      </c>
      <c r="B875" s="71">
        <v>45170</v>
      </c>
      <c r="C875">
        <v>2023</v>
      </c>
      <c r="D875" s="4" t="s">
        <v>26</v>
      </c>
      <c r="E875" s="10">
        <v>9</v>
      </c>
      <c r="F875" s="78">
        <v>1.7250000000000001</v>
      </c>
      <c r="G875" s="94">
        <v>3.6999999999999998E-2</v>
      </c>
    </row>
    <row r="876" spans="1:14">
      <c r="A876" s="1">
        <v>12</v>
      </c>
      <c r="B876" s="71">
        <v>45170</v>
      </c>
      <c r="C876">
        <v>2023</v>
      </c>
      <c r="D876" s="4" t="s">
        <v>26</v>
      </c>
      <c r="E876" s="10">
        <v>9</v>
      </c>
      <c r="F876" s="78">
        <v>2.2709999999999999</v>
      </c>
      <c r="G876" s="94">
        <v>3.5999999999999997E-2</v>
      </c>
    </row>
    <row r="877" spans="1:14">
      <c r="A877" s="1">
        <v>13</v>
      </c>
      <c r="B877" s="71">
        <v>45170</v>
      </c>
      <c r="C877">
        <v>2023</v>
      </c>
      <c r="D877" s="4" t="s">
        <v>26</v>
      </c>
      <c r="E877" s="10">
        <v>9</v>
      </c>
      <c r="F877" s="78">
        <v>2.9049999999999998</v>
      </c>
      <c r="G877" s="94">
        <v>2.5999999999999999E-2</v>
      </c>
      <c r="I877" s="21">
        <f t="shared" ref="I877:J877" si="84">AVERAGE(F875:F877)</f>
        <v>2.3003333333333331</v>
      </c>
      <c r="J877" s="21">
        <f t="shared" si="84"/>
        <v>3.2999999999999995E-2</v>
      </c>
      <c r="L877">
        <f t="shared" ref="L877" si="85">+J877/I877</f>
        <v>1.4345746993189391E-2</v>
      </c>
      <c r="M877">
        <f t="shared" ref="M877" si="86">+(L877-$L$927)/$L$928</f>
        <v>-0.20963673974525168</v>
      </c>
      <c r="N877">
        <f t="shared" ref="N877" si="87">+N874+M877</f>
        <v>7.5795038808878584E-2</v>
      </c>
    </row>
    <row r="878" spans="1:14">
      <c r="A878" s="1">
        <v>11</v>
      </c>
      <c r="B878" s="71">
        <v>45200</v>
      </c>
      <c r="C878">
        <v>2023</v>
      </c>
      <c r="D878" s="4" t="s">
        <v>22</v>
      </c>
      <c r="E878" s="10">
        <v>10</v>
      </c>
      <c r="F878" s="78">
        <v>3.6230000000000002</v>
      </c>
      <c r="G878" s="94">
        <v>5.1999999999999998E-2</v>
      </c>
    </row>
    <row r="879" spans="1:14">
      <c r="A879" s="1">
        <v>12</v>
      </c>
      <c r="B879" s="71">
        <v>45200</v>
      </c>
      <c r="C879">
        <v>2023</v>
      </c>
      <c r="D879" s="4" t="s">
        <v>22</v>
      </c>
      <c r="E879" s="10">
        <v>10</v>
      </c>
      <c r="F879" s="78">
        <v>1.3759999999999999</v>
      </c>
      <c r="G879" s="94">
        <v>9.9989999999999996E-4</v>
      </c>
    </row>
    <row r="880" spans="1:14">
      <c r="A880" s="1">
        <v>13</v>
      </c>
      <c r="B880" s="71">
        <v>45200</v>
      </c>
      <c r="C880">
        <v>2023</v>
      </c>
      <c r="D880" s="4" t="s">
        <v>22</v>
      </c>
      <c r="E880" s="10">
        <v>10</v>
      </c>
      <c r="F880" s="78">
        <v>1.7110000000000001</v>
      </c>
      <c r="G880" s="94">
        <v>9.9989999999999996E-4</v>
      </c>
      <c r="I880" s="21">
        <f t="shared" ref="I880:J880" si="88">AVERAGE(F878:F880)</f>
        <v>2.2366666666666668</v>
      </c>
      <c r="J880" s="21">
        <f t="shared" si="88"/>
        <v>1.7999933333333332E-2</v>
      </c>
      <c r="L880">
        <f t="shared" ref="L880" si="89">+J880/I880</f>
        <v>8.0476602086438139E-3</v>
      </c>
      <c r="M880">
        <f t="shared" ref="M880" si="90">+(L880-$L$927)/$L$928</f>
        <v>-0.48911368032274832</v>
      </c>
      <c r="N880">
        <f t="shared" ref="N880" si="91">+N877+M880</f>
        <v>-0.41331864151386977</v>
      </c>
    </row>
    <row r="881" spans="1:14">
      <c r="A881" s="1">
        <v>11</v>
      </c>
      <c r="B881" s="71">
        <v>45231</v>
      </c>
      <c r="C881">
        <v>2023</v>
      </c>
      <c r="D881" s="4" t="s">
        <v>23</v>
      </c>
      <c r="E881" s="10">
        <v>11</v>
      </c>
      <c r="F881" s="78">
        <v>4.5209999999999999</v>
      </c>
      <c r="G881" s="94">
        <v>0.29199999999999998</v>
      </c>
    </row>
    <row r="882" spans="1:14">
      <c r="A882" s="1">
        <v>12</v>
      </c>
      <c r="B882" s="71">
        <v>45231</v>
      </c>
      <c r="C882">
        <v>2023</v>
      </c>
      <c r="D882" s="4" t="s">
        <v>23</v>
      </c>
      <c r="E882" s="10">
        <v>11</v>
      </c>
      <c r="F882" s="78">
        <v>2.919</v>
      </c>
      <c r="G882" s="94">
        <v>0.16800000000000001</v>
      </c>
    </row>
    <row r="883" spans="1:14">
      <c r="A883" s="1">
        <v>13</v>
      </c>
      <c r="B883" s="71">
        <v>45231</v>
      </c>
      <c r="C883">
        <v>2023</v>
      </c>
      <c r="D883" s="4" t="s">
        <v>23</v>
      </c>
      <c r="E883" s="10">
        <v>11</v>
      </c>
      <c r="F883" s="78">
        <v>3.2759999999999998</v>
      </c>
      <c r="G883" s="94">
        <v>0.151</v>
      </c>
      <c r="I883" s="21">
        <f t="shared" ref="I883:J883" si="92">AVERAGE(F881:F883)</f>
        <v>3.5719999999999996</v>
      </c>
      <c r="J883" s="21">
        <f t="shared" si="92"/>
        <v>0.20366666666666666</v>
      </c>
      <c r="L883">
        <f t="shared" ref="L883" si="93">+J883/I883</f>
        <v>5.7017543859649127E-2</v>
      </c>
      <c r="M883">
        <f t="shared" ref="M883" si="94">+(L883-$L$927)/$L$928</f>
        <v>1.6839197711695226</v>
      </c>
      <c r="N883">
        <f t="shared" ref="N883" si="95">+N880+M883</f>
        <v>1.270601129655653</v>
      </c>
    </row>
    <row r="884" spans="1:14">
      <c r="A884" s="1">
        <v>11</v>
      </c>
      <c r="B884" s="72">
        <v>45261</v>
      </c>
      <c r="C884">
        <v>2023</v>
      </c>
      <c r="D884" s="4" t="s">
        <v>24</v>
      </c>
      <c r="E884" s="10">
        <v>12</v>
      </c>
      <c r="F884" s="78">
        <v>1.452</v>
      </c>
      <c r="G884" s="94">
        <v>2.1999999999999999E-2</v>
      </c>
    </row>
    <row r="885" spans="1:14">
      <c r="A885" s="1">
        <v>12</v>
      </c>
      <c r="B885" s="71">
        <v>45261</v>
      </c>
      <c r="C885">
        <v>2023</v>
      </c>
      <c r="D885" s="4" t="s">
        <v>24</v>
      </c>
      <c r="E885" s="10">
        <v>12</v>
      </c>
      <c r="F885" s="78">
        <v>1.127</v>
      </c>
      <c r="G885" s="94">
        <v>2.1000000000000001E-2</v>
      </c>
    </row>
    <row r="886" spans="1:14">
      <c r="A886" s="1">
        <v>13</v>
      </c>
      <c r="B886" s="71">
        <v>45261</v>
      </c>
      <c r="C886">
        <v>2023</v>
      </c>
      <c r="D886" s="4" t="s">
        <v>24</v>
      </c>
      <c r="E886" s="10">
        <v>12</v>
      </c>
      <c r="F886" s="78">
        <v>1.2290000000000001</v>
      </c>
      <c r="G886" s="94">
        <v>1.7999999999999999E-2</v>
      </c>
      <c r="I886" s="21">
        <f t="shared" ref="I886:J886" si="96">AVERAGE(F884:F886)</f>
        <v>1.2693333333333332</v>
      </c>
      <c r="J886" s="21">
        <f t="shared" si="96"/>
        <v>2.0333333333333332E-2</v>
      </c>
      <c r="L886">
        <f t="shared" ref="L886" si="97">+J886/I886</f>
        <v>1.6018907563025212E-2</v>
      </c>
      <c r="M886">
        <f t="shared" ref="M886" si="98">+(L886-$L$927)/$L$928</f>
        <v>-0.13539041492482365</v>
      </c>
      <c r="N886">
        <f t="shared" ref="N886" si="99">+N883+M886</f>
        <v>1.1352107147308292</v>
      </c>
    </row>
    <row r="887" spans="1:14">
      <c r="A887" s="91">
        <v>11</v>
      </c>
      <c r="B887" s="86">
        <v>45292</v>
      </c>
      <c r="C887" s="87">
        <v>2024</v>
      </c>
      <c r="D887" s="88" t="s">
        <v>25</v>
      </c>
      <c r="E887" s="89">
        <v>1</v>
      </c>
      <c r="F887" s="78">
        <v>0.82899999999999996</v>
      </c>
      <c r="G887" s="94">
        <v>9.9989999999999996E-4</v>
      </c>
    </row>
    <row r="888" spans="1:14">
      <c r="A888" s="1">
        <v>12</v>
      </c>
      <c r="B888" s="73">
        <v>45292</v>
      </c>
      <c r="C888">
        <v>2024</v>
      </c>
      <c r="D888" s="4" t="s">
        <v>25</v>
      </c>
      <c r="E888" s="10">
        <v>1</v>
      </c>
      <c r="F888" s="78">
        <v>1.4950000000000001</v>
      </c>
      <c r="G888" s="94">
        <v>1.0999999999999999E-2</v>
      </c>
    </row>
    <row r="889" spans="1:14">
      <c r="A889" s="1">
        <v>13</v>
      </c>
      <c r="B889" s="73">
        <v>45292</v>
      </c>
      <c r="C889">
        <v>2024</v>
      </c>
      <c r="D889" s="4" t="s">
        <v>25</v>
      </c>
      <c r="E889" s="10">
        <v>1</v>
      </c>
      <c r="F889" s="78">
        <v>3.0529999999999999</v>
      </c>
      <c r="G889" s="94">
        <v>3.1E-2</v>
      </c>
      <c r="I889" s="21">
        <f t="shared" ref="I889:J889" si="100">AVERAGE(F887:F889)</f>
        <v>1.7923333333333333</v>
      </c>
      <c r="J889" s="21">
        <f t="shared" si="100"/>
        <v>1.43333E-2</v>
      </c>
      <c r="L889">
        <f t="shared" ref="L889" si="101">+J889/I889</f>
        <v>7.9970057652966331E-3</v>
      </c>
      <c r="M889">
        <f t="shared" ref="M889" si="102">+(L889-$L$927)/$L$928</f>
        <v>-0.49136146593409691</v>
      </c>
      <c r="N889">
        <f t="shared" ref="N889" si="103">+N886+M889</f>
        <v>0.64384924879673233</v>
      </c>
    </row>
    <row r="890" spans="1:14">
      <c r="A890" s="1">
        <v>11</v>
      </c>
      <c r="B890" s="71">
        <v>45323</v>
      </c>
      <c r="C890">
        <v>2024</v>
      </c>
      <c r="D890" s="4" t="s">
        <v>14</v>
      </c>
      <c r="E890" s="10">
        <v>2</v>
      </c>
    </row>
    <row r="891" spans="1:14">
      <c r="A891" s="1">
        <v>12</v>
      </c>
      <c r="B891" s="71">
        <v>45323</v>
      </c>
      <c r="C891">
        <v>2024</v>
      </c>
      <c r="D891" s="4" t="s">
        <v>14</v>
      </c>
      <c r="E891" s="10">
        <v>2</v>
      </c>
    </row>
    <row r="892" spans="1:14">
      <c r="A892" s="1">
        <v>13</v>
      </c>
      <c r="B892" s="71">
        <v>45323</v>
      </c>
      <c r="C892">
        <v>2024</v>
      </c>
      <c r="D892" s="4" t="s">
        <v>14</v>
      </c>
      <c r="E892" s="10">
        <v>2</v>
      </c>
      <c r="I892" s="21"/>
      <c r="J892" s="21"/>
    </row>
    <row r="893" spans="1:14">
      <c r="A893" s="1">
        <v>11</v>
      </c>
      <c r="B893" s="71">
        <v>45352</v>
      </c>
      <c r="C893">
        <v>2024</v>
      </c>
      <c r="D893" s="4" t="s">
        <v>15</v>
      </c>
      <c r="E893" s="10">
        <v>3</v>
      </c>
      <c r="F893" s="78">
        <v>0.95699999999999996</v>
      </c>
      <c r="G893" s="94">
        <v>1.9E-2</v>
      </c>
    </row>
    <row r="894" spans="1:14">
      <c r="A894" s="1">
        <v>12</v>
      </c>
      <c r="B894" s="71">
        <v>45352</v>
      </c>
      <c r="C894">
        <v>2024</v>
      </c>
      <c r="D894" s="4" t="s">
        <v>15</v>
      </c>
      <c r="E894" s="10">
        <v>3</v>
      </c>
      <c r="F894" s="78">
        <v>1.077</v>
      </c>
      <c r="G894" s="94">
        <v>8.0000000000000002E-3</v>
      </c>
    </row>
    <row r="895" spans="1:14">
      <c r="A895" s="1">
        <v>13</v>
      </c>
      <c r="B895" s="71">
        <v>45352</v>
      </c>
      <c r="C895">
        <v>2024</v>
      </c>
      <c r="D895" s="4" t="s">
        <v>15</v>
      </c>
      <c r="E895" s="10">
        <v>3</v>
      </c>
      <c r="F895" s="78">
        <v>1.827</v>
      </c>
      <c r="G895" s="94">
        <v>1.7999999999999999E-2</v>
      </c>
      <c r="I895" s="21">
        <f t="shared" ref="I895:J895" si="104">AVERAGE(F893:F895)</f>
        <v>1.2869999999999999</v>
      </c>
      <c r="J895" s="21">
        <f t="shared" si="104"/>
        <v>1.4999999999999999E-2</v>
      </c>
      <c r="L895">
        <f t="shared" ref="L895" si="105">+J895/I895</f>
        <v>1.1655011655011656E-2</v>
      </c>
      <c r="M895">
        <f t="shared" ref="M895" si="106">+(L895-$L$927)/$L$928</f>
        <v>-0.32903783819675986</v>
      </c>
      <c r="N895">
        <f>+N889+M895</f>
        <v>0.31481141059997247</v>
      </c>
    </row>
    <row r="896" spans="1:14">
      <c r="A896" s="1">
        <v>11</v>
      </c>
      <c r="B896" s="71">
        <v>45383</v>
      </c>
      <c r="C896">
        <v>2024</v>
      </c>
      <c r="D896" s="4" t="s">
        <v>16</v>
      </c>
      <c r="E896" s="10">
        <v>4</v>
      </c>
      <c r="F896" s="78">
        <v>4.2469999999999999</v>
      </c>
      <c r="G896" s="94">
        <v>5.5E-2</v>
      </c>
    </row>
    <row r="897" spans="1:14">
      <c r="A897" s="1">
        <v>12</v>
      </c>
      <c r="B897" s="71">
        <v>45383</v>
      </c>
      <c r="C897">
        <v>2024</v>
      </c>
      <c r="D897" s="4" t="s">
        <v>16</v>
      </c>
      <c r="E897" s="10">
        <v>4</v>
      </c>
      <c r="F897" s="78">
        <v>5.33</v>
      </c>
      <c r="G897" s="94">
        <v>4.9000000000000002E-2</v>
      </c>
    </row>
    <row r="898" spans="1:14">
      <c r="A898" s="1">
        <v>13</v>
      </c>
      <c r="B898" s="71">
        <v>45383</v>
      </c>
      <c r="C898">
        <v>2024</v>
      </c>
      <c r="D898" s="4" t="s">
        <v>16</v>
      </c>
      <c r="E898" s="10">
        <v>4</v>
      </c>
      <c r="F898" s="78">
        <v>4.0339999999999998</v>
      </c>
      <c r="G898" s="94">
        <v>5.8999999999999997E-2</v>
      </c>
      <c r="I898" s="21">
        <f t="shared" ref="I898:J898" si="107">AVERAGE(F896:F898)</f>
        <v>4.5369999999999999</v>
      </c>
      <c r="J898" s="21">
        <f t="shared" si="107"/>
        <v>5.4333333333333338E-2</v>
      </c>
      <c r="L898">
        <f t="shared" ref="L898" si="108">+J898/I898</f>
        <v>1.1975607964146647E-2</v>
      </c>
      <c r="M898">
        <f t="shared" ref="M898" si="109">+(L898-$L$927)/$L$928</f>
        <v>-0.31481141060015294</v>
      </c>
      <c r="N898">
        <f t="shared" ref="N898" si="110">+N895+M898</f>
        <v>-1.804667526528192E-13</v>
      </c>
    </row>
    <row r="899" spans="1:14">
      <c r="A899" s="1">
        <v>11</v>
      </c>
      <c r="B899" s="71">
        <v>45413</v>
      </c>
      <c r="C899">
        <v>2024</v>
      </c>
      <c r="D899" s="4" t="s">
        <v>17</v>
      </c>
      <c r="E899" s="10">
        <v>5</v>
      </c>
    </row>
    <row r="900" spans="1:14">
      <c r="A900" s="1">
        <v>12</v>
      </c>
      <c r="B900" s="71">
        <v>45413</v>
      </c>
      <c r="C900">
        <v>2024</v>
      </c>
      <c r="D900" s="4" t="s">
        <v>17</v>
      </c>
      <c r="E900" s="10">
        <v>5</v>
      </c>
    </row>
    <row r="901" spans="1:14">
      <c r="A901" s="1">
        <v>13</v>
      </c>
      <c r="B901" s="71">
        <v>45413</v>
      </c>
      <c r="C901">
        <v>2024</v>
      </c>
      <c r="D901" s="4" t="s">
        <v>17</v>
      </c>
      <c r="E901" s="10">
        <v>5</v>
      </c>
    </row>
    <row r="902" spans="1:14">
      <c r="A902" s="1">
        <v>11</v>
      </c>
      <c r="B902" s="71">
        <v>45444</v>
      </c>
      <c r="C902">
        <v>2024</v>
      </c>
      <c r="D902" s="4" t="s">
        <v>18</v>
      </c>
      <c r="E902" s="10">
        <v>6</v>
      </c>
      <c r="H902" s="90" t="s">
        <v>93</v>
      </c>
    </row>
    <row r="903" spans="1:14">
      <c r="A903" s="1">
        <v>12</v>
      </c>
      <c r="B903" s="71">
        <v>45444</v>
      </c>
      <c r="C903">
        <v>2024</v>
      </c>
      <c r="D903" s="4" t="s">
        <v>18</v>
      </c>
      <c r="E903" s="10">
        <v>6</v>
      </c>
      <c r="H903" s="90" t="s">
        <v>94</v>
      </c>
    </row>
    <row r="904" spans="1:14">
      <c r="A904" s="1">
        <v>13</v>
      </c>
      <c r="B904" s="71">
        <v>45444</v>
      </c>
      <c r="C904">
        <v>2024</v>
      </c>
      <c r="D904" s="4" t="s">
        <v>18</v>
      </c>
      <c r="E904" s="10">
        <v>6</v>
      </c>
    </row>
    <row r="905" spans="1:14">
      <c r="A905" s="1">
        <v>11</v>
      </c>
      <c r="B905" s="71">
        <v>45474</v>
      </c>
      <c r="C905">
        <v>2024</v>
      </c>
      <c r="D905" s="4" t="s">
        <v>19</v>
      </c>
      <c r="E905" s="10">
        <v>7</v>
      </c>
    </row>
    <row r="906" spans="1:14">
      <c r="A906" s="1">
        <v>12</v>
      </c>
      <c r="B906" s="71">
        <v>45474</v>
      </c>
      <c r="C906">
        <v>2024</v>
      </c>
      <c r="D906" s="4" t="s">
        <v>19</v>
      </c>
      <c r="E906" s="10">
        <v>7</v>
      </c>
    </row>
    <row r="907" spans="1:14">
      <c r="A907" s="1">
        <v>13</v>
      </c>
      <c r="B907" s="71">
        <v>45474</v>
      </c>
      <c r="C907">
        <v>2024</v>
      </c>
      <c r="D907" s="4" t="s">
        <v>19</v>
      </c>
      <c r="E907" s="10">
        <v>7</v>
      </c>
    </row>
    <row r="908" spans="1:14">
      <c r="A908" s="1">
        <v>11</v>
      </c>
      <c r="B908" s="71">
        <v>45505</v>
      </c>
      <c r="C908">
        <v>2024</v>
      </c>
      <c r="D908" s="4" t="s">
        <v>20</v>
      </c>
      <c r="E908" s="10">
        <v>8</v>
      </c>
    </row>
    <row r="909" spans="1:14">
      <c r="A909" s="1">
        <v>12</v>
      </c>
      <c r="B909" s="71">
        <v>45505</v>
      </c>
      <c r="C909">
        <v>2024</v>
      </c>
      <c r="D909" s="4" t="s">
        <v>20</v>
      </c>
      <c r="E909" s="10">
        <v>8</v>
      </c>
    </row>
    <row r="910" spans="1:14">
      <c r="A910" s="1">
        <v>13</v>
      </c>
      <c r="B910" s="71">
        <v>45505</v>
      </c>
      <c r="C910">
        <v>2024</v>
      </c>
      <c r="D910" s="4" t="s">
        <v>20</v>
      </c>
      <c r="E910" s="10">
        <v>8</v>
      </c>
    </row>
    <row r="911" spans="1:14">
      <c r="A911" s="1">
        <v>11</v>
      </c>
      <c r="B911" s="71">
        <v>45536</v>
      </c>
      <c r="C911">
        <v>2024</v>
      </c>
      <c r="D911" s="4" t="s">
        <v>26</v>
      </c>
      <c r="E911" s="10">
        <v>9</v>
      </c>
    </row>
    <row r="912" spans="1:14">
      <c r="A912" s="1">
        <v>12</v>
      </c>
      <c r="B912" s="71">
        <v>45536</v>
      </c>
      <c r="C912">
        <v>2024</v>
      </c>
      <c r="D912" s="4" t="s">
        <v>26</v>
      </c>
      <c r="E912" s="10">
        <v>9</v>
      </c>
    </row>
    <row r="913" spans="1:12">
      <c r="A913" s="1">
        <v>13</v>
      </c>
      <c r="B913" s="71">
        <v>45536</v>
      </c>
      <c r="C913">
        <v>2024</v>
      </c>
      <c r="D913" s="4" t="s">
        <v>26</v>
      </c>
      <c r="E913" s="10">
        <v>9</v>
      </c>
    </row>
    <row r="914" spans="1:12">
      <c r="A914" s="1">
        <v>11</v>
      </c>
      <c r="B914" s="71">
        <v>45566</v>
      </c>
      <c r="C914">
        <v>2024</v>
      </c>
      <c r="D914" s="4" t="s">
        <v>22</v>
      </c>
      <c r="E914" s="10">
        <v>10</v>
      </c>
    </row>
    <row r="915" spans="1:12">
      <c r="A915" s="1">
        <v>12</v>
      </c>
      <c r="B915" s="71">
        <v>45566</v>
      </c>
      <c r="C915">
        <v>2024</v>
      </c>
      <c r="D915" s="4" t="s">
        <v>22</v>
      </c>
      <c r="E915" s="10">
        <v>10</v>
      </c>
    </row>
    <row r="916" spans="1:12">
      <c r="A916" s="1">
        <v>13</v>
      </c>
      <c r="B916" s="71">
        <v>45566</v>
      </c>
      <c r="C916">
        <v>2024</v>
      </c>
      <c r="D916" s="4" t="s">
        <v>22</v>
      </c>
      <c r="E916" s="10">
        <v>10</v>
      </c>
    </row>
    <row r="917" spans="1:12">
      <c r="A917" s="1">
        <v>11</v>
      </c>
      <c r="B917" s="71">
        <v>45597</v>
      </c>
      <c r="C917">
        <v>2024</v>
      </c>
      <c r="D917" s="4" t="s">
        <v>23</v>
      </c>
      <c r="E917" s="10">
        <v>11</v>
      </c>
    </row>
    <row r="918" spans="1:12">
      <c r="A918" s="1">
        <v>12</v>
      </c>
      <c r="B918" s="71">
        <v>45597</v>
      </c>
      <c r="C918">
        <v>2024</v>
      </c>
      <c r="D918" s="4" t="s">
        <v>23</v>
      </c>
      <c r="E918" s="10">
        <v>11</v>
      </c>
    </row>
    <row r="919" spans="1:12">
      <c r="A919" s="1">
        <v>13</v>
      </c>
      <c r="B919" s="71">
        <v>45597</v>
      </c>
      <c r="C919">
        <v>2024</v>
      </c>
      <c r="D919" s="4" t="s">
        <v>23</v>
      </c>
      <c r="E919" s="10">
        <v>11</v>
      </c>
    </row>
    <row r="920" spans="1:12">
      <c r="A920" s="1">
        <v>11</v>
      </c>
      <c r="B920" s="72">
        <v>45627</v>
      </c>
      <c r="C920">
        <v>2024</v>
      </c>
      <c r="D920" s="4" t="s">
        <v>24</v>
      </c>
      <c r="E920" s="10">
        <v>12</v>
      </c>
    </row>
    <row r="921" spans="1:12">
      <c r="A921" s="1">
        <v>12</v>
      </c>
      <c r="B921" s="71">
        <v>45627</v>
      </c>
      <c r="C921">
        <v>2024</v>
      </c>
      <c r="D921" s="4" t="s">
        <v>24</v>
      </c>
      <c r="E921" s="10">
        <v>12</v>
      </c>
    </row>
    <row r="922" spans="1:12">
      <c r="A922" s="1">
        <v>13</v>
      </c>
      <c r="B922" s="71">
        <v>45627</v>
      </c>
      <c r="C922">
        <v>2024</v>
      </c>
      <c r="D922" s="4" t="s">
        <v>24</v>
      </c>
      <c r="E922" s="10">
        <v>12</v>
      </c>
    </row>
    <row r="927" spans="1:12">
      <c r="K927" s="85" t="s">
        <v>90</v>
      </c>
      <c r="L927" s="85">
        <f>AVERAGE(L4:L922)</f>
        <v>1.9069966377502707E-2</v>
      </c>
    </row>
    <row r="928" spans="1:12">
      <c r="K928" s="85" t="s">
        <v>91</v>
      </c>
      <c r="L928" s="85">
        <f>+STDEV(L4:L922)</f>
        <v>2.2535264524978477E-2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9"/>
  <sheetViews>
    <sheetView workbookViewId="0">
      <selection sqref="A1:J1048576"/>
    </sheetView>
  </sheetViews>
  <sheetFormatPr defaultColWidth="8.85546875" defaultRowHeight="15"/>
  <sheetData>
    <row r="1" spans="1:12" ht="18">
      <c r="F1" s="28" t="s">
        <v>28</v>
      </c>
      <c r="G1" s="28" t="s">
        <v>29</v>
      </c>
      <c r="H1" s="28" t="s">
        <v>29</v>
      </c>
      <c r="I1" s="28" t="s">
        <v>29</v>
      </c>
      <c r="J1" s="28" t="s">
        <v>29</v>
      </c>
      <c r="K1" s="28" t="s">
        <v>29</v>
      </c>
    </row>
    <row r="2" spans="1:12" ht="25.5">
      <c r="A2" s="29" t="s">
        <v>30</v>
      </c>
      <c r="B2" s="30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36</v>
      </c>
      <c r="H2" s="33" t="s">
        <v>37</v>
      </c>
      <c r="I2" s="33" t="s">
        <v>38</v>
      </c>
      <c r="J2" s="33" t="s">
        <v>39</v>
      </c>
      <c r="K2" s="33" t="s">
        <v>40</v>
      </c>
      <c r="L2" s="34" t="s">
        <v>41</v>
      </c>
    </row>
    <row r="3" spans="1:12">
      <c r="A3" s="1">
        <v>11</v>
      </c>
      <c r="B3" s="2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0.11788707516666667</v>
      </c>
      <c r="H3" s="6">
        <v>0</v>
      </c>
      <c r="I3" s="6">
        <v>1.2921542806666668</v>
      </c>
      <c r="J3" s="6">
        <v>2.10353325E-2</v>
      </c>
      <c r="K3" s="7" t="s">
        <v>1</v>
      </c>
    </row>
    <row r="4" spans="1:12">
      <c r="A4" s="1">
        <v>12</v>
      </c>
      <c r="B4" s="2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0.10253528183333334</v>
      </c>
      <c r="H4" s="6">
        <v>0</v>
      </c>
      <c r="I4" s="6">
        <v>1.1449540233333331</v>
      </c>
      <c r="J4" s="6">
        <v>2.0341964833333333E-2</v>
      </c>
      <c r="K4" s="7" t="s">
        <v>1</v>
      </c>
    </row>
    <row r="5" spans="1:12">
      <c r="A5" s="1">
        <v>13</v>
      </c>
      <c r="B5" s="2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0.23786033366666665</v>
      </c>
      <c r="H5" s="6">
        <v>0</v>
      </c>
      <c r="I5" s="6">
        <v>1.3668172096666666</v>
      </c>
      <c r="J5" s="6">
        <v>3.895134916666667E-2</v>
      </c>
      <c r="K5" s="7" t="s">
        <v>1</v>
      </c>
    </row>
    <row r="6" spans="1:12">
      <c r="A6" s="1">
        <v>11</v>
      </c>
      <c r="B6" s="2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4.010556416666667E-2</v>
      </c>
      <c r="H6" s="6">
        <v>1.8425821166666669E-2</v>
      </c>
      <c r="I6" s="6">
        <v>1.9281980323333334</v>
      </c>
      <c r="J6" s="6">
        <v>1.1880551999999999E-2</v>
      </c>
      <c r="K6" s="7" t="s">
        <v>1</v>
      </c>
    </row>
    <row r="7" spans="1:12">
      <c r="A7" s="1">
        <v>12</v>
      </c>
      <c r="B7" s="2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3.0830854333333338E-2</v>
      </c>
      <c r="H7" s="6">
        <v>0</v>
      </c>
      <c r="I7" s="6">
        <v>1.1784671433333331</v>
      </c>
      <c r="J7" s="6">
        <v>7.1761561666666661E-3</v>
      </c>
      <c r="K7" s="7" t="s">
        <v>1</v>
      </c>
    </row>
    <row r="8" spans="1:12">
      <c r="A8" s="1">
        <v>13</v>
      </c>
      <c r="B8" s="2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3.4932039166666665E-2</v>
      </c>
      <c r="H8" s="6">
        <v>0</v>
      </c>
      <c r="I8" s="6">
        <v>1.3183590496666668</v>
      </c>
      <c r="J8" s="6">
        <v>0</v>
      </c>
      <c r="K8" s="7" t="s">
        <v>1</v>
      </c>
    </row>
    <row r="9" spans="1:12">
      <c r="A9" s="1">
        <v>11</v>
      </c>
      <c r="B9" s="2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4.9641518666666669E-2</v>
      </c>
      <c r="H9" s="6">
        <v>2.0884791833333333E-2</v>
      </c>
      <c r="I9" s="6">
        <v>1.9067034250000001</v>
      </c>
      <c r="J9" s="6">
        <v>6.1065102166666663E-3</v>
      </c>
      <c r="K9" s="7" t="s">
        <v>1</v>
      </c>
    </row>
    <row r="10" spans="1:12">
      <c r="A10" s="1">
        <v>12</v>
      </c>
      <c r="B10" s="2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1.9097802833333333E-2</v>
      </c>
      <c r="H10" s="6">
        <v>0</v>
      </c>
      <c r="I10" s="6">
        <v>0.78655296833333344</v>
      </c>
      <c r="J10" s="6">
        <v>0</v>
      </c>
      <c r="K10" s="7" t="s">
        <v>1</v>
      </c>
    </row>
    <row r="11" spans="1:12">
      <c r="A11" s="1">
        <v>13</v>
      </c>
      <c r="B11" s="2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1.3148406333333333E-2</v>
      </c>
      <c r="H11" s="6">
        <v>0</v>
      </c>
      <c r="I11" s="6">
        <v>0.88810365550000003</v>
      </c>
      <c r="J11" s="6">
        <v>0</v>
      </c>
      <c r="K11" s="7" t="s">
        <v>1</v>
      </c>
    </row>
    <row r="12" spans="1:12">
      <c r="A12" s="1">
        <v>11</v>
      </c>
      <c r="B12" s="2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7.5945145499999991E-2</v>
      </c>
      <c r="H12" s="6">
        <v>0</v>
      </c>
      <c r="I12" s="6">
        <v>1.7825228903333334</v>
      </c>
      <c r="J12" s="6">
        <v>9.7984571666666648E-3</v>
      </c>
      <c r="K12" s="7" t="s">
        <v>1</v>
      </c>
    </row>
    <row r="13" spans="1:12">
      <c r="A13" s="1">
        <v>12</v>
      </c>
      <c r="B13" s="2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4.11249635E-2</v>
      </c>
      <c r="H13" s="6">
        <v>0</v>
      </c>
      <c r="I13" s="6">
        <v>0.80302553483333339</v>
      </c>
      <c r="J13" s="6">
        <v>0</v>
      </c>
      <c r="K13" s="7" t="s">
        <v>1</v>
      </c>
    </row>
    <row r="14" spans="1:12">
      <c r="A14" s="1">
        <v>13</v>
      </c>
      <c r="B14" s="2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5.9161433666666666E-2</v>
      </c>
      <c r="H14" s="8">
        <v>0</v>
      </c>
      <c r="I14" s="8">
        <v>1.0579135275</v>
      </c>
      <c r="J14" s="8">
        <v>6.8825180000000007E-3</v>
      </c>
      <c r="K14" s="9" t="s">
        <v>1</v>
      </c>
    </row>
    <row r="15" spans="1:12">
      <c r="A15" s="1">
        <v>11</v>
      </c>
      <c r="B15" s="2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6.5432039499999997E-2</v>
      </c>
      <c r="H15" s="8">
        <v>0</v>
      </c>
      <c r="I15" s="8">
        <v>2.1888015383333332</v>
      </c>
      <c r="J15" s="8">
        <v>1.2084138333333333E-2</v>
      </c>
      <c r="K15" s="9" t="s">
        <v>1</v>
      </c>
    </row>
    <row r="16" spans="1:12">
      <c r="A16" s="1">
        <v>12</v>
      </c>
      <c r="B16" s="2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6.7189780000000005E-2</v>
      </c>
      <c r="H16" s="8">
        <v>1.2289716500000001E-2</v>
      </c>
      <c r="I16" s="8">
        <v>1.9253816848333332</v>
      </c>
      <c r="J16" s="8">
        <v>1.2229018000000001E-2</v>
      </c>
      <c r="K16" s="9" t="s">
        <v>1</v>
      </c>
    </row>
    <row r="17" spans="1:11">
      <c r="A17" s="1">
        <v>13</v>
      </c>
      <c r="B17" s="2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4.3239661500000005E-2</v>
      </c>
      <c r="H17" s="8">
        <v>0</v>
      </c>
      <c r="I17" s="8">
        <v>1.7433120786666665</v>
      </c>
      <c r="J17" s="8">
        <v>1.1932339666666666E-2</v>
      </c>
      <c r="K17" s="9" t="s">
        <v>1</v>
      </c>
    </row>
    <row r="18" spans="1:11">
      <c r="A18" s="1">
        <v>11</v>
      </c>
      <c r="B18" s="2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6.8348397999999991E-2</v>
      </c>
      <c r="H18" s="8">
        <v>1.7073785666666664E-2</v>
      </c>
      <c r="I18" s="8">
        <v>0.96764343116666651</v>
      </c>
      <c r="J18" s="8">
        <v>9.6989703333333326E-3</v>
      </c>
      <c r="K18" s="9" t="s">
        <v>1</v>
      </c>
    </row>
    <row r="19" spans="1:11">
      <c r="A19" s="1">
        <v>12</v>
      </c>
      <c r="B19" s="2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5.0338660333333334E-2</v>
      </c>
      <c r="H19" s="8">
        <v>0</v>
      </c>
      <c r="I19" s="8">
        <v>0.51953324300000003</v>
      </c>
      <c r="J19" s="8">
        <v>1.47075925E-2</v>
      </c>
      <c r="K19" s="9" t="s">
        <v>1</v>
      </c>
    </row>
    <row r="20" spans="1:11">
      <c r="A20" s="1">
        <v>13</v>
      </c>
      <c r="B20" s="2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7.0593403833333318E-2</v>
      </c>
      <c r="H20" s="8">
        <v>0</v>
      </c>
      <c r="I20" s="8">
        <v>0.87974718083333325</v>
      </c>
      <c r="J20" s="8">
        <v>1.0958542833333333E-2</v>
      </c>
      <c r="K20" s="9" t="s">
        <v>1</v>
      </c>
    </row>
    <row r="21" spans="1:11">
      <c r="A21" s="1">
        <v>11</v>
      </c>
      <c r="B21" s="2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7.1973744333333339E-2</v>
      </c>
      <c r="H21" s="8">
        <v>0</v>
      </c>
      <c r="I21" s="8">
        <v>1.6410688625000001</v>
      </c>
      <c r="J21" s="8">
        <v>6.4108728333333335E-3</v>
      </c>
      <c r="K21" s="9" t="s">
        <v>1</v>
      </c>
    </row>
    <row r="22" spans="1:11">
      <c r="A22" s="1">
        <v>12</v>
      </c>
      <c r="B22" s="2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2.3379825166666666E-2</v>
      </c>
      <c r="H22" s="8">
        <v>0</v>
      </c>
      <c r="I22" s="8">
        <v>0.54958927416666681</v>
      </c>
      <c r="J22" s="8">
        <v>0</v>
      </c>
      <c r="K22" s="9" t="s">
        <v>1</v>
      </c>
    </row>
    <row r="23" spans="1:11">
      <c r="A23" s="1">
        <v>13</v>
      </c>
      <c r="B23" s="2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3.6587462333333334E-2</v>
      </c>
      <c r="H23" s="8">
        <v>0</v>
      </c>
      <c r="I23" s="8">
        <v>1.3872797328333331</v>
      </c>
      <c r="J23" s="8">
        <v>0</v>
      </c>
      <c r="K23" s="9" t="s">
        <v>1</v>
      </c>
    </row>
    <row r="24" spans="1:11">
      <c r="A24" s="1">
        <v>11</v>
      </c>
      <c r="B24" s="2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0.2075917005</v>
      </c>
      <c r="H24" s="8">
        <v>0</v>
      </c>
      <c r="I24" s="8">
        <v>0.323530553</v>
      </c>
      <c r="J24" s="8">
        <v>1.3288883000000003E-2</v>
      </c>
      <c r="K24" s="9" t="s">
        <v>1</v>
      </c>
    </row>
    <row r="25" spans="1:11">
      <c r="A25" s="1">
        <v>12</v>
      </c>
      <c r="B25" s="2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0.16471748799999997</v>
      </c>
      <c r="H25" s="8">
        <v>0</v>
      </c>
      <c r="I25" s="8">
        <v>0.36833579549999995</v>
      </c>
      <c r="J25" s="8">
        <v>1.0015567000000001E-2</v>
      </c>
      <c r="K25" s="9" t="s">
        <v>1</v>
      </c>
    </row>
    <row r="26" spans="1:11">
      <c r="A26" s="1">
        <v>13</v>
      </c>
      <c r="B26" s="2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0.11549991533333333</v>
      </c>
      <c r="H26" s="8">
        <v>0</v>
      </c>
      <c r="I26" s="8">
        <v>0.6636139748333334</v>
      </c>
      <c r="J26" s="8">
        <v>1.0418756E-2</v>
      </c>
      <c r="K26" s="9" t="s">
        <v>1</v>
      </c>
    </row>
    <row r="27" spans="1:11">
      <c r="A27" s="1">
        <v>11</v>
      </c>
      <c r="B27" s="2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5.3150709666666664E-2</v>
      </c>
      <c r="H27" s="6">
        <v>0</v>
      </c>
      <c r="I27" s="6">
        <v>0.87136449783333336</v>
      </c>
      <c r="J27" s="6">
        <v>4.95749495E-2</v>
      </c>
      <c r="K27" s="7" t="s">
        <v>1</v>
      </c>
    </row>
    <row r="28" spans="1:11">
      <c r="A28" s="1">
        <v>12</v>
      </c>
      <c r="B28" s="2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7.0160232500000003E-2</v>
      </c>
      <c r="H28" s="6">
        <v>2.0004715999999999E-2</v>
      </c>
      <c r="I28" s="6">
        <v>0.54223427233333343</v>
      </c>
      <c r="J28" s="6">
        <v>2.6379945499999998E-2</v>
      </c>
      <c r="K28" s="7" t="s">
        <v>1</v>
      </c>
    </row>
    <row r="29" spans="1:11">
      <c r="A29" s="1">
        <v>13</v>
      </c>
      <c r="B29" s="2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7.4122618000000001E-2</v>
      </c>
      <c r="H29" s="6">
        <v>0.19263754</v>
      </c>
      <c r="I29" s="6">
        <v>2.6135140796666665</v>
      </c>
      <c r="J29" s="6">
        <v>9.4161195166666656E-2</v>
      </c>
      <c r="K29" s="7" t="s">
        <v>1</v>
      </c>
    </row>
    <row r="30" spans="1:11">
      <c r="A30" s="1">
        <v>11</v>
      </c>
      <c r="B30" s="2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0.2156364008333333</v>
      </c>
      <c r="H30" s="6">
        <v>2.8658078666666666E-2</v>
      </c>
      <c r="I30" s="6">
        <v>3.0263751078333332</v>
      </c>
      <c r="J30" s="6">
        <v>2.6214413666666669E-2</v>
      </c>
      <c r="K30" s="7" t="s">
        <v>1</v>
      </c>
    </row>
    <row r="31" spans="1:11">
      <c r="A31" s="1">
        <v>12</v>
      </c>
      <c r="B31" s="2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0.11616078466666668</v>
      </c>
      <c r="H31" s="6">
        <v>6.1780065499999995E-2</v>
      </c>
      <c r="I31" s="6">
        <v>3.0311425084999994</v>
      </c>
      <c r="J31" s="6">
        <v>3.3271269500000006E-2</v>
      </c>
      <c r="K31" s="7" t="s">
        <v>1</v>
      </c>
    </row>
    <row r="32" spans="1:11">
      <c r="A32" s="1">
        <v>13</v>
      </c>
      <c r="B32" s="2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0.27073449450000003</v>
      </c>
      <c r="H32" s="6">
        <v>0.22492274716666669</v>
      </c>
      <c r="I32" s="6">
        <v>4.1097812715000002</v>
      </c>
      <c r="J32" s="6">
        <v>5.327001E-2</v>
      </c>
      <c r="K32" s="7" t="s">
        <v>1</v>
      </c>
    </row>
    <row r="33" spans="1:11">
      <c r="A33" s="1">
        <v>11</v>
      </c>
      <c r="B33" s="2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0</v>
      </c>
      <c r="H33" s="6">
        <v>0</v>
      </c>
      <c r="I33" s="6">
        <v>0.57614418649999988</v>
      </c>
      <c r="J33" s="6">
        <v>4.9131714166666667E-2</v>
      </c>
      <c r="K33" s="7" t="s">
        <v>1</v>
      </c>
    </row>
    <row r="34" spans="1:11">
      <c r="A34" s="1">
        <v>12</v>
      </c>
      <c r="B34" s="2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2.8334458166666666E-2</v>
      </c>
      <c r="H34" s="6">
        <v>0</v>
      </c>
      <c r="I34" s="6">
        <v>1.760925756</v>
      </c>
      <c r="J34" s="6">
        <v>4.3510970166666663E-2</v>
      </c>
      <c r="K34" s="7" t="s">
        <v>1</v>
      </c>
    </row>
    <row r="35" spans="1:11">
      <c r="A35" s="1">
        <v>13</v>
      </c>
      <c r="B35" s="2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0</v>
      </c>
      <c r="H35" s="6">
        <v>0</v>
      </c>
      <c r="I35" s="6">
        <v>0.8618736216666667</v>
      </c>
      <c r="J35" s="6">
        <v>4.8509213833333335E-2</v>
      </c>
      <c r="K35" s="7" t="s">
        <v>1</v>
      </c>
    </row>
    <row r="36" spans="1:11">
      <c r="A36" s="1">
        <v>11</v>
      </c>
      <c r="B36" s="2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5.1736023666666672E-2</v>
      </c>
      <c r="H36" s="6">
        <v>3.7777829666666665E-2</v>
      </c>
      <c r="I36" s="6">
        <v>2.5259510186666665</v>
      </c>
      <c r="J36" s="6">
        <v>0.10645119900000001</v>
      </c>
      <c r="K36" s="7" t="s">
        <v>1</v>
      </c>
    </row>
    <row r="37" spans="1:11">
      <c r="A37" s="1">
        <v>12</v>
      </c>
      <c r="B37" s="2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3.1726026166666664E-2</v>
      </c>
      <c r="H37" s="6">
        <v>1.2722887833333332E-2</v>
      </c>
      <c r="I37" s="6">
        <v>1.8800452518333333</v>
      </c>
      <c r="J37" s="6">
        <v>7.8495006666666672E-2</v>
      </c>
      <c r="K37" s="7" t="s">
        <v>1</v>
      </c>
    </row>
    <row r="38" spans="1:11">
      <c r="A38" s="1">
        <v>13</v>
      </c>
      <c r="B38" s="2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8.0284092333333335E-2</v>
      </c>
      <c r="H38" s="6">
        <v>0</v>
      </c>
      <c r="I38" s="6">
        <v>2.3694259121666668</v>
      </c>
      <c r="J38" s="6">
        <v>0.12728297233333336</v>
      </c>
      <c r="K38" s="7" t="s">
        <v>1</v>
      </c>
    </row>
    <row r="39" spans="1:11">
      <c r="A39" s="1">
        <v>11</v>
      </c>
      <c r="B39" s="2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0</v>
      </c>
      <c r="H39" s="7">
        <v>0</v>
      </c>
      <c r="I39" s="7">
        <v>1.9166889048333331</v>
      </c>
      <c r="J39" s="7">
        <v>0</v>
      </c>
      <c r="K39" s="7" t="s">
        <v>1</v>
      </c>
    </row>
    <row r="40" spans="1:11">
      <c r="A40" s="1">
        <v>12</v>
      </c>
      <c r="B40" s="2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2.0375616333333336E-2</v>
      </c>
      <c r="H40" s="7">
        <v>0</v>
      </c>
      <c r="I40" s="7">
        <v>0.62774420149999999</v>
      </c>
      <c r="J40" s="7">
        <v>0</v>
      </c>
      <c r="K40" s="7" t="s">
        <v>1</v>
      </c>
    </row>
    <row r="41" spans="1:11">
      <c r="A41" s="1">
        <v>13</v>
      </c>
      <c r="B41" s="2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4.0948948333333332E-2</v>
      </c>
      <c r="H41" s="7">
        <v>0</v>
      </c>
      <c r="I41" s="7">
        <v>1.0858327408333333</v>
      </c>
      <c r="J41" s="7">
        <v>1.3631373499999998E-2</v>
      </c>
      <c r="K41" s="7" t="s">
        <v>1</v>
      </c>
    </row>
    <row r="42" spans="1:11">
      <c r="A42" s="1">
        <v>11</v>
      </c>
      <c r="B42" s="2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4.1106722499999998E-2</v>
      </c>
      <c r="H42" s="7">
        <v>0</v>
      </c>
      <c r="I42" s="7">
        <v>0.25774857983333332</v>
      </c>
      <c r="J42" s="7">
        <v>0</v>
      </c>
      <c r="K42" s="7" t="s">
        <v>1</v>
      </c>
    </row>
    <row r="43" spans="1:11">
      <c r="A43" s="1">
        <v>12</v>
      </c>
      <c r="B43" s="2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5.8946105999999998E-2</v>
      </c>
      <c r="H43" s="7">
        <v>1.4805611666666668E-2</v>
      </c>
      <c r="I43" s="7">
        <v>0.34267091816666673</v>
      </c>
      <c r="J43" s="7">
        <v>0</v>
      </c>
      <c r="K43" s="7" t="s">
        <v>1</v>
      </c>
    </row>
    <row r="44" spans="1:11">
      <c r="A44" s="1">
        <v>13</v>
      </c>
      <c r="B44" s="2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5.4019673166666671E-2</v>
      </c>
      <c r="H44" s="7">
        <v>0</v>
      </c>
      <c r="I44" s="7">
        <v>0.37003870816666662</v>
      </c>
      <c r="J44" s="7">
        <v>0</v>
      </c>
      <c r="K44" s="7" t="s">
        <v>1</v>
      </c>
    </row>
    <row r="45" spans="1:11">
      <c r="A45" s="1">
        <v>11</v>
      </c>
      <c r="B45" s="2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6.8993931999999994E-2</v>
      </c>
      <c r="H45" s="7">
        <v>6.3601512333333332E-2</v>
      </c>
      <c r="I45" s="7">
        <v>1.8358230706666665</v>
      </c>
      <c r="J45" s="7">
        <v>1.9002820666666666E-2</v>
      </c>
      <c r="K45" s="7" t="s">
        <v>1</v>
      </c>
    </row>
    <row r="46" spans="1:11">
      <c r="A46" s="1">
        <v>12</v>
      </c>
      <c r="B46" s="2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6.3657106333333338E-2</v>
      </c>
      <c r="H46" s="7">
        <v>0</v>
      </c>
      <c r="I46" s="7">
        <v>1.2523043001666665</v>
      </c>
      <c r="J46" s="7">
        <v>9.8851543333333333E-3</v>
      </c>
      <c r="K46" s="7" t="s">
        <v>1</v>
      </c>
    </row>
    <row r="47" spans="1:11">
      <c r="A47" s="1">
        <v>13</v>
      </c>
      <c r="B47" s="2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6.9258036833333342E-2</v>
      </c>
      <c r="H47" s="7">
        <v>0</v>
      </c>
      <c r="I47" s="7">
        <v>1.3537788783333335</v>
      </c>
      <c r="J47" s="7">
        <v>8.7520108333333339E-3</v>
      </c>
      <c r="K47" s="7" t="s">
        <v>1</v>
      </c>
    </row>
    <row r="48" spans="1:11">
      <c r="A48" s="1">
        <v>11</v>
      </c>
      <c r="B48" s="2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7.3836632666666666E-2</v>
      </c>
      <c r="H48" s="7">
        <v>2.2087963999999998E-2</v>
      </c>
      <c r="I48" s="7">
        <v>0.97154480366666673</v>
      </c>
      <c r="J48" s="7">
        <v>0</v>
      </c>
      <c r="K48" s="7" t="s">
        <v>1</v>
      </c>
    </row>
    <row r="49" spans="1:11">
      <c r="A49" s="1">
        <v>12</v>
      </c>
      <c r="B49" s="2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8.3747051833333336E-2</v>
      </c>
      <c r="H49" s="7">
        <v>0</v>
      </c>
      <c r="I49" s="7">
        <v>0.94213643283333337</v>
      </c>
      <c r="J49" s="7">
        <v>0</v>
      </c>
      <c r="K49" s="7" t="s">
        <v>1</v>
      </c>
    </row>
    <row r="50" spans="1:11">
      <c r="A50" s="1">
        <v>13</v>
      </c>
      <c r="B50" s="2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9.0034116499999997E-2</v>
      </c>
      <c r="H50" s="7">
        <v>0</v>
      </c>
      <c r="I50" s="7">
        <v>0.91825393183333315</v>
      </c>
      <c r="J50" s="7">
        <v>0</v>
      </c>
      <c r="K50" s="7" t="s">
        <v>1</v>
      </c>
    </row>
    <row r="51" spans="1:11">
      <c r="A51" s="5">
        <v>11</v>
      </c>
      <c r="B51" s="2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5.7277893166666677E-2</v>
      </c>
      <c r="H51" s="7">
        <v>0</v>
      </c>
      <c r="I51" s="7">
        <v>1.5608120268333334</v>
      </c>
      <c r="J51" s="7">
        <v>1.5925126833333331E-2</v>
      </c>
      <c r="K51" s="7" t="s">
        <v>1</v>
      </c>
    </row>
    <row r="52" spans="1:11">
      <c r="A52" s="5">
        <v>12</v>
      </c>
      <c r="B52" s="2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5.0864085000000003E-2</v>
      </c>
      <c r="H52" s="7">
        <v>0</v>
      </c>
      <c r="I52" s="7">
        <v>1.4864522758333334</v>
      </c>
      <c r="J52" s="7">
        <v>1.3872699833333335E-2</v>
      </c>
      <c r="K52" s="7" t="s">
        <v>1</v>
      </c>
    </row>
    <row r="53" spans="1:11">
      <c r="A53" s="5">
        <v>13</v>
      </c>
      <c r="B53" s="2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0</v>
      </c>
      <c r="H53" s="7">
        <v>0</v>
      </c>
      <c r="I53" s="7">
        <v>0.76332420800000012</v>
      </c>
      <c r="J53" s="7">
        <v>7.8549520000000001E-3</v>
      </c>
      <c r="K53" s="7" t="s">
        <v>1</v>
      </c>
    </row>
    <row r="54" spans="1:11">
      <c r="A54" s="1">
        <v>11</v>
      </c>
      <c r="B54" s="2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4.0268370333333338E-2</v>
      </c>
      <c r="H54" s="7">
        <v>0</v>
      </c>
      <c r="I54" s="7">
        <v>1.1456036754999999</v>
      </c>
      <c r="J54" s="7">
        <v>1.9648177833333332E-2</v>
      </c>
      <c r="K54" s="7" t="s">
        <v>1</v>
      </c>
    </row>
    <row r="55" spans="1:11">
      <c r="A55" s="1">
        <v>12</v>
      </c>
      <c r="B55" s="2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0</v>
      </c>
      <c r="H55" s="7">
        <v>0</v>
      </c>
      <c r="I55" s="7">
        <v>1.1268791841666668</v>
      </c>
      <c r="J55" s="7">
        <v>1.9920010666666665E-2</v>
      </c>
      <c r="K55" s="7" t="s">
        <v>1</v>
      </c>
    </row>
    <row r="56" spans="1:11">
      <c r="A56" s="1">
        <v>13</v>
      </c>
      <c r="B56" s="2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3.3778872500000001E-2</v>
      </c>
      <c r="H56" s="7">
        <v>0</v>
      </c>
      <c r="I56" s="7">
        <v>1.21835413</v>
      </c>
      <c r="J56" s="7">
        <v>2.5159475833333333E-2</v>
      </c>
      <c r="K56" s="7" t="s">
        <v>1</v>
      </c>
    </row>
    <row r="57" spans="1:11">
      <c r="A57" s="1">
        <v>11</v>
      </c>
      <c r="B57" s="2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</v>
      </c>
      <c r="H57" s="7">
        <v>0</v>
      </c>
      <c r="I57" s="7">
        <v>0.20908421266666669</v>
      </c>
      <c r="J57" s="7">
        <v>0</v>
      </c>
      <c r="K57" s="7" t="s">
        <v>1</v>
      </c>
    </row>
    <row r="58" spans="1:11">
      <c r="A58" s="1">
        <v>12</v>
      </c>
      <c r="B58" s="2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</v>
      </c>
      <c r="H58" s="7">
        <v>0</v>
      </c>
      <c r="I58" s="7">
        <v>0.18882286466666667</v>
      </c>
      <c r="J58" s="7">
        <v>0</v>
      </c>
      <c r="K58" s="7" t="s">
        <v>1</v>
      </c>
    </row>
    <row r="59" spans="1:11">
      <c r="A59" s="1">
        <v>13</v>
      </c>
      <c r="B59" s="2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4.1020444666666663E-2</v>
      </c>
      <c r="H59" s="7">
        <v>0</v>
      </c>
      <c r="I59" s="7">
        <v>0.37802931449999994</v>
      </c>
      <c r="J59" s="7">
        <v>0</v>
      </c>
      <c r="K59" s="7" t="s">
        <v>1</v>
      </c>
    </row>
    <row r="60" spans="1:11">
      <c r="A60" s="1">
        <v>11</v>
      </c>
      <c r="B60" s="2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</v>
      </c>
      <c r="H60" s="7">
        <v>0</v>
      </c>
      <c r="I60" s="7">
        <v>0.10816000949999999</v>
      </c>
      <c r="J60" s="7">
        <v>0</v>
      </c>
      <c r="K60" s="7" t="s">
        <v>1</v>
      </c>
    </row>
    <row r="61" spans="1:11">
      <c r="A61" s="1">
        <v>12</v>
      </c>
      <c r="B61" s="2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</v>
      </c>
      <c r="H61" s="7">
        <v>0</v>
      </c>
      <c r="I61" s="7">
        <v>0.22260456766666667</v>
      </c>
      <c r="J61" s="7">
        <v>0</v>
      </c>
      <c r="K61" s="7" t="s">
        <v>1</v>
      </c>
    </row>
    <row r="62" spans="1:11">
      <c r="A62" s="1">
        <v>13</v>
      </c>
      <c r="B62" s="2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</v>
      </c>
      <c r="H62" s="7">
        <v>0</v>
      </c>
      <c r="I62" s="7">
        <v>0.3732998635</v>
      </c>
      <c r="J62" s="7">
        <v>0</v>
      </c>
      <c r="K62" s="7" t="s">
        <v>1</v>
      </c>
    </row>
    <row r="63" spans="1:11">
      <c r="A63" s="1">
        <v>11</v>
      </c>
      <c r="B63" s="2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2.9967342166666668E-2</v>
      </c>
      <c r="H63" s="7">
        <v>0</v>
      </c>
      <c r="I63" s="7">
        <v>0.33227973333333333</v>
      </c>
      <c r="J63" s="7">
        <v>2.1784576333333333E-2</v>
      </c>
      <c r="K63" s="7" t="s">
        <v>1</v>
      </c>
    </row>
    <row r="64" spans="1:11">
      <c r="A64" s="1">
        <v>12</v>
      </c>
      <c r="B64" s="2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4.5995834666666673E-2</v>
      </c>
      <c r="H64" s="7">
        <v>0</v>
      </c>
      <c r="I64" s="7">
        <v>0.39249862083333331</v>
      </c>
      <c r="J64" s="7">
        <v>2.0474054833333331E-2</v>
      </c>
      <c r="K64" s="7" t="s">
        <v>1</v>
      </c>
    </row>
    <row r="65" spans="1:11">
      <c r="A65" s="1">
        <v>13</v>
      </c>
      <c r="B65" s="2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8.805025050000001E-2</v>
      </c>
      <c r="H65" s="7">
        <v>0</v>
      </c>
      <c r="I65" s="7">
        <v>0.44492461766666663</v>
      </c>
      <c r="J65" s="7">
        <v>2.7031799166666665E-2</v>
      </c>
      <c r="K65" s="7" t="s">
        <v>1</v>
      </c>
    </row>
    <row r="66" spans="1:11">
      <c r="A66" s="1">
        <v>11</v>
      </c>
      <c r="B66" s="2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0.21351866266666669</v>
      </c>
      <c r="H66" s="7">
        <v>6.0692314833333337E-2</v>
      </c>
      <c r="I66" s="7">
        <v>2.0578257070000001</v>
      </c>
      <c r="J66" s="7">
        <v>8.7279515833333349E-2</v>
      </c>
      <c r="K66" s="7" t="s">
        <v>1</v>
      </c>
    </row>
    <row r="67" spans="1:11">
      <c r="A67" s="1">
        <v>12</v>
      </c>
      <c r="B67" s="2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0.15766367233333334</v>
      </c>
      <c r="H67" s="7">
        <v>3.8277166000000001E-2</v>
      </c>
      <c r="I67" s="7">
        <v>1.6313453611666668</v>
      </c>
      <c r="J67" s="7">
        <v>7.176659366666667E-2</v>
      </c>
      <c r="K67" s="7" t="s">
        <v>1</v>
      </c>
    </row>
    <row r="68" spans="1:11">
      <c r="A68" s="1">
        <v>13</v>
      </c>
      <c r="B68" s="2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0.26227088016666672</v>
      </c>
      <c r="H68" s="7">
        <v>5.3596356166666664E-2</v>
      </c>
      <c r="I68" s="7">
        <v>2.0939522171666671</v>
      </c>
      <c r="J68" s="7">
        <v>9.8025561500000011E-2</v>
      </c>
      <c r="K68" s="7" t="s">
        <v>1</v>
      </c>
    </row>
    <row r="69" spans="1:11">
      <c r="A69" s="1">
        <v>11</v>
      </c>
      <c r="B69" s="2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0</v>
      </c>
      <c r="H69" s="7">
        <v>1.5954165666666666E-2</v>
      </c>
      <c r="I69" s="7">
        <v>0.78053459149999993</v>
      </c>
      <c r="J69" s="7">
        <v>6.6547885499999987E-2</v>
      </c>
      <c r="K69" s="7" t="s">
        <v>1</v>
      </c>
    </row>
    <row r="70" spans="1:11">
      <c r="A70" s="1">
        <v>12</v>
      </c>
      <c r="B70" s="2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5.2747625499999992E-2</v>
      </c>
      <c r="H70" s="7">
        <v>2.7598213666666663E-2</v>
      </c>
      <c r="I70" s="7">
        <v>1.3567874901666668</v>
      </c>
      <c r="J70" s="7">
        <v>0.10584476533333335</v>
      </c>
      <c r="K70" s="7" t="s">
        <v>1</v>
      </c>
    </row>
    <row r="71" spans="1:11">
      <c r="A71" s="1">
        <v>13</v>
      </c>
      <c r="B71" s="2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0.14380198</v>
      </c>
      <c r="H71" s="7">
        <v>0</v>
      </c>
      <c r="I71" s="7">
        <v>1.5364394300000002</v>
      </c>
      <c r="J71" s="7">
        <v>0.16346976166666669</v>
      </c>
      <c r="K71" s="7" t="s">
        <v>1</v>
      </c>
    </row>
    <row r="72" spans="1:11">
      <c r="A72" s="1">
        <v>11</v>
      </c>
      <c r="B72" s="2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0</v>
      </c>
      <c r="H72" s="7">
        <v>1.9176322999999999E-2</v>
      </c>
      <c r="I72" s="7">
        <v>1.1698955506666666</v>
      </c>
      <c r="J72" s="7">
        <v>5.1231735500000007E-2</v>
      </c>
      <c r="K72" s="7" t="s">
        <v>1</v>
      </c>
    </row>
    <row r="73" spans="1:11">
      <c r="A73" s="1">
        <v>12</v>
      </c>
      <c r="B73" s="2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4.7763743999999997E-2</v>
      </c>
      <c r="H73" s="7">
        <v>2.0248139000000002E-2</v>
      </c>
      <c r="I73" s="7">
        <v>2.1877742765000003</v>
      </c>
      <c r="J73" s="7">
        <v>0.10258748883333334</v>
      </c>
      <c r="K73" s="7" t="s">
        <v>1</v>
      </c>
    </row>
    <row r="74" spans="1:11">
      <c r="A74" s="1">
        <v>13</v>
      </c>
      <c r="B74" s="2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0</v>
      </c>
      <c r="H74" s="7">
        <v>0</v>
      </c>
      <c r="I74" s="7">
        <v>2.1598375560000003</v>
      </c>
      <c r="J74" s="7">
        <v>0.15274017483333333</v>
      </c>
      <c r="K74" s="7" t="s">
        <v>1</v>
      </c>
    </row>
    <row r="75" spans="1:11">
      <c r="A75" s="1">
        <v>11</v>
      </c>
      <c r="B75" s="2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6">
        <v>3.3443029441022933E-2</v>
      </c>
      <c r="H75" s="12">
        <v>0</v>
      </c>
      <c r="I75" s="6">
        <v>1.3325842017073919</v>
      </c>
      <c r="J75" s="6">
        <v>2.0210610840586684E-2</v>
      </c>
      <c r="K75" s="7" t="s">
        <v>13</v>
      </c>
    </row>
    <row r="76" spans="1:11">
      <c r="A76" s="1">
        <v>12</v>
      </c>
      <c r="B76" s="2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6">
        <v>1.0104152725620883E-2</v>
      </c>
      <c r="H76" s="12">
        <v>0</v>
      </c>
      <c r="I76" s="6">
        <v>0.39431631216342117</v>
      </c>
      <c r="J76" s="6">
        <v>9.3934403919215589E-3</v>
      </c>
      <c r="K76" s="7" t="s">
        <v>13</v>
      </c>
    </row>
    <row r="77" spans="1:11">
      <c r="A77" s="1">
        <v>13</v>
      </c>
      <c r="B77" s="2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6">
        <v>1.61961440741391E-2</v>
      </c>
      <c r="H77" s="12">
        <v>0</v>
      </c>
      <c r="I77" s="6">
        <v>0.5097206300717777</v>
      </c>
      <c r="J77" s="6">
        <v>1.2260733703165289E-2</v>
      </c>
      <c r="K77" s="7" t="s">
        <v>13</v>
      </c>
    </row>
    <row r="78" spans="1:11">
      <c r="A78" s="1">
        <v>11</v>
      </c>
      <c r="B78" s="2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6">
        <v>2.5199563487208358E-2</v>
      </c>
      <c r="H78" s="12">
        <v>1.5633345651921628E-2</v>
      </c>
      <c r="I78" s="6">
        <v>1.1567086406303624</v>
      </c>
      <c r="J78" s="6">
        <v>2.0982329927399283E-2</v>
      </c>
      <c r="K78" s="7" t="s">
        <v>13</v>
      </c>
    </row>
    <row r="79" spans="1:11">
      <c r="A79" s="1">
        <v>12</v>
      </c>
      <c r="B79" s="2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6">
        <v>0</v>
      </c>
      <c r="H79" s="12">
        <v>0</v>
      </c>
      <c r="I79" s="6">
        <v>0.30963517509876115</v>
      </c>
      <c r="J79" s="6">
        <v>7.7892262103749846E-3</v>
      </c>
      <c r="K79" s="7" t="s">
        <v>13</v>
      </c>
    </row>
    <row r="80" spans="1:11">
      <c r="A80" s="1">
        <v>13</v>
      </c>
      <c r="B80" s="2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6">
        <v>0</v>
      </c>
      <c r="H80" s="12">
        <v>0</v>
      </c>
      <c r="I80" s="6">
        <v>0.77477510703508978</v>
      </c>
      <c r="J80" s="6">
        <v>1.1283591621568818E-2</v>
      </c>
      <c r="K80" s="7" t="s">
        <v>13</v>
      </c>
    </row>
    <row r="81" spans="1:11">
      <c r="A81" s="1">
        <v>11</v>
      </c>
      <c r="B81" s="2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6">
        <v>7.5779909931389E-2</v>
      </c>
      <c r="H81" s="12">
        <v>0.12744717450832838</v>
      </c>
      <c r="I81" s="6">
        <v>1.8897231850241201</v>
      </c>
      <c r="J81" s="6">
        <v>1.9231491404322256E-2</v>
      </c>
      <c r="K81" s="7" t="s">
        <v>13</v>
      </c>
    </row>
    <row r="82" spans="1:11">
      <c r="A82" s="1">
        <v>12</v>
      </c>
      <c r="B82" s="2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6">
        <v>2.3645964289928881E-2</v>
      </c>
      <c r="H82" s="12">
        <v>2.8387595358926612E-2</v>
      </c>
      <c r="I82" s="6">
        <v>0.5204328406837393</v>
      </c>
      <c r="J82" s="6">
        <v>5.548161677260929E-3</v>
      </c>
      <c r="K82" s="7" t="s">
        <v>13</v>
      </c>
    </row>
    <row r="83" spans="1:11">
      <c r="A83" s="1">
        <v>13</v>
      </c>
      <c r="B83" s="2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6">
        <v>7.7296347903552678E-2</v>
      </c>
      <c r="H83" s="12">
        <v>0.12793014017879878</v>
      </c>
      <c r="I83" s="6">
        <v>1.7462692848439871</v>
      </c>
      <c r="J83" s="6">
        <v>1.8236532099566997E-2</v>
      </c>
      <c r="K83" s="7" t="s">
        <v>13</v>
      </c>
    </row>
    <row r="84" spans="1:11">
      <c r="A84" s="1">
        <v>11</v>
      </c>
      <c r="B84" s="2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6">
        <v>4.4310323344016037E-2</v>
      </c>
      <c r="H84" s="12">
        <v>4.0012212780907976E-2</v>
      </c>
      <c r="I84" s="6">
        <v>1.9585632053718476</v>
      </c>
      <c r="J84" s="6">
        <v>1.5420953373766123E-2</v>
      </c>
      <c r="K84" s="7" t="s">
        <v>13</v>
      </c>
    </row>
    <row r="85" spans="1:11">
      <c r="A85" s="1">
        <v>12</v>
      </c>
      <c r="B85" s="2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6">
        <v>3.3479539425757099E-2</v>
      </c>
      <c r="H85" s="12">
        <v>1.920073739531605E-2</v>
      </c>
      <c r="I85" s="6">
        <v>1.2792768724814469</v>
      </c>
      <c r="J85" s="6">
        <v>5.1673498518995577E-3</v>
      </c>
      <c r="K85" s="7" t="s">
        <v>13</v>
      </c>
    </row>
    <row r="86" spans="1:11">
      <c r="A86" s="1">
        <v>13</v>
      </c>
      <c r="B86" s="2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6">
        <v>3.8412575356423583E-2</v>
      </c>
      <c r="H86" s="12">
        <v>1.8448080229036889E-2</v>
      </c>
      <c r="I86" s="6">
        <v>1.3638228325273567</v>
      </c>
      <c r="J86" s="6">
        <v>8.3201479236301792E-3</v>
      </c>
      <c r="K86" s="7" t="s">
        <v>13</v>
      </c>
    </row>
    <row r="87" spans="1:11">
      <c r="A87" s="1">
        <v>11</v>
      </c>
      <c r="B87" s="2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6">
        <v>0.17087124187603972</v>
      </c>
      <c r="H87" s="12">
        <v>2.9611332725921664E-2</v>
      </c>
      <c r="I87" s="6">
        <v>1.5082205516400069</v>
      </c>
      <c r="J87" s="6">
        <v>1.8908416499635577E-2</v>
      </c>
      <c r="K87" s="7" t="s">
        <v>13</v>
      </c>
    </row>
    <row r="88" spans="1:11">
      <c r="A88" s="1">
        <v>12</v>
      </c>
      <c r="B88" s="2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6">
        <v>6.8273084804675574E-2</v>
      </c>
      <c r="H88" s="12">
        <v>1.01412986230793E-2</v>
      </c>
      <c r="I88" s="6">
        <v>0.58763743902436449</v>
      </c>
      <c r="J88" s="6">
        <v>1.1300629295788232E-2</v>
      </c>
      <c r="K88" s="7" t="s">
        <v>13</v>
      </c>
    </row>
    <row r="89" spans="1:11">
      <c r="A89" s="1">
        <v>13</v>
      </c>
      <c r="B89" s="2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6">
        <v>7.5895842533716867E-2</v>
      </c>
      <c r="H89" s="12">
        <v>1.0468099733325567E-2</v>
      </c>
      <c r="I89" s="6">
        <v>0.70432828186368412</v>
      </c>
      <c r="J89" s="6">
        <v>6.752415424031862E-3</v>
      </c>
      <c r="K89" s="7" t="s">
        <v>13</v>
      </c>
    </row>
    <row r="90" spans="1:11">
      <c r="A90" s="1">
        <v>11</v>
      </c>
      <c r="B90" s="13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6">
        <v>6.3570084334456226E-2</v>
      </c>
      <c r="H90" s="12">
        <v>4.4272253462644955E-2</v>
      </c>
      <c r="I90" s="6">
        <v>0.91186617875395659</v>
      </c>
      <c r="J90" s="6">
        <v>1.3728401146138793E-2</v>
      </c>
      <c r="K90" s="7" t="s">
        <v>13</v>
      </c>
    </row>
    <row r="91" spans="1:11">
      <c r="A91" s="1">
        <v>12</v>
      </c>
      <c r="B91" s="13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6">
        <v>8.5547067923888845E-2</v>
      </c>
      <c r="H91" s="12">
        <v>2.2462544403207881E-2</v>
      </c>
      <c r="I91" s="6">
        <v>1.0819195974645863</v>
      </c>
      <c r="J91" s="6">
        <v>1.5273507075767148E-2</v>
      </c>
      <c r="K91" s="7" t="s">
        <v>13</v>
      </c>
    </row>
    <row r="92" spans="1:11">
      <c r="A92" s="1">
        <v>13</v>
      </c>
      <c r="B92" s="13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6">
        <v>2.9727932977307473E-2</v>
      </c>
      <c r="H92" s="12">
        <v>8.5967295313819428E-3</v>
      </c>
      <c r="I92" s="6">
        <v>0.85468181629743678</v>
      </c>
      <c r="J92" s="6">
        <v>1.7291749888675708E-2</v>
      </c>
      <c r="K92" s="7" t="s">
        <v>13</v>
      </c>
    </row>
    <row r="93" spans="1:11">
      <c r="A93" s="1">
        <v>11</v>
      </c>
      <c r="B93" s="13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6">
        <v>3.0889788608073277E-2</v>
      </c>
      <c r="H93" s="12">
        <v>0</v>
      </c>
      <c r="I93" s="6">
        <v>0.54598767028307849</v>
      </c>
      <c r="J93" s="6">
        <v>1.6874717009786641E-2</v>
      </c>
      <c r="K93" s="7" t="s">
        <v>13</v>
      </c>
    </row>
    <row r="94" spans="1:11">
      <c r="A94" s="1">
        <v>12</v>
      </c>
      <c r="B94" s="13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6">
        <v>3.4684631730133336E-2</v>
      </c>
      <c r="H94" s="12">
        <v>0</v>
      </c>
      <c r="I94" s="6">
        <v>0.81808405524525241</v>
      </c>
      <c r="J94" s="6">
        <v>1.2713299044310051E-2</v>
      </c>
      <c r="K94" s="7" t="s">
        <v>13</v>
      </c>
    </row>
    <row r="95" spans="1:11">
      <c r="A95" s="1">
        <v>13</v>
      </c>
      <c r="B95" s="13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0</v>
      </c>
      <c r="H95" s="6">
        <v>0</v>
      </c>
      <c r="I95" s="6">
        <v>0.64310829258166435</v>
      </c>
      <c r="J95" s="6">
        <v>1.8316802245219713E-2</v>
      </c>
      <c r="K95" s="7" t="s">
        <v>13</v>
      </c>
    </row>
    <row r="96" spans="1:11">
      <c r="A96" s="1">
        <v>11</v>
      </c>
      <c r="B96" s="13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14"/>
      <c r="H96" s="6">
        <v>0</v>
      </c>
      <c r="I96" s="14"/>
      <c r="J96" s="14"/>
      <c r="K96" s="7" t="s">
        <v>13</v>
      </c>
    </row>
    <row r="97" spans="1:11">
      <c r="A97" s="1">
        <v>12</v>
      </c>
      <c r="B97" s="13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14"/>
      <c r="H97" s="6">
        <v>0</v>
      </c>
      <c r="I97" s="14"/>
      <c r="J97" s="14"/>
      <c r="K97" s="7" t="s">
        <v>13</v>
      </c>
    </row>
    <row r="98" spans="1:11">
      <c r="A98" s="1">
        <v>13</v>
      </c>
      <c r="B98" s="13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14"/>
      <c r="H98" s="6">
        <v>0</v>
      </c>
      <c r="I98" s="14"/>
      <c r="J98" s="14"/>
      <c r="K98" s="7" t="s">
        <v>13</v>
      </c>
    </row>
    <row r="99" spans="1:11">
      <c r="A99" s="1">
        <v>11</v>
      </c>
      <c r="B99" s="13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14"/>
      <c r="H99" s="6">
        <v>6.6396537304238556E-2</v>
      </c>
      <c r="I99" s="14"/>
      <c r="J99" s="14"/>
      <c r="K99" s="7" t="s">
        <v>13</v>
      </c>
    </row>
    <row r="100" spans="1:11">
      <c r="A100" s="1">
        <v>12</v>
      </c>
      <c r="B100" s="13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14"/>
      <c r="H100" s="6">
        <v>6.1979478963799364E-2</v>
      </c>
      <c r="I100" s="14"/>
      <c r="J100" s="14"/>
      <c r="K100" s="7" t="s">
        <v>13</v>
      </c>
    </row>
    <row r="101" spans="1:11">
      <c r="A101" s="1">
        <v>13</v>
      </c>
      <c r="B101" s="13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14"/>
      <c r="H101" s="6">
        <v>6.8415155217588564E-2</v>
      </c>
      <c r="I101" s="14"/>
      <c r="J101" s="14"/>
      <c r="K101" s="7" t="s">
        <v>13</v>
      </c>
    </row>
    <row r="102" spans="1:11">
      <c r="A102" s="1">
        <v>11</v>
      </c>
      <c r="B102" s="13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14"/>
      <c r="H102" s="6">
        <v>2.6123136294288644E-2</v>
      </c>
      <c r="I102" s="14"/>
      <c r="J102" s="14"/>
      <c r="K102" s="7" t="s">
        <v>13</v>
      </c>
    </row>
    <row r="103" spans="1:11">
      <c r="A103" s="1">
        <v>12</v>
      </c>
      <c r="B103" s="13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14"/>
      <c r="H103" s="6">
        <v>0</v>
      </c>
      <c r="I103" s="14"/>
      <c r="J103" s="14"/>
      <c r="K103" s="7" t="s">
        <v>13</v>
      </c>
    </row>
    <row r="104" spans="1:11">
      <c r="A104" s="1">
        <v>13</v>
      </c>
      <c r="B104" s="13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14"/>
      <c r="H104" s="6">
        <v>0</v>
      </c>
      <c r="I104" s="14"/>
      <c r="J104" s="14"/>
      <c r="K104" s="7" t="s">
        <v>13</v>
      </c>
    </row>
    <row r="105" spans="1:11">
      <c r="A105" s="1">
        <v>11</v>
      </c>
      <c r="B105" s="13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14"/>
      <c r="H105" s="6">
        <v>2.4440125564759305E-2</v>
      </c>
      <c r="I105" s="14"/>
      <c r="J105" s="14"/>
      <c r="K105" s="7" t="s">
        <v>13</v>
      </c>
    </row>
    <row r="106" spans="1:11">
      <c r="A106" s="1">
        <v>12</v>
      </c>
      <c r="B106" s="13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14"/>
      <c r="H106" s="6">
        <v>0</v>
      </c>
      <c r="I106" s="14"/>
      <c r="J106" s="14"/>
      <c r="K106" s="7" t="s">
        <v>13</v>
      </c>
    </row>
    <row r="107" spans="1:11">
      <c r="A107" s="1">
        <v>13</v>
      </c>
      <c r="B107" s="13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14"/>
      <c r="H107" s="6">
        <v>0</v>
      </c>
      <c r="I107" s="14"/>
      <c r="J107" s="14"/>
      <c r="K107" s="7" t="s">
        <v>13</v>
      </c>
    </row>
    <row r="108" spans="1:11">
      <c r="A108" s="1">
        <v>11</v>
      </c>
      <c r="B108" s="13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14"/>
      <c r="H108" s="6">
        <v>0</v>
      </c>
      <c r="I108" s="14"/>
      <c r="J108" s="14"/>
      <c r="K108" s="7" t="s">
        <v>13</v>
      </c>
    </row>
    <row r="109" spans="1:11">
      <c r="A109" s="1">
        <v>12</v>
      </c>
      <c r="B109" s="13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14"/>
      <c r="H109" s="6">
        <v>9.3248677408630451E-3</v>
      </c>
      <c r="I109" s="14"/>
      <c r="J109" s="14"/>
      <c r="K109" s="7" t="s">
        <v>13</v>
      </c>
    </row>
    <row r="110" spans="1:11">
      <c r="A110" s="1">
        <v>13</v>
      </c>
      <c r="B110" s="13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14"/>
      <c r="H110" s="6">
        <v>0</v>
      </c>
      <c r="I110" s="14"/>
      <c r="J110" s="14"/>
      <c r="K110" s="7" t="s">
        <v>13</v>
      </c>
    </row>
    <row r="111" spans="1:11">
      <c r="A111" s="1">
        <v>11</v>
      </c>
      <c r="B111" s="13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1.5379279243088486E-2</v>
      </c>
      <c r="H111" s="7">
        <v>0</v>
      </c>
      <c r="I111" s="7">
        <v>0.81941654429271582</v>
      </c>
      <c r="J111" s="7">
        <v>2.4065684090239289E-2</v>
      </c>
      <c r="K111" s="7">
        <v>0</v>
      </c>
    </row>
    <row r="112" spans="1:11">
      <c r="A112" s="1">
        <v>12</v>
      </c>
      <c r="B112" s="13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0</v>
      </c>
      <c r="H112" s="7">
        <v>0</v>
      </c>
      <c r="I112" s="7">
        <v>0.57349036171031242</v>
      </c>
      <c r="J112" s="7">
        <v>1.8738156482626792E-2</v>
      </c>
      <c r="K112" s="7">
        <v>0</v>
      </c>
    </row>
    <row r="113" spans="1:11">
      <c r="A113" s="1">
        <v>13</v>
      </c>
      <c r="B113" s="13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0.11464457654148681</v>
      </c>
      <c r="H113" s="7">
        <v>0</v>
      </c>
      <c r="I113" s="7">
        <v>1.7437779962787312</v>
      </c>
      <c r="J113" s="7">
        <v>3.5890277107961881E-2</v>
      </c>
      <c r="K113" s="7">
        <v>0</v>
      </c>
    </row>
    <row r="114" spans="1:11">
      <c r="A114" s="1">
        <v>11</v>
      </c>
      <c r="B114" s="13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0</v>
      </c>
      <c r="H114" s="7">
        <v>0</v>
      </c>
      <c r="I114" s="7">
        <v>0.39018306191170027</v>
      </c>
      <c r="J114" s="7">
        <v>7.0203385539314034E-3</v>
      </c>
      <c r="K114" s="7">
        <v>0</v>
      </c>
    </row>
    <row r="115" spans="1:11">
      <c r="A115" s="1">
        <v>12</v>
      </c>
      <c r="B115" s="13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0</v>
      </c>
      <c r="H115" s="7">
        <v>0</v>
      </c>
      <c r="I115" s="7">
        <v>0.23672737169167038</v>
      </c>
      <c r="J115" s="7">
        <v>9.778128253999499E-3</v>
      </c>
      <c r="K115" s="7">
        <v>0</v>
      </c>
    </row>
    <row r="116" spans="1:11">
      <c r="A116" s="1">
        <v>13</v>
      </c>
      <c r="B116" s="13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3.0343499546855546E-2</v>
      </c>
      <c r="H116" s="7">
        <v>0</v>
      </c>
      <c r="I116" s="7">
        <v>0.58870512354623661</v>
      </c>
      <c r="J116" s="7">
        <v>7.1090984747071142E-3</v>
      </c>
      <c r="K116" s="7">
        <v>0</v>
      </c>
    </row>
    <row r="117" spans="1:11">
      <c r="A117" s="1">
        <v>11</v>
      </c>
      <c r="B117" s="13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6.0968783219610918E-2</v>
      </c>
      <c r="H117" s="7">
        <v>0</v>
      </c>
      <c r="I117" s="7">
        <v>1.2738907255563263</v>
      </c>
      <c r="J117" s="7">
        <v>1.9809355685359936E-2</v>
      </c>
      <c r="K117" s="7">
        <v>0</v>
      </c>
    </row>
    <row r="118" spans="1:11">
      <c r="A118" s="1">
        <v>12</v>
      </c>
      <c r="B118" s="13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9.9642614517490638E-2</v>
      </c>
      <c r="H118" s="7">
        <v>0</v>
      </c>
      <c r="I118" s="7">
        <v>0.60883252675219535</v>
      </c>
      <c r="J118" s="7">
        <v>1.1251156926795881E-2</v>
      </c>
      <c r="K118" s="7">
        <v>0</v>
      </c>
    </row>
    <row r="119" spans="1:11">
      <c r="A119" s="1">
        <v>13</v>
      </c>
      <c r="B119" s="13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0.14294159677039506</v>
      </c>
      <c r="H119" s="7">
        <v>0</v>
      </c>
      <c r="I119" s="7">
        <v>0.37267169816897089</v>
      </c>
      <c r="J119" s="7">
        <v>1.508866709882156E-2</v>
      </c>
      <c r="K119" s="7">
        <v>0</v>
      </c>
    </row>
    <row r="120" spans="1:11">
      <c r="A120" s="1">
        <v>11</v>
      </c>
      <c r="B120" s="13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9.8206937393222699E-2</v>
      </c>
      <c r="H120" s="7">
        <v>0</v>
      </c>
      <c r="I120" s="7">
        <v>1.6657109833679171</v>
      </c>
      <c r="J120" s="7">
        <v>1.9661543632823034E-2</v>
      </c>
      <c r="K120" s="7">
        <v>0</v>
      </c>
    </row>
    <row r="121" spans="1:11">
      <c r="A121" s="1">
        <v>12</v>
      </c>
      <c r="B121" s="13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0.10285365088630945</v>
      </c>
      <c r="H121" s="7">
        <v>0</v>
      </c>
      <c r="I121" s="7">
        <v>1.4458444057395419</v>
      </c>
      <c r="J121" s="7">
        <v>2.024114019018974E-2</v>
      </c>
      <c r="K121" s="7">
        <v>0</v>
      </c>
    </row>
    <row r="122" spans="1:11">
      <c r="A122" s="1">
        <v>13</v>
      </c>
      <c r="B122" s="13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8.3449139377884549E-2</v>
      </c>
      <c r="H122" s="7">
        <v>0</v>
      </c>
      <c r="I122" s="7">
        <v>0.96685599484949558</v>
      </c>
      <c r="J122" s="7">
        <v>2.1411969489907031E-2</v>
      </c>
      <c r="K122" s="7">
        <v>0</v>
      </c>
    </row>
    <row r="123" spans="1:11">
      <c r="A123" s="1">
        <v>11</v>
      </c>
      <c r="B123" s="13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0.25652151735635281</v>
      </c>
      <c r="H123" s="7">
        <v>0</v>
      </c>
      <c r="I123" s="7">
        <v>1.0271200350006593</v>
      </c>
      <c r="J123" s="7">
        <v>2.4915708282294474E-2</v>
      </c>
      <c r="K123" s="7">
        <v>0</v>
      </c>
    </row>
    <row r="124" spans="1:11">
      <c r="A124" s="1">
        <v>12</v>
      </c>
      <c r="B124" s="13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0.28875078145329386</v>
      </c>
      <c r="H124" s="7">
        <v>0</v>
      </c>
      <c r="I124" s="7">
        <v>1.3627323480610576</v>
      </c>
      <c r="J124" s="7">
        <v>3.0754029368429383E-2</v>
      </c>
      <c r="K124" s="7">
        <v>0</v>
      </c>
    </row>
    <row r="125" spans="1:11">
      <c r="A125" s="1">
        <v>13</v>
      </c>
      <c r="B125" s="13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0.3761945174595796</v>
      </c>
      <c r="H125" s="7">
        <v>0</v>
      </c>
      <c r="I125" s="7">
        <v>1.3655291128877431</v>
      </c>
      <c r="J125" s="7">
        <v>3.0161946502775615E-2</v>
      </c>
      <c r="K125" s="7">
        <v>0</v>
      </c>
    </row>
    <row r="126" spans="1:11">
      <c r="A126" s="1">
        <v>11</v>
      </c>
      <c r="B126" s="13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0.1956049098120021</v>
      </c>
      <c r="H126" s="7">
        <v>2.2807955042198055E-2</v>
      </c>
      <c r="I126" s="7">
        <v>1.6609138533444763</v>
      </c>
      <c r="J126" s="7">
        <v>3.9297493581565861E-2</v>
      </c>
      <c r="K126" s="7">
        <v>0</v>
      </c>
    </row>
    <row r="127" spans="1:11">
      <c r="A127" s="1">
        <v>12</v>
      </c>
      <c r="B127" s="13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0.347082297142004</v>
      </c>
      <c r="H127" s="7">
        <v>0</v>
      </c>
      <c r="I127" s="7">
        <v>1.4844363923564432</v>
      </c>
      <c r="J127" s="7">
        <v>3.7384948327449229E-2</v>
      </c>
      <c r="K127" s="7">
        <v>0</v>
      </c>
    </row>
    <row r="128" spans="1:11">
      <c r="A128" s="1">
        <v>13</v>
      </c>
      <c r="B128" s="13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0.56171819115534394</v>
      </c>
      <c r="H128" s="7">
        <v>0</v>
      </c>
      <c r="I128" s="7">
        <v>2.0654738625235027</v>
      </c>
      <c r="J128" s="7">
        <v>5.1379796073410249E-2</v>
      </c>
      <c r="K128" s="7">
        <v>0</v>
      </c>
    </row>
    <row r="129" spans="1:11">
      <c r="A129" s="1">
        <v>11</v>
      </c>
      <c r="B129" s="13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0.10128559581150011</v>
      </c>
      <c r="H129" s="7">
        <v>0</v>
      </c>
      <c r="I129" s="7">
        <v>5.0591511409989343</v>
      </c>
      <c r="J129" s="7">
        <v>3.6542256227410197E-2</v>
      </c>
      <c r="K129" s="7">
        <v>0</v>
      </c>
    </row>
    <row r="130" spans="1:11">
      <c r="A130" s="1">
        <v>12</v>
      </c>
      <c r="B130" s="13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8.9537009450891797E-2</v>
      </c>
      <c r="H130" s="7">
        <v>0</v>
      </c>
      <c r="I130" s="7">
        <v>4.6054073495921974</v>
      </c>
      <c r="J130" s="7">
        <v>3.1120217994200824E-2</v>
      </c>
      <c r="K130" s="7">
        <v>0</v>
      </c>
    </row>
    <row r="131" spans="1:11">
      <c r="A131" s="1">
        <v>13</v>
      </c>
      <c r="B131" s="13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0</v>
      </c>
      <c r="H131" s="7">
        <v>0</v>
      </c>
      <c r="I131" s="7">
        <v>3.9518842199722251</v>
      </c>
      <c r="J131" s="7">
        <v>5.07740699040439E-2</v>
      </c>
      <c r="K131" s="7">
        <v>0</v>
      </c>
    </row>
    <row r="132" spans="1:11">
      <c r="A132" s="1">
        <v>11</v>
      </c>
      <c r="B132" s="13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0.15267109649441435</v>
      </c>
      <c r="H132" s="7">
        <v>0</v>
      </c>
      <c r="I132" s="7">
        <v>1.8030158003863914</v>
      </c>
      <c r="J132" s="7">
        <v>1.4615482509872945E-2</v>
      </c>
      <c r="K132" s="7">
        <v>0</v>
      </c>
    </row>
    <row r="133" spans="1:11">
      <c r="A133" s="1">
        <v>12</v>
      </c>
      <c r="B133" s="13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4.8196814404201441E-2</v>
      </c>
      <c r="H133" s="7">
        <v>0</v>
      </c>
      <c r="I133" s="7">
        <v>0.9972345029165488</v>
      </c>
      <c r="J133" s="7">
        <v>1.0558607053162868E-2</v>
      </c>
      <c r="K133" s="7">
        <v>0</v>
      </c>
    </row>
    <row r="134" spans="1:11">
      <c r="A134" s="1">
        <v>13</v>
      </c>
      <c r="B134" s="13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4.1319719643609955E-2</v>
      </c>
      <c r="H134" s="7">
        <v>0</v>
      </c>
      <c r="I134" s="7">
        <v>0.95029265021341924</v>
      </c>
      <c r="J134" s="7">
        <v>1.1741001767732781E-2</v>
      </c>
      <c r="K134" s="7">
        <v>0</v>
      </c>
    </row>
    <row r="135" spans="1:11">
      <c r="A135" s="1">
        <v>11</v>
      </c>
      <c r="B135" s="13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3.5852234675977465E-2</v>
      </c>
      <c r="H135" s="7">
        <v>6.1029871841645059E-2</v>
      </c>
      <c r="I135" s="7">
        <v>1.3607660496659861</v>
      </c>
      <c r="J135" s="7">
        <v>2.4567000643532459E-2</v>
      </c>
      <c r="K135" s="7">
        <v>0</v>
      </c>
    </row>
    <row r="136" spans="1:11">
      <c r="A136" s="1">
        <v>12</v>
      </c>
      <c r="B136" s="13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2.7921891431596704E-2</v>
      </c>
      <c r="H136" s="7">
        <v>0</v>
      </c>
      <c r="I136" s="7">
        <v>1.2506459356053581</v>
      </c>
      <c r="J136" s="7">
        <v>2.4312217254127928E-2</v>
      </c>
      <c r="K136" s="7">
        <v>0</v>
      </c>
    </row>
    <row r="137" spans="1:11">
      <c r="A137" s="1">
        <v>13</v>
      </c>
      <c r="B137" s="13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5.9789702601109045E-2</v>
      </c>
      <c r="H137" s="7">
        <v>0</v>
      </c>
      <c r="I137" s="7">
        <v>1.0065106129702024</v>
      </c>
      <c r="J137" s="7">
        <v>3.1536014447632141E-2</v>
      </c>
      <c r="K137" s="7">
        <v>0</v>
      </c>
    </row>
    <row r="138" spans="1:11">
      <c r="A138" s="1">
        <v>11</v>
      </c>
      <c r="B138" s="13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0.18176155444381639</v>
      </c>
      <c r="H138" s="7">
        <v>4.8255559293576916E-2</v>
      </c>
      <c r="I138" s="7">
        <v>1.5236835904141635</v>
      </c>
      <c r="J138" s="7">
        <v>0.14489569947508035</v>
      </c>
      <c r="K138" s="7">
        <v>0</v>
      </c>
    </row>
    <row r="139" spans="1:11">
      <c r="A139" s="1">
        <v>12</v>
      </c>
      <c r="B139" s="13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0.12641502347927966</v>
      </c>
      <c r="H139" s="7">
        <v>0</v>
      </c>
      <c r="I139" s="7">
        <v>1.4262158378112171</v>
      </c>
      <c r="J139" s="7">
        <v>0.15003230225962186</v>
      </c>
      <c r="K139" s="7">
        <v>0</v>
      </c>
    </row>
    <row r="140" spans="1:11">
      <c r="A140" s="1">
        <v>13</v>
      </c>
      <c r="B140" s="13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0.16889182974400288</v>
      </c>
      <c r="H140" s="7">
        <v>4.9092442272546312E-2</v>
      </c>
      <c r="I140" s="7">
        <v>1.5345801116252418</v>
      </c>
      <c r="J140" s="7">
        <v>0.17411166722348972</v>
      </c>
      <c r="K140" s="7">
        <v>0</v>
      </c>
    </row>
    <row r="141" spans="1:11">
      <c r="A141" s="1">
        <v>11</v>
      </c>
      <c r="B141" s="13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0.13128955567799624</v>
      </c>
      <c r="H141" s="7">
        <v>0</v>
      </c>
      <c r="I141" s="7">
        <v>1.3295078169763914</v>
      </c>
      <c r="J141" s="7">
        <v>4.9228154826732692E-2</v>
      </c>
      <c r="K141" s="7">
        <v>0</v>
      </c>
    </row>
    <row r="142" spans="1:11">
      <c r="A142" s="1">
        <v>12</v>
      </c>
      <c r="B142" s="13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4.7577285699421712E-2</v>
      </c>
      <c r="H142" s="7">
        <v>0</v>
      </c>
      <c r="I142" s="7">
        <v>1.0467911152771305</v>
      </c>
      <c r="J142" s="7">
        <v>4.3439947379466243E-2</v>
      </c>
      <c r="K142" s="7">
        <v>0</v>
      </c>
    </row>
    <row r="143" spans="1:11">
      <c r="A143" s="1">
        <v>13</v>
      </c>
      <c r="B143" s="13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0.19422818224362742</v>
      </c>
      <c r="H143" s="7">
        <v>0</v>
      </c>
      <c r="I143" s="7">
        <v>3.5803623952044212</v>
      </c>
      <c r="J143" s="7">
        <v>0.15122868772861633</v>
      </c>
      <c r="K143" s="7">
        <v>0</v>
      </c>
    </row>
    <row r="144" spans="1:11">
      <c r="A144" s="1">
        <v>11</v>
      </c>
      <c r="B144" s="13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6.7357800263588646E-2</v>
      </c>
      <c r="H144" s="7">
        <v>0</v>
      </c>
      <c r="I144" s="7">
        <v>1.0031016120243779</v>
      </c>
      <c r="J144" s="7">
        <v>7.8561217128649219E-2</v>
      </c>
      <c r="K144" s="7">
        <v>0</v>
      </c>
    </row>
    <row r="145" spans="1:11">
      <c r="A145" s="1">
        <v>12</v>
      </c>
      <c r="B145" s="13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3.2899516300811581E-2</v>
      </c>
      <c r="H145" s="7">
        <v>0</v>
      </c>
      <c r="I145" s="7">
        <v>0.79147673709216049</v>
      </c>
      <c r="J145" s="7">
        <v>7.2287376548971313E-2</v>
      </c>
      <c r="K145" s="7">
        <v>0</v>
      </c>
    </row>
    <row r="146" spans="1:11">
      <c r="A146" s="1">
        <v>13</v>
      </c>
      <c r="B146" s="13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0.55280683036087264</v>
      </c>
      <c r="H146" s="7">
        <v>0</v>
      </c>
      <c r="I146" s="7">
        <v>3.9831909031615851</v>
      </c>
      <c r="J146" s="7">
        <v>0.11979716761760784</v>
      </c>
      <c r="K146" s="7">
        <v>0</v>
      </c>
    </row>
    <row r="147" spans="1:11">
      <c r="A147" s="1">
        <v>11</v>
      </c>
      <c r="B147" s="13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5.1957383941687647E-2</v>
      </c>
      <c r="H147" s="7">
        <v>0</v>
      </c>
      <c r="I147" s="7">
        <v>0.93134827756924476</v>
      </c>
      <c r="J147" s="7">
        <v>3.6916700543619195E-2</v>
      </c>
      <c r="K147" s="7">
        <v>0</v>
      </c>
    </row>
    <row r="148" spans="1:11">
      <c r="A148" s="1">
        <v>12</v>
      </c>
      <c r="B148" s="13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2.5649842033089995E-2</v>
      </c>
      <c r="H148" s="7">
        <v>0</v>
      </c>
      <c r="I148" s="7">
        <v>0.80979879140503963</v>
      </c>
      <c r="J148" s="7">
        <v>2.3725839338018338E-2</v>
      </c>
      <c r="K148" s="7">
        <v>0</v>
      </c>
    </row>
    <row r="149" spans="1:11">
      <c r="A149" s="1">
        <v>13</v>
      </c>
      <c r="B149" s="13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7.0483787417965391E-2</v>
      </c>
      <c r="H149" s="7">
        <v>0</v>
      </c>
      <c r="I149" s="7">
        <v>0.61377676831994654</v>
      </c>
      <c r="J149" s="7">
        <v>4.017307436404341E-2</v>
      </c>
      <c r="K149" s="7">
        <v>0</v>
      </c>
    </row>
    <row r="150" spans="1:11">
      <c r="A150" s="1">
        <v>11</v>
      </c>
      <c r="B150" s="13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0.11228905157681913</v>
      </c>
      <c r="H150" s="7">
        <v>0</v>
      </c>
      <c r="I150" s="7">
        <v>1.3173269554706923</v>
      </c>
      <c r="J150" s="7">
        <v>4.3447615135408457E-2</v>
      </c>
      <c r="K150" s="7">
        <v>0</v>
      </c>
    </row>
    <row r="151" spans="1:11">
      <c r="A151" s="1">
        <v>12</v>
      </c>
      <c r="B151" s="13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6.7456715119782157E-2</v>
      </c>
      <c r="H151" s="7">
        <v>0</v>
      </c>
      <c r="I151" s="7">
        <v>0.79199886929580077</v>
      </c>
      <c r="J151" s="7">
        <v>3.4302199117123275E-2</v>
      </c>
      <c r="K151" s="7">
        <v>0</v>
      </c>
    </row>
    <row r="152" spans="1:11">
      <c r="A152" s="1">
        <v>13</v>
      </c>
      <c r="B152" s="13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6.3811667168690189E-2</v>
      </c>
      <c r="H152" s="7">
        <v>0</v>
      </c>
      <c r="I152" s="7">
        <v>1.334186781333782</v>
      </c>
      <c r="J152" s="7">
        <v>3.8601675026404297E-2</v>
      </c>
      <c r="K152" s="7">
        <v>0</v>
      </c>
    </row>
    <row r="153" spans="1:11">
      <c r="A153" s="1">
        <v>11</v>
      </c>
      <c r="B153" s="13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0.1694587067773953</v>
      </c>
      <c r="H153" s="7">
        <v>0</v>
      </c>
      <c r="I153" s="7">
        <v>0.92641531772651942</v>
      </c>
      <c r="J153" s="7">
        <v>2.0643451948078498E-2</v>
      </c>
      <c r="K153" s="7">
        <v>0</v>
      </c>
    </row>
    <row r="154" spans="1:11">
      <c r="A154" s="1">
        <v>12</v>
      </c>
      <c r="B154" s="13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0.13682492368917237</v>
      </c>
      <c r="H154" s="7">
        <v>0</v>
      </c>
      <c r="I154" s="7">
        <v>1.1899397734898358</v>
      </c>
      <c r="J154" s="7">
        <v>1.9868902264510095E-2</v>
      </c>
      <c r="K154" s="7">
        <v>0</v>
      </c>
    </row>
    <row r="155" spans="1:11">
      <c r="A155" s="1">
        <v>13</v>
      </c>
      <c r="B155" s="13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0.11936726931516636</v>
      </c>
      <c r="H155" s="7">
        <v>0</v>
      </c>
      <c r="I155" s="7">
        <v>1.3101490921158321</v>
      </c>
      <c r="J155" s="7">
        <v>1.5835596477880087E-2</v>
      </c>
      <c r="K155" s="7">
        <v>0</v>
      </c>
    </row>
    <row r="156" spans="1:11">
      <c r="A156" s="1">
        <v>11</v>
      </c>
      <c r="B156" s="13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4.9257430716762342E-2</v>
      </c>
      <c r="H156" s="6">
        <v>0</v>
      </c>
      <c r="I156" s="6">
        <v>3.6971911775045836</v>
      </c>
      <c r="J156" s="6">
        <v>1.5760368466281663E-2</v>
      </c>
      <c r="K156" s="6">
        <v>0</v>
      </c>
    </row>
    <row r="157" spans="1:11">
      <c r="A157" s="1">
        <v>12</v>
      </c>
      <c r="B157" s="13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3.9365345337830961E-2</v>
      </c>
      <c r="H157" s="6">
        <v>0</v>
      </c>
      <c r="I157" s="6">
        <v>2.7540841760994961</v>
      </c>
      <c r="J157" s="6">
        <v>1.6129202502105075E-2</v>
      </c>
      <c r="K157" s="6">
        <v>0</v>
      </c>
    </row>
    <row r="158" spans="1:11">
      <c r="A158" s="1">
        <v>13</v>
      </c>
      <c r="B158" s="13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3.8575275212569753E-2</v>
      </c>
      <c r="H158" s="6">
        <v>0</v>
      </c>
      <c r="I158" s="6">
        <v>2.7545533730197231</v>
      </c>
      <c r="J158" s="6">
        <v>1.4365564827511087E-2</v>
      </c>
      <c r="K158" s="6">
        <v>0</v>
      </c>
    </row>
    <row r="159" spans="1:11">
      <c r="A159" s="1">
        <v>11</v>
      </c>
      <c r="B159" s="13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0.33397054537147164</v>
      </c>
      <c r="H159" s="6">
        <v>0</v>
      </c>
      <c r="I159" s="6">
        <v>3.3928981313643551</v>
      </c>
      <c r="J159" s="6">
        <v>2.678906065631825E-2</v>
      </c>
      <c r="K159" s="6">
        <v>0</v>
      </c>
    </row>
    <row r="160" spans="1:11">
      <c r="A160" s="1">
        <v>12</v>
      </c>
      <c r="B160" s="13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0.15392051521273245</v>
      </c>
      <c r="H160" s="6">
        <v>0</v>
      </c>
      <c r="I160" s="6">
        <v>2.4485607490234975</v>
      </c>
      <c r="J160" s="6">
        <v>2.4359852773418299E-2</v>
      </c>
      <c r="K160" s="6">
        <v>0</v>
      </c>
    </row>
    <row r="161" spans="1:11">
      <c r="A161" s="1">
        <v>13</v>
      </c>
      <c r="B161" s="13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0.23408982207284412</v>
      </c>
      <c r="H161" s="6">
        <v>0</v>
      </c>
      <c r="I161" s="6">
        <v>2.5488635206380792</v>
      </c>
      <c r="J161" s="6">
        <v>2.2943820413453317E-2</v>
      </c>
      <c r="K161" s="6">
        <v>0</v>
      </c>
    </row>
    <row r="162" spans="1:11">
      <c r="A162" s="1">
        <v>11</v>
      </c>
      <c r="B162" s="13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0.18406605091588557</v>
      </c>
      <c r="H162" s="6">
        <v>0</v>
      </c>
      <c r="I162" s="6">
        <v>3.0024074779196406</v>
      </c>
      <c r="J162" s="6">
        <v>5.68193513745609E-2</v>
      </c>
      <c r="K162" s="6">
        <v>0</v>
      </c>
    </row>
    <row r="163" spans="1:11">
      <c r="A163" s="1">
        <v>12</v>
      </c>
      <c r="B163" s="13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0.25464506174903367</v>
      </c>
      <c r="H163" s="6">
        <v>0</v>
      </c>
      <c r="I163" s="6">
        <v>2.7913365965378549</v>
      </c>
      <c r="J163" s="6">
        <v>3.3875499731458363E-2</v>
      </c>
      <c r="K163" s="6">
        <v>0</v>
      </c>
    </row>
    <row r="164" spans="1:11">
      <c r="A164" s="1">
        <v>13</v>
      </c>
      <c r="B164" s="13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0.34106172905722992</v>
      </c>
      <c r="H164" s="6">
        <v>0</v>
      </c>
      <c r="I164" s="6">
        <v>2.0877719480598564</v>
      </c>
      <c r="J164" s="6">
        <v>5.0367866786962569E-2</v>
      </c>
      <c r="K164" s="6">
        <v>0</v>
      </c>
    </row>
    <row r="165" spans="1:11">
      <c r="A165" s="1">
        <v>11</v>
      </c>
      <c r="B165" s="13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6.5263731479753867E-2</v>
      </c>
      <c r="H165" s="15">
        <v>0</v>
      </c>
      <c r="I165" s="15">
        <v>0.63957856125469259</v>
      </c>
      <c r="J165" s="15">
        <v>2.4833100487574544E-2</v>
      </c>
      <c r="K165" s="15">
        <v>0</v>
      </c>
    </row>
    <row r="166" spans="1:11">
      <c r="A166" s="1">
        <v>12</v>
      </c>
      <c r="B166" s="13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5.2192355365586224E-2</v>
      </c>
      <c r="H166" s="15">
        <v>0</v>
      </c>
      <c r="I166" s="15">
        <v>0.4072977558515376</v>
      </c>
      <c r="J166" s="15">
        <v>1.8351640154420257E-2</v>
      </c>
      <c r="K166" s="15">
        <v>0</v>
      </c>
    </row>
    <row r="167" spans="1:11">
      <c r="A167" s="1">
        <v>13</v>
      </c>
      <c r="B167" s="13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4.0618298143635732E-2</v>
      </c>
      <c r="H167" s="15">
        <v>2.2832210548346471E-2</v>
      </c>
      <c r="I167" s="15">
        <v>1.1038725735418771</v>
      </c>
      <c r="J167" s="15">
        <v>3.2097076233406047E-2</v>
      </c>
      <c r="K167" s="15">
        <v>0</v>
      </c>
    </row>
    <row r="168" spans="1:11">
      <c r="A168" s="1">
        <v>11</v>
      </c>
      <c r="B168" s="13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0.20867167585237326</v>
      </c>
      <c r="H168" s="15">
        <v>0</v>
      </c>
      <c r="I168" s="15">
        <v>1.6100857064739558</v>
      </c>
      <c r="J168" s="15">
        <v>1.6191275147653016E-2</v>
      </c>
      <c r="K168" s="15">
        <v>0</v>
      </c>
    </row>
    <row r="169" spans="1:11">
      <c r="A169" s="1">
        <v>12</v>
      </c>
      <c r="B169" s="13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0.12655352138126949</v>
      </c>
      <c r="H169" s="15">
        <v>0</v>
      </c>
      <c r="I169" s="15">
        <v>0.84690802432131007</v>
      </c>
      <c r="J169" s="15">
        <v>1.2692177126340727E-2</v>
      </c>
      <c r="K169" s="15">
        <v>0</v>
      </c>
    </row>
    <row r="170" spans="1:11">
      <c r="A170" s="1">
        <v>13</v>
      </c>
      <c r="B170" s="13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0.1810841132355917</v>
      </c>
      <c r="H170" s="15">
        <v>0</v>
      </c>
      <c r="I170" s="15">
        <v>0.85126551786532056</v>
      </c>
      <c r="J170" s="15">
        <v>1.0542508534415494E-2</v>
      </c>
      <c r="K170" s="15">
        <v>0</v>
      </c>
    </row>
    <row r="171" spans="1:11">
      <c r="A171" s="1">
        <v>11</v>
      </c>
      <c r="B171" s="13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0.23024114308043489</v>
      </c>
      <c r="H171" s="15">
        <v>0</v>
      </c>
      <c r="I171" s="15">
        <v>2.1581524060972521</v>
      </c>
      <c r="J171" s="15">
        <v>7.8933593964726476E-2</v>
      </c>
      <c r="K171" s="15">
        <v>0</v>
      </c>
    </row>
    <row r="172" spans="1:11">
      <c r="A172" s="1">
        <v>12</v>
      </c>
      <c r="B172" s="13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0.20919179113905606</v>
      </c>
      <c r="H172" s="15">
        <v>0</v>
      </c>
      <c r="I172" s="15">
        <v>1.7373711827316012</v>
      </c>
      <c r="J172" s="15">
        <v>8.9545748068955627E-2</v>
      </c>
      <c r="K172" s="15">
        <v>0</v>
      </c>
    </row>
    <row r="173" spans="1:11">
      <c r="A173" s="1">
        <v>13</v>
      </c>
      <c r="B173" s="13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0.25846215017468394</v>
      </c>
      <c r="H173" s="15">
        <v>0</v>
      </c>
      <c r="I173" s="15">
        <v>2.6309626752157644</v>
      </c>
      <c r="J173" s="15">
        <v>0.112320005607152</v>
      </c>
      <c r="K173" s="15">
        <v>0</v>
      </c>
    </row>
    <row r="174" spans="1:11">
      <c r="A174" s="1">
        <v>11</v>
      </c>
      <c r="B174" s="13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0.18122687970976248</v>
      </c>
      <c r="H174" s="15">
        <v>0</v>
      </c>
      <c r="I174" s="15">
        <v>4.749554972316238</v>
      </c>
      <c r="J174" s="15">
        <v>0.14701362813420379</v>
      </c>
      <c r="K174" s="15">
        <v>0</v>
      </c>
    </row>
    <row r="175" spans="1:11">
      <c r="A175" s="1">
        <v>12</v>
      </c>
      <c r="B175" s="13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7.5135736232372713E-2</v>
      </c>
      <c r="H175" s="15">
        <v>0</v>
      </c>
      <c r="I175" s="15">
        <v>2.8062664694408261</v>
      </c>
      <c r="J175" s="15">
        <v>6.4155481407246459E-2</v>
      </c>
      <c r="K175" s="15">
        <v>0</v>
      </c>
    </row>
    <row r="176" spans="1:11">
      <c r="A176" s="1">
        <v>13</v>
      </c>
      <c r="B176" s="13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0.3133429785884394</v>
      </c>
      <c r="H176" s="15">
        <v>0</v>
      </c>
      <c r="I176" s="15">
        <v>2.7075589762777907</v>
      </c>
      <c r="J176" s="15">
        <v>7.8188488680549131E-2</v>
      </c>
      <c r="K176" s="15">
        <v>0</v>
      </c>
    </row>
    <row r="177" spans="1:11">
      <c r="A177" s="1">
        <v>11</v>
      </c>
      <c r="B177" s="13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  <c r="H177" s="14"/>
      <c r="I177" s="14"/>
      <c r="J177" s="14"/>
      <c r="K177" s="14"/>
    </row>
    <row r="178" spans="1:11">
      <c r="A178" s="1">
        <v>12</v>
      </c>
      <c r="B178" s="13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  <c r="H178" s="14"/>
      <c r="I178" s="14"/>
      <c r="J178" s="14"/>
      <c r="K178" s="14"/>
    </row>
    <row r="179" spans="1:11">
      <c r="A179" s="1">
        <v>13</v>
      </c>
      <c r="B179" s="13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H179" s="14"/>
      <c r="I179" s="14"/>
      <c r="J179" s="14"/>
      <c r="K179" s="14"/>
    </row>
    <row r="180" spans="1:11">
      <c r="A180" s="1">
        <v>11</v>
      </c>
      <c r="B180" s="13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1.7273895707203366E-2</v>
      </c>
      <c r="H180" s="15">
        <v>0</v>
      </c>
      <c r="I180" s="15">
        <v>1.6145385057381063</v>
      </c>
      <c r="J180" s="15">
        <v>0.12219155621286505</v>
      </c>
      <c r="K180" s="15">
        <v>0</v>
      </c>
    </row>
    <row r="181" spans="1:11">
      <c r="A181" s="1">
        <v>12</v>
      </c>
      <c r="B181" s="13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1.6024531170876152E-2</v>
      </c>
      <c r="H181" s="15">
        <v>0</v>
      </c>
      <c r="I181" s="15">
        <v>1.7783215857050327</v>
      </c>
      <c r="J181" s="15">
        <v>0.15231197598264903</v>
      </c>
      <c r="K181" s="15">
        <v>0</v>
      </c>
    </row>
    <row r="182" spans="1:11">
      <c r="A182" s="1">
        <v>13</v>
      </c>
      <c r="B182" s="13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</v>
      </c>
      <c r="H182" s="15">
        <v>0</v>
      </c>
      <c r="I182" s="15">
        <v>0.75210382550039512</v>
      </c>
      <c r="J182" s="15">
        <v>0.18195703333662638</v>
      </c>
      <c r="K182" s="15">
        <v>0</v>
      </c>
    </row>
    <row r="183" spans="1:11">
      <c r="A183" s="1">
        <v>11</v>
      </c>
      <c r="B183" s="13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2.647261391745221E-2</v>
      </c>
      <c r="H183" s="7">
        <v>0</v>
      </c>
      <c r="I183" s="7">
        <v>2.1054986414099757</v>
      </c>
      <c r="J183" s="7">
        <v>0.12443921283058797</v>
      </c>
      <c r="K183" s="7">
        <v>0</v>
      </c>
    </row>
    <row r="184" spans="1:11">
      <c r="A184" s="1">
        <v>12</v>
      </c>
      <c r="B184" s="13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1.5406273755327824E-2</v>
      </c>
      <c r="H184" s="7">
        <v>0</v>
      </c>
      <c r="I184" s="7">
        <v>1.0797877642108888</v>
      </c>
      <c r="J184" s="7">
        <v>8.1178926427704551E-2</v>
      </c>
      <c r="K184" s="7">
        <v>0</v>
      </c>
    </row>
    <row r="185" spans="1:11">
      <c r="A185" s="1">
        <v>13</v>
      </c>
      <c r="B185" s="13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7.3496285453922311E-2</v>
      </c>
      <c r="H185" s="7">
        <v>0</v>
      </c>
      <c r="I185" s="7">
        <v>1.2105146050751232</v>
      </c>
      <c r="J185" s="7">
        <v>0.15122104067342917</v>
      </c>
      <c r="K185" s="7">
        <v>0</v>
      </c>
    </row>
    <row r="186" spans="1:11">
      <c r="A186" s="1">
        <v>11</v>
      </c>
      <c r="B186" s="13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4.3714278544189432E-2</v>
      </c>
      <c r="H186" s="7">
        <v>0</v>
      </c>
      <c r="I186" s="7">
        <v>1.7220291323551182</v>
      </c>
      <c r="J186" s="7">
        <v>3.2650781158634123E-2</v>
      </c>
      <c r="K186" s="7">
        <v>0</v>
      </c>
    </row>
    <row r="187" spans="1:11">
      <c r="A187" s="1">
        <v>12</v>
      </c>
      <c r="B187" s="13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3.8173183723446073E-2</v>
      </c>
      <c r="H187" s="7">
        <v>0</v>
      </c>
      <c r="I187" s="7">
        <v>1.1734586126559425</v>
      </c>
      <c r="J187" s="7">
        <v>2.3180553884585609E-2</v>
      </c>
      <c r="K187" s="7">
        <v>0</v>
      </c>
    </row>
    <row r="188" spans="1:11">
      <c r="A188" s="1">
        <v>13</v>
      </c>
      <c r="B188" s="13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2.6062967438509905E-2</v>
      </c>
      <c r="H188" s="7">
        <v>0</v>
      </c>
      <c r="I188" s="7">
        <v>1.3395430218210533</v>
      </c>
      <c r="J188" s="7">
        <v>2.8183928706920439E-2</v>
      </c>
      <c r="K188" s="7">
        <v>0</v>
      </c>
    </row>
    <row r="189" spans="1:11">
      <c r="A189" s="1">
        <v>11</v>
      </c>
      <c r="B189" s="13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7.1450037037066344E-2</v>
      </c>
      <c r="H189" s="7">
        <v>0</v>
      </c>
      <c r="I189" s="7">
        <v>3.7820720425288656</v>
      </c>
      <c r="J189" s="7">
        <v>2.6837301270379713E-2</v>
      </c>
      <c r="K189" s="7">
        <v>0</v>
      </c>
    </row>
    <row r="190" spans="1:11">
      <c r="A190" s="1">
        <v>12</v>
      </c>
      <c r="B190" s="13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4.5992473272129256E-2</v>
      </c>
      <c r="H190" s="7">
        <v>0</v>
      </c>
      <c r="I190" s="7">
        <v>2.1406654628542259</v>
      </c>
      <c r="J190" s="7">
        <v>1.564341594757087E-2</v>
      </c>
      <c r="K190" s="7">
        <v>0</v>
      </c>
    </row>
    <row r="191" spans="1:11">
      <c r="A191" s="1">
        <v>13</v>
      </c>
      <c r="B191" s="13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4.7913671390033628E-2</v>
      </c>
      <c r="H191" s="7">
        <v>0</v>
      </c>
      <c r="I191" s="7">
        <v>2.4048233145940414</v>
      </c>
      <c r="J191" s="7">
        <v>1.7101768035714237E-2</v>
      </c>
      <c r="K191" s="7">
        <v>0</v>
      </c>
    </row>
    <row r="192" spans="1:11">
      <c r="A192" s="1">
        <v>11</v>
      </c>
      <c r="B192" s="16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7.5478566565867031E-2</v>
      </c>
      <c r="H192" s="7">
        <v>0</v>
      </c>
      <c r="I192" s="7">
        <v>3.1746369142817854</v>
      </c>
      <c r="J192" s="7">
        <v>1.0398757685069536E-2</v>
      </c>
      <c r="K192" s="7">
        <v>0</v>
      </c>
    </row>
    <row r="193" spans="1:11">
      <c r="A193" s="1">
        <v>12</v>
      </c>
      <c r="B193" s="16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7.2708783467580751E-2</v>
      </c>
      <c r="H193" s="7">
        <v>0</v>
      </c>
      <c r="I193" s="7">
        <v>2.3375118016277927</v>
      </c>
      <c r="J193" s="7">
        <v>1.3132349591770979E-2</v>
      </c>
      <c r="K193" s="7">
        <v>0</v>
      </c>
    </row>
    <row r="194" spans="1:11">
      <c r="A194" s="1">
        <v>13</v>
      </c>
      <c r="B194" s="16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6.0740527535524697E-2</v>
      </c>
      <c r="H194" s="7">
        <v>0</v>
      </c>
      <c r="I194" s="7">
        <v>1.7581885025816095</v>
      </c>
      <c r="J194" s="7">
        <v>1.2074158907698099E-2</v>
      </c>
      <c r="K194" s="7">
        <v>0</v>
      </c>
    </row>
    <row r="195" spans="1:11">
      <c r="A195" s="1">
        <v>11</v>
      </c>
      <c r="B195" s="16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0.35404087982700283</v>
      </c>
      <c r="H195" s="7">
        <v>0</v>
      </c>
      <c r="I195" s="7">
        <v>2.7355993098911542</v>
      </c>
      <c r="J195" s="7">
        <v>2.1226540369461769E-2</v>
      </c>
      <c r="K195" s="7">
        <v>0</v>
      </c>
    </row>
    <row r="196" spans="1:11">
      <c r="A196" s="1">
        <v>12</v>
      </c>
      <c r="B196" s="16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0.35326072116846241</v>
      </c>
      <c r="H196" s="7">
        <v>0</v>
      </c>
      <c r="I196" s="7">
        <v>2.7438280949049449</v>
      </c>
      <c r="J196" s="7">
        <v>2.1351364075241727E-2</v>
      </c>
      <c r="K196" s="7">
        <v>0</v>
      </c>
    </row>
    <row r="197" spans="1:11">
      <c r="A197" s="1">
        <v>13</v>
      </c>
      <c r="B197" s="16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7.9025243046809829E-2</v>
      </c>
      <c r="H197" s="7">
        <v>0</v>
      </c>
      <c r="I197" s="7">
        <v>1.232268201983129</v>
      </c>
      <c r="J197" s="7">
        <v>2.7756648456539388E-2</v>
      </c>
      <c r="K197" s="7">
        <v>0</v>
      </c>
    </row>
    <row r="198" spans="1:11">
      <c r="A198" s="1">
        <v>11</v>
      </c>
      <c r="B198" s="16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0.76093816727360153</v>
      </c>
      <c r="H198" s="7">
        <v>0</v>
      </c>
      <c r="I198" s="7">
        <v>0.4423653351319396</v>
      </c>
      <c r="J198" s="7">
        <v>7.2049119931984276E-3</v>
      </c>
      <c r="K198" s="7">
        <v>0</v>
      </c>
    </row>
    <row r="199" spans="1:11">
      <c r="A199" s="1">
        <v>12</v>
      </c>
      <c r="B199" s="16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0.49424851163647865</v>
      </c>
      <c r="H199" s="7">
        <v>0</v>
      </c>
      <c r="I199" s="7">
        <v>0.25741647014000679</v>
      </c>
      <c r="J199" s="7">
        <v>5.9410020510767955E-3</v>
      </c>
      <c r="K199" s="7">
        <v>0</v>
      </c>
    </row>
    <row r="200" spans="1:11">
      <c r="A200" s="1">
        <v>13</v>
      </c>
      <c r="B200" s="16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0.17070164297739318</v>
      </c>
      <c r="H200" s="7">
        <v>0</v>
      </c>
      <c r="I200" s="7">
        <v>0.15478008602873131</v>
      </c>
      <c r="J200" s="7">
        <v>5.4907166253169055E-3</v>
      </c>
      <c r="K200" s="7">
        <v>0</v>
      </c>
    </row>
    <row r="201" spans="1:11">
      <c r="A201" s="1">
        <v>11</v>
      </c>
      <c r="B201" s="16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6.3574632882968787E-2</v>
      </c>
      <c r="H201" s="7">
        <v>0</v>
      </c>
      <c r="I201" s="7">
        <v>1.8904466951684977</v>
      </c>
      <c r="J201" s="7">
        <v>1.7128703758354746E-2</v>
      </c>
      <c r="K201" s="7">
        <v>0</v>
      </c>
    </row>
    <row r="202" spans="1:11">
      <c r="A202" s="1">
        <v>12</v>
      </c>
      <c r="B202" s="16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4.6892023323111313E-2</v>
      </c>
      <c r="H202" s="7">
        <v>0</v>
      </c>
      <c r="I202" s="7">
        <v>1.1962520814292867</v>
      </c>
      <c r="J202" s="7">
        <v>1.0267594122518098E-2</v>
      </c>
      <c r="K202" s="7">
        <v>0</v>
      </c>
    </row>
    <row r="203" spans="1:11">
      <c r="A203" s="1">
        <v>13</v>
      </c>
      <c r="B203" s="16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4.7706651195047224E-2</v>
      </c>
      <c r="H203" s="7">
        <v>5.427872567048974E-2</v>
      </c>
      <c r="I203" s="7">
        <v>1.514283755131417</v>
      </c>
      <c r="J203" s="7">
        <v>2.4644356904985645E-2</v>
      </c>
      <c r="K203" s="7">
        <v>0</v>
      </c>
    </row>
    <row r="204" spans="1:11">
      <c r="A204" s="1">
        <v>11</v>
      </c>
      <c r="B204" s="16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3.4772556754998817E-2</v>
      </c>
      <c r="H204" s="7">
        <v>0</v>
      </c>
      <c r="I204" s="7">
        <v>0.89012177908933021</v>
      </c>
      <c r="J204" s="7">
        <v>1.4431488922119555E-2</v>
      </c>
      <c r="K204" s="7">
        <v>0</v>
      </c>
    </row>
    <row r="205" spans="1:11">
      <c r="A205" s="1">
        <v>12</v>
      </c>
      <c r="B205" s="16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3.1857814694829234E-2</v>
      </c>
      <c r="H205" s="7">
        <v>0</v>
      </c>
      <c r="I205" s="7">
        <v>0.43728732265410813</v>
      </c>
      <c r="J205" s="7">
        <v>7.422550666077765E-3</v>
      </c>
      <c r="K205" s="7">
        <v>0</v>
      </c>
    </row>
    <row r="206" spans="1:11">
      <c r="A206" s="1">
        <v>13</v>
      </c>
      <c r="B206" s="16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3.2253084532680228E-2</v>
      </c>
      <c r="H206" s="7">
        <v>0</v>
      </c>
      <c r="I206" s="7">
        <v>0.34894387812072031</v>
      </c>
      <c r="J206" s="7">
        <v>1.4850519178791653E-2</v>
      </c>
      <c r="K206" s="7">
        <v>0</v>
      </c>
    </row>
    <row r="207" spans="1:11">
      <c r="A207" s="1">
        <v>11</v>
      </c>
      <c r="B207" s="16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8.7379743602930618E-2</v>
      </c>
      <c r="H207" s="7">
        <v>0.14954562632813362</v>
      </c>
      <c r="I207" s="7">
        <v>2.3093637097973772</v>
      </c>
      <c r="J207" s="7">
        <v>5.2109325081626238E-2</v>
      </c>
      <c r="K207" s="7">
        <v>0</v>
      </c>
    </row>
    <row r="208" spans="1:11">
      <c r="A208" s="1">
        <v>12</v>
      </c>
      <c r="B208" s="16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7.8043282531859132E-2</v>
      </c>
      <c r="H208" s="7">
        <v>0.12937845620708019</v>
      </c>
      <c r="I208" s="7">
        <v>2.4433574197972687</v>
      </c>
      <c r="J208" s="7">
        <v>4.4114828722937496E-2</v>
      </c>
      <c r="K208" s="7">
        <v>0</v>
      </c>
    </row>
    <row r="209" spans="1:11">
      <c r="A209" s="1">
        <v>13</v>
      </c>
      <c r="B209" s="16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6.2236623460820858E-2</v>
      </c>
      <c r="H209" s="7">
        <v>0.1712906947359174</v>
      </c>
      <c r="I209" s="7">
        <v>2.4085294098155603</v>
      </c>
      <c r="J209" s="7">
        <v>5.95589985099296E-2</v>
      </c>
      <c r="K209" s="7">
        <v>0</v>
      </c>
    </row>
    <row r="210" spans="1:11">
      <c r="A210" s="1">
        <v>11</v>
      </c>
      <c r="B210" s="16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0.48372881875535212</v>
      </c>
      <c r="H210" s="7">
        <v>0</v>
      </c>
      <c r="I210" s="7">
        <v>2.8001459068051604</v>
      </c>
      <c r="J210" s="7">
        <v>0.32685472564041307</v>
      </c>
      <c r="K210" s="7">
        <v>0</v>
      </c>
    </row>
    <row r="211" spans="1:11">
      <c r="A211" s="1">
        <v>12</v>
      </c>
      <c r="B211" s="16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0.80734781315962179</v>
      </c>
      <c r="H211" s="7">
        <v>7.5418472587968757E-2</v>
      </c>
      <c r="I211" s="7">
        <v>3.9571620036493922</v>
      </c>
      <c r="J211" s="7">
        <v>0.55291589598329083</v>
      </c>
      <c r="K211" s="7">
        <v>0</v>
      </c>
    </row>
    <row r="212" spans="1:11">
      <c r="A212" s="1">
        <v>13</v>
      </c>
      <c r="B212" s="16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0.5862258115030704</v>
      </c>
      <c r="H212" s="7">
        <v>6.6751780080171713E-2</v>
      </c>
      <c r="I212" s="7">
        <v>3.6180434396005614</v>
      </c>
      <c r="J212" s="7">
        <v>0.912971669153674</v>
      </c>
      <c r="K212" s="7">
        <v>0</v>
      </c>
    </row>
    <row r="213" spans="1:11">
      <c r="A213" s="1">
        <v>11</v>
      </c>
      <c r="B213" s="16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0.14075532547653286</v>
      </c>
      <c r="H213" s="7">
        <v>0</v>
      </c>
      <c r="I213" s="7">
        <v>3.8454101806555356</v>
      </c>
      <c r="J213" s="7">
        <v>9.8718647556600786E-2</v>
      </c>
      <c r="K213" s="7">
        <v>0</v>
      </c>
    </row>
    <row r="214" spans="1:11">
      <c r="A214" s="1">
        <v>12</v>
      </c>
      <c r="B214" s="16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9.9714731176877111E-2</v>
      </c>
      <c r="H214" s="7">
        <v>0</v>
      </c>
      <c r="I214" s="7">
        <v>3.2607610348782901</v>
      </c>
      <c r="J214" s="7">
        <v>9.7426749226591336E-2</v>
      </c>
      <c r="K214" s="7">
        <v>0</v>
      </c>
    </row>
    <row r="215" spans="1:11">
      <c r="A215" s="1">
        <v>13</v>
      </c>
      <c r="B215" s="16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0.24314447957205104</v>
      </c>
      <c r="H215" s="7">
        <v>0</v>
      </c>
      <c r="I215" s="7">
        <v>3.7986573666588286</v>
      </c>
      <c r="J215" s="7">
        <v>0.10057198766267536</v>
      </c>
      <c r="K215" s="7">
        <v>0</v>
      </c>
    </row>
    <row r="216" spans="1:11">
      <c r="A216" s="1">
        <v>11</v>
      </c>
      <c r="B216" s="16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0.11106202592328614</v>
      </c>
      <c r="H216" s="7">
        <v>0</v>
      </c>
      <c r="I216" s="7">
        <v>3.0650845232158894</v>
      </c>
      <c r="J216" s="7">
        <v>0.3254667363547219</v>
      </c>
      <c r="K216" s="7">
        <v>0</v>
      </c>
    </row>
    <row r="217" spans="1:11">
      <c r="A217" s="1">
        <v>12</v>
      </c>
      <c r="B217" s="16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8.872255946404739E-2</v>
      </c>
      <c r="H217" s="7">
        <v>0</v>
      </c>
      <c r="I217" s="7">
        <v>2.4405102499280402</v>
      </c>
      <c r="J217" s="7">
        <v>0.25393561641540929</v>
      </c>
      <c r="K217" s="7">
        <v>0</v>
      </c>
    </row>
    <row r="218" spans="1:11">
      <c r="A218" s="1">
        <v>13</v>
      </c>
      <c r="B218" s="16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0.21709032411661716</v>
      </c>
      <c r="H218" s="7">
        <v>0</v>
      </c>
      <c r="I218" s="7">
        <v>3.4181857939824307</v>
      </c>
      <c r="J218" s="7">
        <v>0.55248908908077066</v>
      </c>
      <c r="K218" s="7">
        <v>0</v>
      </c>
    </row>
    <row r="219" spans="1:11">
      <c r="A219" s="1">
        <v>11</v>
      </c>
      <c r="B219" s="16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1.26E-2</v>
      </c>
      <c r="H219" s="7">
        <v>1E-4</v>
      </c>
      <c r="I219" s="7">
        <v>1.8831</v>
      </c>
      <c r="J219" s="7">
        <v>6.8099999999999994E-2</v>
      </c>
      <c r="K219" s="7">
        <v>1E-4</v>
      </c>
    </row>
    <row r="220" spans="1:11">
      <c r="A220" s="1">
        <v>12</v>
      </c>
      <c r="B220" s="16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1.03E-2</v>
      </c>
      <c r="H220" s="7">
        <v>1E-4</v>
      </c>
      <c r="I220" s="7">
        <v>1.7775000000000001</v>
      </c>
      <c r="J220" s="7">
        <v>6.2700000000000006E-2</v>
      </c>
      <c r="K220" s="7">
        <v>1E-4</v>
      </c>
    </row>
    <row r="221" spans="1:11">
      <c r="A221" s="1">
        <v>13</v>
      </c>
      <c r="B221" s="16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1.1900000000000001E-2</v>
      </c>
      <c r="H221" s="7">
        <v>1E-4</v>
      </c>
      <c r="I221" s="7">
        <v>1.8792</v>
      </c>
      <c r="J221" s="7">
        <v>7.1400000000000005E-2</v>
      </c>
      <c r="K221" s="7">
        <v>1E-4</v>
      </c>
    </row>
    <row r="222" spans="1:11">
      <c r="A222" s="1">
        <v>11</v>
      </c>
      <c r="B222" s="16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1.43E-2</v>
      </c>
      <c r="H222" s="7">
        <v>1E-4</v>
      </c>
      <c r="I222" s="7">
        <v>1.1791</v>
      </c>
      <c r="J222" s="7">
        <v>2.6499999999999999E-2</v>
      </c>
      <c r="K222" s="7">
        <v>1E-4</v>
      </c>
    </row>
    <row r="223" spans="1:11">
      <c r="A223" s="1">
        <v>12</v>
      </c>
      <c r="B223" s="16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1.35E-2</v>
      </c>
      <c r="H223" s="7">
        <v>1E-4</v>
      </c>
      <c r="I223" s="7">
        <v>0.95930000000000004</v>
      </c>
      <c r="J223" s="7">
        <v>2.2700000000000001E-2</v>
      </c>
      <c r="K223" s="7">
        <v>1E-4</v>
      </c>
    </row>
    <row r="224" spans="1:11">
      <c r="A224" s="1">
        <v>13</v>
      </c>
      <c r="B224" s="16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1.2800000000000001E-2</v>
      </c>
      <c r="H224" s="7">
        <v>1E-4</v>
      </c>
      <c r="I224" s="7">
        <v>0.76929999999999998</v>
      </c>
      <c r="J224" s="7">
        <v>2.8199999999999999E-2</v>
      </c>
      <c r="K224" s="7">
        <v>1E-4</v>
      </c>
    </row>
    <row r="225" spans="1:11">
      <c r="A225" s="1">
        <v>11</v>
      </c>
      <c r="B225" s="16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2.7799999999999998E-2</v>
      </c>
      <c r="H225" s="7">
        <v>1E-4</v>
      </c>
      <c r="I225" s="7">
        <v>1.4658</v>
      </c>
      <c r="J225" s="7">
        <v>7.7000000000000002E-3</v>
      </c>
      <c r="K225" s="7">
        <v>1E-4</v>
      </c>
    </row>
    <row r="226" spans="1:11">
      <c r="A226" s="1">
        <v>12</v>
      </c>
      <c r="B226" s="16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2.2499999999999999E-2</v>
      </c>
      <c r="H226" s="7">
        <v>1E-4</v>
      </c>
      <c r="I226" s="7">
        <v>1.3328</v>
      </c>
      <c r="J226" s="7">
        <v>6.1000000000000004E-3</v>
      </c>
      <c r="K226" s="7">
        <v>1E-4</v>
      </c>
    </row>
    <row r="227" spans="1:11">
      <c r="A227" s="1">
        <v>13</v>
      </c>
      <c r="B227" s="16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3.3000000000000002E-2</v>
      </c>
      <c r="H227" s="7">
        <v>1E-4</v>
      </c>
      <c r="I227" s="7">
        <v>1.5071000000000001</v>
      </c>
      <c r="J227" s="7">
        <v>6.4999999999999997E-3</v>
      </c>
      <c r="K227" s="7">
        <v>1E-4</v>
      </c>
    </row>
    <row r="228" spans="1:11">
      <c r="A228" s="5">
        <v>11</v>
      </c>
      <c r="B228" s="16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0.21029999999999999</v>
      </c>
      <c r="H228" s="7">
        <v>2.8899999999999999E-2</v>
      </c>
      <c r="I228" s="7">
        <v>1.0504</v>
      </c>
      <c r="J228" s="7">
        <v>1.84E-2</v>
      </c>
      <c r="K228" s="7">
        <v>1E-4</v>
      </c>
    </row>
    <row r="229" spans="1:11">
      <c r="A229" s="5">
        <v>12</v>
      </c>
      <c r="B229" s="16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0.24990000000000001</v>
      </c>
      <c r="H229" s="7">
        <v>1E-4</v>
      </c>
      <c r="I229" s="7">
        <v>1.2266999999999999</v>
      </c>
      <c r="J229" s="7">
        <v>1.44E-2</v>
      </c>
      <c r="K229" s="7">
        <v>1E-4</v>
      </c>
    </row>
    <row r="230" spans="1:11">
      <c r="A230" s="5">
        <v>13</v>
      </c>
      <c r="B230" s="16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0.19739999999999999</v>
      </c>
      <c r="H230" s="7">
        <v>1E-4</v>
      </c>
      <c r="I230" s="7">
        <v>1.3949</v>
      </c>
      <c r="J230" s="7">
        <v>1.84E-2</v>
      </c>
      <c r="K230" s="7">
        <v>1E-4</v>
      </c>
    </row>
    <row r="231" spans="1:11">
      <c r="A231" s="5">
        <v>11</v>
      </c>
      <c r="B231" s="16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9.1600000000000001E-2</v>
      </c>
      <c r="H231" s="7">
        <v>1E-4</v>
      </c>
      <c r="I231" s="7">
        <v>1.4208000000000001</v>
      </c>
      <c r="J231" s="7">
        <v>2.1399999999999999E-2</v>
      </c>
      <c r="K231" s="7">
        <v>1E-4</v>
      </c>
    </row>
    <row r="232" spans="1:11">
      <c r="A232" s="5">
        <v>12</v>
      </c>
      <c r="B232" s="16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6.8599999999999994E-2</v>
      </c>
      <c r="H232" s="7">
        <v>1E-4</v>
      </c>
      <c r="I232" s="7">
        <v>1.1432</v>
      </c>
      <c r="J232" s="7">
        <v>1.9800000000000002E-2</v>
      </c>
      <c r="K232" s="7">
        <v>1E-4</v>
      </c>
    </row>
    <row r="233" spans="1:11">
      <c r="A233" s="5">
        <v>13</v>
      </c>
      <c r="B233" s="16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8.9800000000000005E-2</v>
      </c>
      <c r="H233" s="7">
        <v>1E-4</v>
      </c>
      <c r="I233" s="7">
        <v>1.2597</v>
      </c>
      <c r="J233" s="7">
        <v>1.8700000000000001E-2</v>
      </c>
      <c r="K233" s="7">
        <v>1E-4</v>
      </c>
    </row>
    <row r="234" spans="1:11">
      <c r="A234" s="5">
        <v>11</v>
      </c>
      <c r="B234" s="16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3.85E-2</v>
      </c>
      <c r="H234" s="7">
        <v>1E-4</v>
      </c>
      <c r="I234" s="7">
        <v>1.8281000000000001</v>
      </c>
      <c r="J234" s="7">
        <v>2.07E-2</v>
      </c>
      <c r="K234" s="7">
        <v>1E-4</v>
      </c>
    </row>
    <row r="235" spans="1:11">
      <c r="A235" s="5">
        <v>12</v>
      </c>
      <c r="B235" s="16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3.6299999999999999E-2</v>
      </c>
      <c r="H235" s="7">
        <v>1E-4</v>
      </c>
      <c r="I235" s="7">
        <v>1.5284</v>
      </c>
      <c r="J235" s="7">
        <v>1.8499999999999999E-2</v>
      </c>
      <c r="K235" s="7">
        <v>1E-4</v>
      </c>
    </row>
    <row r="236" spans="1:11">
      <c r="A236" s="5">
        <v>13</v>
      </c>
      <c r="B236" s="16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3.0499999999999999E-2</v>
      </c>
      <c r="H236" s="7">
        <v>1E-4</v>
      </c>
      <c r="I236" s="7">
        <v>1.5130999999999999</v>
      </c>
      <c r="J236" s="7">
        <v>1.8100000000000002E-2</v>
      </c>
      <c r="K236" s="7">
        <v>1E-4</v>
      </c>
    </row>
    <row r="237" spans="1:11">
      <c r="A237" s="5">
        <v>11</v>
      </c>
      <c r="B237" s="2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3.4599999999999999E-2</v>
      </c>
      <c r="H237" s="7">
        <v>1E-4</v>
      </c>
      <c r="I237" s="7">
        <v>1.4144000000000001</v>
      </c>
      <c r="J237" s="7">
        <v>3.7699999999999997E-2</v>
      </c>
      <c r="K237" s="7">
        <v>1E-4</v>
      </c>
    </row>
    <row r="238" spans="1:11">
      <c r="A238" s="5">
        <v>12</v>
      </c>
      <c r="B238" s="2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2.5000000000000001E-2</v>
      </c>
      <c r="H238" s="7">
        <v>1.78E-2</v>
      </c>
      <c r="I238" s="7">
        <v>1.0446</v>
      </c>
      <c r="J238" s="7">
        <v>3.0700000000000002E-2</v>
      </c>
      <c r="K238" s="7">
        <v>1E-4</v>
      </c>
    </row>
    <row r="239" spans="1:11">
      <c r="A239" s="5">
        <v>13</v>
      </c>
      <c r="B239" s="2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1.09E-2</v>
      </c>
      <c r="H239" s="7">
        <v>1E-4</v>
      </c>
      <c r="I239" s="7">
        <v>0.82099999999999995</v>
      </c>
      <c r="J239" s="7">
        <v>3.6299999999999999E-2</v>
      </c>
      <c r="K239" s="7">
        <v>1E-4</v>
      </c>
    </row>
    <row r="240" spans="1:11">
      <c r="A240" s="5">
        <v>11</v>
      </c>
      <c r="B240" s="2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3.1800000000000002E-2</v>
      </c>
      <c r="H240" s="7">
        <v>1E-4</v>
      </c>
      <c r="I240" s="7">
        <v>1.8345</v>
      </c>
      <c r="J240" s="7">
        <v>3.5799999999999998E-2</v>
      </c>
      <c r="K240" s="7">
        <v>1E-4</v>
      </c>
    </row>
    <row r="241" spans="1:11">
      <c r="A241" s="5">
        <v>12</v>
      </c>
      <c r="B241" s="2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1.54E-2</v>
      </c>
      <c r="H241" s="7">
        <v>1E-4</v>
      </c>
      <c r="I241" s="7">
        <v>1.5242</v>
      </c>
      <c r="J241" s="7">
        <v>2.8500000000000001E-2</v>
      </c>
      <c r="K241" s="7">
        <v>1E-4</v>
      </c>
    </row>
    <row r="242" spans="1:11">
      <c r="A242" s="5">
        <v>13</v>
      </c>
      <c r="B242" s="2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3.7499999999999999E-2</v>
      </c>
      <c r="H242" s="7">
        <v>2.4E-2</v>
      </c>
      <c r="I242" s="7">
        <v>1.7713000000000001</v>
      </c>
      <c r="J242" s="7">
        <v>4.1599999999999998E-2</v>
      </c>
      <c r="K242" s="7">
        <v>1E-4</v>
      </c>
    </row>
    <row r="243" spans="1:11">
      <c r="A243" s="5">
        <v>11</v>
      </c>
      <c r="B243" s="2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0.23100000000000001</v>
      </c>
      <c r="H243" s="7">
        <v>0.53859999999999997</v>
      </c>
      <c r="I243" s="7">
        <v>4.6184000000000003</v>
      </c>
      <c r="J243" s="7">
        <v>9.3299999999999994E-2</v>
      </c>
      <c r="K243" s="7">
        <v>1E-4</v>
      </c>
    </row>
    <row r="244" spans="1:11">
      <c r="A244" s="5">
        <v>12</v>
      </c>
      <c r="B244" s="2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0.19189999999999999</v>
      </c>
      <c r="H244" s="7">
        <v>0.49280000000000002</v>
      </c>
      <c r="I244" s="7">
        <v>4.1369999999999996</v>
      </c>
      <c r="J244" s="7">
        <v>0.11990000000000001</v>
      </c>
      <c r="K244" s="7">
        <v>1E-4</v>
      </c>
    </row>
    <row r="245" spans="1:11">
      <c r="A245" s="5">
        <v>13</v>
      </c>
      <c r="B245" s="2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0.21729999999999999</v>
      </c>
      <c r="H245" s="7">
        <v>0.74660000000000004</v>
      </c>
      <c r="I245" s="7">
        <v>3.5573999999999999</v>
      </c>
      <c r="J245" s="7">
        <v>0.14630000000000001</v>
      </c>
      <c r="K245" s="7">
        <v>1E-4</v>
      </c>
    </row>
    <row r="246" spans="1:11">
      <c r="A246" s="5">
        <v>11</v>
      </c>
      <c r="B246" s="2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0.1336</v>
      </c>
      <c r="H246" s="7">
        <v>0.81089999999999995</v>
      </c>
      <c r="I246" s="7">
        <v>5.5903</v>
      </c>
      <c r="J246" s="7">
        <v>0.21049999999999999</v>
      </c>
      <c r="K246" s="7">
        <v>1E-4</v>
      </c>
    </row>
    <row r="247" spans="1:11">
      <c r="A247" s="5">
        <v>12</v>
      </c>
      <c r="B247" s="2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0.13039999999999999</v>
      </c>
      <c r="H247" s="7">
        <v>0.71330000000000005</v>
      </c>
      <c r="I247" s="7">
        <v>3.8073000000000001</v>
      </c>
      <c r="J247" s="7">
        <v>0.2397</v>
      </c>
      <c r="K247" s="7">
        <v>1E-4</v>
      </c>
    </row>
    <row r="248" spans="1:11">
      <c r="A248" s="5">
        <v>13</v>
      </c>
      <c r="B248" s="2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4.8500000000000001E-2</v>
      </c>
      <c r="H248" s="7">
        <v>0.55840000000000001</v>
      </c>
      <c r="I248" s="7">
        <v>2.5912000000000002</v>
      </c>
      <c r="J248" s="7">
        <v>0.20100000000000001</v>
      </c>
      <c r="K248" s="7">
        <v>1E-4</v>
      </c>
    </row>
    <row r="249" spans="1:11">
      <c r="A249" s="5">
        <v>11</v>
      </c>
      <c r="B249" s="2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8.2299999999999998E-2</v>
      </c>
      <c r="H249" s="7">
        <v>1E-4</v>
      </c>
      <c r="I249" s="7">
        <v>3.5531000000000001</v>
      </c>
      <c r="J249" s="7">
        <v>0.1663</v>
      </c>
      <c r="K249" s="7">
        <v>1E-4</v>
      </c>
    </row>
    <row r="250" spans="1:11">
      <c r="A250" s="5">
        <v>12</v>
      </c>
      <c r="B250" s="2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3.9600000000000003E-2</v>
      </c>
      <c r="H250" s="7">
        <v>1E-4</v>
      </c>
      <c r="I250" s="7">
        <v>3.4281000000000001</v>
      </c>
      <c r="J250" s="7">
        <v>0.15720000000000001</v>
      </c>
      <c r="K250" s="7">
        <v>1E-4</v>
      </c>
    </row>
    <row r="251" spans="1:11">
      <c r="A251" s="5">
        <v>13</v>
      </c>
      <c r="B251" s="2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6.5600000000000006E-2</v>
      </c>
      <c r="H251" s="7">
        <v>1E-4</v>
      </c>
      <c r="I251" s="7">
        <v>3.5815999999999999</v>
      </c>
      <c r="J251" s="7">
        <v>0.37640000000000001</v>
      </c>
      <c r="K251" s="7">
        <v>1E-4</v>
      </c>
    </row>
    <row r="252" spans="1:11">
      <c r="A252" s="5">
        <v>11</v>
      </c>
      <c r="B252" s="2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6.3100000000000003E-2</v>
      </c>
      <c r="H252" s="7">
        <v>1E-4</v>
      </c>
      <c r="I252" s="7">
        <v>1.0286</v>
      </c>
      <c r="J252" s="7">
        <v>3.5099999999999999E-2</v>
      </c>
      <c r="K252" s="7">
        <v>1E-4</v>
      </c>
    </row>
    <row r="253" spans="1:11">
      <c r="A253" s="5">
        <v>12</v>
      </c>
      <c r="B253" s="2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2.18E-2</v>
      </c>
      <c r="H253" s="7">
        <v>1E-4</v>
      </c>
      <c r="I253" s="7">
        <v>0.86040000000000005</v>
      </c>
      <c r="J253" s="7">
        <v>3.5499999999999997E-2</v>
      </c>
      <c r="K253" s="7">
        <v>1E-4</v>
      </c>
    </row>
    <row r="254" spans="1:11">
      <c r="A254" s="5">
        <v>13</v>
      </c>
      <c r="B254" s="2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4.9299999999999997E-2</v>
      </c>
      <c r="H254" s="7">
        <v>1E-4</v>
      </c>
      <c r="I254" s="7">
        <v>1.7524999999999999</v>
      </c>
      <c r="J254" s="7">
        <v>7.46E-2</v>
      </c>
      <c r="K254" s="7">
        <v>1E-4</v>
      </c>
    </row>
    <row r="255" spans="1:11">
      <c r="A255" s="5">
        <v>11</v>
      </c>
      <c r="B255" s="2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2.7E-2</v>
      </c>
      <c r="H255" s="7">
        <v>0.51800000000000002</v>
      </c>
      <c r="I255" s="7">
        <v>3.085</v>
      </c>
      <c r="J255" s="7">
        <v>0.19700000000000001</v>
      </c>
      <c r="K255" s="7">
        <v>9.9989999999999996E-4</v>
      </c>
    </row>
    <row r="256" spans="1:11">
      <c r="A256" s="5">
        <v>12</v>
      </c>
      <c r="B256" s="2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2.9000000000000001E-2</v>
      </c>
      <c r="H256" s="7">
        <v>9.9989999999999996E-4</v>
      </c>
      <c r="I256" s="7">
        <v>0.502</v>
      </c>
      <c r="J256" s="7">
        <v>0.05</v>
      </c>
      <c r="K256" s="7">
        <v>9.9989999999999996E-4</v>
      </c>
    </row>
    <row r="257" spans="1:11">
      <c r="A257" s="5">
        <v>13</v>
      </c>
      <c r="B257" s="2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3.3000000000000002E-2</v>
      </c>
      <c r="H257" s="7">
        <v>0.18099999999999999</v>
      </c>
      <c r="I257" s="7">
        <v>2.1389999999999998</v>
      </c>
      <c r="J257" s="7">
        <v>8.5000000000000006E-2</v>
      </c>
      <c r="K257" s="7">
        <v>9.9989999999999996E-4</v>
      </c>
    </row>
    <row r="258" spans="1:11">
      <c r="A258" s="5">
        <v>11</v>
      </c>
      <c r="B258" s="2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2.1000000000000001E-2</v>
      </c>
      <c r="H258" s="7">
        <v>9.9989999999999996E-4</v>
      </c>
      <c r="I258" s="7">
        <v>1.7350000000000001</v>
      </c>
      <c r="J258" s="7">
        <v>3.6999999999999998E-2</v>
      </c>
      <c r="K258" s="7">
        <v>9.9989999999999996E-4</v>
      </c>
    </row>
    <row r="259" spans="1:11">
      <c r="A259" s="5">
        <v>12</v>
      </c>
      <c r="B259" s="2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1.7999999999999999E-2</v>
      </c>
      <c r="H259" s="7">
        <v>9.9989999999999996E-4</v>
      </c>
      <c r="I259" s="7">
        <v>1.113</v>
      </c>
      <c r="J259" s="7">
        <v>2.5999999999999999E-2</v>
      </c>
      <c r="K259" s="7">
        <v>9.9989999999999996E-4</v>
      </c>
    </row>
    <row r="260" spans="1:11">
      <c r="A260" s="5">
        <v>13</v>
      </c>
      <c r="B260" s="2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1.4999999999999999E-2</v>
      </c>
      <c r="H260" s="7">
        <v>9.9989999999999996E-4</v>
      </c>
      <c r="I260" s="7">
        <v>0.94899999999999995</v>
      </c>
      <c r="J260" s="7">
        <v>3.4000000000000002E-2</v>
      </c>
      <c r="K260" s="7">
        <v>9.9989999999999996E-4</v>
      </c>
    </row>
    <row r="261" spans="1:11">
      <c r="A261" s="5">
        <v>11</v>
      </c>
      <c r="B261" s="16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7.3999999999999996E-2</v>
      </c>
      <c r="H261" s="7">
        <v>9.9989999999999996E-4</v>
      </c>
      <c r="I261" s="7">
        <v>0.71299999999999997</v>
      </c>
      <c r="J261" s="7">
        <v>1.2999999999999999E-2</v>
      </c>
      <c r="K261" s="7">
        <v>9.9989999999999996E-4</v>
      </c>
    </row>
    <row r="262" spans="1:11">
      <c r="A262" s="5">
        <v>12</v>
      </c>
      <c r="B262" s="16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9.6000000000000002E-2</v>
      </c>
      <c r="H262" s="7">
        <v>9.9989999999999996E-4</v>
      </c>
      <c r="I262" s="7">
        <v>0.93300000000000005</v>
      </c>
      <c r="J262" s="7">
        <v>0.01</v>
      </c>
      <c r="K262" s="7">
        <v>9.9989999999999996E-4</v>
      </c>
    </row>
    <row r="263" spans="1:11">
      <c r="A263" s="5">
        <v>13</v>
      </c>
      <c r="B263" s="16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1.6E-2</v>
      </c>
      <c r="H263" s="7">
        <v>9.9989999999999996E-4</v>
      </c>
      <c r="I263" s="7">
        <v>1.865</v>
      </c>
      <c r="J263" s="7">
        <v>0.01</v>
      </c>
      <c r="K263" s="7">
        <v>9.9989999999999996E-4</v>
      </c>
    </row>
    <row r="264" spans="1:11">
      <c r="A264" s="10">
        <v>11</v>
      </c>
      <c r="B264" s="16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8.6999999999999994E-2</v>
      </c>
      <c r="H264" s="7">
        <v>9.9989999999999996E-4</v>
      </c>
      <c r="I264" s="7">
        <v>0.76</v>
      </c>
      <c r="J264" s="7">
        <v>8.0000000000000002E-3</v>
      </c>
      <c r="K264" s="7">
        <v>9.9989999999999996E-4</v>
      </c>
    </row>
    <row r="265" spans="1:11">
      <c r="A265" s="10">
        <v>12</v>
      </c>
      <c r="B265" s="16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0.13500000000000001</v>
      </c>
      <c r="H265" s="7">
        <v>9.9989999999999996E-4</v>
      </c>
      <c r="I265" s="7">
        <v>1.113</v>
      </c>
      <c r="J265" s="7">
        <v>0.01</v>
      </c>
      <c r="K265" s="7">
        <v>9.9989999999999996E-4</v>
      </c>
    </row>
    <row r="266" spans="1:11">
      <c r="A266" s="10">
        <v>13</v>
      </c>
      <c r="B266" s="16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0.13400000000000001</v>
      </c>
      <c r="H266" s="7">
        <v>9.9989999999999996E-4</v>
      </c>
      <c r="I266" s="7">
        <v>1.5</v>
      </c>
      <c r="J266" s="7">
        <v>0.01</v>
      </c>
      <c r="K266" s="7">
        <v>9.9989999999999996E-4</v>
      </c>
    </row>
    <row r="267" spans="1:11">
      <c r="A267" s="10">
        <v>11</v>
      </c>
      <c r="B267" s="16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5.8000000000000003E-2</v>
      </c>
      <c r="H267" s="7">
        <v>9.9989999999999996E-4</v>
      </c>
      <c r="I267" s="7">
        <v>1.8240000000000001</v>
      </c>
      <c r="J267" s="7">
        <v>1.4999999999999999E-2</v>
      </c>
      <c r="K267" s="7">
        <v>9.9989999999999996E-4</v>
      </c>
    </row>
    <row r="268" spans="1:11">
      <c r="A268" s="10">
        <v>12</v>
      </c>
      <c r="B268" s="16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3.9E-2</v>
      </c>
      <c r="H268" s="7">
        <v>9.9989999999999996E-4</v>
      </c>
      <c r="I268" s="7">
        <v>1.202</v>
      </c>
      <c r="J268" s="7">
        <v>1.2999999999999999E-2</v>
      </c>
      <c r="K268" s="7">
        <v>9.9989999999999996E-4</v>
      </c>
    </row>
    <row r="269" spans="1:11">
      <c r="A269" s="10">
        <v>13</v>
      </c>
      <c r="B269" s="16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2.3E-2</v>
      </c>
      <c r="H269" s="7">
        <v>9.9989999999999996E-4</v>
      </c>
      <c r="I269" s="7">
        <v>0.61699999999999999</v>
      </c>
      <c r="J269" s="7">
        <v>8.9999999999999993E-3</v>
      </c>
      <c r="K269" s="7">
        <v>9.9989999999999996E-4</v>
      </c>
    </row>
    <row r="270" spans="1:11">
      <c r="A270" s="10">
        <v>11</v>
      </c>
      <c r="B270" s="16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2.9000000000000001E-2</v>
      </c>
      <c r="H270" s="7">
        <v>9.9989999999999996E-4</v>
      </c>
      <c r="I270" s="7">
        <v>1.415</v>
      </c>
      <c r="J270" s="7">
        <v>0.02</v>
      </c>
      <c r="K270" s="7">
        <v>9.9989999999999996E-4</v>
      </c>
    </row>
    <row r="271" spans="1:11">
      <c r="A271" s="10">
        <v>12</v>
      </c>
      <c r="B271" s="16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1.7000000000000001E-2</v>
      </c>
      <c r="H271" s="7">
        <v>0.01</v>
      </c>
      <c r="I271" s="7">
        <v>1.115</v>
      </c>
      <c r="J271" s="7">
        <v>4.2999999999999997E-2</v>
      </c>
      <c r="K271" s="7">
        <v>9.9989999999999996E-4</v>
      </c>
    </row>
    <row r="272" spans="1:11">
      <c r="A272" s="10">
        <v>13</v>
      </c>
      <c r="B272" s="16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1.7999999999999999E-2</v>
      </c>
      <c r="H272" s="7">
        <v>1.2999999999999999E-2</v>
      </c>
      <c r="I272" s="7">
        <v>1.167</v>
      </c>
      <c r="J272" s="7">
        <v>2.5000000000000001E-2</v>
      </c>
      <c r="K272" s="7">
        <v>9.9989999999999996E-4</v>
      </c>
    </row>
    <row r="273" spans="1:11">
      <c r="A273" s="10">
        <v>11</v>
      </c>
      <c r="B273" s="16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2.8000000000000001E-2</v>
      </c>
      <c r="H273" s="7">
        <v>9.9989999999999996E-4</v>
      </c>
      <c r="I273" s="7">
        <v>1.677</v>
      </c>
      <c r="J273" s="7">
        <v>2.1000000000000001E-2</v>
      </c>
      <c r="K273" s="7">
        <v>9.9989999999999996E-4</v>
      </c>
    </row>
    <row r="274" spans="1:11">
      <c r="A274" s="10">
        <v>12</v>
      </c>
      <c r="B274" s="16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2.5000000000000001E-2</v>
      </c>
      <c r="H274" s="7">
        <v>9.9989999999999996E-4</v>
      </c>
      <c r="I274" s="7">
        <v>1.1659999999999999</v>
      </c>
      <c r="J274" s="7">
        <v>1.2999999999999999E-2</v>
      </c>
      <c r="K274" s="7">
        <v>9.9989999999999996E-4</v>
      </c>
    </row>
    <row r="275" spans="1:11">
      <c r="A275" s="10">
        <v>13</v>
      </c>
      <c r="B275" s="16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2.9000000000000001E-2</v>
      </c>
      <c r="H275" s="7">
        <v>9.9989999999999996E-4</v>
      </c>
      <c r="I275" s="7">
        <v>1.0309999999999999</v>
      </c>
      <c r="J275" s="7">
        <v>8.9999999999999993E-3</v>
      </c>
      <c r="K275" s="7">
        <v>9.9989999999999996E-4</v>
      </c>
    </row>
    <row r="276" spans="1:11">
      <c r="A276" s="10">
        <v>11</v>
      </c>
      <c r="B276" s="16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0.10100000000000001</v>
      </c>
      <c r="H276" s="7">
        <v>0.59299999999999997</v>
      </c>
      <c r="I276" s="7">
        <v>4.7549999999999999</v>
      </c>
      <c r="J276" s="7">
        <v>0.06</v>
      </c>
      <c r="K276" s="7">
        <v>9.9989999999999996E-4</v>
      </c>
    </row>
    <row r="277" spans="1:11">
      <c r="A277" s="10">
        <v>12</v>
      </c>
      <c r="B277" s="16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0.11600000000000001</v>
      </c>
      <c r="H277" s="7">
        <v>0.61799999999999999</v>
      </c>
      <c r="I277" s="7">
        <v>5.7249999999999996</v>
      </c>
      <c r="J277" s="7">
        <v>0.05</v>
      </c>
      <c r="K277" s="7">
        <v>9.9989999999999996E-4</v>
      </c>
    </row>
    <row r="278" spans="1:11">
      <c r="A278" s="10">
        <v>13</v>
      </c>
      <c r="B278" s="16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9.9989999999999996E-4</v>
      </c>
      <c r="H278" s="7">
        <v>6.5000000000000002E-2</v>
      </c>
      <c r="I278" s="7">
        <v>1.1000000000000001</v>
      </c>
      <c r="J278" s="7">
        <v>0.04</v>
      </c>
      <c r="K278" s="7">
        <v>9.9989999999999996E-4</v>
      </c>
    </row>
    <row r="279" spans="1:11">
      <c r="A279" s="10">
        <v>11</v>
      </c>
      <c r="B279" s="16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0.04</v>
      </c>
      <c r="H279" s="7">
        <v>4.4999999999999998E-2</v>
      </c>
      <c r="I279" s="7">
        <v>0.95</v>
      </c>
      <c r="J279" s="7">
        <v>3.7999999999999999E-2</v>
      </c>
      <c r="K279" s="7">
        <v>9.9989999999999996E-4</v>
      </c>
    </row>
    <row r="280" spans="1:11">
      <c r="A280" s="10">
        <v>12</v>
      </c>
      <c r="B280" s="16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8.4000000000000005E-2</v>
      </c>
      <c r="H280" s="7">
        <v>4.2000000000000003E-2</v>
      </c>
      <c r="I280" s="7">
        <v>1.1890000000000001</v>
      </c>
      <c r="J280" s="7">
        <v>4.5999999999999999E-2</v>
      </c>
      <c r="K280" s="7">
        <v>9.9989999999999996E-4</v>
      </c>
    </row>
    <row r="281" spans="1:11">
      <c r="A281" s="10">
        <v>13</v>
      </c>
      <c r="B281" s="16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0.56299999999999994</v>
      </c>
      <c r="H281" s="7">
        <v>3.7999999999999999E-2</v>
      </c>
      <c r="I281" s="7">
        <v>1.966</v>
      </c>
      <c r="J281" s="7">
        <v>5.2999999999999999E-2</v>
      </c>
      <c r="K281" s="7">
        <v>9.9989999999999996E-4</v>
      </c>
    </row>
    <row r="282" spans="1:11">
      <c r="A282" s="10">
        <v>11</v>
      </c>
      <c r="B282" s="16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0.155</v>
      </c>
      <c r="H282" s="7">
        <v>8.6999999999999994E-2</v>
      </c>
      <c r="I282" s="7">
        <v>2.726</v>
      </c>
      <c r="J282" s="7">
        <v>9.0999999999999998E-2</v>
      </c>
      <c r="K282" s="7">
        <v>9.9989999999999996E-4</v>
      </c>
    </row>
    <row r="283" spans="1:11">
      <c r="A283" s="10">
        <v>12</v>
      </c>
      <c r="B283" s="16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0.109</v>
      </c>
      <c r="H283" s="7">
        <v>9.1999999999999998E-2</v>
      </c>
      <c r="I283" s="7">
        <v>2.5880000000000001</v>
      </c>
      <c r="J283" s="7">
        <v>0.107</v>
      </c>
      <c r="K283" s="7">
        <v>9.9989999999999996E-4</v>
      </c>
    </row>
    <row r="284" spans="1:11">
      <c r="A284" s="10">
        <v>13</v>
      </c>
      <c r="B284" s="16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0.20799999999999999</v>
      </c>
      <c r="H284" s="7">
        <v>0.28000000000000003</v>
      </c>
      <c r="I284" s="7">
        <v>2.7759999999999998</v>
      </c>
      <c r="J284" s="7">
        <v>0.27200000000000002</v>
      </c>
      <c r="K284" s="7">
        <v>9.9989999999999996E-4</v>
      </c>
    </row>
    <row r="285" spans="1:11">
      <c r="A285" s="10">
        <v>11</v>
      </c>
      <c r="B285" s="16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9.9989999999999996E-4</v>
      </c>
      <c r="H285" s="7">
        <v>9.9989999999999996E-4</v>
      </c>
      <c r="I285" s="7">
        <v>4.9569999999999999</v>
      </c>
      <c r="J285" s="7">
        <v>0.35499999999999998</v>
      </c>
      <c r="K285" s="7">
        <v>9.9989999999999996E-4</v>
      </c>
    </row>
    <row r="286" spans="1:11">
      <c r="A286" s="10">
        <v>12</v>
      </c>
      <c r="B286" s="16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9.8000000000000004E-2</v>
      </c>
      <c r="H286" s="7">
        <v>9.9989999999999996E-4</v>
      </c>
      <c r="I286" s="7">
        <v>5.1079999999999997</v>
      </c>
      <c r="J286" s="7">
        <v>0.27200000000000002</v>
      </c>
      <c r="K286" s="7">
        <v>9.9989999999999996E-4</v>
      </c>
    </row>
    <row r="287" spans="1:11">
      <c r="A287" s="10">
        <v>13</v>
      </c>
      <c r="B287" s="16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9.9989999999999996E-4</v>
      </c>
      <c r="H287" s="7">
        <v>9.9989999999999996E-4</v>
      </c>
      <c r="I287" s="7">
        <v>6.2489999999999997</v>
      </c>
      <c r="J287" s="7">
        <v>0.26600000000000001</v>
      </c>
      <c r="K287" s="7">
        <v>9.9989999999999996E-4</v>
      </c>
    </row>
    <row r="288" spans="1:11">
      <c r="A288" s="10">
        <v>11</v>
      </c>
      <c r="B288" s="16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9.9989999999999996E-4</v>
      </c>
      <c r="H288" s="7">
        <v>9.9989999999999996E-4</v>
      </c>
      <c r="I288" s="7">
        <v>3.8109999999999999</v>
      </c>
      <c r="J288" s="7">
        <v>0.14699999999999999</v>
      </c>
      <c r="K288" s="7">
        <v>9.9989999999999996E-4</v>
      </c>
    </row>
    <row r="289" spans="1:11">
      <c r="A289" s="10">
        <v>12</v>
      </c>
      <c r="B289" s="16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9.9989999999999996E-4</v>
      </c>
      <c r="H289" s="7">
        <v>9.9989999999999996E-4</v>
      </c>
      <c r="I289" s="7">
        <v>3.5310000000000001</v>
      </c>
      <c r="J289" s="7">
        <v>0.11</v>
      </c>
      <c r="K289" s="7">
        <v>9.9989999999999996E-4</v>
      </c>
    </row>
    <row r="290" spans="1:11">
      <c r="A290" s="10">
        <v>13</v>
      </c>
      <c r="B290" s="16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9.9989999999999996E-4</v>
      </c>
      <c r="H290" s="7">
        <v>9.9989999999999996E-4</v>
      </c>
      <c r="I290" s="7">
        <v>2.9289999999999998</v>
      </c>
      <c r="J290" s="7">
        <v>0.46800000000000003</v>
      </c>
      <c r="K290" s="7">
        <v>9.9989999999999996E-4</v>
      </c>
    </row>
    <row r="291" spans="1:11">
      <c r="A291" s="10">
        <v>11</v>
      </c>
      <c r="B291" s="16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0.03</v>
      </c>
      <c r="H291" s="7">
        <v>9.9989999999999996E-4</v>
      </c>
      <c r="I291" s="7">
        <v>1.9770000000000001</v>
      </c>
      <c r="J291" s="7">
        <v>0.126</v>
      </c>
      <c r="K291" s="7">
        <v>9.9989999999999996E-4</v>
      </c>
    </row>
    <row r="292" spans="1:11">
      <c r="A292" s="10">
        <v>12</v>
      </c>
      <c r="B292" s="16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1.4999999999999999E-2</v>
      </c>
      <c r="H292" s="7">
        <v>9.9989999999999996E-4</v>
      </c>
      <c r="I292" s="7">
        <v>0.76800000000000002</v>
      </c>
      <c r="J292" s="7">
        <v>6.5000000000000002E-2</v>
      </c>
      <c r="K292" s="7">
        <v>9.9989999999999996E-4</v>
      </c>
    </row>
    <row r="293" spans="1:11">
      <c r="A293" s="10">
        <v>13</v>
      </c>
      <c r="B293" s="16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2.9000000000000001E-2</v>
      </c>
      <c r="H293" s="7">
        <v>9.9989999999999996E-4</v>
      </c>
      <c r="I293" s="7">
        <v>1.079</v>
      </c>
      <c r="J293" s="7">
        <v>0.18099999999999999</v>
      </c>
      <c r="K293" s="7">
        <v>9.9989999999999996E-4</v>
      </c>
    </row>
    <row r="294" spans="1:11">
      <c r="A294" s="10">
        <v>11</v>
      </c>
      <c r="B294" s="16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9.9989999999999996E-4</v>
      </c>
      <c r="H294" s="7">
        <v>9.9989999999999996E-4</v>
      </c>
      <c r="I294" s="7">
        <v>0.90700000000000003</v>
      </c>
      <c r="J294" s="7">
        <v>1.2999999999999999E-2</v>
      </c>
      <c r="K294" s="7">
        <v>9.9989999999999996E-4</v>
      </c>
    </row>
    <row r="295" spans="1:11">
      <c r="A295" s="10">
        <v>12</v>
      </c>
      <c r="B295" s="16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9.9989999999999996E-4</v>
      </c>
      <c r="H295" s="7">
        <v>9.9989999999999996E-4</v>
      </c>
      <c r="I295" s="7">
        <v>0.45700000000000002</v>
      </c>
      <c r="J295" s="7">
        <v>7.0000000000000001E-3</v>
      </c>
      <c r="K295" s="7">
        <v>9.9989999999999996E-4</v>
      </c>
    </row>
    <row r="296" spans="1:11">
      <c r="A296" s="10">
        <v>13</v>
      </c>
      <c r="B296" s="16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9.9989999999999996E-4</v>
      </c>
      <c r="H296" s="7">
        <v>9.9989999999999996E-4</v>
      </c>
      <c r="I296" s="7">
        <v>0.61099999999999999</v>
      </c>
      <c r="J296" s="7">
        <v>8.9999999999999993E-3</v>
      </c>
      <c r="K296" s="7">
        <v>9.9989999999999996E-4</v>
      </c>
    </row>
    <row r="297" spans="1:11">
      <c r="A297" s="10">
        <v>11</v>
      </c>
      <c r="B297" s="16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9.5000000000000001E-2</v>
      </c>
      <c r="H297" s="7">
        <v>9.9989999999999996E-4</v>
      </c>
      <c r="I297" s="7">
        <v>1.9359999999999999</v>
      </c>
      <c r="J297" s="7">
        <v>1.2999999999999999E-2</v>
      </c>
      <c r="K297" s="7">
        <v>9.9989999999999996E-4</v>
      </c>
    </row>
    <row r="298" spans="1:11">
      <c r="A298" s="10">
        <v>12</v>
      </c>
      <c r="B298" s="16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5.2999999999999999E-2</v>
      </c>
      <c r="H298" s="7">
        <v>9.9989999999999996E-4</v>
      </c>
      <c r="I298" s="7">
        <v>1.7050000000000001</v>
      </c>
      <c r="J298" s="7">
        <v>1.4E-2</v>
      </c>
      <c r="K298" s="7">
        <v>9.9989999999999996E-4</v>
      </c>
    </row>
    <row r="299" spans="1:11">
      <c r="A299" s="10">
        <v>13</v>
      </c>
      <c r="B299" s="16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5.5E-2</v>
      </c>
      <c r="H299" s="7">
        <v>9.9989999999999996E-4</v>
      </c>
      <c r="I299" s="7">
        <v>1.7050000000000001</v>
      </c>
      <c r="J299" s="7">
        <v>8.0000000000000002E-3</v>
      </c>
      <c r="K299" s="7">
        <v>9.9989999999999996E-4</v>
      </c>
    </row>
    <row r="300" spans="1:11">
      <c r="A300" s="10">
        <v>11</v>
      </c>
      <c r="B300" s="16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3.4000000000000002E-2</v>
      </c>
      <c r="H300" s="17">
        <v>9.9989999999999996E-4</v>
      </c>
      <c r="I300" s="17">
        <v>1.167</v>
      </c>
      <c r="J300" s="17">
        <v>0.01</v>
      </c>
      <c r="K300" s="17">
        <v>9.9989999999999996E-4</v>
      </c>
    </row>
    <row r="301" spans="1:11">
      <c r="A301" s="10">
        <v>12</v>
      </c>
      <c r="B301" s="16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3.2000000000000001E-2</v>
      </c>
      <c r="H301" s="17">
        <v>9.9989999999999996E-4</v>
      </c>
      <c r="I301" s="17">
        <v>0.57599999999999996</v>
      </c>
      <c r="J301" s="17">
        <v>8.9999999999999993E-3</v>
      </c>
      <c r="K301" s="17">
        <v>9.9989999999999996E-4</v>
      </c>
    </row>
    <row r="302" spans="1:11">
      <c r="A302" s="10">
        <v>13</v>
      </c>
      <c r="B302" s="16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2.7E-2</v>
      </c>
      <c r="H302" s="17">
        <v>9.9989999999999996E-4</v>
      </c>
      <c r="I302" s="17">
        <v>0.69099999999999995</v>
      </c>
      <c r="J302" s="17">
        <v>1.0999999999999999E-2</v>
      </c>
      <c r="K302" s="17">
        <v>9.9989999999999996E-4</v>
      </c>
    </row>
    <row r="303" spans="1:11">
      <c r="A303" s="10">
        <v>11</v>
      </c>
      <c r="B303" s="16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5.5E-2</v>
      </c>
      <c r="H303" s="17">
        <v>9.9989999999999996E-4</v>
      </c>
      <c r="I303" s="17">
        <v>0.92900000000000005</v>
      </c>
      <c r="J303" s="17">
        <v>0.01</v>
      </c>
      <c r="K303" s="17">
        <v>9.9989999999999996E-4</v>
      </c>
    </row>
    <row r="304" spans="1:11">
      <c r="A304" s="10">
        <v>12</v>
      </c>
      <c r="B304" s="16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3.7999999999999999E-2</v>
      </c>
      <c r="H304" s="17">
        <v>9.9989999999999996E-4</v>
      </c>
      <c r="I304" s="17">
        <v>0.58699999999999997</v>
      </c>
      <c r="J304" s="17">
        <v>1.0999999999999999E-2</v>
      </c>
      <c r="K304" s="17">
        <v>9.9989999999999996E-4</v>
      </c>
    </row>
    <row r="305" spans="1:11">
      <c r="A305" s="10">
        <v>13</v>
      </c>
      <c r="B305" s="16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0.05</v>
      </c>
      <c r="H305" s="17">
        <v>9.9989999999999996E-4</v>
      </c>
      <c r="I305" s="17">
        <v>0.83299999999999996</v>
      </c>
      <c r="J305" s="17">
        <v>0.01</v>
      </c>
      <c r="K305" s="17">
        <v>9.9989999999999996E-4</v>
      </c>
    </row>
    <row r="306" spans="1:11">
      <c r="A306" s="10">
        <v>11</v>
      </c>
      <c r="B306" s="16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2.5000000000000001E-2</v>
      </c>
      <c r="H306" s="17">
        <v>9.9989999999999996E-4</v>
      </c>
      <c r="I306" s="17">
        <v>0.52100000000000002</v>
      </c>
      <c r="J306" s="17">
        <v>1.0999999999999999E-2</v>
      </c>
      <c r="K306" s="17">
        <v>9.9989999999999996E-4</v>
      </c>
    </row>
    <row r="307" spans="1:11">
      <c r="A307" s="10">
        <v>12</v>
      </c>
      <c r="B307" s="16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5.0999999999999997E-2</v>
      </c>
      <c r="H307" s="17">
        <v>9.9989999999999996E-4</v>
      </c>
      <c r="I307" s="17">
        <v>0.77200000000000002</v>
      </c>
      <c r="J307" s="17">
        <v>1.6E-2</v>
      </c>
      <c r="K307" s="17">
        <v>9.9989999999999996E-4</v>
      </c>
    </row>
    <row r="308" spans="1:11">
      <c r="A308" s="10">
        <v>13</v>
      </c>
      <c r="B308" s="16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6.0999999999999999E-2</v>
      </c>
      <c r="H308" s="17">
        <v>9.9989999999999996E-4</v>
      </c>
      <c r="I308" s="17">
        <v>1.016</v>
      </c>
      <c r="J308" s="17">
        <v>1.4999999999999999E-2</v>
      </c>
      <c r="K308" s="17">
        <v>9.9989999999999996E-4</v>
      </c>
    </row>
    <row r="309" spans="1:11">
      <c r="A309" s="10">
        <v>11</v>
      </c>
      <c r="B309" s="16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9.9989999999999996E-4</v>
      </c>
      <c r="H309" s="17">
        <v>9.9989999999999996E-4</v>
      </c>
      <c r="I309" s="17">
        <v>0.34699999999999998</v>
      </c>
      <c r="J309" s="17">
        <v>7.0000000000000001E-3</v>
      </c>
      <c r="K309" s="17">
        <v>9.9989999999999996E-4</v>
      </c>
    </row>
    <row r="310" spans="1:11">
      <c r="A310" s="10">
        <v>12</v>
      </c>
      <c r="B310" s="16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9.9989999999999996E-4</v>
      </c>
      <c r="H310" s="17">
        <v>9.9989999999999996E-4</v>
      </c>
      <c r="I310" s="17">
        <v>0.379</v>
      </c>
      <c r="J310" s="17">
        <v>8.9999999999999993E-3</v>
      </c>
      <c r="K310" s="17">
        <v>9.9989999999999996E-4</v>
      </c>
    </row>
    <row r="311" spans="1:11">
      <c r="A311" s="10">
        <v>13</v>
      </c>
      <c r="B311" s="16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1.4999999999999999E-2</v>
      </c>
      <c r="H311" s="17">
        <v>9.9989999999999996E-4</v>
      </c>
      <c r="I311" s="17">
        <v>0.69</v>
      </c>
      <c r="J311" s="17">
        <v>5.0000000000000001E-3</v>
      </c>
      <c r="K311" s="17">
        <v>9.9989999999999996E-4</v>
      </c>
    </row>
    <row r="312" spans="1:11">
      <c r="A312" s="10">
        <v>11</v>
      </c>
      <c r="B312" s="16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9.9989999999999996E-4</v>
      </c>
      <c r="H312" s="17">
        <v>9.9989999999999996E-4</v>
      </c>
      <c r="I312" s="17">
        <v>0.54900000000000004</v>
      </c>
      <c r="J312" s="17">
        <v>2.1000000000000001E-2</v>
      </c>
      <c r="K312" s="17">
        <v>9.9989999999999996E-4</v>
      </c>
    </row>
    <row r="313" spans="1:11">
      <c r="A313" s="10">
        <v>12</v>
      </c>
      <c r="B313" s="16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2.1000000000000001E-2</v>
      </c>
      <c r="H313" s="17">
        <v>9.9989999999999996E-4</v>
      </c>
      <c r="I313" s="17">
        <v>0.66700000000000004</v>
      </c>
      <c r="J313" s="17">
        <v>1.9E-2</v>
      </c>
      <c r="K313" s="17">
        <v>9.9989999999999996E-4</v>
      </c>
    </row>
    <row r="314" spans="1:11">
      <c r="A314" s="10">
        <v>13</v>
      </c>
      <c r="B314" s="16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9.9989999999999996E-4</v>
      </c>
      <c r="H314" s="17">
        <v>9.9989999999999996E-4</v>
      </c>
      <c r="I314" s="17">
        <v>0.61199999999999999</v>
      </c>
      <c r="J314" s="17">
        <v>2.1000000000000001E-2</v>
      </c>
      <c r="K314" s="17">
        <v>9.9989999999999996E-4</v>
      </c>
    </row>
    <row r="315" spans="1:11">
      <c r="A315" s="10">
        <v>11</v>
      </c>
      <c r="B315" s="16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1.2E-2</v>
      </c>
      <c r="H315" s="17">
        <v>9.9989999999999996E-4</v>
      </c>
      <c r="I315" s="17">
        <v>0.5</v>
      </c>
      <c r="J315" s="17">
        <v>4.1000000000000002E-2</v>
      </c>
      <c r="K315" s="17">
        <v>9.9989999999999996E-4</v>
      </c>
    </row>
    <row r="316" spans="1:11">
      <c r="A316" s="10">
        <v>12</v>
      </c>
      <c r="B316" s="16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1.4E-2</v>
      </c>
      <c r="H316" s="17">
        <v>9.9989999999999996E-4</v>
      </c>
      <c r="I316" s="17">
        <v>0.53400000000000003</v>
      </c>
      <c r="J316" s="17">
        <v>2.7E-2</v>
      </c>
      <c r="K316" s="17">
        <v>9.9989999999999996E-4</v>
      </c>
    </row>
    <row r="317" spans="1:11">
      <c r="A317" s="10">
        <v>13</v>
      </c>
      <c r="B317" s="16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0.115</v>
      </c>
      <c r="H317" s="17">
        <v>9.9989999999999996E-4</v>
      </c>
      <c r="I317" s="17">
        <v>2.8860000000000001</v>
      </c>
      <c r="J317" s="17">
        <v>4.4999999999999998E-2</v>
      </c>
      <c r="K317" s="17">
        <v>9.9989999999999996E-4</v>
      </c>
    </row>
    <row r="318" spans="1:11">
      <c r="A318" s="10">
        <v>11</v>
      </c>
      <c r="B318" s="16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4.5999999999999999E-2</v>
      </c>
      <c r="H318" s="17">
        <v>9.9989999999999996E-4</v>
      </c>
      <c r="I318" s="17">
        <v>0.55400000000000005</v>
      </c>
      <c r="J318" s="17">
        <v>1.7000000000000001E-2</v>
      </c>
      <c r="K318" s="17">
        <v>9.9989999999999996E-4</v>
      </c>
    </row>
    <row r="319" spans="1:11">
      <c r="A319" s="10">
        <v>12</v>
      </c>
      <c r="B319" s="16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2.3E-2</v>
      </c>
      <c r="H319" s="17">
        <v>9.9989999999999996E-4</v>
      </c>
      <c r="I319" s="17">
        <v>0.94799999999999995</v>
      </c>
      <c r="J319" s="17">
        <v>2.1000000000000001E-2</v>
      </c>
      <c r="K319" s="17">
        <v>9.9989999999999996E-4</v>
      </c>
    </row>
    <row r="320" spans="1:11">
      <c r="A320" s="10">
        <v>13</v>
      </c>
      <c r="B320" s="16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0.14399999999999999</v>
      </c>
      <c r="H320" s="17">
        <v>9.9989999999999996E-4</v>
      </c>
      <c r="I320" s="17">
        <v>3.76</v>
      </c>
      <c r="J320" s="17">
        <v>5.7000000000000002E-2</v>
      </c>
      <c r="K320" s="17">
        <v>9.9989999999999996E-4</v>
      </c>
    </row>
    <row r="321" spans="1:11">
      <c r="A321" s="10">
        <v>11</v>
      </c>
      <c r="B321" s="16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6.3E-2</v>
      </c>
      <c r="H321" s="17">
        <v>9.9989999999999996E-4</v>
      </c>
      <c r="I321" s="17">
        <v>1.665</v>
      </c>
      <c r="J321" s="17">
        <v>3.2000000000000001E-2</v>
      </c>
      <c r="K321" s="17">
        <v>9.9989999999999996E-4</v>
      </c>
    </row>
    <row r="322" spans="1:11">
      <c r="A322" s="10">
        <v>12</v>
      </c>
      <c r="B322" s="16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3.1E-2</v>
      </c>
      <c r="H322" s="17">
        <v>9.9989999999999996E-4</v>
      </c>
      <c r="I322" s="17">
        <v>1.6759999999999999</v>
      </c>
      <c r="J322" s="17">
        <v>3.3000000000000002E-2</v>
      </c>
      <c r="K322" s="17">
        <v>9.9989999999999996E-4</v>
      </c>
    </row>
    <row r="323" spans="1:11">
      <c r="A323" s="10">
        <v>13</v>
      </c>
      <c r="B323" s="16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0.14899999999999999</v>
      </c>
      <c r="H323" s="17">
        <v>4.2999999999999997E-2</v>
      </c>
      <c r="I323" s="17">
        <v>7.2619999999999996</v>
      </c>
      <c r="J323" s="17">
        <v>0.35899999999999999</v>
      </c>
      <c r="K323" s="17">
        <v>9.9989999999999996E-4</v>
      </c>
    </row>
    <row r="324" spans="1:11">
      <c r="A324" s="10">
        <v>11</v>
      </c>
      <c r="B324" s="16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4.4999999999999998E-2</v>
      </c>
      <c r="H324" s="17">
        <v>0.55400000000000005</v>
      </c>
      <c r="I324" s="17">
        <v>5.1310000000000002</v>
      </c>
      <c r="J324" s="17">
        <v>0.14299999999999999</v>
      </c>
      <c r="K324" s="17">
        <v>9.9989999999999996E-4</v>
      </c>
    </row>
    <row r="325" spans="1:11">
      <c r="A325" s="10">
        <v>12</v>
      </c>
      <c r="B325" s="16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5.3999999999999999E-2</v>
      </c>
      <c r="H325" s="17">
        <v>1.171</v>
      </c>
      <c r="I325" s="17">
        <v>10.523</v>
      </c>
      <c r="J325" s="17">
        <v>0.32700000000000001</v>
      </c>
      <c r="K325" s="17">
        <v>9.9989999999999996E-4</v>
      </c>
    </row>
    <row r="326" spans="1:11">
      <c r="A326" s="10">
        <v>13</v>
      </c>
      <c r="B326" s="16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4.3999999999999997E-2</v>
      </c>
      <c r="H326" s="17">
        <v>1.4770000000000001</v>
      </c>
      <c r="I326" s="17">
        <v>11.792</v>
      </c>
      <c r="J326" s="17">
        <v>0.50600000000000001</v>
      </c>
      <c r="K326" s="17">
        <v>9.9989999999999996E-4</v>
      </c>
    </row>
    <row r="327" spans="1:11">
      <c r="A327" s="10">
        <v>11</v>
      </c>
      <c r="B327" s="16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2.9000000000000001E-2</v>
      </c>
      <c r="H327" s="17">
        <v>9.9989999999999996E-4</v>
      </c>
      <c r="I327" s="17">
        <v>3.379</v>
      </c>
      <c r="J327" s="17">
        <v>4.9000000000000002E-2</v>
      </c>
      <c r="K327" s="17">
        <v>9.9989999999999996E-4</v>
      </c>
    </row>
    <row r="328" spans="1:11">
      <c r="A328" s="10">
        <v>12</v>
      </c>
      <c r="B328" s="16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1.7999999999999999E-2</v>
      </c>
      <c r="H328" s="17">
        <v>9.9989999999999996E-4</v>
      </c>
      <c r="I328" s="17">
        <v>2.0489999999999999</v>
      </c>
      <c r="J328" s="17">
        <v>4.9000000000000002E-2</v>
      </c>
      <c r="K328" s="17">
        <v>9.9989999999999996E-4</v>
      </c>
    </row>
    <row r="329" spans="1:11">
      <c r="A329" s="10">
        <v>13</v>
      </c>
      <c r="B329" s="16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1.7000000000000001E-2</v>
      </c>
      <c r="H329" s="17">
        <v>9.9989999999999996E-4</v>
      </c>
      <c r="I329" s="17">
        <v>1.9059999999999999</v>
      </c>
      <c r="J329" s="17">
        <v>0.113</v>
      </c>
      <c r="K329" s="17">
        <v>9.9989999999999996E-4</v>
      </c>
    </row>
    <row r="330" spans="1:11">
      <c r="A330" s="10">
        <v>11</v>
      </c>
      <c r="B330" s="16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4.1000000000000002E-2</v>
      </c>
      <c r="H330" s="17">
        <v>9.9989999999999996E-4</v>
      </c>
      <c r="I330" s="17">
        <v>0.98</v>
      </c>
      <c r="J330" s="17">
        <v>0.02</v>
      </c>
      <c r="K330" s="17">
        <v>9.9989999999999996E-4</v>
      </c>
    </row>
    <row r="331" spans="1:11">
      <c r="A331" s="10">
        <v>12</v>
      </c>
      <c r="B331" s="16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1.2999999999999999E-2</v>
      </c>
      <c r="H331" s="17">
        <v>9.9989999999999996E-4</v>
      </c>
      <c r="I331" s="17">
        <v>0.34</v>
      </c>
      <c r="J331" s="17">
        <v>8.0000000000000002E-3</v>
      </c>
      <c r="K331" s="17">
        <v>9.9989999999999996E-4</v>
      </c>
    </row>
    <row r="332" spans="1:11">
      <c r="A332" s="10">
        <v>13</v>
      </c>
      <c r="B332" s="16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3.5000000000000003E-2</v>
      </c>
      <c r="H332" s="17">
        <v>9.9989999999999996E-4</v>
      </c>
      <c r="I332" s="17">
        <v>0.68100000000000005</v>
      </c>
      <c r="J332" s="17">
        <v>1.2999999999999999E-2</v>
      </c>
      <c r="K332" s="17">
        <v>9.9989999999999996E-4</v>
      </c>
    </row>
    <row r="333" spans="1:11">
      <c r="A333" s="10">
        <v>11</v>
      </c>
      <c r="B333" s="16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0.04</v>
      </c>
      <c r="H333" s="17">
        <v>9.9989999999999996E-4</v>
      </c>
      <c r="I333" s="17">
        <v>1.7110000000000001</v>
      </c>
      <c r="J333" s="17">
        <v>1.7000000000000001E-2</v>
      </c>
      <c r="K333" s="17">
        <v>9.9989999999999996E-4</v>
      </c>
    </row>
    <row r="334" spans="1:11">
      <c r="A334" s="10">
        <v>12</v>
      </c>
      <c r="B334" s="16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2.8000000000000001E-2</v>
      </c>
      <c r="H334" s="17">
        <v>9.9989999999999996E-4</v>
      </c>
      <c r="I334" s="17">
        <v>1.3939999999999999</v>
      </c>
      <c r="J334" s="17">
        <v>1.2E-2</v>
      </c>
      <c r="K334" s="17">
        <v>9.9989999999999996E-4</v>
      </c>
    </row>
    <row r="335" spans="1:11">
      <c r="A335" s="10">
        <v>13</v>
      </c>
      <c r="B335" s="16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3.5000000000000003E-2</v>
      </c>
      <c r="H335" s="17">
        <v>9.9989999999999996E-4</v>
      </c>
      <c r="I335" s="17">
        <v>1.4259999999999999</v>
      </c>
      <c r="J335" s="17">
        <v>1.2E-2</v>
      </c>
      <c r="K335" s="17">
        <v>9.9989999999999996E-4</v>
      </c>
    </row>
    <row r="336" spans="1:11">
      <c r="A336" s="10">
        <v>11</v>
      </c>
      <c r="B336" s="16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6.3E-2</v>
      </c>
      <c r="H336" s="17">
        <v>9.9989999999999996E-4</v>
      </c>
      <c r="I336" s="17">
        <v>1.669</v>
      </c>
      <c r="J336" s="17">
        <v>1.6E-2</v>
      </c>
      <c r="K336" s="17">
        <v>9.9989999999999996E-4</v>
      </c>
    </row>
    <row r="337" spans="1:11">
      <c r="A337" s="10">
        <v>12</v>
      </c>
      <c r="B337" s="16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4.4999999999999998E-2</v>
      </c>
      <c r="H337" s="17">
        <v>9.9989999999999996E-4</v>
      </c>
      <c r="I337" s="17">
        <v>1.421</v>
      </c>
      <c r="J337" s="17">
        <v>1.2999999999999999E-2</v>
      </c>
      <c r="K337" s="17">
        <v>9.9989999999999996E-4</v>
      </c>
    </row>
    <row r="338" spans="1:11">
      <c r="A338" s="10">
        <v>13</v>
      </c>
      <c r="B338" s="16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4.7E-2</v>
      </c>
      <c r="H338" s="17">
        <v>9.9989999999999996E-4</v>
      </c>
      <c r="I338" s="17">
        <v>1.268</v>
      </c>
      <c r="J338" s="17">
        <v>1.2E-2</v>
      </c>
      <c r="K338" s="17">
        <v>9.9989999999999996E-4</v>
      </c>
    </row>
    <row r="339" spans="1:11">
      <c r="A339" s="5">
        <v>11</v>
      </c>
      <c r="B339" s="16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2.9000000000000001E-2</v>
      </c>
      <c r="H339" s="17">
        <v>1E-3</v>
      </c>
      <c r="I339" s="17">
        <v>2.37</v>
      </c>
      <c r="J339" s="17">
        <v>2.1000000000000001E-2</v>
      </c>
      <c r="K339" s="17">
        <v>9.9989999999999996E-4</v>
      </c>
    </row>
    <row r="340" spans="1:11">
      <c r="A340" s="5">
        <v>12</v>
      </c>
      <c r="B340" s="16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2.4E-2</v>
      </c>
      <c r="H340" s="17">
        <v>1E-3</v>
      </c>
      <c r="I340" s="17">
        <v>1.915</v>
      </c>
      <c r="J340" s="17">
        <v>1.9E-2</v>
      </c>
      <c r="K340" s="17">
        <v>9.9989999999999996E-4</v>
      </c>
    </row>
    <row r="341" spans="1:11">
      <c r="A341" s="5">
        <v>13</v>
      </c>
      <c r="B341" s="16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1.9E-2</v>
      </c>
      <c r="H341" s="17">
        <v>9.9989999999999996E-4</v>
      </c>
      <c r="I341" s="17">
        <v>0.85199999999999998</v>
      </c>
      <c r="J341" s="17">
        <v>1.9E-2</v>
      </c>
      <c r="K341" s="17">
        <v>9.9989999999999996E-4</v>
      </c>
    </row>
    <row r="342" spans="1:11">
      <c r="A342" s="5">
        <v>11</v>
      </c>
      <c r="B342" s="16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5.5E-2</v>
      </c>
      <c r="H342" s="19">
        <v>1E-3</v>
      </c>
      <c r="I342" s="19">
        <v>2.4140000000000001</v>
      </c>
      <c r="J342" s="19">
        <v>1.6E-2</v>
      </c>
      <c r="K342" s="19">
        <v>9.9989999999999996E-4</v>
      </c>
    </row>
    <row r="343" spans="1:11">
      <c r="A343" s="5">
        <v>12</v>
      </c>
      <c r="B343" s="16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3.4000000000000002E-2</v>
      </c>
      <c r="H343" s="19">
        <v>1E-3</v>
      </c>
      <c r="I343" s="19">
        <v>2.3010000000000002</v>
      </c>
      <c r="J343" s="19">
        <v>1.7999999999999999E-2</v>
      </c>
      <c r="K343" s="19">
        <v>9.9989999999999996E-4</v>
      </c>
    </row>
    <row r="344" spans="1:11">
      <c r="A344" s="5">
        <v>13</v>
      </c>
      <c r="B344" s="16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3.3000000000000002E-2</v>
      </c>
      <c r="H344" s="19">
        <v>9.9989999999999996E-4</v>
      </c>
      <c r="I344" s="19">
        <v>2.3940000000000001</v>
      </c>
      <c r="J344" s="19">
        <v>1.6E-2</v>
      </c>
      <c r="K344" s="19">
        <v>9.9989999999999996E-4</v>
      </c>
    </row>
    <row r="345" spans="1:11">
      <c r="A345" s="5">
        <v>11</v>
      </c>
      <c r="B345" s="16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1.6E-2</v>
      </c>
      <c r="H345" s="19">
        <v>1E-3</v>
      </c>
      <c r="I345" s="19">
        <v>0.46500000000000002</v>
      </c>
      <c r="J345" s="19">
        <v>1.0999999999999999E-2</v>
      </c>
      <c r="K345" s="19">
        <v>9.9989999999999996E-4</v>
      </c>
    </row>
    <row r="346" spans="1:11">
      <c r="A346" s="5">
        <v>12</v>
      </c>
      <c r="B346" s="16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0.01</v>
      </c>
      <c r="H346" s="19">
        <v>9.9989999999999996E-4</v>
      </c>
      <c r="I346" s="19">
        <v>0.218</v>
      </c>
      <c r="J346" s="19">
        <v>6.0000000000000001E-3</v>
      </c>
      <c r="K346" s="19">
        <v>9.9989999999999996E-4</v>
      </c>
    </row>
    <row r="347" spans="1:11">
      <c r="A347" s="5">
        <v>13</v>
      </c>
      <c r="B347" s="16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9.9989999999999996E-4</v>
      </c>
      <c r="H347" s="19">
        <v>9.9989999999999996E-4</v>
      </c>
      <c r="I347" s="19">
        <v>0.20200000000000001</v>
      </c>
      <c r="J347" s="19">
        <v>0.01</v>
      </c>
      <c r="K347" s="19">
        <v>9.9989999999999996E-4</v>
      </c>
    </row>
    <row r="348" spans="1:11">
      <c r="A348" s="5">
        <v>11</v>
      </c>
      <c r="B348" s="16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2.7E-2</v>
      </c>
      <c r="H348" s="19">
        <v>1E-3</v>
      </c>
      <c r="I348" s="19">
        <v>0.36099999999999999</v>
      </c>
      <c r="J348" s="19">
        <v>7.0000000000000001E-3</v>
      </c>
      <c r="K348" s="19">
        <v>9.9989999999999996E-4</v>
      </c>
    </row>
    <row r="349" spans="1:11">
      <c r="A349" s="5">
        <v>12</v>
      </c>
      <c r="B349" s="16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1.2E-2</v>
      </c>
      <c r="H349" s="19">
        <v>9.9989999999999996E-4</v>
      </c>
      <c r="I349" s="19">
        <v>0.22</v>
      </c>
      <c r="J349" s="19">
        <v>8.0000000000000002E-3</v>
      </c>
      <c r="K349" s="19">
        <v>9.9989999999999996E-4</v>
      </c>
    </row>
    <row r="350" spans="1:11">
      <c r="A350" s="5">
        <v>13</v>
      </c>
      <c r="B350" s="16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1.2E-2</v>
      </c>
      <c r="H350" s="19">
        <v>9.9989999999999996E-4</v>
      </c>
      <c r="I350" s="19">
        <v>0.315</v>
      </c>
      <c r="J350" s="19">
        <v>8.9999999999999993E-3</v>
      </c>
      <c r="K350" s="19">
        <v>9.9989999999999996E-4</v>
      </c>
    </row>
    <row r="351" spans="1:11">
      <c r="A351" s="10">
        <v>11</v>
      </c>
      <c r="B351" s="16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5.2999999999999999E-2</v>
      </c>
      <c r="H351" s="19">
        <v>1E-3</v>
      </c>
      <c r="I351" s="19">
        <v>0.53</v>
      </c>
      <c r="J351" s="19">
        <v>1.7000000000000001E-2</v>
      </c>
      <c r="K351" s="19">
        <v>9.9989999999999996E-4</v>
      </c>
    </row>
    <row r="352" spans="1:11">
      <c r="A352" s="10">
        <v>12</v>
      </c>
      <c r="B352" s="16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5.5E-2</v>
      </c>
      <c r="H352" s="19">
        <v>1E-3</v>
      </c>
      <c r="I352" s="19">
        <v>0.56999999999999995</v>
      </c>
      <c r="J352" s="19">
        <v>2.4E-2</v>
      </c>
      <c r="K352" s="19">
        <v>9.9989999999999996E-4</v>
      </c>
    </row>
    <row r="353" spans="1:11">
      <c r="A353" s="10">
        <v>13</v>
      </c>
      <c r="B353" s="16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0.14599999999999999</v>
      </c>
      <c r="H353" s="19">
        <v>0.03</v>
      </c>
      <c r="I353" s="19">
        <v>1.7809999999999999</v>
      </c>
      <c r="J353" s="19">
        <v>3.5999999999999997E-2</v>
      </c>
      <c r="K353" s="19">
        <v>9.9989999999999996E-4</v>
      </c>
    </row>
    <row r="354" spans="1:11">
      <c r="A354" s="10">
        <v>11</v>
      </c>
      <c r="B354" s="16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8.6999999999999994E-2</v>
      </c>
      <c r="H354" s="19">
        <v>0.107</v>
      </c>
      <c r="I354" s="19">
        <v>1.679</v>
      </c>
      <c r="J354" s="19">
        <v>7.0000000000000007E-2</v>
      </c>
      <c r="K354" s="19">
        <v>9.9989999999999996E-4</v>
      </c>
    </row>
    <row r="355" spans="1:11">
      <c r="A355" s="10">
        <v>12</v>
      </c>
      <c r="B355" s="16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6.6000000000000003E-2</v>
      </c>
      <c r="H355" s="19">
        <v>6.8000000000000005E-2</v>
      </c>
      <c r="I355" s="19">
        <v>1.5469999999999999</v>
      </c>
      <c r="J355" s="19">
        <v>6.7000000000000004E-2</v>
      </c>
      <c r="K355" s="19">
        <v>9.9989999999999996E-4</v>
      </c>
    </row>
    <row r="356" spans="1:11">
      <c r="A356" s="10">
        <v>13</v>
      </c>
      <c r="B356" s="16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0.13900000000000001</v>
      </c>
      <c r="H356" s="19">
        <v>0.186</v>
      </c>
      <c r="I356" s="19">
        <v>2.48</v>
      </c>
      <c r="J356" s="19">
        <v>0.121</v>
      </c>
      <c r="K356" s="19">
        <v>9.9989999999999996E-4</v>
      </c>
    </row>
    <row r="357" spans="1:11">
      <c r="A357" s="10">
        <v>11</v>
      </c>
      <c r="B357" s="16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0.125</v>
      </c>
      <c r="H357" s="19">
        <v>1E-3</v>
      </c>
      <c r="I357" s="19">
        <v>2.3370000000000002</v>
      </c>
      <c r="J357" s="19">
        <v>9.9000000000000005E-2</v>
      </c>
      <c r="K357" s="19">
        <v>9.9989999999999996E-4</v>
      </c>
    </row>
    <row r="358" spans="1:11">
      <c r="A358" s="10">
        <v>12</v>
      </c>
      <c r="B358" s="16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5.6000000000000001E-2</v>
      </c>
      <c r="H358" s="19">
        <v>9.9989999999999996E-4</v>
      </c>
      <c r="I358" s="19">
        <v>2.1339999999999999</v>
      </c>
      <c r="J358" s="19">
        <v>6.8000000000000005E-2</v>
      </c>
      <c r="K358" s="19">
        <v>9.9989999999999996E-4</v>
      </c>
    </row>
    <row r="359" spans="1:11">
      <c r="A359" s="10">
        <v>13</v>
      </c>
      <c r="B359" s="16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0.249</v>
      </c>
      <c r="H359" s="19">
        <v>4.8000000000000001E-2</v>
      </c>
      <c r="I359" s="19">
        <v>4.6479999999999997</v>
      </c>
      <c r="J359" s="19">
        <v>0.64400000000000002</v>
      </c>
      <c r="K359" s="19">
        <v>9.9989999999999996E-4</v>
      </c>
    </row>
    <row r="360" spans="1:11">
      <c r="A360" s="10">
        <v>11</v>
      </c>
      <c r="B360" s="16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4.2000000000000003E-2</v>
      </c>
      <c r="H360" s="19">
        <v>1E-3</v>
      </c>
      <c r="I360" s="19">
        <v>1.2470000000000001</v>
      </c>
      <c r="J360" s="19">
        <v>4.7E-2</v>
      </c>
      <c r="K360" s="19">
        <v>9.9989999999999996E-4</v>
      </c>
    </row>
    <row r="361" spans="1:11">
      <c r="A361" s="10">
        <v>12</v>
      </c>
      <c r="B361" s="16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2.3E-2</v>
      </c>
      <c r="H361" s="19">
        <v>1E-3</v>
      </c>
      <c r="I361" s="19">
        <v>1.33</v>
      </c>
      <c r="J361" s="19">
        <v>5.2999999999999999E-2</v>
      </c>
      <c r="K361" s="19">
        <v>9.9989999999999996E-4</v>
      </c>
    </row>
    <row r="362" spans="1:11">
      <c r="A362" s="10">
        <v>13</v>
      </c>
      <c r="B362" s="16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3.9E-2</v>
      </c>
      <c r="H362" s="19">
        <v>1E-3</v>
      </c>
      <c r="I362" s="19">
        <v>7.4790000000000001</v>
      </c>
      <c r="J362" s="19">
        <v>0.32500000000000001</v>
      </c>
      <c r="K362" s="19">
        <v>9.9989999999999996E-4</v>
      </c>
    </row>
    <row r="363" spans="1:11">
      <c r="A363" s="10">
        <v>11</v>
      </c>
      <c r="B363" s="16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3.7999999999999999E-2</v>
      </c>
      <c r="H363" s="19">
        <v>1E-3</v>
      </c>
      <c r="I363" s="19">
        <v>1.694</v>
      </c>
      <c r="J363" s="19">
        <v>5.7000000000000002E-2</v>
      </c>
      <c r="K363" s="19">
        <v>9.9989999999999996E-4</v>
      </c>
    </row>
    <row r="364" spans="1:11">
      <c r="A364" s="10">
        <v>12</v>
      </c>
      <c r="B364" s="16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3.4000000000000002E-2</v>
      </c>
      <c r="H364" s="19">
        <v>1E-3</v>
      </c>
      <c r="I364" s="19">
        <v>1.3149999999999999</v>
      </c>
      <c r="J364" s="19">
        <v>5.0999999999999997E-2</v>
      </c>
      <c r="K364" s="19">
        <v>9.9989999999999996E-4</v>
      </c>
    </row>
    <row r="365" spans="1:11">
      <c r="A365" s="10">
        <v>13</v>
      </c>
      <c r="B365" s="16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9.4E-2</v>
      </c>
      <c r="H365" s="19">
        <v>1E-3</v>
      </c>
      <c r="I365" s="19">
        <v>1.169</v>
      </c>
      <c r="J365" s="19">
        <v>6.5000000000000002E-2</v>
      </c>
      <c r="K365" s="19">
        <v>9.9989999999999996E-4</v>
      </c>
    </row>
    <row r="366" spans="1:11">
      <c r="A366" s="10">
        <v>11</v>
      </c>
      <c r="B366" s="16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4.2999999999999997E-2</v>
      </c>
      <c r="H366" s="19">
        <v>1E-3</v>
      </c>
      <c r="I366" s="19">
        <v>1.05</v>
      </c>
      <c r="J366" s="19">
        <v>3.3000000000000002E-2</v>
      </c>
      <c r="K366" s="19">
        <v>9.9989999999999996E-4</v>
      </c>
    </row>
    <row r="367" spans="1:11">
      <c r="A367" s="10">
        <v>12</v>
      </c>
      <c r="B367" s="16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0.06</v>
      </c>
      <c r="H367" s="19">
        <v>1E-3</v>
      </c>
      <c r="I367" s="19">
        <v>1.014</v>
      </c>
      <c r="J367" s="19">
        <v>0.04</v>
      </c>
      <c r="K367" s="19">
        <v>9.9989999999999996E-4</v>
      </c>
    </row>
    <row r="368" spans="1:11">
      <c r="A368" s="10">
        <v>13</v>
      </c>
      <c r="B368" s="16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1.7000000000000001E-2</v>
      </c>
      <c r="H368" s="19">
        <v>2.5000000000000001E-2</v>
      </c>
      <c r="I368" s="19">
        <v>0.75</v>
      </c>
      <c r="J368" s="19">
        <v>4.1000000000000002E-2</v>
      </c>
      <c r="K368" s="19">
        <v>9.9989999999999996E-4</v>
      </c>
    </row>
    <row r="369" spans="1:12">
      <c r="A369" s="10">
        <v>11</v>
      </c>
      <c r="B369" s="16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9.9989999999999996E-4</v>
      </c>
      <c r="H369" s="19">
        <v>9.9989999999999996E-4</v>
      </c>
      <c r="I369" s="19">
        <v>1.0049999999999999</v>
      </c>
      <c r="J369" s="19">
        <v>2.3E-2</v>
      </c>
      <c r="K369" s="19">
        <v>9.9989999999999996E-4</v>
      </c>
    </row>
    <row r="370" spans="1:12">
      <c r="A370" s="10">
        <v>12</v>
      </c>
      <c r="B370" s="16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4.8000000000000001E-2</v>
      </c>
      <c r="H370" s="19">
        <v>1.2999999999999999E-2</v>
      </c>
      <c r="I370" s="19">
        <v>0.89800000000000002</v>
      </c>
      <c r="J370" s="19">
        <v>1.9E-2</v>
      </c>
      <c r="K370" s="19">
        <v>9.9989999999999996E-4</v>
      </c>
    </row>
    <row r="371" spans="1:12">
      <c r="A371" s="10">
        <v>13</v>
      </c>
      <c r="B371" s="16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2.3E-2</v>
      </c>
      <c r="H371" s="19">
        <v>9.9989999999999996E-4</v>
      </c>
      <c r="I371" s="19">
        <v>1.012</v>
      </c>
      <c r="J371" s="19">
        <v>1.0999999999999999E-2</v>
      </c>
      <c r="K371" s="19">
        <v>9.9989999999999996E-4</v>
      </c>
    </row>
    <row r="372" spans="1:12">
      <c r="A372" s="10">
        <v>11</v>
      </c>
      <c r="B372" s="13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0.28056087499999999</v>
      </c>
      <c r="H372" s="21">
        <v>0</v>
      </c>
      <c r="I372" s="21">
        <v>2.7773789999999998</v>
      </c>
      <c r="J372" s="21">
        <v>1.6945874999999999E-2</v>
      </c>
      <c r="K372" s="21">
        <v>0</v>
      </c>
    </row>
    <row r="373" spans="1:12">
      <c r="A373" s="10">
        <v>11</v>
      </c>
      <c r="B373" s="13">
        <v>40197</v>
      </c>
      <c r="C373" s="10">
        <v>2010</v>
      </c>
      <c r="D373" s="4" t="s">
        <v>25</v>
      </c>
      <c r="E373" s="10">
        <v>1</v>
      </c>
      <c r="F373" s="20">
        <v>6.298</v>
      </c>
      <c r="G373" s="21">
        <v>0.29824125000000001</v>
      </c>
      <c r="H373" s="21">
        <v>0</v>
      </c>
      <c r="I373" s="21">
        <v>2.9565682499999997</v>
      </c>
      <c r="J373" s="21">
        <v>2.053E-2</v>
      </c>
      <c r="K373" s="21">
        <v>0</v>
      </c>
      <c r="L373" t="s">
        <v>27</v>
      </c>
    </row>
    <row r="374" spans="1:12">
      <c r="A374" s="10">
        <v>12</v>
      </c>
      <c r="B374" s="13">
        <v>40197</v>
      </c>
      <c r="C374" s="10">
        <v>2010</v>
      </c>
      <c r="D374" s="4" t="s">
        <v>25</v>
      </c>
      <c r="E374" s="10">
        <v>1</v>
      </c>
      <c r="F374" s="20">
        <v>5.3440000000000003</v>
      </c>
      <c r="G374" s="21">
        <v>0.19030737499999997</v>
      </c>
      <c r="H374" s="21">
        <v>0</v>
      </c>
      <c r="I374" s="21">
        <v>2.3223413750000002</v>
      </c>
      <c r="J374" s="21">
        <v>1.57675E-2</v>
      </c>
      <c r="K374" s="21">
        <v>0</v>
      </c>
    </row>
    <row r="375" spans="1:12">
      <c r="A375" s="10">
        <v>13</v>
      </c>
      <c r="B375" s="13">
        <v>40197</v>
      </c>
      <c r="C375" s="10">
        <v>2010</v>
      </c>
      <c r="D375" s="4" t="s">
        <v>25</v>
      </c>
      <c r="E375" s="10">
        <v>1</v>
      </c>
      <c r="F375" s="20">
        <v>4.0140000000000002</v>
      </c>
      <c r="G375" s="21">
        <v>0.10376024999999998</v>
      </c>
      <c r="H375" s="21">
        <v>0</v>
      </c>
      <c r="I375" s="21">
        <v>1.7277698749999999</v>
      </c>
      <c r="J375" s="21">
        <v>1.1636374999999999E-2</v>
      </c>
      <c r="K375" s="21">
        <v>0</v>
      </c>
    </row>
    <row r="376" spans="1:12">
      <c r="A376" s="10">
        <v>11</v>
      </c>
      <c r="B376" s="13">
        <v>40225</v>
      </c>
      <c r="C376" s="10">
        <v>2010</v>
      </c>
      <c r="D376" s="4" t="s">
        <v>14</v>
      </c>
      <c r="E376" s="10">
        <v>2</v>
      </c>
      <c r="F376" s="20">
        <v>8.09</v>
      </c>
      <c r="G376" s="21">
        <v>7.6776374999999994E-2</v>
      </c>
      <c r="H376" s="21">
        <v>1.0725374999999999E-2</v>
      </c>
      <c r="I376" s="21">
        <v>1.0876388749999997</v>
      </c>
      <c r="J376" s="21">
        <v>0.17936537499999997</v>
      </c>
      <c r="K376" s="21">
        <v>0</v>
      </c>
    </row>
    <row r="377" spans="1:12">
      <c r="A377" s="10">
        <v>12</v>
      </c>
      <c r="B377" s="13">
        <v>40225</v>
      </c>
      <c r="C377" s="10">
        <v>2010</v>
      </c>
      <c r="D377" s="4" t="s">
        <v>14</v>
      </c>
      <c r="E377" s="10">
        <v>2</v>
      </c>
      <c r="F377" s="20">
        <v>5.6180000000000003</v>
      </c>
      <c r="G377" s="21">
        <v>0.11805737500000001</v>
      </c>
      <c r="H377" s="21">
        <v>0</v>
      </c>
      <c r="I377" s="21">
        <v>0.66560162499999997</v>
      </c>
      <c r="J377" s="21">
        <v>0.18171524999999997</v>
      </c>
      <c r="K377" s="21">
        <v>0</v>
      </c>
    </row>
    <row r="378" spans="1:12">
      <c r="A378" s="10">
        <v>13</v>
      </c>
      <c r="B378" s="13">
        <v>40225</v>
      </c>
      <c r="C378" s="10">
        <v>2010</v>
      </c>
      <c r="D378" s="4" t="s">
        <v>14</v>
      </c>
      <c r="E378" s="10">
        <v>2</v>
      </c>
      <c r="F378" s="20">
        <v>11.273</v>
      </c>
      <c r="G378" s="21">
        <v>0</v>
      </c>
      <c r="H378" s="21">
        <v>0</v>
      </c>
      <c r="I378" s="21">
        <v>2.6408898750000001</v>
      </c>
      <c r="J378" s="21">
        <v>0.143069375</v>
      </c>
      <c r="K378" s="21">
        <v>0</v>
      </c>
    </row>
    <row r="379" spans="1:12">
      <c r="A379" s="10">
        <v>11</v>
      </c>
      <c r="B379" s="13">
        <v>40255</v>
      </c>
      <c r="C379" s="10">
        <v>2010</v>
      </c>
      <c r="D379" s="4" t="s">
        <v>15</v>
      </c>
      <c r="E379" s="10">
        <v>3</v>
      </c>
      <c r="F379" s="20">
        <v>9.875</v>
      </c>
      <c r="G379" s="21">
        <v>0</v>
      </c>
      <c r="H379" s="21">
        <v>0</v>
      </c>
      <c r="I379" s="21">
        <v>5.008502749999999</v>
      </c>
      <c r="J379" s="21">
        <v>9.9562374999999967E-2</v>
      </c>
      <c r="K379" s="21">
        <v>0</v>
      </c>
    </row>
    <row r="380" spans="1:12">
      <c r="A380" s="10">
        <v>12</v>
      </c>
      <c r="B380" s="13">
        <v>40255</v>
      </c>
      <c r="C380" s="10">
        <v>2010</v>
      </c>
      <c r="D380" s="4" t="s">
        <v>15</v>
      </c>
      <c r="E380" s="10">
        <v>3</v>
      </c>
      <c r="F380" s="20">
        <v>7.36</v>
      </c>
      <c r="G380" s="21">
        <v>0</v>
      </c>
      <c r="H380" s="21">
        <v>0</v>
      </c>
      <c r="I380" s="21">
        <v>3.5946757499999995</v>
      </c>
      <c r="J380" s="21">
        <v>8.3432124999999982E-2</v>
      </c>
      <c r="K380" s="21">
        <v>0</v>
      </c>
    </row>
    <row r="381" spans="1:12">
      <c r="A381" s="10">
        <v>13</v>
      </c>
      <c r="B381" s="13">
        <v>40255</v>
      </c>
      <c r="C381" s="10">
        <v>2010</v>
      </c>
      <c r="D381" s="4" t="s">
        <v>15</v>
      </c>
      <c r="E381" s="10">
        <v>3</v>
      </c>
      <c r="F381" s="20">
        <v>7.2409999999999997</v>
      </c>
      <c r="G381" s="21">
        <v>0</v>
      </c>
      <c r="H381" s="21">
        <v>0</v>
      </c>
      <c r="I381" s="21">
        <v>3.7038785000000001</v>
      </c>
      <c r="J381" s="21">
        <v>0.11737262499999998</v>
      </c>
      <c r="K381" s="21">
        <v>0</v>
      </c>
    </row>
    <row r="382" spans="1:12">
      <c r="A382" s="10">
        <v>11</v>
      </c>
      <c r="B382" s="13">
        <v>40281</v>
      </c>
      <c r="C382" s="10">
        <v>2010</v>
      </c>
      <c r="D382" s="4" t="s">
        <v>16</v>
      </c>
      <c r="E382" s="10">
        <v>4</v>
      </c>
      <c r="F382" s="20">
        <v>7.1959999999999997</v>
      </c>
      <c r="G382" s="21">
        <v>7.2235875000000005E-2</v>
      </c>
      <c r="H382" s="21">
        <v>0</v>
      </c>
      <c r="I382" s="21">
        <v>3.8398642500000002</v>
      </c>
      <c r="J382" s="21">
        <v>2.4237999999999996E-2</v>
      </c>
      <c r="K382" s="21">
        <v>0</v>
      </c>
    </row>
    <row r="383" spans="1:12">
      <c r="A383" s="10">
        <v>12</v>
      </c>
      <c r="B383" s="13">
        <v>40281</v>
      </c>
      <c r="C383" s="10">
        <v>2010</v>
      </c>
      <c r="D383" s="4" t="s">
        <v>16</v>
      </c>
      <c r="E383" s="10">
        <v>4</v>
      </c>
      <c r="F383" s="20">
        <v>2.206</v>
      </c>
      <c r="G383" s="21">
        <v>0</v>
      </c>
      <c r="H383" s="21">
        <v>0</v>
      </c>
      <c r="I383" s="21">
        <v>1.0840942499999999</v>
      </c>
      <c r="J383" s="21">
        <v>1.6498874999999996E-2</v>
      </c>
      <c r="K383" s="21">
        <v>0</v>
      </c>
    </row>
    <row r="384" spans="1:12">
      <c r="A384" s="10">
        <v>13</v>
      </c>
      <c r="B384" s="13">
        <v>40281</v>
      </c>
      <c r="C384" s="10">
        <v>2010</v>
      </c>
      <c r="D384" s="4" t="s">
        <v>16</v>
      </c>
      <c r="E384" s="10">
        <v>4</v>
      </c>
      <c r="F384" s="20">
        <v>3.1669999999999998</v>
      </c>
      <c r="G384" s="21">
        <v>0</v>
      </c>
      <c r="H384" s="21">
        <v>0</v>
      </c>
      <c r="I384" s="21">
        <v>1.7109952499999999</v>
      </c>
      <c r="J384" s="21">
        <v>4.5620624999999991E-2</v>
      </c>
      <c r="K384" s="21">
        <v>0</v>
      </c>
    </row>
    <row r="385" spans="1:12">
      <c r="A385" s="10">
        <v>11</v>
      </c>
      <c r="B385" s="16">
        <v>40317</v>
      </c>
      <c r="C385" s="10">
        <v>2010</v>
      </c>
      <c r="D385" s="4" t="s">
        <v>17</v>
      </c>
      <c r="E385" s="10">
        <v>5</v>
      </c>
      <c r="F385" s="22">
        <v>2.11</v>
      </c>
      <c r="G385" s="21">
        <v>0</v>
      </c>
      <c r="H385" s="21">
        <v>0</v>
      </c>
      <c r="I385" s="21">
        <v>0.944902625</v>
      </c>
      <c r="J385" s="21">
        <v>7.9616375000000003E-2</v>
      </c>
      <c r="K385" s="21">
        <v>0</v>
      </c>
    </row>
    <row r="386" spans="1:12">
      <c r="A386" s="10">
        <v>12</v>
      </c>
      <c r="B386" s="16">
        <v>40317</v>
      </c>
      <c r="C386" s="10">
        <v>2010</v>
      </c>
      <c r="D386" s="4" t="s">
        <v>17</v>
      </c>
      <c r="E386" s="10">
        <v>5</v>
      </c>
      <c r="F386" s="22">
        <v>1.224</v>
      </c>
      <c r="G386" s="21">
        <v>0</v>
      </c>
      <c r="H386" s="21">
        <v>0</v>
      </c>
      <c r="I386" s="21">
        <v>0.48095887499999995</v>
      </c>
      <c r="J386" s="21">
        <v>4.297999999999999E-2</v>
      </c>
      <c r="K386" s="21">
        <v>0</v>
      </c>
    </row>
    <row r="387" spans="1:12">
      <c r="A387" s="10">
        <v>13</v>
      </c>
      <c r="B387" s="16">
        <v>40317</v>
      </c>
      <c r="C387" s="10">
        <v>2010</v>
      </c>
      <c r="D387" s="4" t="s">
        <v>17</v>
      </c>
      <c r="E387" s="10">
        <v>5</v>
      </c>
      <c r="F387" s="22">
        <v>2.8039999999999998</v>
      </c>
      <c r="G387" s="21">
        <v>0.17299762500000002</v>
      </c>
      <c r="H387" s="21">
        <v>0</v>
      </c>
      <c r="I387" s="21">
        <v>0.78446712500000004</v>
      </c>
      <c r="J387" s="21">
        <v>7.2252374999999994E-2</v>
      </c>
      <c r="K387" s="21">
        <v>0</v>
      </c>
    </row>
    <row r="388" spans="1:12">
      <c r="A388" s="10">
        <v>11</v>
      </c>
      <c r="B388" s="16">
        <v>40345</v>
      </c>
      <c r="C388" s="10">
        <v>2010</v>
      </c>
      <c r="D388" s="4" t="s">
        <v>18</v>
      </c>
      <c r="E388" s="10">
        <v>6</v>
      </c>
      <c r="F388" s="22">
        <v>7.0090000000000003</v>
      </c>
      <c r="G388" s="21">
        <v>0.160388375</v>
      </c>
      <c r="H388" s="21">
        <v>0</v>
      </c>
      <c r="I388" s="21">
        <v>1.4828007499999998</v>
      </c>
      <c r="J388" s="21">
        <v>4.7002374999999992E-2</v>
      </c>
      <c r="K388" s="21">
        <v>0</v>
      </c>
    </row>
    <row r="389" spans="1:12">
      <c r="A389" s="10">
        <v>12</v>
      </c>
      <c r="B389" s="16">
        <v>40345</v>
      </c>
      <c r="C389" s="10">
        <v>2010</v>
      </c>
      <c r="D389" s="4" t="s">
        <v>18</v>
      </c>
      <c r="E389" s="10">
        <v>6</v>
      </c>
      <c r="F389" s="22">
        <v>7.4489999999999998</v>
      </c>
      <c r="G389" s="21">
        <v>0.26101762499999998</v>
      </c>
      <c r="H389" s="21">
        <v>0</v>
      </c>
      <c r="I389" s="21">
        <v>3.0888511250000001</v>
      </c>
      <c r="J389" s="21">
        <v>6.9584124999999997E-2</v>
      </c>
      <c r="K389" s="21">
        <v>0</v>
      </c>
    </row>
    <row r="390" spans="1:12">
      <c r="A390" s="10">
        <v>13</v>
      </c>
      <c r="B390" s="16">
        <v>40345</v>
      </c>
      <c r="C390" s="10">
        <v>2010</v>
      </c>
      <c r="D390" s="4" t="s">
        <v>18</v>
      </c>
      <c r="E390" s="10">
        <v>6</v>
      </c>
      <c r="F390" s="22">
        <v>9.2870000000000008</v>
      </c>
      <c r="G390" s="21">
        <v>0.41241524999999996</v>
      </c>
      <c r="H390" s="21">
        <v>1.947525E-2</v>
      </c>
      <c r="I390" s="21">
        <v>3.375342625</v>
      </c>
      <c r="J390" s="21">
        <v>0.11963925</v>
      </c>
      <c r="K390" s="21">
        <v>0</v>
      </c>
    </row>
    <row r="391" spans="1:12">
      <c r="A391" s="10">
        <v>11</v>
      </c>
      <c r="B391" s="16">
        <v>40374</v>
      </c>
      <c r="C391" s="10">
        <v>2010</v>
      </c>
      <c r="D391" s="4" t="s">
        <v>19</v>
      </c>
      <c r="E391" s="10">
        <v>7</v>
      </c>
      <c r="F391" s="22">
        <v>9.1110000000000007</v>
      </c>
      <c r="G391" s="21">
        <v>0.21518424999999997</v>
      </c>
      <c r="H391" s="21">
        <v>0.10064674999999997</v>
      </c>
      <c r="I391" s="21">
        <v>3.9736303749999995</v>
      </c>
      <c r="J391" s="21">
        <v>0.17845837499999997</v>
      </c>
      <c r="K391" s="21">
        <v>0</v>
      </c>
    </row>
    <row r="392" spans="1:12">
      <c r="A392" s="10">
        <v>12</v>
      </c>
      <c r="B392" s="16">
        <v>40374</v>
      </c>
      <c r="C392" s="10">
        <v>2010</v>
      </c>
      <c r="D392" s="4" t="s">
        <v>19</v>
      </c>
      <c r="E392" s="10">
        <v>7</v>
      </c>
      <c r="F392" s="22">
        <v>9.8789999999999996</v>
      </c>
      <c r="G392" s="21">
        <v>0.22296774999999999</v>
      </c>
      <c r="H392" s="21">
        <v>0</v>
      </c>
      <c r="I392" s="21">
        <v>3.9796848749999993</v>
      </c>
      <c r="J392" s="21">
        <v>0.23227674999999998</v>
      </c>
      <c r="K392" s="21">
        <v>0</v>
      </c>
    </row>
    <row r="393" spans="1:12">
      <c r="A393" s="10">
        <v>13</v>
      </c>
      <c r="B393" s="16">
        <v>40374</v>
      </c>
      <c r="C393" s="10">
        <v>2010</v>
      </c>
      <c r="D393" s="4" t="s">
        <v>19</v>
      </c>
      <c r="E393" s="10">
        <v>7</v>
      </c>
      <c r="F393" s="22">
        <v>11.994</v>
      </c>
      <c r="G393" s="21">
        <v>0.3593377499999999</v>
      </c>
      <c r="H393" s="21">
        <v>0</v>
      </c>
      <c r="I393" s="21">
        <v>3.2317847499999997</v>
      </c>
      <c r="J393" s="21">
        <v>0.43335612499999998</v>
      </c>
      <c r="K393" s="21">
        <v>0</v>
      </c>
    </row>
    <row r="394" spans="1:12">
      <c r="A394" s="10">
        <v>11</v>
      </c>
      <c r="B394" s="16">
        <v>40409</v>
      </c>
      <c r="C394" s="10">
        <v>2010</v>
      </c>
      <c r="D394" s="4" t="s">
        <v>20</v>
      </c>
      <c r="E394" s="10">
        <v>8</v>
      </c>
      <c r="F394" s="22">
        <v>8.5289999999999999</v>
      </c>
      <c r="G394" s="21">
        <v>0.11170112500000001</v>
      </c>
      <c r="H394" s="21">
        <v>9.5084125000000005E-2</v>
      </c>
      <c r="I394" s="21">
        <v>4.2170784999999995</v>
      </c>
      <c r="J394" s="21">
        <v>0.11129262500000001</v>
      </c>
      <c r="K394" s="21">
        <v>0</v>
      </c>
    </row>
    <row r="395" spans="1:12">
      <c r="A395" s="10">
        <v>12</v>
      </c>
      <c r="B395" s="16">
        <v>40409</v>
      </c>
      <c r="C395" s="10">
        <v>2010</v>
      </c>
      <c r="D395" s="4" t="s">
        <v>20</v>
      </c>
      <c r="E395" s="10">
        <v>8</v>
      </c>
      <c r="F395" s="22">
        <v>4.7140000000000004</v>
      </c>
      <c r="G395" s="21">
        <v>5.6065249999999997E-2</v>
      </c>
      <c r="H395" s="21">
        <v>0</v>
      </c>
      <c r="I395" s="21">
        <v>2.1106778749999999</v>
      </c>
      <c r="J395" s="21">
        <v>8.7749374999999991E-2</v>
      </c>
      <c r="K395" s="21">
        <v>0</v>
      </c>
    </row>
    <row r="396" spans="1:12">
      <c r="A396" s="10">
        <v>13</v>
      </c>
      <c r="B396" s="16">
        <v>40409</v>
      </c>
      <c r="C396" s="10">
        <v>2010</v>
      </c>
      <c r="D396" s="4" t="s">
        <v>20</v>
      </c>
      <c r="E396" s="10">
        <v>8</v>
      </c>
      <c r="F396" s="22">
        <v>14.83</v>
      </c>
      <c r="G396" s="21">
        <v>0.46560637500000002</v>
      </c>
      <c r="H396" s="21">
        <v>0</v>
      </c>
      <c r="I396" s="21">
        <v>5.9818733749999993</v>
      </c>
      <c r="J396" s="21">
        <v>0.90194474999999996</v>
      </c>
      <c r="K396" s="21">
        <v>0</v>
      </c>
    </row>
    <row r="397" spans="1:12">
      <c r="A397" s="10">
        <v>11</v>
      </c>
      <c r="B397" s="16">
        <v>40434</v>
      </c>
      <c r="C397" s="10">
        <v>2010</v>
      </c>
      <c r="D397" s="4" t="s">
        <v>26</v>
      </c>
      <c r="E397" s="10">
        <v>9</v>
      </c>
      <c r="F397" s="22">
        <v>7.556</v>
      </c>
      <c r="G397" s="21">
        <v>0.12148437499999999</v>
      </c>
      <c r="H397" s="21">
        <v>6.2443249999999992E-2</v>
      </c>
      <c r="I397" s="21">
        <v>3.6542648749999995</v>
      </c>
      <c r="J397" s="21">
        <v>0.13528137500000004</v>
      </c>
      <c r="K397" s="21">
        <v>0</v>
      </c>
    </row>
    <row r="398" spans="1:12">
      <c r="A398" s="10">
        <v>11</v>
      </c>
      <c r="B398" s="16">
        <v>40434</v>
      </c>
      <c r="C398" s="10">
        <v>2010</v>
      </c>
      <c r="D398" s="4" t="s">
        <v>26</v>
      </c>
      <c r="E398" s="10">
        <v>9</v>
      </c>
      <c r="F398" s="22">
        <v>7.556</v>
      </c>
      <c r="G398" s="21">
        <v>0.11366125000000001</v>
      </c>
      <c r="H398" s="21">
        <v>6.3302625000000001E-2</v>
      </c>
      <c r="I398" s="21">
        <v>3.6551556249999995</v>
      </c>
      <c r="J398" s="21">
        <v>0.131326625</v>
      </c>
      <c r="K398" s="21">
        <v>0</v>
      </c>
      <c r="L398" t="s">
        <v>27</v>
      </c>
    </row>
    <row r="399" spans="1:12">
      <c r="A399" s="10">
        <v>12</v>
      </c>
      <c r="B399" s="16">
        <v>40434</v>
      </c>
      <c r="C399" s="10">
        <v>2010</v>
      </c>
      <c r="D399" s="4" t="s">
        <v>26</v>
      </c>
      <c r="E399" s="10">
        <v>9</v>
      </c>
      <c r="F399" s="22">
        <v>7.0720000000000001</v>
      </c>
      <c r="G399" s="21">
        <v>7.5326500000000005E-2</v>
      </c>
      <c r="H399" s="21">
        <v>5.8952374999999994E-2</v>
      </c>
      <c r="I399" s="21">
        <v>2.9663888749999994</v>
      </c>
      <c r="J399" s="21">
        <v>0.1995895</v>
      </c>
      <c r="K399" s="21">
        <v>0</v>
      </c>
    </row>
    <row r="400" spans="1:12">
      <c r="A400" s="10">
        <v>13</v>
      </c>
      <c r="B400" s="16">
        <v>40434</v>
      </c>
      <c r="C400" s="10">
        <v>2010</v>
      </c>
      <c r="D400" s="4" t="s">
        <v>26</v>
      </c>
      <c r="E400" s="10">
        <v>9</v>
      </c>
      <c r="F400" s="22">
        <v>6.4009999999999998</v>
      </c>
      <c r="G400" s="21">
        <v>0.10688587499999999</v>
      </c>
      <c r="H400" s="21">
        <v>0</v>
      </c>
      <c r="I400" s="21">
        <v>2.7384643749999995</v>
      </c>
      <c r="J400" s="21">
        <v>0.16332174999999999</v>
      </c>
      <c r="K400" s="21">
        <v>0</v>
      </c>
    </row>
    <row r="401" spans="1:12">
      <c r="A401" s="10">
        <v>11</v>
      </c>
      <c r="B401" s="16">
        <v>40463</v>
      </c>
      <c r="C401" s="10">
        <v>2010</v>
      </c>
      <c r="D401" s="4" t="s">
        <v>22</v>
      </c>
      <c r="E401" s="10">
        <v>10</v>
      </c>
      <c r="F401" s="20">
        <v>4.1390000000000002</v>
      </c>
      <c r="G401" s="21">
        <v>9.5263874999999984E-2</v>
      </c>
      <c r="H401" s="21">
        <v>0</v>
      </c>
      <c r="I401" s="21">
        <v>1.14626725</v>
      </c>
      <c r="J401" s="21">
        <v>0.10521699999999998</v>
      </c>
      <c r="K401" s="21">
        <v>0</v>
      </c>
    </row>
    <row r="402" spans="1:12">
      <c r="A402" s="10">
        <v>12</v>
      </c>
      <c r="B402" s="16">
        <v>40463</v>
      </c>
      <c r="C402" s="10">
        <v>2010</v>
      </c>
      <c r="D402" s="4" t="s">
        <v>22</v>
      </c>
      <c r="E402" s="10">
        <v>10</v>
      </c>
      <c r="F402" s="20">
        <v>4.9029999999999996</v>
      </c>
      <c r="G402" s="21">
        <v>6.5592625000000002E-2</v>
      </c>
      <c r="H402" s="21">
        <v>0</v>
      </c>
      <c r="I402" s="21">
        <v>1.3538313749999999</v>
      </c>
      <c r="J402" s="21">
        <v>0.16496725000000001</v>
      </c>
      <c r="K402" s="21">
        <v>0</v>
      </c>
    </row>
    <row r="403" spans="1:12">
      <c r="A403" s="10">
        <v>13</v>
      </c>
      <c r="B403" s="16">
        <v>40463</v>
      </c>
      <c r="C403" s="10">
        <v>2010</v>
      </c>
      <c r="D403" s="4" t="s">
        <v>22</v>
      </c>
      <c r="E403" s="10">
        <v>10</v>
      </c>
      <c r="F403" s="20">
        <v>4.6959999999999997</v>
      </c>
      <c r="G403" s="21">
        <v>0.144603125</v>
      </c>
      <c r="H403" s="21">
        <v>0</v>
      </c>
      <c r="I403" s="21">
        <v>0.78685775000000013</v>
      </c>
      <c r="J403" s="21">
        <v>0.13354262499999997</v>
      </c>
      <c r="K403" s="21">
        <v>0</v>
      </c>
    </row>
    <row r="404" spans="1:12">
      <c r="A404" s="10">
        <v>11</v>
      </c>
      <c r="B404" s="16">
        <v>40500</v>
      </c>
      <c r="C404" s="10">
        <v>2010</v>
      </c>
      <c r="D404" s="4" t="s">
        <v>23</v>
      </c>
      <c r="E404" s="10">
        <v>11</v>
      </c>
      <c r="F404" s="20">
        <v>1.873</v>
      </c>
      <c r="G404" s="21">
        <v>0</v>
      </c>
      <c r="H404" s="21">
        <v>0</v>
      </c>
      <c r="I404" s="21">
        <v>0.57485662500000001</v>
      </c>
      <c r="J404" s="21">
        <v>1.4732374999999999E-2</v>
      </c>
      <c r="K404" s="21">
        <v>0</v>
      </c>
    </row>
    <row r="405" spans="1:12">
      <c r="A405" s="10">
        <v>12</v>
      </c>
      <c r="B405" s="16">
        <v>40500</v>
      </c>
      <c r="C405" s="10">
        <v>2010</v>
      </c>
      <c r="D405" s="4" t="s">
        <v>23</v>
      </c>
      <c r="E405" s="10">
        <v>11</v>
      </c>
      <c r="F405" s="20">
        <v>2.181</v>
      </c>
      <c r="G405" s="21">
        <v>3.2155875E-2</v>
      </c>
      <c r="H405" s="21">
        <v>0</v>
      </c>
      <c r="I405" s="21">
        <v>0.60223274999999987</v>
      </c>
      <c r="J405" s="21">
        <v>2.0206750000000002E-2</v>
      </c>
      <c r="K405" s="21">
        <v>0</v>
      </c>
    </row>
    <row r="406" spans="1:12">
      <c r="A406" s="10">
        <v>13</v>
      </c>
      <c r="B406" s="16">
        <v>40500</v>
      </c>
      <c r="C406" s="10">
        <v>2010</v>
      </c>
      <c r="D406" s="4" t="s">
        <v>23</v>
      </c>
      <c r="E406" s="10">
        <v>11</v>
      </c>
      <c r="F406" s="20">
        <v>2.2469999999999999</v>
      </c>
      <c r="G406" s="21">
        <v>3.0115249999999996E-2</v>
      </c>
      <c r="H406" s="21">
        <v>0</v>
      </c>
      <c r="I406" s="21">
        <v>0.60608287500000002</v>
      </c>
      <c r="J406" s="21">
        <v>1.7799124999999999E-2</v>
      </c>
      <c r="K406" s="21">
        <v>0</v>
      </c>
    </row>
    <row r="407" spans="1:12">
      <c r="A407" s="10">
        <v>13</v>
      </c>
      <c r="B407" s="16">
        <v>40500</v>
      </c>
      <c r="C407" s="10">
        <v>2010</v>
      </c>
      <c r="D407" s="4" t="s">
        <v>23</v>
      </c>
      <c r="E407" s="10">
        <v>11</v>
      </c>
      <c r="F407" s="20">
        <v>2.2469999999999999</v>
      </c>
      <c r="G407" s="21">
        <v>2.5701124999999995E-2</v>
      </c>
      <c r="H407" s="21">
        <v>0</v>
      </c>
      <c r="I407" s="21">
        <v>0.51457525000000004</v>
      </c>
      <c r="J407" s="21">
        <v>1.4313500000000002E-2</v>
      </c>
      <c r="K407" s="21">
        <v>0</v>
      </c>
      <c r="L407" t="s">
        <v>27</v>
      </c>
    </row>
    <row r="408" spans="1:12">
      <c r="A408" s="10">
        <v>11</v>
      </c>
      <c r="B408" s="16">
        <v>40521</v>
      </c>
      <c r="C408" s="10">
        <v>2010</v>
      </c>
      <c r="D408" s="4" t="s">
        <v>24</v>
      </c>
      <c r="E408" s="10">
        <v>12</v>
      </c>
      <c r="F408" s="20">
        <v>3.871</v>
      </c>
      <c r="G408" s="21">
        <v>3.1928874999999995E-2</v>
      </c>
      <c r="H408" s="21">
        <v>0</v>
      </c>
      <c r="I408" s="21">
        <v>1.3320129999999997</v>
      </c>
      <c r="J408" s="21">
        <v>5.2029625000000003E-2</v>
      </c>
      <c r="K408" s="21">
        <v>0</v>
      </c>
    </row>
    <row r="409" spans="1:12">
      <c r="A409" s="10">
        <v>12</v>
      </c>
      <c r="B409" s="16">
        <v>40521</v>
      </c>
      <c r="C409" s="10">
        <v>2010</v>
      </c>
      <c r="D409" s="4" t="s">
        <v>24</v>
      </c>
      <c r="E409" s="10">
        <v>12</v>
      </c>
      <c r="F409" s="20">
        <v>2.9849999999999999</v>
      </c>
      <c r="G409" s="21">
        <v>2.4042999999999998E-2</v>
      </c>
      <c r="H409" s="21">
        <v>0</v>
      </c>
      <c r="I409" s="21">
        <v>0.97991262499999998</v>
      </c>
      <c r="J409" s="21">
        <v>3.9146374999999997E-2</v>
      </c>
      <c r="K409" s="21">
        <v>0</v>
      </c>
    </row>
    <row r="410" spans="1:12">
      <c r="A410" s="10">
        <v>13</v>
      </c>
      <c r="B410" s="16">
        <v>40521</v>
      </c>
      <c r="C410" s="10">
        <v>2010</v>
      </c>
      <c r="D410" s="4" t="s">
        <v>24</v>
      </c>
      <c r="E410" s="10">
        <v>12</v>
      </c>
      <c r="F410" s="20">
        <v>3.0150000000000001</v>
      </c>
      <c r="G410" s="21">
        <v>2.3383999999999995E-2</v>
      </c>
      <c r="H410" s="21">
        <v>0</v>
      </c>
      <c r="I410" s="21">
        <v>1.0007093749999998</v>
      </c>
      <c r="J410" s="21">
        <v>3.4752249999999998E-2</v>
      </c>
      <c r="K410" s="21">
        <v>0</v>
      </c>
    </row>
    <row r="411" spans="1:12">
      <c r="A411" s="10">
        <v>11</v>
      </c>
      <c r="B411" s="16">
        <v>40563</v>
      </c>
      <c r="C411" s="10">
        <v>2011</v>
      </c>
      <c r="D411" s="4" t="s">
        <v>25</v>
      </c>
      <c r="E411" s="10">
        <v>1</v>
      </c>
      <c r="F411" s="20">
        <v>4.7370000000000001</v>
      </c>
      <c r="G411" s="21">
        <v>3.3315874999999995E-2</v>
      </c>
      <c r="H411" s="21">
        <v>0</v>
      </c>
      <c r="I411" s="21">
        <v>2.36553375</v>
      </c>
      <c r="J411" s="21">
        <v>1.8862749999999998E-2</v>
      </c>
      <c r="K411" s="21">
        <v>0</v>
      </c>
    </row>
    <row r="412" spans="1:12">
      <c r="A412" s="10">
        <v>12</v>
      </c>
      <c r="B412" s="16">
        <v>40563</v>
      </c>
      <c r="C412" s="10">
        <v>2011</v>
      </c>
      <c r="D412" s="4" t="s">
        <v>25</v>
      </c>
      <c r="E412" s="10">
        <v>1</v>
      </c>
      <c r="F412" s="20">
        <v>4.4649999999999999</v>
      </c>
      <c r="G412" s="21">
        <v>3.6811874999999994E-2</v>
      </c>
      <c r="H412" s="21">
        <v>0</v>
      </c>
      <c r="I412" s="21">
        <v>2.0076682499999996</v>
      </c>
      <c r="J412" s="21">
        <v>1.5601124999999997E-2</v>
      </c>
      <c r="K412" s="21">
        <v>0</v>
      </c>
    </row>
    <row r="413" spans="1:12">
      <c r="A413" s="10">
        <v>13</v>
      </c>
      <c r="B413" s="16">
        <v>40563</v>
      </c>
      <c r="C413" s="10">
        <v>2011</v>
      </c>
      <c r="D413" s="4" t="s">
        <v>25</v>
      </c>
      <c r="E413" s="10">
        <v>1</v>
      </c>
      <c r="F413" s="20">
        <v>2.9350000000000001</v>
      </c>
      <c r="G413" s="21">
        <v>0</v>
      </c>
      <c r="H413" s="21">
        <v>0</v>
      </c>
      <c r="I413" s="21">
        <v>1.3223704999999999</v>
      </c>
      <c r="J413" s="21">
        <v>1.2249749999999998E-2</v>
      </c>
      <c r="K413" s="21">
        <v>0</v>
      </c>
    </row>
    <row r="414" spans="1:12">
      <c r="A414" s="10">
        <v>11</v>
      </c>
      <c r="B414" s="16">
        <v>40598</v>
      </c>
      <c r="C414" s="10">
        <v>2011</v>
      </c>
      <c r="D414" s="4" t="s">
        <v>14</v>
      </c>
      <c r="E414" s="10">
        <v>2</v>
      </c>
      <c r="F414" s="20">
        <v>4.5720000000000001</v>
      </c>
      <c r="G414" s="21">
        <v>2.2770624999999999E-2</v>
      </c>
      <c r="H414" s="21">
        <v>0</v>
      </c>
      <c r="I414" s="21">
        <v>1.9516983750000001</v>
      </c>
      <c r="J414" s="21">
        <v>2.0020499999999997E-2</v>
      </c>
      <c r="K414" s="21">
        <v>0</v>
      </c>
    </row>
    <row r="415" spans="1:12">
      <c r="A415" s="10">
        <v>12</v>
      </c>
      <c r="B415" s="16">
        <v>40598</v>
      </c>
      <c r="C415" s="10">
        <v>2011</v>
      </c>
      <c r="D415" s="4" t="s">
        <v>14</v>
      </c>
      <c r="E415" s="10">
        <v>2</v>
      </c>
      <c r="F415" s="20">
        <v>4.8120000000000003</v>
      </c>
      <c r="G415" s="21">
        <v>2.3152874999999996E-2</v>
      </c>
      <c r="H415" s="21">
        <v>0</v>
      </c>
      <c r="I415" s="21">
        <v>2.0351182499999996</v>
      </c>
      <c r="J415" s="21">
        <v>2.1537125000000001E-2</v>
      </c>
      <c r="K415" s="21">
        <v>0</v>
      </c>
    </row>
    <row r="416" spans="1:12">
      <c r="A416" s="10">
        <v>13</v>
      </c>
      <c r="B416" s="16">
        <v>40598</v>
      </c>
      <c r="C416" s="10">
        <v>2011</v>
      </c>
      <c r="D416" s="4" t="s">
        <v>14</v>
      </c>
      <c r="E416" s="10">
        <v>2</v>
      </c>
      <c r="F416" s="20">
        <v>3.6349999999999998</v>
      </c>
      <c r="G416" s="21">
        <v>4.2264999999999997E-2</v>
      </c>
      <c r="H416" s="21">
        <v>0</v>
      </c>
      <c r="I416" s="21">
        <v>1.5853638750000001</v>
      </c>
      <c r="J416" s="21">
        <v>1.8725124999999995E-2</v>
      </c>
      <c r="K416" s="21">
        <v>0</v>
      </c>
    </row>
    <row r="417" spans="1:12">
      <c r="A417" s="10">
        <v>11</v>
      </c>
      <c r="B417" s="16">
        <v>40617</v>
      </c>
      <c r="C417" s="10">
        <v>2011</v>
      </c>
      <c r="D417" s="4" t="s">
        <v>15</v>
      </c>
      <c r="E417" s="10">
        <v>3</v>
      </c>
      <c r="F417" s="20">
        <v>4.766</v>
      </c>
      <c r="G417" s="21">
        <v>0.10769475000000003</v>
      </c>
      <c r="H417" s="21">
        <v>0</v>
      </c>
      <c r="I417" s="21">
        <v>2.1968587500000001</v>
      </c>
      <c r="J417" s="21">
        <v>2.4880249999999996E-2</v>
      </c>
      <c r="K417" s="21">
        <v>0</v>
      </c>
    </row>
    <row r="418" spans="1:12">
      <c r="A418" s="10">
        <v>12</v>
      </c>
      <c r="B418" s="16">
        <v>40617</v>
      </c>
      <c r="C418" s="10">
        <v>2011</v>
      </c>
      <c r="D418" s="4" t="s">
        <v>15</v>
      </c>
      <c r="E418" s="10">
        <v>3</v>
      </c>
      <c r="F418" s="20">
        <v>3.7519999999999998</v>
      </c>
      <c r="G418" s="21">
        <v>8.0132624999999999E-2</v>
      </c>
      <c r="H418" s="21">
        <v>0</v>
      </c>
      <c r="I418" s="21">
        <v>1.732851125</v>
      </c>
      <c r="J418" s="21">
        <v>2.0319375000000001E-2</v>
      </c>
      <c r="K418" s="21">
        <v>0</v>
      </c>
    </row>
    <row r="419" spans="1:12">
      <c r="A419" s="10">
        <v>13</v>
      </c>
      <c r="B419" s="16">
        <v>40617</v>
      </c>
      <c r="C419" s="10">
        <v>2011</v>
      </c>
      <c r="D419" s="4" t="s">
        <v>15</v>
      </c>
      <c r="E419" s="10">
        <v>3</v>
      </c>
      <c r="F419" s="20">
        <v>4.41</v>
      </c>
      <c r="G419" s="21">
        <v>9.529799999999998E-2</v>
      </c>
      <c r="H419" s="21">
        <v>0</v>
      </c>
      <c r="I419" s="21">
        <v>2.0573730000000001</v>
      </c>
      <c r="J419" s="21">
        <v>2.4913624999999995E-2</v>
      </c>
      <c r="K419" s="21">
        <v>0</v>
      </c>
    </row>
    <row r="420" spans="1:12">
      <c r="A420" s="10">
        <v>11</v>
      </c>
      <c r="B420" s="16">
        <v>40647</v>
      </c>
      <c r="C420" s="10">
        <v>2011</v>
      </c>
      <c r="D420" s="4" t="s">
        <v>16</v>
      </c>
      <c r="E420" s="10">
        <v>4</v>
      </c>
      <c r="F420" s="20">
        <v>4.5590000000000002</v>
      </c>
      <c r="G420" s="21">
        <v>8.8226750000000007E-2</v>
      </c>
      <c r="H420" s="21">
        <v>0</v>
      </c>
      <c r="I420" s="21">
        <v>1.8173878749999999</v>
      </c>
      <c r="J420" s="21">
        <v>1.4323124999999999E-2</v>
      </c>
      <c r="K420" s="21">
        <v>0</v>
      </c>
    </row>
    <row r="421" spans="1:12">
      <c r="A421" s="10">
        <v>11</v>
      </c>
      <c r="B421" s="16">
        <v>40647</v>
      </c>
      <c r="C421" s="10">
        <v>2011</v>
      </c>
      <c r="D421" s="4" t="s">
        <v>16</v>
      </c>
      <c r="E421" s="10">
        <v>4</v>
      </c>
      <c r="F421" s="20">
        <v>4.5590000000000002</v>
      </c>
      <c r="G421" s="21">
        <v>8.5696999999999995E-2</v>
      </c>
      <c r="H421" s="21">
        <v>0</v>
      </c>
      <c r="I421" s="21">
        <v>1.74987</v>
      </c>
      <c r="J421" s="21">
        <v>1.4383249999999998E-2</v>
      </c>
      <c r="K421" s="21">
        <v>0</v>
      </c>
      <c r="L421" t="s">
        <v>27</v>
      </c>
    </row>
    <row r="422" spans="1:12">
      <c r="A422" s="10">
        <v>12</v>
      </c>
      <c r="B422" s="16">
        <v>40647</v>
      </c>
      <c r="C422" s="10">
        <v>2011</v>
      </c>
      <c r="D422" s="4" t="s">
        <v>16</v>
      </c>
      <c r="E422" s="10">
        <v>4</v>
      </c>
      <c r="F422" s="20">
        <v>3.8530000000000002</v>
      </c>
      <c r="G422" s="21">
        <v>7.9927374999999995E-2</v>
      </c>
      <c r="H422" s="21">
        <v>0</v>
      </c>
      <c r="I422" s="21">
        <v>1.4834718749999998</v>
      </c>
      <c r="J422" s="21">
        <v>1.1424999999999998E-2</v>
      </c>
      <c r="K422" s="21">
        <v>0</v>
      </c>
    </row>
    <row r="423" spans="1:12">
      <c r="A423" s="10">
        <v>13</v>
      </c>
      <c r="B423" s="16">
        <v>40647</v>
      </c>
      <c r="C423" s="10">
        <v>2011</v>
      </c>
      <c r="D423" s="4" t="s">
        <v>16</v>
      </c>
      <c r="E423" s="10">
        <v>4</v>
      </c>
      <c r="F423" s="20">
        <v>2.294</v>
      </c>
      <c r="G423" s="21">
        <v>3.421337499999999E-2</v>
      </c>
      <c r="H423" s="21">
        <v>0</v>
      </c>
      <c r="I423" s="21">
        <v>0.70023224999999989</v>
      </c>
      <c r="J423" s="21">
        <v>8.0346250000000018E-3</v>
      </c>
      <c r="K423" s="21">
        <v>0</v>
      </c>
    </row>
    <row r="424" spans="1:12">
      <c r="A424" s="10">
        <v>11</v>
      </c>
      <c r="B424" s="16">
        <v>40682</v>
      </c>
      <c r="C424" s="10">
        <v>2011</v>
      </c>
      <c r="D424" s="4" t="s">
        <v>17</v>
      </c>
      <c r="E424" s="10">
        <v>5</v>
      </c>
      <c r="F424" s="20">
        <v>2.02</v>
      </c>
      <c r="G424" s="21">
        <v>0.1153435</v>
      </c>
      <c r="H424" s="21">
        <v>0</v>
      </c>
      <c r="I424" s="21">
        <v>0.58843400000000001</v>
      </c>
      <c r="J424" s="21">
        <v>3.1000375E-2</v>
      </c>
      <c r="K424" s="21">
        <v>0</v>
      </c>
    </row>
    <row r="425" spans="1:12">
      <c r="A425" s="10">
        <v>12</v>
      </c>
      <c r="B425" s="16">
        <v>40682</v>
      </c>
      <c r="C425" s="10">
        <v>2011</v>
      </c>
      <c r="D425" s="4" t="s">
        <v>17</v>
      </c>
      <c r="E425" s="10">
        <v>5</v>
      </c>
      <c r="F425" s="20">
        <v>1.5920000000000001</v>
      </c>
      <c r="G425" s="21">
        <v>6.7288749999999994E-2</v>
      </c>
      <c r="H425" s="21">
        <v>0</v>
      </c>
      <c r="I425" s="21">
        <v>0.42106137500000002</v>
      </c>
      <c r="J425" s="21">
        <v>2.2930749999999996E-2</v>
      </c>
      <c r="K425" s="21">
        <v>0</v>
      </c>
    </row>
    <row r="426" spans="1:12">
      <c r="A426" s="10">
        <v>13</v>
      </c>
      <c r="B426" s="16">
        <v>40682</v>
      </c>
      <c r="C426" s="10">
        <v>2011</v>
      </c>
      <c r="D426" s="4" t="s">
        <v>17</v>
      </c>
      <c r="E426" s="10">
        <v>5</v>
      </c>
      <c r="F426" s="20">
        <v>2.5779999999999998</v>
      </c>
      <c r="G426" s="21">
        <v>0.22370912499999998</v>
      </c>
      <c r="H426" s="21">
        <v>4.6396499999999993E-2</v>
      </c>
      <c r="I426" s="21">
        <v>0.62708837500000003</v>
      </c>
      <c r="J426" s="21">
        <v>3.9002124999999999E-2</v>
      </c>
      <c r="K426" s="21">
        <v>0</v>
      </c>
    </row>
    <row r="427" spans="1:12">
      <c r="A427" s="10">
        <v>11</v>
      </c>
      <c r="B427" s="16">
        <v>40709</v>
      </c>
      <c r="C427" s="10">
        <v>2011</v>
      </c>
      <c r="D427" s="4" t="s">
        <v>18</v>
      </c>
      <c r="E427" s="10">
        <v>6</v>
      </c>
      <c r="F427" s="20">
        <v>4.0220000000000002</v>
      </c>
      <c r="G427" s="21">
        <v>0.10144599999999999</v>
      </c>
      <c r="H427" s="21">
        <v>0</v>
      </c>
      <c r="I427" s="21">
        <v>1.5833134999999998</v>
      </c>
      <c r="J427" s="21">
        <v>6.4036250000000003E-2</v>
      </c>
      <c r="K427" s="21">
        <v>0</v>
      </c>
    </row>
    <row r="428" spans="1:12">
      <c r="A428" s="10">
        <v>12</v>
      </c>
      <c r="B428" s="16">
        <v>40709</v>
      </c>
      <c r="C428" s="10">
        <v>2011</v>
      </c>
      <c r="D428" s="4" t="s">
        <v>18</v>
      </c>
      <c r="E428" s="10">
        <v>6</v>
      </c>
      <c r="F428" s="20">
        <v>4.2</v>
      </c>
      <c r="G428" s="21">
        <v>8.8062625000000005E-2</v>
      </c>
      <c r="H428" s="21">
        <v>0</v>
      </c>
      <c r="I428" s="21">
        <v>1.4930836249999997</v>
      </c>
      <c r="J428" s="21">
        <v>6.4282875000000003E-2</v>
      </c>
      <c r="K428" s="21">
        <v>0</v>
      </c>
    </row>
    <row r="429" spans="1:12">
      <c r="A429" s="10">
        <v>13</v>
      </c>
      <c r="B429" s="16">
        <v>40709</v>
      </c>
      <c r="C429" s="10">
        <v>2011</v>
      </c>
      <c r="D429" s="4" t="s">
        <v>18</v>
      </c>
      <c r="E429" s="10">
        <v>6</v>
      </c>
      <c r="F429" s="20">
        <v>7.6539999999999999</v>
      </c>
      <c r="G429" s="21">
        <v>6.9927000000000003E-2</v>
      </c>
      <c r="H429" s="21">
        <v>0</v>
      </c>
      <c r="I429" s="21">
        <v>3.3013943749999997</v>
      </c>
      <c r="J429" s="21">
        <v>9.1840874999999988E-2</v>
      </c>
      <c r="K429" s="21">
        <v>0</v>
      </c>
    </row>
    <row r="430" spans="1:12">
      <c r="A430" s="10">
        <v>11</v>
      </c>
      <c r="B430" s="16">
        <v>40736</v>
      </c>
      <c r="C430" s="10">
        <v>2011</v>
      </c>
      <c r="D430" s="4" t="s">
        <v>19</v>
      </c>
      <c r="E430" s="10">
        <v>7</v>
      </c>
      <c r="F430" s="20">
        <v>7.407</v>
      </c>
      <c r="G430" s="21">
        <v>0.169541625</v>
      </c>
      <c r="H430" s="21">
        <v>0</v>
      </c>
      <c r="I430" s="21">
        <v>2.3847900000000002</v>
      </c>
      <c r="J430" s="21">
        <v>0.20515887499999999</v>
      </c>
      <c r="K430" s="21">
        <v>0</v>
      </c>
    </row>
    <row r="431" spans="1:12">
      <c r="A431" s="10">
        <v>12</v>
      </c>
      <c r="B431" s="16">
        <v>40736</v>
      </c>
      <c r="C431" s="10">
        <v>2011</v>
      </c>
      <c r="D431" s="4" t="s">
        <v>19</v>
      </c>
      <c r="E431" s="10">
        <v>7</v>
      </c>
      <c r="F431" s="20">
        <v>8.0679999999999996</v>
      </c>
      <c r="G431" s="21">
        <v>0.15381462500000001</v>
      </c>
      <c r="H431" s="21">
        <v>0</v>
      </c>
      <c r="I431" s="21">
        <v>2.9900811249999997</v>
      </c>
      <c r="J431" s="21">
        <v>0.20078225</v>
      </c>
      <c r="K431" s="21">
        <v>0</v>
      </c>
    </row>
    <row r="432" spans="1:12">
      <c r="A432" s="10">
        <v>13</v>
      </c>
      <c r="B432" s="16">
        <v>40736</v>
      </c>
      <c r="C432" s="10">
        <v>2011</v>
      </c>
      <c r="D432" s="4" t="s">
        <v>19</v>
      </c>
      <c r="E432" s="10">
        <v>7</v>
      </c>
      <c r="F432" s="20">
        <v>8.9009999999999998</v>
      </c>
      <c r="G432" s="21">
        <v>0.17544412499999998</v>
      </c>
      <c r="H432" s="21">
        <v>0</v>
      </c>
      <c r="I432" s="21">
        <v>2.87796275</v>
      </c>
      <c r="J432" s="21">
        <v>0.68417237500000005</v>
      </c>
      <c r="K432" s="21">
        <v>0</v>
      </c>
    </row>
    <row r="433" spans="1:12">
      <c r="A433" s="10">
        <v>11</v>
      </c>
      <c r="B433" s="16">
        <v>40772</v>
      </c>
      <c r="C433" s="10">
        <v>2011</v>
      </c>
      <c r="D433" s="4" t="s">
        <v>20</v>
      </c>
      <c r="E433" s="10">
        <v>8</v>
      </c>
      <c r="F433" s="20">
        <v>14.526999999999999</v>
      </c>
      <c r="G433" s="21">
        <v>0.16420162499999999</v>
      </c>
      <c r="H433" s="21">
        <v>0</v>
      </c>
      <c r="I433" s="21">
        <v>6.8055946249999995</v>
      </c>
      <c r="J433" s="21">
        <v>0.18949312500000004</v>
      </c>
      <c r="K433" s="21">
        <v>0</v>
      </c>
    </row>
    <row r="434" spans="1:12">
      <c r="A434" s="10">
        <v>12</v>
      </c>
      <c r="B434" s="16">
        <v>40772</v>
      </c>
      <c r="C434" s="10">
        <v>2011</v>
      </c>
      <c r="D434" s="4" t="s">
        <v>20</v>
      </c>
      <c r="E434" s="10">
        <v>8</v>
      </c>
      <c r="F434" s="20">
        <v>11.542999999999999</v>
      </c>
      <c r="G434" s="21">
        <v>9.0062874999999987E-2</v>
      </c>
      <c r="H434" s="21">
        <v>0</v>
      </c>
      <c r="I434" s="21">
        <v>4.6113218749999998</v>
      </c>
      <c r="J434" s="21">
        <v>0.19088712499999999</v>
      </c>
      <c r="K434" s="21">
        <v>0</v>
      </c>
    </row>
    <row r="435" spans="1:12">
      <c r="A435" s="10">
        <v>13</v>
      </c>
      <c r="B435" s="16">
        <v>40772</v>
      </c>
      <c r="C435" s="10">
        <v>2011</v>
      </c>
      <c r="D435" s="4" t="s">
        <v>20</v>
      </c>
      <c r="E435" s="10">
        <v>8</v>
      </c>
      <c r="F435" s="20">
        <v>10.285</v>
      </c>
      <c r="G435" s="21">
        <v>5.3601499999999996E-2</v>
      </c>
      <c r="H435" s="21">
        <v>0</v>
      </c>
      <c r="I435" s="21">
        <v>4.1019173750000002</v>
      </c>
      <c r="J435" s="21">
        <v>0.27433174999999999</v>
      </c>
      <c r="K435" s="21">
        <v>0</v>
      </c>
    </row>
    <row r="436" spans="1:12">
      <c r="A436" s="10">
        <v>11</v>
      </c>
      <c r="B436" s="16">
        <v>40798</v>
      </c>
      <c r="C436" s="10">
        <v>2011</v>
      </c>
      <c r="D436" s="4" t="s">
        <v>26</v>
      </c>
      <c r="E436" s="10">
        <v>9</v>
      </c>
      <c r="F436" s="20">
        <v>6.1180000000000003</v>
      </c>
      <c r="G436" s="21">
        <v>9.5918249999999983E-2</v>
      </c>
      <c r="H436" s="21">
        <v>0</v>
      </c>
      <c r="I436" s="21">
        <v>2.5321488749999999</v>
      </c>
      <c r="J436" s="21">
        <v>0.23636000000000001</v>
      </c>
      <c r="K436" s="21">
        <v>0</v>
      </c>
    </row>
    <row r="437" spans="1:12">
      <c r="A437" s="10">
        <v>12</v>
      </c>
      <c r="B437" s="16">
        <v>40798</v>
      </c>
      <c r="C437" s="10">
        <v>2011</v>
      </c>
      <c r="D437" s="4" t="s">
        <v>26</v>
      </c>
      <c r="E437" s="10">
        <v>9</v>
      </c>
      <c r="F437" s="20">
        <v>5.444</v>
      </c>
      <c r="G437" s="21">
        <v>7.2165750000000001E-2</v>
      </c>
      <c r="H437" s="21">
        <v>0</v>
      </c>
      <c r="I437" s="21">
        <v>1.961626375</v>
      </c>
      <c r="J437" s="21">
        <v>0.20802087499999997</v>
      </c>
      <c r="K437" s="21">
        <v>0</v>
      </c>
    </row>
    <row r="438" spans="1:12">
      <c r="A438" s="10">
        <v>13</v>
      </c>
      <c r="B438" s="16">
        <v>40798</v>
      </c>
      <c r="C438" s="10">
        <v>2011</v>
      </c>
      <c r="D438" s="4" t="s">
        <v>26</v>
      </c>
      <c r="E438" s="10">
        <v>9</v>
      </c>
      <c r="F438" s="20">
        <v>7.492</v>
      </c>
      <c r="G438" s="21">
        <v>7.4966000000000005E-2</v>
      </c>
      <c r="H438" s="21">
        <v>0</v>
      </c>
      <c r="I438" s="21">
        <v>2.0250244999999998</v>
      </c>
      <c r="J438" s="21">
        <v>1.1851122499999998</v>
      </c>
      <c r="K438" s="21">
        <v>1.8296875000000004E-2</v>
      </c>
    </row>
    <row r="439" spans="1:12">
      <c r="A439" s="10">
        <v>11</v>
      </c>
      <c r="B439" s="16">
        <v>40829</v>
      </c>
      <c r="C439" s="10">
        <v>2011</v>
      </c>
      <c r="D439" s="4" t="s">
        <v>22</v>
      </c>
      <c r="E439" s="10">
        <v>10</v>
      </c>
      <c r="F439" s="22">
        <v>4.2300000000000004</v>
      </c>
      <c r="G439" s="21">
        <v>0.21483774999999997</v>
      </c>
      <c r="H439" s="21">
        <v>0</v>
      </c>
      <c r="I439" s="21">
        <v>1.3820714999999997</v>
      </c>
      <c r="J439" s="21">
        <v>0.11098650000000002</v>
      </c>
      <c r="K439" s="21">
        <v>0</v>
      </c>
    </row>
    <row r="440" spans="1:12">
      <c r="A440" s="10">
        <v>12</v>
      </c>
      <c r="B440" s="16">
        <v>40829</v>
      </c>
      <c r="C440" s="10">
        <v>2011</v>
      </c>
      <c r="D440" s="4" t="s">
        <v>22</v>
      </c>
      <c r="E440" s="10">
        <v>10</v>
      </c>
      <c r="F440" s="22">
        <v>4.702</v>
      </c>
      <c r="G440" s="21">
        <v>0.22009462499999996</v>
      </c>
      <c r="H440" s="21">
        <v>0</v>
      </c>
      <c r="I440" s="21">
        <v>1.6734541249999999</v>
      </c>
      <c r="J440" s="21">
        <v>0.12009349999999999</v>
      </c>
      <c r="K440" s="21">
        <v>0</v>
      </c>
    </row>
    <row r="441" spans="1:12">
      <c r="A441" s="10">
        <v>13</v>
      </c>
      <c r="B441" s="16">
        <v>40829</v>
      </c>
      <c r="C441" s="10">
        <v>2011</v>
      </c>
      <c r="D441" s="4" t="s">
        <v>22</v>
      </c>
      <c r="E441" s="10">
        <v>10</v>
      </c>
      <c r="F441" s="22">
        <v>2.5640000000000001</v>
      </c>
      <c r="G441" s="21">
        <v>0.10417475</v>
      </c>
      <c r="H441" s="21">
        <v>0</v>
      </c>
      <c r="I441" s="21">
        <v>0.92259524999999998</v>
      </c>
      <c r="J441" s="21">
        <v>8.9766499999999985E-2</v>
      </c>
      <c r="K441" s="21">
        <v>0</v>
      </c>
    </row>
    <row r="442" spans="1:12">
      <c r="A442" s="10">
        <v>11</v>
      </c>
      <c r="B442" s="23">
        <v>40877</v>
      </c>
      <c r="C442" s="10">
        <v>2011</v>
      </c>
      <c r="D442" s="4" t="s">
        <v>23</v>
      </c>
      <c r="E442" s="10">
        <v>11</v>
      </c>
      <c r="F442" s="22">
        <v>5.2469999999999999</v>
      </c>
      <c r="G442" s="21">
        <v>7.938824999999998E-2</v>
      </c>
      <c r="H442" s="21">
        <v>0</v>
      </c>
      <c r="I442" s="21">
        <v>2.2046882499999998</v>
      </c>
      <c r="J442" s="21">
        <v>3.3162749999999998E-2</v>
      </c>
      <c r="K442" s="21">
        <v>0</v>
      </c>
    </row>
    <row r="443" spans="1:12">
      <c r="A443" s="10">
        <v>12</v>
      </c>
      <c r="B443" s="23">
        <v>40877</v>
      </c>
      <c r="C443" s="10">
        <v>2011</v>
      </c>
      <c r="D443" s="4" t="s">
        <v>23</v>
      </c>
      <c r="E443" s="10">
        <v>11</v>
      </c>
      <c r="F443" s="22">
        <v>3.9009999999999998</v>
      </c>
      <c r="G443" s="21">
        <v>5.4116624999999995E-2</v>
      </c>
      <c r="H443" s="21">
        <v>2.0942624999999996E-2</v>
      </c>
      <c r="I443" s="21">
        <v>1.5061991250000002</v>
      </c>
      <c r="J443" s="21">
        <v>3.0106250000000005E-2</v>
      </c>
      <c r="K443" s="21">
        <v>0</v>
      </c>
    </row>
    <row r="444" spans="1:12">
      <c r="A444" s="10">
        <v>12</v>
      </c>
      <c r="B444" s="23">
        <v>40877</v>
      </c>
      <c r="C444" s="10">
        <v>2011</v>
      </c>
      <c r="D444" s="4" t="s">
        <v>23</v>
      </c>
      <c r="E444" s="10">
        <v>11</v>
      </c>
      <c r="F444" s="22">
        <v>3.9009999999999998</v>
      </c>
      <c r="G444" s="21">
        <v>5.2376875000000003E-2</v>
      </c>
      <c r="H444" s="21">
        <v>0</v>
      </c>
      <c r="I444" s="21">
        <v>1.5197596249999998</v>
      </c>
      <c r="J444" s="21">
        <v>2.6059499999999999E-2</v>
      </c>
      <c r="K444" s="21">
        <v>0</v>
      </c>
      <c r="L444" t="s">
        <v>27</v>
      </c>
    </row>
    <row r="445" spans="1:12">
      <c r="A445" s="10">
        <v>13</v>
      </c>
      <c r="B445" s="23">
        <v>40877</v>
      </c>
      <c r="C445" s="10">
        <v>2011</v>
      </c>
      <c r="D445" s="4" t="s">
        <v>23</v>
      </c>
      <c r="E445" s="10">
        <v>11</v>
      </c>
      <c r="F445" s="22">
        <v>4.9690000000000003</v>
      </c>
      <c r="G445" s="21">
        <v>0.12483712499999999</v>
      </c>
      <c r="H445" s="21">
        <v>0</v>
      </c>
      <c r="I445" s="21">
        <v>1.7289521249999997</v>
      </c>
      <c r="J445" s="21">
        <v>2.864425E-2</v>
      </c>
      <c r="K445" s="21">
        <v>0</v>
      </c>
    </row>
    <row r="446" spans="1:12">
      <c r="A446" s="10">
        <v>11</v>
      </c>
      <c r="B446" s="23">
        <v>40891</v>
      </c>
      <c r="C446" s="10">
        <v>2011</v>
      </c>
      <c r="D446" s="4" t="s">
        <v>24</v>
      </c>
      <c r="E446" s="10">
        <v>12</v>
      </c>
      <c r="F446" s="22">
        <v>5.8280000000000003</v>
      </c>
      <c r="G446" s="21">
        <v>0.20053412499999995</v>
      </c>
      <c r="H446" s="21">
        <v>0</v>
      </c>
      <c r="I446" s="21">
        <v>2.1014538750000002</v>
      </c>
      <c r="J446" s="21">
        <v>3.2710375E-2</v>
      </c>
      <c r="K446" s="21">
        <v>0</v>
      </c>
    </row>
    <row r="447" spans="1:12">
      <c r="A447" s="10">
        <v>12</v>
      </c>
      <c r="B447" s="23">
        <v>40891</v>
      </c>
      <c r="C447" s="10">
        <v>2011</v>
      </c>
      <c r="D447" s="4" t="s">
        <v>24</v>
      </c>
      <c r="E447" s="10">
        <v>12</v>
      </c>
      <c r="F447" s="22">
        <v>3.7679999999999998</v>
      </c>
      <c r="G447" s="21">
        <v>0.10218200000000001</v>
      </c>
      <c r="H447" s="21">
        <v>0</v>
      </c>
      <c r="I447" s="21">
        <v>1.266158125</v>
      </c>
      <c r="J447" s="21">
        <v>2.3183499999999999E-2</v>
      </c>
      <c r="K447" s="21">
        <v>0</v>
      </c>
    </row>
    <row r="448" spans="1:12">
      <c r="A448" s="10">
        <v>13</v>
      </c>
      <c r="B448" s="23">
        <v>40891</v>
      </c>
      <c r="C448" s="10">
        <v>2011</v>
      </c>
      <c r="D448" s="4" t="s">
        <v>24</v>
      </c>
      <c r="E448" s="10">
        <v>12</v>
      </c>
      <c r="F448" s="22">
        <v>2.89</v>
      </c>
      <c r="G448" s="21">
        <v>4.8685375000000003E-2</v>
      </c>
      <c r="H448" s="21">
        <v>0</v>
      </c>
      <c r="I448" s="21">
        <v>0.91535650000000013</v>
      </c>
      <c r="J448" s="21">
        <v>2.5758625000000004E-2</v>
      </c>
      <c r="K448" s="21">
        <v>0</v>
      </c>
    </row>
    <row r="449" spans="1:11">
      <c r="A449" s="10">
        <v>11</v>
      </c>
      <c r="B449" s="16">
        <v>40919</v>
      </c>
      <c r="C449" s="10">
        <v>2012</v>
      </c>
      <c r="D449" s="4" t="s">
        <v>25</v>
      </c>
      <c r="E449" s="10">
        <v>1</v>
      </c>
      <c r="F449" s="24">
        <v>3.1659999999999999</v>
      </c>
      <c r="G449" s="21">
        <v>0.14568062500000001</v>
      </c>
      <c r="H449" s="21">
        <v>0</v>
      </c>
      <c r="I449" s="21">
        <v>1.3702737499999997</v>
      </c>
      <c r="J449" s="21">
        <v>2.054775E-2</v>
      </c>
      <c r="K449" s="21">
        <v>0</v>
      </c>
    </row>
    <row r="450" spans="1:11">
      <c r="A450" s="10">
        <v>12</v>
      </c>
      <c r="B450" s="16">
        <v>40919</v>
      </c>
      <c r="C450" s="10">
        <v>2012</v>
      </c>
      <c r="D450" s="4" t="s">
        <v>25</v>
      </c>
      <c r="E450" s="10">
        <v>1</v>
      </c>
      <c r="F450" s="24">
        <v>1.8680000000000001</v>
      </c>
      <c r="G450" s="21">
        <v>0.10425999999999998</v>
      </c>
      <c r="H450" s="21">
        <v>0</v>
      </c>
      <c r="I450" s="21">
        <v>0.67076824999999995</v>
      </c>
      <c r="J450" s="21">
        <v>1.578075E-2</v>
      </c>
      <c r="K450" s="21">
        <v>0</v>
      </c>
    </row>
    <row r="451" spans="1:11">
      <c r="A451" s="10">
        <v>13</v>
      </c>
      <c r="B451" s="16">
        <v>40919</v>
      </c>
      <c r="C451" s="10">
        <v>2012</v>
      </c>
      <c r="D451" s="4" t="s">
        <v>25</v>
      </c>
      <c r="E451" s="10">
        <v>1</v>
      </c>
      <c r="F451" s="24">
        <v>1.752</v>
      </c>
      <c r="G451" s="21">
        <v>0.10891674999999999</v>
      </c>
      <c r="H451" s="21">
        <v>0</v>
      </c>
      <c r="I451" s="21">
        <v>0.61970674999999997</v>
      </c>
      <c r="J451" s="21">
        <v>1.5032E-2</v>
      </c>
      <c r="K451" s="21">
        <v>0</v>
      </c>
    </row>
    <row r="452" spans="1:11">
      <c r="A452" s="10">
        <v>11</v>
      </c>
      <c r="B452" s="16">
        <v>40960</v>
      </c>
      <c r="C452" s="10">
        <v>2012</v>
      </c>
      <c r="D452" s="4" t="s">
        <v>14</v>
      </c>
      <c r="E452" s="10">
        <v>2</v>
      </c>
      <c r="F452" s="24">
        <v>10.074</v>
      </c>
      <c r="G452" s="21">
        <v>0.26395262499999994</v>
      </c>
      <c r="H452" s="21">
        <v>0</v>
      </c>
      <c r="I452" s="21">
        <v>6.1832762499999996</v>
      </c>
      <c r="J452" s="21">
        <v>4.4061125E-2</v>
      </c>
      <c r="K452" s="21">
        <v>0</v>
      </c>
    </row>
    <row r="453" spans="1:11">
      <c r="A453" s="10">
        <v>12</v>
      </c>
      <c r="B453" s="16">
        <v>40960</v>
      </c>
      <c r="C453" s="10">
        <v>2012</v>
      </c>
      <c r="D453" s="4" t="s">
        <v>14</v>
      </c>
      <c r="E453" s="10">
        <v>2</v>
      </c>
      <c r="F453" s="24">
        <v>3.7719999999999998</v>
      </c>
      <c r="G453" s="21">
        <v>0.20643375</v>
      </c>
      <c r="H453" s="21">
        <v>0</v>
      </c>
      <c r="I453" s="21">
        <v>1.9703310000000001</v>
      </c>
      <c r="J453" s="21">
        <v>2.9816999999999996E-2</v>
      </c>
      <c r="K453" s="21">
        <v>0</v>
      </c>
    </row>
    <row r="454" spans="1:11">
      <c r="A454" s="10">
        <v>13</v>
      </c>
      <c r="B454" s="16">
        <v>40960</v>
      </c>
      <c r="C454" s="10">
        <v>2012</v>
      </c>
      <c r="D454" s="4" t="s">
        <v>14</v>
      </c>
      <c r="E454" s="10">
        <v>2</v>
      </c>
      <c r="F454" s="24">
        <v>2.944</v>
      </c>
      <c r="G454" s="21">
        <v>0.20164462499999999</v>
      </c>
      <c r="H454" s="21">
        <v>0</v>
      </c>
      <c r="I454" s="21">
        <v>1.5229422499999998</v>
      </c>
      <c r="J454" s="21">
        <v>2.7293874999999999E-2</v>
      </c>
      <c r="K454" s="21">
        <v>0</v>
      </c>
    </row>
    <row r="455" spans="1:11">
      <c r="A455" s="10">
        <v>11</v>
      </c>
      <c r="B455" s="16">
        <v>40982</v>
      </c>
      <c r="C455" s="10">
        <v>2012</v>
      </c>
      <c r="D455" s="4" t="s">
        <v>15</v>
      </c>
      <c r="E455" s="10">
        <v>3</v>
      </c>
      <c r="F455" s="24">
        <v>4.5389999999999997</v>
      </c>
      <c r="G455" s="21">
        <v>0.10550762500000001</v>
      </c>
      <c r="H455" s="21">
        <v>0</v>
      </c>
      <c r="I455" s="21">
        <v>2.8869761249999999</v>
      </c>
      <c r="J455" s="21">
        <v>3.5856374999999996E-2</v>
      </c>
      <c r="K455" s="21">
        <v>0</v>
      </c>
    </row>
    <row r="456" spans="1:11">
      <c r="A456" s="10">
        <v>12</v>
      </c>
      <c r="B456" s="16">
        <v>40982</v>
      </c>
      <c r="C456" s="10">
        <v>2012</v>
      </c>
      <c r="D456" s="4" t="s">
        <v>15</v>
      </c>
      <c r="E456" s="10">
        <v>3</v>
      </c>
      <c r="F456" s="24">
        <v>4.1820000000000004</v>
      </c>
      <c r="G456" s="21">
        <v>8.6993874999999984E-2</v>
      </c>
      <c r="H456" s="21">
        <v>0</v>
      </c>
      <c r="I456" s="21">
        <v>2.6406029999999996</v>
      </c>
      <c r="J456" s="21">
        <v>3.7710750000000001E-2</v>
      </c>
      <c r="K456" s="21">
        <v>0</v>
      </c>
    </row>
    <row r="457" spans="1:11">
      <c r="A457" s="10">
        <v>13</v>
      </c>
      <c r="B457" s="16">
        <v>40982</v>
      </c>
      <c r="C457" s="10">
        <v>2012</v>
      </c>
      <c r="D457" s="4" t="s">
        <v>15</v>
      </c>
      <c r="E457" s="10">
        <v>3</v>
      </c>
      <c r="F457" s="24">
        <v>4.2619999999999996</v>
      </c>
      <c r="G457" s="21">
        <v>7.7480624999999997E-2</v>
      </c>
      <c r="H457" s="21">
        <v>2.7018875000000001E-2</v>
      </c>
      <c r="I457" s="21">
        <v>2.8146895000000001</v>
      </c>
      <c r="J457" s="21">
        <v>5.1222999999999984E-2</v>
      </c>
      <c r="K457" s="21">
        <v>0</v>
      </c>
    </row>
    <row r="458" spans="1:11">
      <c r="A458" s="10">
        <v>11</v>
      </c>
      <c r="B458" s="16">
        <v>41016</v>
      </c>
      <c r="C458" s="10">
        <v>2012</v>
      </c>
      <c r="D458" s="4" t="s">
        <v>16</v>
      </c>
      <c r="E458" s="10">
        <v>4</v>
      </c>
      <c r="F458" s="20">
        <v>2.2309999999999999</v>
      </c>
      <c r="G458" s="21">
        <v>2.6335625000000001E-2</v>
      </c>
      <c r="H458" s="21">
        <v>0</v>
      </c>
      <c r="I458" s="21">
        <v>0.96337487499999985</v>
      </c>
      <c r="J458" s="21">
        <v>2.6317E-2</v>
      </c>
      <c r="K458" s="21">
        <v>0</v>
      </c>
    </row>
    <row r="459" spans="1:11">
      <c r="A459" s="10">
        <v>12</v>
      </c>
      <c r="B459" s="16">
        <v>41016</v>
      </c>
      <c r="C459" s="10">
        <v>2012</v>
      </c>
      <c r="D459" s="4" t="s">
        <v>16</v>
      </c>
      <c r="E459" s="10">
        <v>4</v>
      </c>
      <c r="F459" s="20">
        <v>3.3519999999999999</v>
      </c>
      <c r="G459" s="21">
        <v>3.5134625000000003E-2</v>
      </c>
      <c r="H459" s="21">
        <v>3.5607999999999994E-2</v>
      </c>
      <c r="I459" s="21">
        <v>1.5031683749999998</v>
      </c>
      <c r="J459" s="21">
        <v>2.3852499999999999E-2</v>
      </c>
      <c r="K459" s="21">
        <v>0</v>
      </c>
    </row>
    <row r="460" spans="1:11">
      <c r="A460" s="10">
        <v>13</v>
      </c>
      <c r="B460" s="16">
        <v>41016</v>
      </c>
      <c r="C460" s="10">
        <v>2012</v>
      </c>
      <c r="D460" s="4" t="s">
        <v>16</v>
      </c>
      <c r="E460" s="10">
        <v>4</v>
      </c>
      <c r="F460" s="20">
        <v>3.3849999999999998</v>
      </c>
      <c r="G460" s="21">
        <v>3.8184875E-2</v>
      </c>
      <c r="H460" s="21">
        <v>0</v>
      </c>
      <c r="I460" s="21">
        <v>1.4835867499999997</v>
      </c>
      <c r="J460" s="21">
        <v>3.0394250000000001E-2</v>
      </c>
      <c r="K460" s="21">
        <v>0</v>
      </c>
    </row>
    <row r="461" spans="1:11">
      <c r="A461" s="10">
        <v>11</v>
      </c>
      <c r="B461" s="16">
        <v>41051</v>
      </c>
      <c r="C461" s="10">
        <v>2012</v>
      </c>
      <c r="D461" s="4" t="s">
        <v>17</v>
      </c>
      <c r="E461" s="10">
        <v>5</v>
      </c>
      <c r="F461" s="20">
        <v>4.1159999999999997</v>
      </c>
      <c r="G461" s="21">
        <v>0.245240875</v>
      </c>
      <c r="H461" s="21">
        <v>0</v>
      </c>
      <c r="I461" s="21">
        <v>1.948039125</v>
      </c>
      <c r="J461" s="21">
        <v>4.5687499999999999E-2</v>
      </c>
      <c r="K461" s="21">
        <v>0</v>
      </c>
    </row>
    <row r="462" spans="1:11">
      <c r="A462" s="10">
        <v>12</v>
      </c>
      <c r="B462" s="16">
        <v>41051</v>
      </c>
      <c r="C462" s="10">
        <v>2012</v>
      </c>
      <c r="D462" s="4" t="s">
        <v>17</v>
      </c>
      <c r="E462" s="10">
        <v>5</v>
      </c>
      <c r="F462" s="20">
        <v>3.0649999999999999</v>
      </c>
      <c r="G462" s="21">
        <v>3.5334249999999998E-2</v>
      </c>
      <c r="H462" s="21">
        <v>0</v>
      </c>
      <c r="I462" s="21">
        <v>1.2835183749999999</v>
      </c>
      <c r="J462" s="21">
        <v>2.8921624999999999E-2</v>
      </c>
      <c r="K462" s="21">
        <v>0</v>
      </c>
    </row>
    <row r="463" spans="1:11">
      <c r="A463" s="10">
        <v>13</v>
      </c>
      <c r="B463" s="16">
        <v>41051</v>
      </c>
      <c r="C463" s="10">
        <v>2012</v>
      </c>
      <c r="D463" s="4" t="s">
        <v>17</v>
      </c>
      <c r="E463" s="10">
        <v>5</v>
      </c>
      <c r="F463" s="20">
        <v>3.484</v>
      </c>
      <c r="G463" s="21">
        <v>0</v>
      </c>
      <c r="H463" s="21">
        <v>0</v>
      </c>
      <c r="I463" s="21">
        <v>1.579865375</v>
      </c>
      <c r="J463" s="21">
        <v>4.0535249999999995E-2</v>
      </c>
      <c r="K463" s="21">
        <v>0</v>
      </c>
    </row>
    <row r="464" spans="1:11">
      <c r="A464" s="10">
        <v>11</v>
      </c>
      <c r="B464" s="16">
        <v>41080</v>
      </c>
      <c r="C464" s="10">
        <v>2012</v>
      </c>
      <c r="D464" s="4" t="s">
        <v>18</v>
      </c>
      <c r="E464" s="10">
        <v>6</v>
      </c>
      <c r="F464" s="20">
        <v>6.0650000000000004</v>
      </c>
      <c r="G464" s="21">
        <v>0.17775512499999999</v>
      </c>
      <c r="H464" s="21">
        <v>9.1619499999999993E-2</v>
      </c>
      <c r="I464" s="21">
        <v>2.9487294999999993</v>
      </c>
      <c r="J464" s="21">
        <v>7.1689875E-2</v>
      </c>
      <c r="K464" s="21">
        <v>0</v>
      </c>
    </row>
    <row r="465" spans="1:12">
      <c r="A465" s="10">
        <v>12</v>
      </c>
      <c r="B465" s="16">
        <v>41080</v>
      </c>
      <c r="C465" s="10">
        <v>2012</v>
      </c>
      <c r="D465" s="4" t="s">
        <v>18</v>
      </c>
      <c r="E465" s="10">
        <v>6</v>
      </c>
      <c r="F465" s="20">
        <v>7.391</v>
      </c>
      <c r="G465" s="21">
        <v>0.17740075</v>
      </c>
      <c r="H465" s="21">
        <v>0.14106712499999996</v>
      </c>
      <c r="I465" s="21">
        <v>3.4595098750000002</v>
      </c>
      <c r="J465" s="21">
        <v>8.343062499999998E-2</v>
      </c>
      <c r="K465" s="21">
        <v>0</v>
      </c>
    </row>
    <row r="466" spans="1:12">
      <c r="A466" s="10">
        <v>13</v>
      </c>
      <c r="B466" s="16">
        <v>41080</v>
      </c>
      <c r="C466" s="10">
        <v>2012</v>
      </c>
      <c r="D466" s="4" t="s">
        <v>18</v>
      </c>
      <c r="E466" s="10">
        <v>6</v>
      </c>
      <c r="F466" s="20">
        <v>3.9510000000000001</v>
      </c>
      <c r="G466" s="21">
        <v>4.9295499999999999E-2</v>
      </c>
      <c r="H466" s="21">
        <v>9.9630499999999983E-2</v>
      </c>
      <c r="I466" s="21">
        <v>1.9691268749999999</v>
      </c>
      <c r="J466" s="21">
        <v>7.5459249999999992E-2</v>
      </c>
      <c r="K466" s="21">
        <v>0</v>
      </c>
    </row>
    <row r="467" spans="1:12">
      <c r="A467" s="10">
        <v>11</v>
      </c>
      <c r="B467" s="16">
        <v>41106</v>
      </c>
      <c r="C467" s="10">
        <v>2012</v>
      </c>
      <c r="D467" s="4" t="s">
        <v>19</v>
      </c>
      <c r="E467" s="10">
        <v>7</v>
      </c>
      <c r="F467" s="20">
        <v>11.896000000000001</v>
      </c>
      <c r="G467" s="21">
        <v>0.21758912499999999</v>
      </c>
      <c r="H467" s="21">
        <v>0</v>
      </c>
      <c r="I467" s="21">
        <v>5.6289861250000008</v>
      </c>
      <c r="J467" s="21">
        <v>0.19622737500000001</v>
      </c>
      <c r="K467" s="21">
        <v>0</v>
      </c>
    </row>
    <row r="468" spans="1:12">
      <c r="A468" s="10">
        <v>12</v>
      </c>
      <c r="B468" s="16">
        <v>41106</v>
      </c>
      <c r="C468" s="10">
        <v>2012</v>
      </c>
      <c r="D468" s="4" t="s">
        <v>19</v>
      </c>
      <c r="E468" s="10">
        <v>7</v>
      </c>
      <c r="F468" s="20">
        <v>14.032999999999999</v>
      </c>
      <c r="G468" s="21">
        <v>0.228720375</v>
      </c>
      <c r="H468" s="21">
        <v>0</v>
      </c>
      <c r="I468" s="21">
        <v>6.0719256249999995</v>
      </c>
      <c r="J468" s="21">
        <v>0.24178537499999997</v>
      </c>
      <c r="K468" s="21">
        <v>0</v>
      </c>
    </row>
    <row r="469" spans="1:12">
      <c r="A469" s="10">
        <v>13</v>
      </c>
      <c r="B469" s="16">
        <v>41106</v>
      </c>
      <c r="C469" s="10">
        <v>2012</v>
      </c>
      <c r="D469" s="4" t="s">
        <v>19</v>
      </c>
      <c r="E469" s="10">
        <v>7</v>
      </c>
      <c r="F469" s="20">
        <v>17.782</v>
      </c>
      <c r="G469" s="21">
        <v>0.55870212500000005</v>
      </c>
      <c r="H469" s="21">
        <v>0</v>
      </c>
      <c r="I469" s="21">
        <v>7.5874634999999993</v>
      </c>
      <c r="J469" s="21">
        <v>0.5912488749999999</v>
      </c>
      <c r="K469" s="21">
        <v>0</v>
      </c>
    </row>
    <row r="470" spans="1:12">
      <c r="A470" s="10">
        <v>11</v>
      </c>
      <c r="B470" s="16">
        <v>41137</v>
      </c>
      <c r="C470" s="10">
        <v>2012</v>
      </c>
      <c r="D470" s="4" t="s">
        <v>20</v>
      </c>
      <c r="E470" s="10">
        <v>8</v>
      </c>
      <c r="F470" s="20">
        <v>7.7460000000000004</v>
      </c>
      <c r="G470" s="21">
        <v>0.10947012499999999</v>
      </c>
      <c r="H470" s="21">
        <v>0</v>
      </c>
      <c r="I470" s="21">
        <v>3.8873463749999995</v>
      </c>
      <c r="J470" s="21">
        <v>0.28584049999999994</v>
      </c>
      <c r="K470" s="21">
        <v>0</v>
      </c>
    </row>
    <row r="471" spans="1:12">
      <c r="A471" s="10">
        <v>12</v>
      </c>
      <c r="B471" s="16">
        <v>41137</v>
      </c>
      <c r="C471" s="10">
        <v>2012</v>
      </c>
      <c r="D471" s="4" t="s">
        <v>20</v>
      </c>
      <c r="E471" s="10">
        <v>8</v>
      </c>
      <c r="F471" s="20">
        <v>9.8290000000000006</v>
      </c>
      <c r="G471" s="21">
        <v>7.978399999999998E-2</v>
      </c>
      <c r="H471" s="21">
        <v>0</v>
      </c>
      <c r="I471" s="21">
        <v>4.8998348749999998</v>
      </c>
      <c r="J471" s="21">
        <v>0.28289587500000002</v>
      </c>
      <c r="K471" s="21">
        <v>0</v>
      </c>
    </row>
    <row r="472" spans="1:12">
      <c r="A472" s="10">
        <v>13</v>
      </c>
      <c r="B472" s="16">
        <v>41137</v>
      </c>
      <c r="C472" s="10">
        <v>2012</v>
      </c>
      <c r="D472" s="4" t="s">
        <v>20</v>
      </c>
      <c r="E472" s="10">
        <v>8</v>
      </c>
      <c r="F472" s="20">
        <v>11.077</v>
      </c>
      <c r="G472" s="21">
        <v>0.201011625</v>
      </c>
      <c r="H472" s="21">
        <v>3.976387499999999E-2</v>
      </c>
      <c r="I472" s="21">
        <v>4.7550923749999994</v>
      </c>
      <c r="J472" s="21">
        <v>0.90864149999999988</v>
      </c>
      <c r="K472" s="21">
        <v>1.3249124999999999E-2</v>
      </c>
    </row>
    <row r="473" spans="1:12">
      <c r="A473" s="10">
        <v>11</v>
      </c>
      <c r="B473" s="16">
        <v>41163</v>
      </c>
      <c r="C473" s="10">
        <v>2012</v>
      </c>
      <c r="D473" s="4" t="s">
        <v>26</v>
      </c>
      <c r="E473" s="10">
        <v>9</v>
      </c>
      <c r="F473" s="20">
        <v>17.579999999999998</v>
      </c>
      <c r="G473" s="21">
        <v>6.2420887499999989</v>
      </c>
      <c r="H473" s="21">
        <v>0</v>
      </c>
      <c r="I473" s="21">
        <v>2.6363088750000006</v>
      </c>
      <c r="J473" s="21">
        <v>0.23478850000000001</v>
      </c>
      <c r="K473" s="21">
        <v>0</v>
      </c>
    </row>
    <row r="474" spans="1:12">
      <c r="A474" s="10">
        <v>12</v>
      </c>
      <c r="B474" s="16">
        <v>41163</v>
      </c>
      <c r="C474" s="10">
        <v>2012</v>
      </c>
      <c r="D474" s="4" t="s">
        <v>26</v>
      </c>
      <c r="E474" s="10">
        <v>9</v>
      </c>
      <c r="F474" s="20">
        <v>11.577999999999999</v>
      </c>
      <c r="G474" s="21">
        <v>0.26427774999999998</v>
      </c>
      <c r="H474" s="21">
        <v>0</v>
      </c>
      <c r="I474" s="21">
        <v>5.1235724999999999</v>
      </c>
      <c r="J474" s="21">
        <v>0.15051662499999999</v>
      </c>
      <c r="K474" s="21">
        <v>0</v>
      </c>
    </row>
    <row r="475" spans="1:12">
      <c r="A475" s="10">
        <v>13</v>
      </c>
      <c r="B475" s="16">
        <v>41163</v>
      </c>
      <c r="C475" s="10">
        <v>2012</v>
      </c>
      <c r="D475" s="4" t="s">
        <v>26</v>
      </c>
      <c r="E475" s="10">
        <v>9</v>
      </c>
      <c r="F475" s="20">
        <v>11.763</v>
      </c>
      <c r="G475" s="21">
        <v>0.33641437499999993</v>
      </c>
      <c r="H475" s="21">
        <v>0</v>
      </c>
      <c r="I475" s="21">
        <v>5.2359986249999997</v>
      </c>
      <c r="J475" s="21">
        <v>0.24326074999999997</v>
      </c>
      <c r="K475" s="21">
        <v>0</v>
      </c>
    </row>
    <row r="476" spans="1:12">
      <c r="A476" s="10">
        <v>11</v>
      </c>
      <c r="B476" s="16">
        <v>41199</v>
      </c>
      <c r="C476" s="10">
        <v>2012</v>
      </c>
      <c r="D476" s="4" t="s">
        <v>22</v>
      </c>
      <c r="E476" s="10">
        <v>10</v>
      </c>
      <c r="F476" s="20">
        <v>4.9379999999999997</v>
      </c>
      <c r="G476" s="21">
        <v>0.12928187499999999</v>
      </c>
      <c r="H476" s="21">
        <v>0</v>
      </c>
      <c r="I476" s="21">
        <v>2.2856633749999999</v>
      </c>
      <c r="J476" s="21">
        <v>7.5927499999999981E-2</v>
      </c>
      <c r="K476" s="21">
        <v>0</v>
      </c>
    </row>
    <row r="477" spans="1:12">
      <c r="A477" s="10">
        <v>11</v>
      </c>
      <c r="B477" s="16">
        <v>41199</v>
      </c>
      <c r="C477" s="10">
        <v>2012</v>
      </c>
      <c r="D477" s="4" t="s">
        <v>22</v>
      </c>
      <c r="E477" s="10">
        <v>10</v>
      </c>
      <c r="F477" s="20">
        <v>4.9379999999999997</v>
      </c>
      <c r="G477" s="21">
        <v>0.19589262499999996</v>
      </c>
      <c r="H477" s="21">
        <v>0</v>
      </c>
      <c r="I477" s="21">
        <v>3.1197763749999998</v>
      </c>
      <c r="J477" s="21">
        <v>9.0154874999999995E-2</v>
      </c>
      <c r="K477" s="21">
        <v>0</v>
      </c>
      <c r="L477" t="s">
        <v>27</v>
      </c>
    </row>
    <row r="478" spans="1:12">
      <c r="A478" s="10">
        <v>12</v>
      </c>
      <c r="B478" s="16">
        <v>41199</v>
      </c>
      <c r="C478" s="10">
        <v>2012</v>
      </c>
      <c r="D478" s="4" t="s">
        <v>22</v>
      </c>
      <c r="E478" s="10">
        <v>10</v>
      </c>
      <c r="F478" s="20">
        <v>7.0069999999999997</v>
      </c>
      <c r="G478" s="21">
        <v>0.13850662499999999</v>
      </c>
      <c r="H478" s="21">
        <v>0</v>
      </c>
      <c r="I478" s="21">
        <v>3.1131591249999992</v>
      </c>
      <c r="J478" s="21">
        <v>8.6302749999999998E-2</v>
      </c>
      <c r="K478" s="21">
        <v>0</v>
      </c>
    </row>
    <row r="479" spans="1:12">
      <c r="A479" s="10">
        <v>13</v>
      </c>
      <c r="B479" s="16">
        <v>41199</v>
      </c>
      <c r="C479" s="10">
        <v>2012</v>
      </c>
      <c r="D479" s="4" t="s">
        <v>22</v>
      </c>
      <c r="E479" s="10">
        <v>10</v>
      </c>
      <c r="F479" s="20">
        <v>3.952</v>
      </c>
      <c r="G479" s="21">
        <v>0.15555174999999999</v>
      </c>
      <c r="H479" s="21">
        <v>0</v>
      </c>
      <c r="I479" s="21">
        <v>1.3673358750000002</v>
      </c>
      <c r="J479" s="21">
        <v>7.9515374999999999E-2</v>
      </c>
      <c r="K479" s="21">
        <v>0</v>
      </c>
    </row>
    <row r="480" spans="1:12">
      <c r="A480" s="10">
        <v>11</v>
      </c>
      <c r="B480" s="16">
        <v>41225</v>
      </c>
      <c r="C480" s="10">
        <v>2012</v>
      </c>
      <c r="D480" s="4" t="s">
        <v>23</v>
      </c>
      <c r="E480" s="10">
        <v>11</v>
      </c>
      <c r="F480" s="20">
        <v>3.0910000000000002</v>
      </c>
      <c r="G480" s="21">
        <v>0</v>
      </c>
      <c r="H480" s="21">
        <v>0</v>
      </c>
      <c r="I480" s="21">
        <v>1.0666119999999999</v>
      </c>
      <c r="J480" s="21">
        <v>2.2144E-2</v>
      </c>
      <c r="K480" s="21">
        <v>0</v>
      </c>
    </row>
    <row r="481" spans="1:12">
      <c r="A481" s="10">
        <v>12</v>
      </c>
      <c r="B481" s="16">
        <v>41225</v>
      </c>
      <c r="C481" s="10">
        <v>2012</v>
      </c>
      <c r="D481" s="4" t="s">
        <v>23</v>
      </c>
      <c r="E481" s="10">
        <v>11</v>
      </c>
      <c r="F481" s="20">
        <v>2.972</v>
      </c>
      <c r="G481" s="21">
        <v>0</v>
      </c>
      <c r="H481" s="21">
        <v>0</v>
      </c>
      <c r="I481" s="21">
        <v>1.0841155</v>
      </c>
      <c r="J481" s="21">
        <v>1.803975E-2</v>
      </c>
      <c r="K481" s="21">
        <v>0</v>
      </c>
    </row>
    <row r="482" spans="1:12">
      <c r="A482" s="10">
        <v>13</v>
      </c>
      <c r="B482" s="16">
        <v>41225</v>
      </c>
      <c r="C482" s="10">
        <v>2012</v>
      </c>
      <c r="D482" s="4" t="s">
        <v>23</v>
      </c>
      <c r="E482" s="10">
        <v>11</v>
      </c>
      <c r="F482" s="20">
        <v>3.5569999999999999</v>
      </c>
      <c r="G482" s="21">
        <v>0</v>
      </c>
      <c r="H482" s="21">
        <v>0</v>
      </c>
      <c r="I482" s="21">
        <v>0.98464987500000001</v>
      </c>
      <c r="J482" s="21">
        <v>2.2598875000000001E-2</v>
      </c>
      <c r="K482" s="21">
        <v>0</v>
      </c>
    </row>
    <row r="483" spans="1:12">
      <c r="A483" s="10">
        <v>11</v>
      </c>
      <c r="B483" s="16">
        <v>41255</v>
      </c>
      <c r="C483" s="10">
        <v>2012</v>
      </c>
      <c r="D483" s="4" t="s">
        <v>24</v>
      </c>
      <c r="E483" s="10">
        <v>12</v>
      </c>
      <c r="F483" s="20">
        <v>4.9489999999999998</v>
      </c>
      <c r="G483" s="21">
        <v>0</v>
      </c>
      <c r="H483" s="21">
        <v>0</v>
      </c>
      <c r="I483" s="21">
        <v>2.3572837500000001</v>
      </c>
      <c r="J483" s="21">
        <v>2.8817625000000003E-2</v>
      </c>
      <c r="K483" s="21">
        <v>0</v>
      </c>
    </row>
    <row r="484" spans="1:12">
      <c r="A484" s="10">
        <v>12</v>
      </c>
      <c r="B484" s="16">
        <v>41255</v>
      </c>
      <c r="C484" s="10">
        <v>2012</v>
      </c>
      <c r="D484" s="4" t="s">
        <v>24</v>
      </c>
      <c r="E484" s="10">
        <v>12</v>
      </c>
      <c r="F484" s="20">
        <v>3.1360000000000001</v>
      </c>
      <c r="G484" s="21">
        <v>2.6516999999999999E-2</v>
      </c>
      <c r="H484" s="21">
        <v>9.1177499999999991E-3</v>
      </c>
      <c r="I484" s="21">
        <v>1.3751918750000003</v>
      </c>
      <c r="J484" s="21">
        <v>1.0439250000000001E-2</v>
      </c>
      <c r="K484" s="21">
        <v>0</v>
      </c>
    </row>
    <row r="485" spans="1:12">
      <c r="A485" s="10">
        <v>12</v>
      </c>
      <c r="B485" s="16">
        <v>41255</v>
      </c>
      <c r="C485" s="10">
        <v>2012</v>
      </c>
      <c r="D485" s="4" t="s">
        <v>24</v>
      </c>
      <c r="E485" s="10">
        <v>12</v>
      </c>
      <c r="F485" s="20">
        <v>3.1360000000000001</v>
      </c>
      <c r="G485" s="21">
        <v>2.9669875000000002E-2</v>
      </c>
      <c r="H485" s="21">
        <v>5.728375E-3</v>
      </c>
      <c r="I485" s="21">
        <v>1.3254917499999999</v>
      </c>
      <c r="J485" s="21">
        <v>1.878175E-2</v>
      </c>
      <c r="K485" s="21">
        <v>0</v>
      </c>
      <c r="L485" t="s">
        <v>77</v>
      </c>
    </row>
    <row r="486" spans="1:12">
      <c r="A486" s="10">
        <v>13</v>
      </c>
      <c r="B486" s="16">
        <v>41255</v>
      </c>
      <c r="C486" s="10">
        <v>2012</v>
      </c>
      <c r="D486" s="4" t="s">
        <v>24</v>
      </c>
      <c r="E486" s="10">
        <v>12</v>
      </c>
      <c r="F486" s="20">
        <v>3.4969999999999999</v>
      </c>
      <c r="G486" s="21">
        <v>4.8518999999999993E-2</v>
      </c>
      <c r="H486" s="21">
        <v>0</v>
      </c>
      <c r="I486" s="21">
        <v>1.4116056250000002</v>
      </c>
      <c r="J486" s="21">
        <v>0</v>
      </c>
      <c r="K486" s="21">
        <v>0</v>
      </c>
    </row>
    <row r="487" spans="1:12">
      <c r="A487" s="10">
        <v>11</v>
      </c>
      <c r="B487" s="16">
        <v>41297</v>
      </c>
      <c r="C487" s="10">
        <v>2013</v>
      </c>
      <c r="D487" s="4" t="s">
        <v>25</v>
      </c>
      <c r="E487" s="10">
        <v>1</v>
      </c>
      <c r="F487" s="20">
        <v>4.6619999999999999</v>
      </c>
      <c r="G487" s="21">
        <v>8.4186874999999994E-2</v>
      </c>
      <c r="H487" s="21">
        <v>0</v>
      </c>
      <c r="I487" s="21">
        <v>2.0398047500000001</v>
      </c>
      <c r="J487" s="21">
        <v>2.4773999999999997E-2</v>
      </c>
      <c r="K487" s="21">
        <v>0</v>
      </c>
    </row>
    <row r="488" spans="1:12">
      <c r="A488" s="10">
        <v>12</v>
      </c>
      <c r="B488" s="16">
        <v>41297</v>
      </c>
      <c r="C488" s="10">
        <v>2013</v>
      </c>
      <c r="D488" s="4" t="s">
        <v>25</v>
      </c>
      <c r="E488" s="10">
        <v>1</v>
      </c>
      <c r="F488" s="20">
        <v>2.7789999999999999</v>
      </c>
      <c r="G488" s="21">
        <v>9.9780375000000018E-2</v>
      </c>
      <c r="H488" s="21">
        <v>0</v>
      </c>
      <c r="I488" s="21">
        <v>1.0251213749999997</v>
      </c>
      <c r="J488" s="21">
        <v>0</v>
      </c>
      <c r="K488" s="21">
        <v>0</v>
      </c>
    </row>
    <row r="489" spans="1:12">
      <c r="A489" s="10">
        <v>13</v>
      </c>
      <c r="B489" s="16">
        <v>41297</v>
      </c>
      <c r="C489" s="10">
        <v>2013</v>
      </c>
      <c r="D489" s="4" t="s">
        <v>25</v>
      </c>
      <c r="E489" s="10">
        <v>1</v>
      </c>
      <c r="F489" s="20">
        <v>5.9459999999999997</v>
      </c>
      <c r="G489" s="21">
        <v>0.25616124999999995</v>
      </c>
      <c r="H489" s="21">
        <v>0</v>
      </c>
      <c r="I489" s="21">
        <v>2.3527458749999997</v>
      </c>
      <c r="J489" s="21">
        <v>0</v>
      </c>
      <c r="K489" s="21">
        <v>0</v>
      </c>
    </row>
    <row r="490" spans="1:12">
      <c r="A490" s="10">
        <v>11</v>
      </c>
      <c r="B490" s="16">
        <v>41319</v>
      </c>
      <c r="C490" s="10">
        <v>2013</v>
      </c>
      <c r="D490" s="4" t="s">
        <v>14</v>
      </c>
      <c r="E490" s="10">
        <v>2</v>
      </c>
      <c r="F490" s="25">
        <v>7.484</v>
      </c>
      <c r="G490" s="21">
        <v>0.6740044999999999</v>
      </c>
      <c r="H490" s="21">
        <v>0</v>
      </c>
      <c r="I490" s="21">
        <v>3.0978424999999996</v>
      </c>
      <c r="J490" s="21">
        <v>2.0886375000000002E-2</v>
      </c>
      <c r="K490" s="21">
        <v>0</v>
      </c>
    </row>
    <row r="491" spans="1:12">
      <c r="A491" s="10">
        <v>12</v>
      </c>
      <c r="B491" s="16">
        <v>41319</v>
      </c>
      <c r="C491" s="10">
        <v>2013</v>
      </c>
      <c r="D491" s="4" t="s">
        <v>14</v>
      </c>
      <c r="E491" s="10">
        <v>2</v>
      </c>
      <c r="F491" s="25">
        <v>4.5819999999999999</v>
      </c>
      <c r="G491" s="21">
        <v>0.32861562499999997</v>
      </c>
      <c r="H491" s="21">
        <v>0</v>
      </c>
      <c r="I491" s="21">
        <v>1.9233933750000001</v>
      </c>
      <c r="J491" s="21">
        <v>1.8578500000000001E-2</v>
      </c>
      <c r="K491" s="21">
        <v>0</v>
      </c>
    </row>
    <row r="492" spans="1:12">
      <c r="A492" s="10">
        <v>13</v>
      </c>
      <c r="B492" s="16">
        <v>41319</v>
      </c>
      <c r="C492" s="10">
        <v>2013</v>
      </c>
      <c r="D492" s="4" t="s">
        <v>14</v>
      </c>
      <c r="E492" s="10">
        <v>2</v>
      </c>
      <c r="F492" s="25">
        <v>1.8879999999999999</v>
      </c>
      <c r="G492" s="21">
        <v>7.4541499999999997E-2</v>
      </c>
      <c r="H492" s="21">
        <v>0</v>
      </c>
      <c r="I492" s="21">
        <v>0.71894349999999985</v>
      </c>
      <c r="J492" s="21">
        <v>0</v>
      </c>
      <c r="K492" s="21">
        <v>0</v>
      </c>
    </row>
    <row r="493" spans="1:12">
      <c r="A493" s="10">
        <v>11</v>
      </c>
      <c r="B493" s="16">
        <v>41346</v>
      </c>
      <c r="C493" s="10">
        <v>2013</v>
      </c>
      <c r="D493" s="4" t="s">
        <v>15</v>
      </c>
      <c r="E493" s="10">
        <v>3</v>
      </c>
      <c r="F493" s="25">
        <v>13.848000000000001</v>
      </c>
      <c r="G493" s="21">
        <v>0.30542249999999999</v>
      </c>
      <c r="H493" s="21">
        <v>0</v>
      </c>
      <c r="I493" s="21">
        <v>7.2858632500000002</v>
      </c>
      <c r="J493" s="21">
        <v>6.5586999999999993E-2</v>
      </c>
      <c r="K493" s="21">
        <v>0</v>
      </c>
    </row>
    <row r="494" spans="1:12">
      <c r="A494" s="10">
        <v>12</v>
      </c>
      <c r="B494" s="16">
        <v>41346</v>
      </c>
      <c r="C494" s="10">
        <v>2013</v>
      </c>
      <c r="D494" s="4" t="s">
        <v>15</v>
      </c>
      <c r="E494" s="10">
        <v>3</v>
      </c>
      <c r="F494" s="25">
        <v>9.6890000000000001</v>
      </c>
      <c r="G494" s="21">
        <v>0.1077465</v>
      </c>
      <c r="H494" s="21">
        <v>0</v>
      </c>
      <c r="I494" s="21">
        <v>5.6795802499999999</v>
      </c>
      <c r="J494" s="21">
        <v>3.9624749999999993E-2</v>
      </c>
      <c r="K494" s="21">
        <v>0</v>
      </c>
    </row>
    <row r="495" spans="1:12">
      <c r="A495" s="10">
        <v>13</v>
      </c>
      <c r="B495" s="16">
        <v>41346</v>
      </c>
      <c r="C495" s="10">
        <v>2013</v>
      </c>
      <c r="D495" s="4" t="s">
        <v>15</v>
      </c>
      <c r="E495" s="10">
        <v>3</v>
      </c>
      <c r="F495" s="25">
        <v>5.9370000000000003</v>
      </c>
      <c r="G495" s="21">
        <v>6.590625E-2</v>
      </c>
      <c r="H495" s="21">
        <v>0</v>
      </c>
      <c r="I495" s="21">
        <v>3.3197887499999994</v>
      </c>
      <c r="J495" s="21">
        <v>4.4920000000000002E-2</v>
      </c>
      <c r="K495" s="21">
        <v>0</v>
      </c>
    </row>
    <row r="496" spans="1:12">
      <c r="A496" s="10">
        <v>11</v>
      </c>
      <c r="B496" s="16">
        <v>41380</v>
      </c>
      <c r="C496" s="10">
        <v>2013</v>
      </c>
      <c r="D496" s="4" t="s">
        <v>16</v>
      </c>
      <c r="E496" s="10">
        <v>4</v>
      </c>
      <c r="F496" s="26">
        <v>1.5489999999999999</v>
      </c>
      <c r="G496" s="21">
        <v>0</v>
      </c>
      <c r="H496" s="21">
        <v>0</v>
      </c>
      <c r="I496" s="21">
        <v>0.6352351249999999</v>
      </c>
      <c r="J496" s="21">
        <v>1.0700749999999998E-2</v>
      </c>
      <c r="K496" s="21">
        <v>0</v>
      </c>
    </row>
    <row r="497" spans="1:12">
      <c r="A497" s="10">
        <v>12</v>
      </c>
      <c r="B497" s="16">
        <v>41380</v>
      </c>
      <c r="C497" s="10">
        <v>2013</v>
      </c>
      <c r="D497" s="4" t="s">
        <v>16</v>
      </c>
      <c r="E497" s="10">
        <v>4</v>
      </c>
      <c r="F497" s="26">
        <v>2.6190000000000002</v>
      </c>
      <c r="G497" s="21">
        <v>0</v>
      </c>
      <c r="H497" s="21">
        <v>0</v>
      </c>
      <c r="I497" s="21">
        <v>1.34654775</v>
      </c>
      <c r="J497" s="21">
        <v>1.6683124999999997E-2</v>
      </c>
      <c r="K497" s="21">
        <v>0</v>
      </c>
    </row>
    <row r="498" spans="1:12">
      <c r="A498" s="10">
        <v>13</v>
      </c>
      <c r="B498" s="16">
        <v>41380</v>
      </c>
      <c r="C498" s="10">
        <v>2013</v>
      </c>
      <c r="D498" s="4" t="s">
        <v>16</v>
      </c>
      <c r="E498" s="10">
        <v>4</v>
      </c>
      <c r="F498" s="26">
        <v>2.4119999999999999</v>
      </c>
      <c r="G498" s="21">
        <v>0</v>
      </c>
      <c r="H498" s="21">
        <v>0</v>
      </c>
      <c r="I498" s="21">
        <v>1.3297477499999999</v>
      </c>
      <c r="J498" s="21">
        <v>3.545874999999999E-2</v>
      </c>
      <c r="K498" s="21">
        <v>0</v>
      </c>
    </row>
    <row r="499" spans="1:12">
      <c r="A499" s="10">
        <v>11</v>
      </c>
      <c r="B499" s="16">
        <v>41407</v>
      </c>
      <c r="C499" s="10">
        <v>2013</v>
      </c>
      <c r="D499" s="4" t="s">
        <v>17</v>
      </c>
      <c r="E499" s="10">
        <v>5</v>
      </c>
      <c r="F499" s="26">
        <v>2.3940000000000001</v>
      </c>
      <c r="G499" s="21">
        <v>3.300575E-2</v>
      </c>
      <c r="H499" s="21">
        <v>0</v>
      </c>
      <c r="I499" s="21">
        <v>1.0136084999999997</v>
      </c>
      <c r="J499" s="21">
        <v>2.2493249999999999E-2</v>
      </c>
      <c r="K499" s="21">
        <v>0</v>
      </c>
    </row>
    <row r="500" spans="1:12">
      <c r="A500" s="10">
        <v>12</v>
      </c>
      <c r="B500" s="16">
        <v>41407</v>
      </c>
      <c r="C500" s="10">
        <v>2013</v>
      </c>
      <c r="D500" s="4" t="s">
        <v>17</v>
      </c>
      <c r="E500" s="10">
        <v>5</v>
      </c>
      <c r="F500" s="26">
        <v>2.3199999999999998</v>
      </c>
      <c r="G500" s="21">
        <v>3.9878375000000001E-2</v>
      </c>
      <c r="H500" s="21">
        <v>0</v>
      </c>
      <c r="I500" s="21">
        <v>0.73509674999999974</v>
      </c>
      <c r="J500" s="21">
        <v>1.4611874999999998E-2</v>
      </c>
      <c r="K500" s="21">
        <v>0</v>
      </c>
    </row>
    <row r="501" spans="1:12">
      <c r="A501" s="10">
        <v>13</v>
      </c>
      <c r="B501" s="16">
        <v>41407</v>
      </c>
      <c r="C501" s="10">
        <v>2013</v>
      </c>
      <c r="D501" s="4" t="s">
        <v>17</v>
      </c>
      <c r="E501" s="10">
        <v>5</v>
      </c>
      <c r="F501" s="26">
        <v>5.3440000000000003</v>
      </c>
      <c r="G501" s="21">
        <v>4.5995374999999998E-2</v>
      </c>
      <c r="H501" s="21">
        <v>0</v>
      </c>
      <c r="I501" s="21">
        <v>1.8850132499999999</v>
      </c>
      <c r="J501" s="21">
        <v>2.3553624999999998E-2</v>
      </c>
      <c r="K501" s="21">
        <v>0</v>
      </c>
    </row>
    <row r="502" spans="1:12">
      <c r="A502" s="10">
        <v>11</v>
      </c>
      <c r="B502" s="16">
        <v>41437</v>
      </c>
      <c r="C502" s="10">
        <v>2013</v>
      </c>
      <c r="D502" s="4" t="s">
        <v>18</v>
      </c>
      <c r="E502" s="10">
        <v>6</v>
      </c>
      <c r="F502" s="26">
        <v>5.2050000000000001</v>
      </c>
      <c r="G502" s="21">
        <v>8.9013375000000006E-2</v>
      </c>
      <c r="H502" s="21">
        <v>0</v>
      </c>
      <c r="I502" s="21">
        <v>2.2578070000000001</v>
      </c>
      <c r="J502" s="21">
        <v>5.219675E-2</v>
      </c>
      <c r="K502" s="21">
        <v>0</v>
      </c>
    </row>
    <row r="503" spans="1:12">
      <c r="A503" s="10">
        <v>12</v>
      </c>
      <c r="B503" s="16">
        <v>41437</v>
      </c>
      <c r="C503" s="10">
        <v>2013</v>
      </c>
      <c r="D503" s="4" t="s">
        <v>18</v>
      </c>
      <c r="E503" s="10">
        <v>6</v>
      </c>
      <c r="F503" s="26">
        <v>8.9550000000000001</v>
      </c>
      <c r="G503" s="21">
        <v>0.10504349999999998</v>
      </c>
      <c r="H503" s="21">
        <v>0</v>
      </c>
      <c r="I503" s="21">
        <v>3.8635747499999993</v>
      </c>
      <c r="J503" s="21">
        <v>7.2931124999999999E-2</v>
      </c>
      <c r="K503" s="21">
        <v>0</v>
      </c>
    </row>
    <row r="504" spans="1:12">
      <c r="A504" s="10">
        <v>13</v>
      </c>
      <c r="B504" s="16">
        <v>41437</v>
      </c>
      <c r="C504" s="10">
        <v>2013</v>
      </c>
      <c r="D504" s="4" t="s">
        <v>18</v>
      </c>
      <c r="E504" s="10">
        <v>6</v>
      </c>
      <c r="F504" s="26">
        <v>9.2710000000000008</v>
      </c>
      <c r="G504" s="21">
        <v>0.128155875</v>
      </c>
      <c r="H504" s="21">
        <v>0</v>
      </c>
      <c r="I504" s="21">
        <v>4.2085555000000001</v>
      </c>
      <c r="J504" s="21">
        <v>8.0669999999999992E-2</v>
      </c>
      <c r="K504" s="21">
        <v>0</v>
      </c>
    </row>
    <row r="505" spans="1:12">
      <c r="A505" s="10">
        <v>11</v>
      </c>
      <c r="B505" s="16">
        <v>41470</v>
      </c>
      <c r="C505" s="10">
        <v>2013</v>
      </c>
      <c r="D505" s="4" t="s">
        <v>19</v>
      </c>
      <c r="E505" s="10">
        <v>7</v>
      </c>
      <c r="F505" s="26">
        <v>8.0090000000000003</v>
      </c>
      <c r="G505" s="21">
        <v>0.26799774999999998</v>
      </c>
      <c r="H505" s="21">
        <v>0</v>
      </c>
      <c r="I505" s="21">
        <v>3.1410287500000003</v>
      </c>
      <c r="J505" s="21">
        <v>8.5765249999999987E-2</v>
      </c>
      <c r="K505" s="21">
        <v>0</v>
      </c>
    </row>
    <row r="506" spans="1:12">
      <c r="A506" s="10">
        <v>12</v>
      </c>
      <c r="B506" s="16">
        <v>41470</v>
      </c>
      <c r="C506" s="10">
        <v>2013</v>
      </c>
      <c r="D506" s="4" t="s">
        <v>19</v>
      </c>
      <c r="E506" s="10">
        <v>7</v>
      </c>
      <c r="F506" s="26">
        <v>14.608000000000001</v>
      </c>
      <c r="G506" s="21">
        <v>0.30088987499999997</v>
      </c>
      <c r="H506" s="21">
        <v>0</v>
      </c>
      <c r="I506" s="21">
        <v>6.78425425</v>
      </c>
      <c r="J506" s="21">
        <v>0.10199137499999998</v>
      </c>
      <c r="K506" s="21">
        <v>0</v>
      </c>
    </row>
    <row r="507" spans="1:12">
      <c r="A507" s="10">
        <v>13</v>
      </c>
      <c r="B507" s="16">
        <v>41470</v>
      </c>
      <c r="C507" s="10">
        <v>2013</v>
      </c>
      <c r="D507" s="4" t="s">
        <v>19</v>
      </c>
      <c r="E507" s="10">
        <v>7</v>
      </c>
      <c r="F507" s="26">
        <v>14.583</v>
      </c>
      <c r="G507" s="21">
        <v>0.38650437499999996</v>
      </c>
      <c r="H507" s="21">
        <v>0</v>
      </c>
      <c r="I507" s="21">
        <v>7.0651188749999978</v>
      </c>
      <c r="J507" s="21">
        <v>0.116158125</v>
      </c>
      <c r="K507" s="21">
        <v>0</v>
      </c>
    </row>
    <row r="508" spans="1:12">
      <c r="A508" s="10">
        <v>11</v>
      </c>
      <c r="B508" s="16">
        <v>41498</v>
      </c>
      <c r="C508" s="10">
        <v>2013</v>
      </c>
      <c r="D508" s="4" t="s">
        <v>20</v>
      </c>
      <c r="E508" s="10">
        <v>8</v>
      </c>
      <c r="F508" s="26">
        <v>7.4829999999999997</v>
      </c>
      <c r="G508" s="21">
        <v>0.28127637500000002</v>
      </c>
      <c r="H508" s="21">
        <v>0</v>
      </c>
      <c r="I508" s="21">
        <v>3.2057807500000002</v>
      </c>
      <c r="J508" s="21">
        <v>0.16374674999999997</v>
      </c>
      <c r="K508" s="21">
        <v>0</v>
      </c>
    </row>
    <row r="509" spans="1:12">
      <c r="A509" s="10">
        <v>11</v>
      </c>
      <c r="B509" s="16">
        <v>41498</v>
      </c>
      <c r="C509" s="10">
        <v>2013</v>
      </c>
      <c r="D509" s="4" t="s">
        <v>20</v>
      </c>
      <c r="E509" s="10">
        <v>8</v>
      </c>
      <c r="F509" s="26">
        <v>7.4829999999999997</v>
      </c>
      <c r="G509" s="21">
        <v>0.24466137499999999</v>
      </c>
      <c r="H509" s="21">
        <v>0</v>
      </c>
      <c r="I509" s="21">
        <v>3.6431007500000003</v>
      </c>
      <c r="J509" s="21">
        <v>0.18812674999999998</v>
      </c>
      <c r="K509" s="21">
        <v>0</v>
      </c>
      <c r="L509" t="s">
        <v>27</v>
      </c>
    </row>
    <row r="510" spans="1:12">
      <c r="A510" s="10">
        <v>12</v>
      </c>
      <c r="B510" s="16">
        <v>41498</v>
      </c>
      <c r="C510" s="10">
        <v>2013</v>
      </c>
      <c r="D510" s="4" t="s">
        <v>20</v>
      </c>
      <c r="E510" s="10">
        <v>8</v>
      </c>
      <c r="F510" s="26">
        <v>11.888</v>
      </c>
      <c r="G510" s="21">
        <v>0.32197499999999996</v>
      </c>
      <c r="H510" s="21">
        <v>0</v>
      </c>
      <c r="I510" s="21">
        <v>5.0694468749999997</v>
      </c>
      <c r="J510" s="21">
        <v>0.27216425</v>
      </c>
      <c r="K510" s="21">
        <v>0</v>
      </c>
    </row>
    <row r="511" spans="1:12">
      <c r="A511" s="10">
        <v>13</v>
      </c>
      <c r="B511" s="16">
        <v>41498</v>
      </c>
      <c r="C511" s="10">
        <v>2013</v>
      </c>
      <c r="D511" s="4" t="s">
        <v>20</v>
      </c>
      <c r="E511" s="10">
        <v>8</v>
      </c>
      <c r="F511" s="26">
        <v>14.917999999999999</v>
      </c>
      <c r="G511" s="21">
        <v>0.90310837500000007</v>
      </c>
      <c r="H511" s="21">
        <v>0</v>
      </c>
      <c r="I511" s="21">
        <v>4.9213251250000001</v>
      </c>
      <c r="J511" s="21">
        <v>0.67615862500000012</v>
      </c>
      <c r="K511" s="21">
        <v>0</v>
      </c>
    </row>
    <row r="512" spans="1:12">
      <c r="A512" s="10">
        <v>11</v>
      </c>
      <c r="B512" s="16">
        <v>41535</v>
      </c>
      <c r="C512" s="10">
        <v>2013</v>
      </c>
      <c r="D512" s="4" t="s">
        <v>26</v>
      </c>
      <c r="E512" s="10">
        <v>9</v>
      </c>
      <c r="F512" s="26">
        <v>8.3040000000000003</v>
      </c>
      <c r="G512" s="21">
        <v>0.20773874999999997</v>
      </c>
      <c r="H512" s="21">
        <v>0.17777499999999996</v>
      </c>
      <c r="I512" s="21">
        <v>4.7984283750000003</v>
      </c>
      <c r="J512" s="21">
        <v>0.136539875</v>
      </c>
      <c r="K512" s="21">
        <v>0</v>
      </c>
    </row>
    <row r="513" spans="1:12">
      <c r="A513" s="10">
        <v>12</v>
      </c>
      <c r="B513" s="16">
        <v>41535</v>
      </c>
      <c r="C513" s="10">
        <v>2013</v>
      </c>
      <c r="D513" s="4" t="s">
        <v>26</v>
      </c>
      <c r="E513" s="10">
        <v>9</v>
      </c>
      <c r="F513" s="26">
        <v>8.327</v>
      </c>
      <c r="G513" s="21">
        <v>6.4568000000000014E-2</v>
      </c>
      <c r="H513" s="21">
        <v>0.30158425</v>
      </c>
      <c r="I513" s="21">
        <v>4.704803375</v>
      </c>
      <c r="J513" s="21">
        <v>0.25178099999999998</v>
      </c>
      <c r="K513" s="21">
        <v>0</v>
      </c>
    </row>
    <row r="514" spans="1:12">
      <c r="A514" s="10">
        <v>12</v>
      </c>
      <c r="B514" s="16">
        <v>41535</v>
      </c>
      <c r="C514" s="10">
        <v>2013</v>
      </c>
      <c r="D514" s="4" t="s">
        <v>26</v>
      </c>
      <c r="E514" s="10">
        <v>9</v>
      </c>
      <c r="F514" s="26">
        <v>8.327</v>
      </c>
      <c r="G514" s="21">
        <v>6.3570749999999981E-2</v>
      </c>
      <c r="H514" s="21">
        <v>0.29666724999999999</v>
      </c>
      <c r="I514" s="21">
        <v>4.5755748749999992</v>
      </c>
      <c r="J514" s="21">
        <v>0.25293937500000002</v>
      </c>
      <c r="K514" s="21">
        <v>0</v>
      </c>
      <c r="L514" t="s">
        <v>27</v>
      </c>
    </row>
    <row r="515" spans="1:12">
      <c r="A515" s="10">
        <v>13</v>
      </c>
      <c r="B515" s="16">
        <v>41535</v>
      </c>
      <c r="C515" s="10">
        <v>2013</v>
      </c>
      <c r="D515" s="4" t="s">
        <v>26</v>
      </c>
      <c r="E515" s="10">
        <v>9</v>
      </c>
      <c r="F515" s="26">
        <v>10.843999999999999</v>
      </c>
      <c r="G515" s="21">
        <v>6.9035374999999996E-2</v>
      </c>
      <c r="H515" s="21">
        <v>0.63232975000000002</v>
      </c>
      <c r="I515" s="21">
        <v>6.1010731249999992</v>
      </c>
      <c r="J515" s="21">
        <v>0.45869712499999993</v>
      </c>
      <c r="K515" s="21">
        <v>0</v>
      </c>
    </row>
    <row r="516" spans="1:12">
      <c r="A516" s="10">
        <v>11</v>
      </c>
      <c r="B516" s="16">
        <v>406810</v>
      </c>
      <c r="C516" s="10">
        <v>2013</v>
      </c>
      <c r="D516" s="4" t="s">
        <v>22</v>
      </c>
      <c r="E516" s="10">
        <v>10</v>
      </c>
      <c r="F516" s="20">
        <v>4.2169999999999996</v>
      </c>
      <c r="G516" s="21">
        <v>8.8088374999999997E-2</v>
      </c>
      <c r="H516" s="21">
        <v>0</v>
      </c>
      <c r="I516" s="21">
        <v>1.5455151249999999</v>
      </c>
      <c r="J516" s="21">
        <v>3.3778749999999996E-2</v>
      </c>
      <c r="K516" s="21">
        <v>0</v>
      </c>
    </row>
    <row r="517" spans="1:12">
      <c r="A517" s="10">
        <v>12</v>
      </c>
      <c r="B517" s="16">
        <v>406810</v>
      </c>
      <c r="C517" s="10">
        <v>2013</v>
      </c>
      <c r="D517" s="4" t="s">
        <v>22</v>
      </c>
      <c r="E517" s="10">
        <v>10</v>
      </c>
      <c r="F517" s="20">
        <v>3.31</v>
      </c>
      <c r="G517" s="21">
        <v>7.1377874999999993E-2</v>
      </c>
      <c r="H517" s="21">
        <v>0</v>
      </c>
      <c r="I517" s="21">
        <v>1.049712</v>
      </c>
      <c r="J517" s="21">
        <v>3.5026250000000002E-2</v>
      </c>
      <c r="K517" s="21">
        <v>0</v>
      </c>
    </row>
    <row r="518" spans="1:12">
      <c r="A518" s="10">
        <v>13</v>
      </c>
      <c r="B518" s="16">
        <v>406810</v>
      </c>
      <c r="C518" s="10">
        <v>2013</v>
      </c>
      <c r="D518" s="4" t="s">
        <v>22</v>
      </c>
      <c r="E518" s="10">
        <v>10</v>
      </c>
      <c r="F518" s="20">
        <v>2.3879999999999999</v>
      </c>
      <c r="G518" s="21">
        <v>0</v>
      </c>
      <c r="H518" s="21">
        <v>0</v>
      </c>
      <c r="I518" s="21">
        <v>0.87238512499999987</v>
      </c>
      <c r="J518" s="21">
        <v>3.3435125000000003E-2</v>
      </c>
      <c r="K518" s="21">
        <v>0</v>
      </c>
    </row>
    <row r="519" spans="1:12">
      <c r="A519" s="10">
        <v>11</v>
      </c>
      <c r="B519" s="16">
        <v>41599</v>
      </c>
      <c r="C519" s="10">
        <v>2013</v>
      </c>
      <c r="D519" s="4" t="s">
        <v>23</v>
      </c>
      <c r="E519" s="10">
        <v>11</v>
      </c>
      <c r="F519" s="20">
        <v>7.8630000000000004</v>
      </c>
      <c r="G519" s="21">
        <v>0.18172362499999997</v>
      </c>
      <c r="H519" s="21">
        <v>7.3660875000000001E-2</v>
      </c>
      <c r="I519" s="21">
        <v>3.8870957499999994</v>
      </c>
      <c r="J519" s="21">
        <v>4.8633875E-2</v>
      </c>
      <c r="K519" s="21">
        <v>3.0991375000000002E-2</v>
      </c>
    </row>
    <row r="520" spans="1:12">
      <c r="A520" s="10">
        <v>12</v>
      </c>
      <c r="B520" s="16">
        <v>41599</v>
      </c>
      <c r="C520" s="10">
        <v>2013</v>
      </c>
      <c r="D520" s="4" t="s">
        <v>23</v>
      </c>
      <c r="E520" s="10">
        <v>11</v>
      </c>
      <c r="F520" s="20">
        <v>2.5579999999999998</v>
      </c>
      <c r="G520" s="21">
        <v>4.4638500000000005E-2</v>
      </c>
      <c r="H520" s="21">
        <v>0</v>
      </c>
      <c r="I520" s="21">
        <v>1.1724973750000001</v>
      </c>
      <c r="J520" s="21">
        <v>1.4688375E-2</v>
      </c>
      <c r="K520" s="21">
        <v>0</v>
      </c>
    </row>
    <row r="521" spans="1:12">
      <c r="A521" s="10">
        <v>13</v>
      </c>
      <c r="B521" s="16">
        <v>41599</v>
      </c>
      <c r="C521" s="10">
        <v>2013</v>
      </c>
      <c r="D521" s="4" t="s">
        <v>23</v>
      </c>
      <c r="E521" s="10">
        <v>11</v>
      </c>
      <c r="F521" s="20">
        <v>3.8180000000000001</v>
      </c>
      <c r="G521" s="21">
        <v>7.666187499999999E-2</v>
      </c>
      <c r="H521" s="21">
        <v>0</v>
      </c>
      <c r="I521" s="21">
        <v>1.7299306250000002</v>
      </c>
      <c r="J521" s="21">
        <v>2.4298750000000001E-2</v>
      </c>
      <c r="K521" s="21">
        <v>0</v>
      </c>
    </row>
    <row r="522" spans="1:12">
      <c r="A522" s="10">
        <v>11</v>
      </c>
      <c r="B522" s="16">
        <v>41627</v>
      </c>
      <c r="C522" s="10">
        <v>2013</v>
      </c>
      <c r="D522" s="4" t="s">
        <v>24</v>
      </c>
      <c r="E522" s="10">
        <v>12</v>
      </c>
      <c r="F522" s="20">
        <v>6.5869999999999997</v>
      </c>
      <c r="G522" s="21">
        <v>8.2325874999999993E-2</v>
      </c>
      <c r="H522" s="21">
        <v>0</v>
      </c>
      <c r="I522" s="21">
        <v>3.2153261249999998</v>
      </c>
      <c r="J522" s="21">
        <v>2.8375124999999998E-2</v>
      </c>
      <c r="K522" s="21">
        <v>0</v>
      </c>
    </row>
    <row r="523" spans="1:12">
      <c r="A523" s="10">
        <v>12</v>
      </c>
      <c r="B523" s="16">
        <v>41627</v>
      </c>
      <c r="C523" s="10">
        <v>2013</v>
      </c>
      <c r="D523" s="4" t="s">
        <v>24</v>
      </c>
      <c r="E523" s="10">
        <v>12</v>
      </c>
      <c r="F523" s="20">
        <v>4.4809999999999999</v>
      </c>
      <c r="G523" s="21">
        <v>5.9084125000000001E-2</v>
      </c>
      <c r="H523" s="21">
        <v>0</v>
      </c>
      <c r="I523" s="21">
        <v>2.131277125</v>
      </c>
      <c r="J523" s="21">
        <v>1.9444374999999996E-2</v>
      </c>
      <c r="K523" s="21">
        <v>0</v>
      </c>
    </row>
    <row r="524" spans="1:12">
      <c r="A524" s="10">
        <v>13</v>
      </c>
      <c r="B524" s="16">
        <v>41627</v>
      </c>
      <c r="C524" s="10">
        <v>2013</v>
      </c>
      <c r="D524" s="4" t="s">
        <v>24</v>
      </c>
      <c r="E524" s="10">
        <v>12</v>
      </c>
      <c r="F524" s="20">
        <v>4.6399999999999997</v>
      </c>
      <c r="G524" s="21">
        <v>6.2109125000000001E-2</v>
      </c>
      <c r="H524" s="21">
        <v>0</v>
      </c>
      <c r="I524" s="21">
        <v>2.1413150000000005</v>
      </c>
      <c r="J524" s="21">
        <v>1.6792125000000001E-2</v>
      </c>
      <c r="K524" s="21">
        <v>0</v>
      </c>
    </row>
    <row r="525" spans="1:12">
      <c r="A525" s="10">
        <v>11</v>
      </c>
      <c r="B525" s="16">
        <v>41655</v>
      </c>
      <c r="C525" s="10">
        <v>2014</v>
      </c>
      <c r="D525" s="4" t="s">
        <v>25</v>
      </c>
      <c r="E525" s="10">
        <v>1</v>
      </c>
      <c r="F525" s="20">
        <v>8.5459999999999994</v>
      </c>
      <c r="G525" s="21">
        <v>9.3754875000000001E-2</v>
      </c>
      <c r="H525" s="21">
        <v>0</v>
      </c>
      <c r="I525" s="21">
        <v>4.4235742499999997</v>
      </c>
      <c r="J525" s="21">
        <v>3.2430124999999997E-2</v>
      </c>
      <c r="K525" s="21">
        <v>0</v>
      </c>
    </row>
    <row r="526" spans="1:12">
      <c r="A526" s="10">
        <v>12</v>
      </c>
      <c r="B526" s="16">
        <v>41655</v>
      </c>
      <c r="C526" s="10">
        <v>2014</v>
      </c>
      <c r="D526" s="4" t="s">
        <v>25</v>
      </c>
      <c r="E526" s="10">
        <v>1</v>
      </c>
      <c r="F526" s="20">
        <v>5.734</v>
      </c>
      <c r="G526" s="21">
        <v>8.9193750000000002E-2</v>
      </c>
      <c r="H526" s="21">
        <v>0</v>
      </c>
      <c r="I526" s="21">
        <v>2.7374125</v>
      </c>
      <c r="J526" s="21">
        <v>1.7586124999999998E-2</v>
      </c>
      <c r="K526" s="21">
        <v>0</v>
      </c>
    </row>
    <row r="527" spans="1:12">
      <c r="A527" s="10">
        <v>13</v>
      </c>
      <c r="B527" s="16">
        <v>41655</v>
      </c>
      <c r="C527" s="10">
        <v>2014</v>
      </c>
      <c r="D527" s="4" t="s">
        <v>25</v>
      </c>
      <c r="E527" s="10">
        <v>1</v>
      </c>
      <c r="F527" s="20">
        <v>5.601</v>
      </c>
      <c r="G527" s="21">
        <v>8.9579624999999996E-2</v>
      </c>
      <c r="H527" s="21">
        <v>0</v>
      </c>
      <c r="I527" s="21">
        <v>2.6772556249999995</v>
      </c>
      <c r="J527" s="21">
        <v>1.6049750000000002E-2</v>
      </c>
      <c r="K527" s="21">
        <v>0</v>
      </c>
    </row>
    <row r="528" spans="1:12">
      <c r="A528" s="10">
        <v>11</v>
      </c>
      <c r="B528" s="16">
        <v>41690</v>
      </c>
      <c r="C528" s="10">
        <v>2014</v>
      </c>
      <c r="D528" s="4" t="s">
        <v>14</v>
      </c>
      <c r="E528" s="10">
        <v>2</v>
      </c>
      <c r="F528" s="20">
        <v>10.32</v>
      </c>
      <c r="G528" s="21">
        <v>0.39623962499999998</v>
      </c>
      <c r="H528" s="21">
        <v>0</v>
      </c>
      <c r="I528" s="21">
        <v>4.833359999999999</v>
      </c>
      <c r="J528" s="21">
        <v>2.6980750000000005E-2</v>
      </c>
      <c r="K528" s="21">
        <v>0</v>
      </c>
    </row>
    <row r="529" spans="1:12">
      <c r="A529" s="10">
        <v>12</v>
      </c>
      <c r="B529" s="16">
        <v>41690</v>
      </c>
      <c r="C529" s="10">
        <v>2014</v>
      </c>
      <c r="D529" s="4" t="s">
        <v>14</v>
      </c>
      <c r="E529" s="10">
        <v>2</v>
      </c>
      <c r="F529" s="20">
        <v>11.166</v>
      </c>
      <c r="G529" s="21">
        <v>0.62290074999999989</v>
      </c>
      <c r="H529" s="21">
        <v>0</v>
      </c>
      <c r="I529" s="21">
        <v>5.0635822499999996</v>
      </c>
      <c r="J529" s="21">
        <v>2.6610249999999995E-2</v>
      </c>
      <c r="K529" s="21">
        <v>0</v>
      </c>
    </row>
    <row r="530" spans="1:12">
      <c r="A530" s="10">
        <v>13</v>
      </c>
      <c r="B530" s="16">
        <v>41690</v>
      </c>
      <c r="C530" s="10">
        <v>2014</v>
      </c>
      <c r="D530" s="4" t="s">
        <v>14</v>
      </c>
      <c r="E530" s="10">
        <v>2</v>
      </c>
      <c r="F530" s="20">
        <v>8.5</v>
      </c>
      <c r="G530" s="21">
        <v>0.18424799999999997</v>
      </c>
      <c r="H530" s="21">
        <v>0</v>
      </c>
      <c r="I530" s="21">
        <v>4.0199695000000002</v>
      </c>
      <c r="J530" s="21">
        <v>2.3735124999999999E-2</v>
      </c>
      <c r="K530" s="21">
        <v>0</v>
      </c>
    </row>
    <row r="531" spans="1:12">
      <c r="A531" s="10">
        <v>11</v>
      </c>
      <c r="B531" s="16">
        <v>41718</v>
      </c>
      <c r="C531" s="10">
        <v>2014</v>
      </c>
      <c r="D531" s="4" t="s">
        <v>15</v>
      </c>
      <c r="E531" s="10">
        <v>3</v>
      </c>
      <c r="F531" s="20">
        <v>6.4219999999999997</v>
      </c>
      <c r="G531" s="21">
        <v>7.2317624999999996E-2</v>
      </c>
      <c r="H531" s="21">
        <v>0</v>
      </c>
      <c r="I531" s="21">
        <v>3.1939376249999998</v>
      </c>
      <c r="J531" s="21">
        <v>4.5117625000000001E-2</v>
      </c>
      <c r="K531" s="21">
        <v>0</v>
      </c>
    </row>
    <row r="532" spans="1:12">
      <c r="A532" s="10">
        <v>12</v>
      </c>
      <c r="B532" s="16">
        <v>41718</v>
      </c>
      <c r="C532" s="10">
        <v>2014</v>
      </c>
      <c r="D532" s="4" t="s">
        <v>15</v>
      </c>
      <c r="E532" s="10">
        <v>3</v>
      </c>
      <c r="F532" s="20">
        <v>3.379</v>
      </c>
      <c r="G532" s="21">
        <v>5.9186374999999999E-2</v>
      </c>
      <c r="H532" s="21">
        <v>0</v>
      </c>
      <c r="I532" s="21">
        <v>1.6805686249999998</v>
      </c>
      <c r="J532" s="21">
        <v>5.9036000000000005E-2</v>
      </c>
      <c r="K532" s="21">
        <v>0</v>
      </c>
    </row>
    <row r="533" spans="1:12">
      <c r="A533" s="10">
        <v>13</v>
      </c>
      <c r="B533" s="16">
        <v>41718</v>
      </c>
      <c r="C533" s="10">
        <v>2014</v>
      </c>
      <c r="D533" s="4" t="s">
        <v>15</v>
      </c>
      <c r="E533" s="10">
        <v>3</v>
      </c>
      <c r="F533" s="20">
        <v>2.87</v>
      </c>
      <c r="G533" s="21">
        <v>0</v>
      </c>
      <c r="H533" s="21">
        <v>0</v>
      </c>
      <c r="I533" s="21">
        <v>1.5003813749999997</v>
      </c>
      <c r="J533" s="21">
        <v>6.1497749999999983E-2</v>
      </c>
      <c r="K533" s="21">
        <v>0</v>
      </c>
    </row>
    <row r="534" spans="1:12">
      <c r="A534" s="10">
        <v>11</v>
      </c>
      <c r="B534" s="16">
        <v>41750</v>
      </c>
      <c r="C534" s="10">
        <v>2014</v>
      </c>
      <c r="D534" s="4" t="s">
        <v>16</v>
      </c>
      <c r="E534" s="10">
        <v>4</v>
      </c>
      <c r="F534" s="27">
        <v>3.4980000000000002</v>
      </c>
      <c r="G534" s="21">
        <v>2.7999875E-2</v>
      </c>
      <c r="H534" s="21">
        <v>0</v>
      </c>
      <c r="I534" s="21">
        <v>1.7591699999999997</v>
      </c>
      <c r="J534" s="21">
        <v>3.5640375000000002E-2</v>
      </c>
      <c r="K534" s="21">
        <v>0</v>
      </c>
    </row>
    <row r="535" spans="1:12">
      <c r="A535" s="10">
        <v>12</v>
      </c>
      <c r="B535" s="16">
        <v>41750</v>
      </c>
      <c r="C535" s="10">
        <v>2014</v>
      </c>
      <c r="D535" s="4" t="s">
        <v>16</v>
      </c>
      <c r="E535" s="10">
        <v>4</v>
      </c>
      <c r="F535" s="27">
        <v>3.8290000000000002</v>
      </c>
      <c r="G535" s="21">
        <v>3.2552999999999999E-2</v>
      </c>
      <c r="H535" s="21">
        <v>0</v>
      </c>
      <c r="I535" s="21">
        <v>1.9747496250000001</v>
      </c>
      <c r="J535" s="21">
        <v>3.619012499999999E-2</v>
      </c>
      <c r="K535" s="21">
        <v>0</v>
      </c>
    </row>
    <row r="536" spans="1:12">
      <c r="A536" s="10">
        <v>13</v>
      </c>
      <c r="B536" s="16">
        <v>41750</v>
      </c>
      <c r="C536" s="10">
        <v>2014</v>
      </c>
      <c r="D536" s="4" t="s">
        <v>16</v>
      </c>
      <c r="E536" s="10">
        <v>4</v>
      </c>
      <c r="F536" s="27">
        <v>2.5150000000000001</v>
      </c>
      <c r="G536" s="21">
        <v>0</v>
      </c>
      <c r="H536" s="21">
        <v>0</v>
      </c>
      <c r="I536" s="21">
        <v>1.2305446250000001</v>
      </c>
      <c r="J536" s="21">
        <v>2.3395375E-2</v>
      </c>
      <c r="K536" s="21">
        <v>0</v>
      </c>
    </row>
    <row r="537" spans="1:12">
      <c r="A537" s="10">
        <v>11</v>
      </c>
      <c r="B537" s="16">
        <v>41406</v>
      </c>
      <c r="C537" s="10">
        <v>2014</v>
      </c>
      <c r="D537" s="4" t="s">
        <v>17</v>
      </c>
      <c r="E537" s="10">
        <v>5</v>
      </c>
      <c r="F537" s="27">
        <v>3.577</v>
      </c>
      <c r="G537" s="21">
        <v>8.7122124999999995E-2</v>
      </c>
      <c r="H537" s="21">
        <v>0</v>
      </c>
      <c r="I537" s="21">
        <v>1.1995</v>
      </c>
      <c r="J537" s="21">
        <v>2.1689750000000001E-2</v>
      </c>
      <c r="K537" s="21">
        <v>0</v>
      </c>
    </row>
    <row r="538" spans="1:12">
      <c r="A538" s="10">
        <v>11</v>
      </c>
      <c r="B538" s="16">
        <v>41406</v>
      </c>
      <c r="C538" s="10">
        <v>2014</v>
      </c>
      <c r="D538" s="4" t="s">
        <v>17</v>
      </c>
      <c r="E538" s="10">
        <v>5</v>
      </c>
      <c r="F538" s="27">
        <v>3.577</v>
      </c>
      <c r="G538" s="21">
        <v>8.4066375000000013E-2</v>
      </c>
      <c r="H538" s="21">
        <v>0</v>
      </c>
      <c r="I538" s="21">
        <v>1.0610983749999998</v>
      </c>
      <c r="J538" s="21">
        <v>2.1640375E-2</v>
      </c>
      <c r="K538" s="21">
        <v>0</v>
      </c>
      <c r="L538" t="s">
        <v>27</v>
      </c>
    </row>
    <row r="539" spans="1:12">
      <c r="A539" s="10">
        <v>12</v>
      </c>
      <c r="B539" s="16">
        <v>41406</v>
      </c>
      <c r="C539" s="10">
        <v>2014</v>
      </c>
      <c r="D539" s="4" t="s">
        <v>17</v>
      </c>
      <c r="E539" s="10">
        <v>5</v>
      </c>
      <c r="F539" s="27">
        <v>3.3809999999999998</v>
      </c>
      <c r="G539" s="21">
        <v>7.0245749999999996E-2</v>
      </c>
      <c r="H539" s="21">
        <v>0</v>
      </c>
      <c r="I539" s="21">
        <v>1.3057062499999998</v>
      </c>
      <c r="J539" s="21">
        <v>2.0095249999999995E-2</v>
      </c>
      <c r="K539" s="21">
        <v>0</v>
      </c>
    </row>
    <row r="540" spans="1:12">
      <c r="A540" s="10">
        <v>13</v>
      </c>
      <c r="B540" s="16">
        <v>41406</v>
      </c>
      <c r="C540" s="10">
        <v>2014</v>
      </c>
      <c r="D540" s="4" t="s">
        <v>17</v>
      </c>
      <c r="E540" s="10">
        <v>5</v>
      </c>
      <c r="F540" s="27">
        <v>4.5170000000000003</v>
      </c>
      <c r="G540" s="21">
        <v>7.8030000000000002E-2</v>
      </c>
      <c r="H540" s="21">
        <v>0</v>
      </c>
      <c r="I540" s="21">
        <v>1.8011958749999994</v>
      </c>
      <c r="J540" s="21">
        <v>2.4426249999999993E-2</v>
      </c>
      <c r="K540" s="21">
        <v>0</v>
      </c>
    </row>
    <row r="541" spans="1:12">
      <c r="A541" s="10">
        <v>11</v>
      </c>
      <c r="B541" s="16">
        <v>41807</v>
      </c>
      <c r="C541" s="10">
        <v>2014</v>
      </c>
      <c r="D541" s="4" t="s">
        <v>18</v>
      </c>
      <c r="E541" s="10">
        <v>6</v>
      </c>
      <c r="F541" s="27">
        <v>6.2009999999999996</v>
      </c>
      <c r="G541" s="21">
        <v>0.17851162500000001</v>
      </c>
      <c r="H541" s="21">
        <v>0</v>
      </c>
      <c r="I541" s="21">
        <v>2.9713708749999994</v>
      </c>
      <c r="J541" s="21">
        <v>4.5144124999999993E-2</v>
      </c>
      <c r="K541" s="21">
        <v>0</v>
      </c>
    </row>
    <row r="542" spans="1:12">
      <c r="A542" s="10">
        <v>12</v>
      </c>
      <c r="B542" s="16">
        <v>41807</v>
      </c>
      <c r="C542" s="10">
        <v>2014</v>
      </c>
      <c r="D542" s="4" t="s">
        <v>18</v>
      </c>
      <c r="E542" s="10">
        <v>6</v>
      </c>
      <c r="F542" s="27">
        <v>8.0289999999999999</v>
      </c>
      <c r="G542" s="21">
        <v>0.16368337499999999</v>
      </c>
      <c r="H542" s="21">
        <v>0</v>
      </c>
      <c r="I542" s="21">
        <v>3.9428227499999999</v>
      </c>
      <c r="J542" s="21">
        <v>8.5293250000000001E-2</v>
      </c>
      <c r="K542" s="21">
        <v>0</v>
      </c>
    </row>
    <row r="543" spans="1:12">
      <c r="A543" s="10">
        <v>13</v>
      </c>
      <c r="B543" s="16">
        <v>41807</v>
      </c>
      <c r="C543" s="10">
        <v>2014</v>
      </c>
      <c r="D543" s="4" t="s">
        <v>18</v>
      </c>
      <c r="E543" s="10">
        <v>6</v>
      </c>
      <c r="F543" s="27">
        <v>4.383</v>
      </c>
      <c r="G543" s="21">
        <v>7.9969124999999974E-2</v>
      </c>
      <c r="H543" s="21">
        <v>7.668562499999998E-2</v>
      </c>
      <c r="I543" s="21">
        <v>2.1556138749999998</v>
      </c>
      <c r="J543" s="21">
        <v>0.13002312499999999</v>
      </c>
      <c r="K543" s="21">
        <v>0</v>
      </c>
    </row>
    <row r="544" spans="1:12">
      <c r="A544" s="10">
        <v>11</v>
      </c>
      <c r="B544" s="16">
        <v>41837</v>
      </c>
      <c r="C544" s="10">
        <v>2014</v>
      </c>
      <c r="D544" s="4" t="s">
        <v>19</v>
      </c>
      <c r="E544" s="10">
        <v>7</v>
      </c>
      <c r="F544" s="27">
        <v>9.3789999999999996</v>
      </c>
      <c r="G544" s="21">
        <v>0.19356124999999996</v>
      </c>
      <c r="H544" s="21">
        <v>0</v>
      </c>
      <c r="I544" s="21">
        <v>4.1510508749999993</v>
      </c>
      <c r="J544" s="21">
        <v>9.5732250000000019E-2</v>
      </c>
      <c r="K544" s="21">
        <v>0</v>
      </c>
    </row>
    <row r="545" spans="1:12">
      <c r="A545" s="10">
        <v>12</v>
      </c>
      <c r="B545" s="16">
        <v>41837</v>
      </c>
      <c r="C545" s="10">
        <v>2014</v>
      </c>
      <c r="D545" s="4" t="s">
        <v>19</v>
      </c>
      <c r="E545" s="10">
        <v>7</v>
      </c>
      <c r="F545" s="27">
        <v>11.09</v>
      </c>
      <c r="G545" s="21">
        <v>0.16732699999999998</v>
      </c>
      <c r="H545" s="21">
        <v>0</v>
      </c>
      <c r="I545" s="21">
        <v>5.15921875</v>
      </c>
      <c r="J545" s="21">
        <v>0.12853674999999998</v>
      </c>
      <c r="K545" s="21">
        <v>0</v>
      </c>
    </row>
    <row r="546" spans="1:12">
      <c r="A546" s="10">
        <v>13</v>
      </c>
      <c r="B546" s="16">
        <v>41837</v>
      </c>
      <c r="C546" s="10">
        <v>2014</v>
      </c>
      <c r="D546" s="4" t="s">
        <v>19</v>
      </c>
      <c r="E546" s="10">
        <v>7</v>
      </c>
      <c r="F546" s="27">
        <v>8.7759999999999998</v>
      </c>
      <c r="G546" s="21">
        <v>0.295799125</v>
      </c>
      <c r="H546" s="21">
        <v>0</v>
      </c>
      <c r="I546" s="21">
        <v>2.8376308750000003</v>
      </c>
      <c r="J546" s="21">
        <v>0.17665549999999997</v>
      </c>
      <c r="K546" s="21">
        <v>0</v>
      </c>
    </row>
    <row r="547" spans="1:12">
      <c r="A547" s="10">
        <v>11</v>
      </c>
      <c r="B547" s="16">
        <v>41862</v>
      </c>
      <c r="C547" s="10">
        <v>2014</v>
      </c>
      <c r="D547" s="4" t="s">
        <v>20</v>
      </c>
      <c r="E547" s="10">
        <v>8</v>
      </c>
      <c r="F547" s="27">
        <v>5.7380000000000004</v>
      </c>
      <c r="G547" s="21">
        <v>0.15042475</v>
      </c>
      <c r="H547" s="21">
        <v>0</v>
      </c>
      <c r="I547" s="21">
        <v>2.8587988750000002</v>
      </c>
      <c r="J547" s="21">
        <v>0.146220875</v>
      </c>
      <c r="K547" s="21">
        <v>0</v>
      </c>
    </row>
    <row r="548" spans="1:12">
      <c r="A548" s="10">
        <v>12</v>
      </c>
      <c r="B548" s="16">
        <v>41862</v>
      </c>
      <c r="C548" s="10">
        <v>2014</v>
      </c>
      <c r="D548" s="4" t="s">
        <v>20</v>
      </c>
      <c r="E548" s="10">
        <v>8</v>
      </c>
      <c r="F548" s="27">
        <v>7.4029999999999996</v>
      </c>
      <c r="G548" s="21">
        <v>0.176650375</v>
      </c>
      <c r="H548" s="21">
        <v>0</v>
      </c>
      <c r="I548" s="21">
        <v>3.3742909999999999</v>
      </c>
      <c r="J548" s="21">
        <v>0.243008</v>
      </c>
      <c r="K548" s="21">
        <v>0</v>
      </c>
    </row>
    <row r="549" spans="1:12">
      <c r="A549" s="10">
        <v>13</v>
      </c>
      <c r="B549" s="16">
        <v>41862</v>
      </c>
      <c r="C549" s="10">
        <v>2014</v>
      </c>
      <c r="D549" s="4" t="s">
        <v>20</v>
      </c>
      <c r="E549" s="10">
        <v>8</v>
      </c>
      <c r="F549" s="27">
        <v>5.2350000000000003</v>
      </c>
      <c r="G549" s="21">
        <v>0.13140399999999997</v>
      </c>
      <c r="H549" s="21">
        <v>0</v>
      </c>
      <c r="I549" s="21">
        <v>2.3071638750000001</v>
      </c>
      <c r="J549" s="21">
        <v>0.114432125</v>
      </c>
      <c r="K549" s="21">
        <v>0</v>
      </c>
    </row>
    <row r="550" spans="1:12">
      <c r="A550" s="10">
        <v>11</v>
      </c>
      <c r="B550" s="16">
        <v>41897</v>
      </c>
      <c r="C550" s="10">
        <v>2014</v>
      </c>
      <c r="D550" s="4" t="s">
        <v>26</v>
      </c>
      <c r="E550" s="10">
        <v>9</v>
      </c>
      <c r="F550" s="27">
        <v>4.7690000000000001</v>
      </c>
      <c r="G550" s="21">
        <v>3.8092124999999998E-2</v>
      </c>
      <c r="H550" s="21">
        <v>0</v>
      </c>
      <c r="I550" s="21">
        <v>2.2261366250000001</v>
      </c>
      <c r="J550" s="21">
        <v>3.3811749999999995E-2</v>
      </c>
      <c r="K550" s="21">
        <v>0</v>
      </c>
    </row>
    <row r="551" spans="1:12">
      <c r="A551" s="10">
        <v>12</v>
      </c>
      <c r="B551" s="16">
        <v>41897</v>
      </c>
      <c r="C551" s="10">
        <v>2014</v>
      </c>
      <c r="D551" s="4" t="s">
        <v>26</v>
      </c>
      <c r="E551" s="10">
        <v>9</v>
      </c>
      <c r="F551" s="27">
        <v>3.3559999999999999</v>
      </c>
      <c r="G551" s="21">
        <v>0</v>
      </c>
      <c r="H551" s="21">
        <v>0</v>
      </c>
      <c r="I551" s="21">
        <v>1.540848</v>
      </c>
      <c r="J551" s="21">
        <v>3.4215250000000003E-2</v>
      </c>
      <c r="K551" s="21">
        <v>0</v>
      </c>
    </row>
    <row r="552" spans="1:12">
      <c r="A552" s="10">
        <v>13</v>
      </c>
      <c r="B552" s="16">
        <v>41897</v>
      </c>
      <c r="C552" s="10">
        <v>2014</v>
      </c>
      <c r="D552" s="4" t="s">
        <v>26</v>
      </c>
      <c r="E552" s="10">
        <v>9</v>
      </c>
      <c r="F552" s="27">
        <v>6.6619999999999999</v>
      </c>
      <c r="G552" s="21">
        <v>8.597299999999998E-2</v>
      </c>
      <c r="H552" s="21">
        <v>0</v>
      </c>
      <c r="I552" s="21">
        <v>2.8658138750000002</v>
      </c>
      <c r="J552" s="21">
        <v>7.3014999999999997E-2</v>
      </c>
      <c r="K552" s="21">
        <v>0</v>
      </c>
    </row>
    <row r="553" spans="1:12">
      <c r="A553" s="10">
        <v>11</v>
      </c>
      <c r="B553" s="16">
        <v>41928</v>
      </c>
      <c r="C553" s="10">
        <v>2014</v>
      </c>
      <c r="D553" s="4" t="s">
        <v>22</v>
      </c>
      <c r="E553" s="10">
        <v>10</v>
      </c>
      <c r="F553" s="20">
        <v>2.2810000000000001</v>
      </c>
      <c r="G553" s="21">
        <v>4.6055249999999992E-2</v>
      </c>
      <c r="H553" s="21">
        <v>0</v>
      </c>
      <c r="I553" s="21">
        <v>0.85716899999999996</v>
      </c>
      <c r="J553" s="21">
        <v>3.9878375000000001E-2</v>
      </c>
      <c r="K553" s="21">
        <v>0</v>
      </c>
    </row>
    <row r="554" spans="1:12">
      <c r="A554" s="10">
        <v>12</v>
      </c>
      <c r="B554" s="16">
        <v>41928</v>
      </c>
      <c r="C554" s="10">
        <v>2014</v>
      </c>
      <c r="D554" s="4" t="s">
        <v>22</v>
      </c>
      <c r="E554" s="10">
        <v>10</v>
      </c>
      <c r="F554" s="20">
        <v>3.64</v>
      </c>
      <c r="G554" s="21">
        <v>9.3949499999999991E-2</v>
      </c>
      <c r="H554" s="21">
        <v>4.5113999999999994E-2</v>
      </c>
      <c r="I554" s="21">
        <v>1.5055590000000003</v>
      </c>
      <c r="J554" s="21">
        <v>6.1661374999999997E-2</v>
      </c>
      <c r="K554" s="21">
        <v>0</v>
      </c>
    </row>
    <row r="555" spans="1:12">
      <c r="A555" s="10">
        <v>13</v>
      </c>
      <c r="B555" s="16">
        <v>41928</v>
      </c>
      <c r="C555" s="10">
        <v>2014</v>
      </c>
      <c r="D555" s="4" t="s">
        <v>22</v>
      </c>
      <c r="E555" s="10">
        <v>10</v>
      </c>
      <c r="F555" s="20">
        <v>6.1680000000000001</v>
      </c>
      <c r="G555" s="21">
        <v>0.19410250000000001</v>
      </c>
      <c r="H555" s="21">
        <v>0</v>
      </c>
      <c r="I555" s="21">
        <v>2.3508469999999995</v>
      </c>
      <c r="J555" s="21">
        <v>0.15976374999999998</v>
      </c>
      <c r="K555" s="21">
        <v>0</v>
      </c>
    </row>
    <row r="556" spans="1:12">
      <c r="A556" s="10">
        <v>13</v>
      </c>
      <c r="B556" s="16">
        <v>41928</v>
      </c>
      <c r="C556" s="10">
        <v>2014</v>
      </c>
      <c r="D556" s="4" t="s">
        <v>22</v>
      </c>
      <c r="E556" s="10">
        <v>10</v>
      </c>
      <c r="F556" s="20">
        <v>6.1680000000000001</v>
      </c>
      <c r="G556" s="21">
        <v>0.20803674999999996</v>
      </c>
      <c r="H556" s="21">
        <v>4.013775E-2</v>
      </c>
      <c r="I556" s="21">
        <v>2.506914375</v>
      </c>
      <c r="J556" s="21">
        <v>0.17368675</v>
      </c>
      <c r="K556" s="21">
        <v>0</v>
      </c>
      <c r="L556" t="s">
        <v>27</v>
      </c>
    </row>
    <row r="557" spans="1:12">
      <c r="A557" s="10">
        <v>11</v>
      </c>
      <c r="B557" s="16">
        <v>41955</v>
      </c>
      <c r="C557" s="10">
        <v>2014</v>
      </c>
      <c r="D557" s="4" t="s">
        <v>23</v>
      </c>
      <c r="E557" s="10">
        <v>11</v>
      </c>
      <c r="F557" s="20">
        <v>6.0449999999999999</v>
      </c>
      <c r="G557" s="21">
        <v>0.14972750000000001</v>
      </c>
      <c r="H557" s="21">
        <v>0</v>
      </c>
      <c r="I557" s="21">
        <v>2.5083254999999998</v>
      </c>
      <c r="J557" s="21">
        <v>3.8491875000000002E-2</v>
      </c>
      <c r="K557" s="21">
        <v>0</v>
      </c>
    </row>
    <row r="558" spans="1:12">
      <c r="A558" s="10">
        <v>12</v>
      </c>
      <c r="B558" s="16">
        <v>41955</v>
      </c>
      <c r="C558" s="10">
        <v>2014</v>
      </c>
      <c r="D558" s="4" t="s">
        <v>23</v>
      </c>
      <c r="E558" s="10">
        <v>11</v>
      </c>
      <c r="F558" s="20">
        <v>4.6319999999999997</v>
      </c>
      <c r="G558" s="21">
        <v>8.1879999999999994E-2</v>
      </c>
      <c r="H558" s="21">
        <v>0</v>
      </c>
      <c r="I558" s="21">
        <v>1.8809811250000001</v>
      </c>
      <c r="J558" s="21">
        <v>2.6362750000000001E-2</v>
      </c>
      <c r="K558" s="21">
        <v>0</v>
      </c>
    </row>
    <row r="559" spans="1:12">
      <c r="A559" s="10">
        <v>13</v>
      </c>
      <c r="B559" s="16">
        <v>41955</v>
      </c>
      <c r="C559" s="10">
        <v>2014</v>
      </c>
      <c r="D559" s="4" t="s">
        <v>23</v>
      </c>
      <c r="E559" s="10">
        <v>11</v>
      </c>
      <c r="F559" s="20">
        <v>5.8710000000000004</v>
      </c>
      <c r="G559" s="21">
        <v>0.10663075</v>
      </c>
      <c r="H559" s="21">
        <v>0</v>
      </c>
      <c r="I559" s="21">
        <v>2.325377375</v>
      </c>
      <c r="J559" s="21">
        <v>4.6631499999999992E-2</v>
      </c>
      <c r="K559" s="2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8"/>
  <sheetViews>
    <sheetView workbookViewId="0">
      <selection activeCell="N549" sqref="N549"/>
    </sheetView>
  </sheetViews>
  <sheetFormatPr defaultColWidth="8.85546875" defaultRowHeight="15"/>
  <sheetData>
    <row r="1" spans="1:12" ht="18">
      <c r="F1" s="28" t="s">
        <v>28</v>
      </c>
      <c r="G1" s="28" t="s">
        <v>29</v>
      </c>
      <c r="H1" s="28" t="s">
        <v>29</v>
      </c>
      <c r="I1" s="28" t="s">
        <v>29</v>
      </c>
      <c r="J1" s="28" t="s">
        <v>29</v>
      </c>
      <c r="K1" s="28" t="s">
        <v>29</v>
      </c>
    </row>
    <row r="2" spans="1:12" ht="25.5">
      <c r="A2" s="29" t="s">
        <v>30</v>
      </c>
      <c r="B2" s="30" t="s">
        <v>31</v>
      </c>
      <c r="C2" s="31" t="s">
        <v>32</v>
      </c>
      <c r="D2" s="32" t="s">
        <v>33</v>
      </c>
      <c r="E2" s="31" t="s">
        <v>34</v>
      </c>
      <c r="F2" s="33" t="s">
        <v>35</v>
      </c>
      <c r="G2" s="33" t="s">
        <v>36</v>
      </c>
      <c r="H2" s="33" t="s">
        <v>37</v>
      </c>
      <c r="I2" s="33" t="s">
        <v>38</v>
      </c>
      <c r="J2" s="33" t="s">
        <v>39</v>
      </c>
      <c r="K2" s="33" t="s">
        <v>40</v>
      </c>
      <c r="L2" s="34" t="s">
        <v>41</v>
      </c>
    </row>
    <row r="3" spans="1:12">
      <c r="A3" s="1">
        <v>11</v>
      </c>
      <c r="B3" s="2">
        <v>36446</v>
      </c>
      <c r="C3" s="3">
        <v>1999</v>
      </c>
      <c r="D3" s="4" t="s">
        <v>0</v>
      </c>
      <c r="E3" s="5">
        <v>10</v>
      </c>
      <c r="F3" s="6">
        <v>4.106693605813688</v>
      </c>
      <c r="G3" s="6">
        <v>0.11788707516666667</v>
      </c>
      <c r="H3" s="6">
        <v>0</v>
      </c>
      <c r="I3" s="6">
        <v>1.2921542806666668</v>
      </c>
      <c r="J3" s="6">
        <v>2.10353325E-2</v>
      </c>
      <c r="K3" s="7" t="s">
        <v>1</v>
      </c>
    </row>
    <row r="4" spans="1:12">
      <c r="A4" s="1">
        <v>12</v>
      </c>
      <c r="B4" s="2">
        <v>36446</v>
      </c>
      <c r="C4" s="3">
        <v>1999</v>
      </c>
      <c r="D4" s="4" t="s">
        <v>0</v>
      </c>
      <c r="E4" s="5">
        <v>10</v>
      </c>
      <c r="F4" s="6">
        <v>3.7245782451451728</v>
      </c>
      <c r="G4" s="6">
        <v>0.10253528183333334</v>
      </c>
      <c r="H4" s="6">
        <v>0</v>
      </c>
      <c r="I4" s="6">
        <v>1.1449540233333331</v>
      </c>
      <c r="J4" s="6">
        <v>2.0341964833333333E-2</v>
      </c>
      <c r="K4" s="7" t="s">
        <v>1</v>
      </c>
    </row>
    <row r="5" spans="1:12">
      <c r="A5" s="1">
        <v>13</v>
      </c>
      <c r="B5" s="2">
        <v>36446</v>
      </c>
      <c r="C5" s="3">
        <v>1999</v>
      </c>
      <c r="D5" s="4" t="s">
        <v>0</v>
      </c>
      <c r="E5" s="5">
        <v>10</v>
      </c>
      <c r="F5" s="6">
        <v>5.1995828949343252</v>
      </c>
      <c r="G5" s="6">
        <v>0.23786033366666665</v>
      </c>
      <c r="H5" s="6">
        <v>0</v>
      </c>
      <c r="I5" s="6">
        <v>1.3668172096666666</v>
      </c>
      <c r="J5" s="6">
        <v>3.895134916666667E-2</v>
      </c>
      <c r="K5" s="7" t="s">
        <v>1</v>
      </c>
    </row>
    <row r="6" spans="1:12">
      <c r="A6" s="1">
        <v>11</v>
      </c>
      <c r="B6" s="2">
        <v>36473</v>
      </c>
      <c r="C6" s="3">
        <v>1999</v>
      </c>
      <c r="D6" s="4" t="s">
        <v>2</v>
      </c>
      <c r="E6" s="3">
        <v>11</v>
      </c>
      <c r="F6" s="6">
        <v>4.7836223356911507</v>
      </c>
      <c r="G6" s="6">
        <v>4.010556416666667E-2</v>
      </c>
      <c r="H6" s="6">
        <v>1.8425821166666669E-2</v>
      </c>
      <c r="I6" s="6">
        <v>1.9281980323333334</v>
      </c>
      <c r="J6" s="6">
        <v>1.1880551999999999E-2</v>
      </c>
      <c r="K6" s="7" t="s">
        <v>1</v>
      </c>
    </row>
    <row r="7" spans="1:12">
      <c r="A7" s="1">
        <v>12</v>
      </c>
      <c r="B7" s="2">
        <v>36473</v>
      </c>
      <c r="C7" s="3">
        <v>1999</v>
      </c>
      <c r="D7" s="4" t="s">
        <v>2</v>
      </c>
      <c r="E7" s="3">
        <v>11</v>
      </c>
      <c r="F7" s="6">
        <v>3.3702580536149149</v>
      </c>
      <c r="G7" s="6">
        <v>3.0830854333333338E-2</v>
      </c>
      <c r="H7" s="6">
        <v>0</v>
      </c>
      <c r="I7" s="6">
        <v>1.1784671433333331</v>
      </c>
      <c r="J7" s="6">
        <v>7.1761561666666661E-3</v>
      </c>
      <c r="K7" s="7" t="s">
        <v>1</v>
      </c>
    </row>
    <row r="8" spans="1:12">
      <c r="A8" s="1">
        <v>13</v>
      </c>
      <c r="B8" s="2">
        <v>36473</v>
      </c>
      <c r="C8" s="3">
        <v>1999</v>
      </c>
      <c r="D8" s="4" t="s">
        <v>2</v>
      </c>
      <c r="E8" s="3">
        <v>11</v>
      </c>
      <c r="F8" s="6">
        <v>3.7752817717032925</v>
      </c>
      <c r="G8" s="6">
        <v>3.4932039166666665E-2</v>
      </c>
      <c r="H8" s="6">
        <v>0</v>
      </c>
      <c r="I8" s="6">
        <v>1.3183590496666668</v>
      </c>
      <c r="J8" s="6">
        <v>0</v>
      </c>
      <c r="K8" s="7" t="s">
        <v>1</v>
      </c>
    </row>
    <row r="9" spans="1:12">
      <c r="A9" s="1">
        <v>11</v>
      </c>
      <c r="B9" s="2">
        <v>36502</v>
      </c>
      <c r="C9" s="3">
        <v>1999</v>
      </c>
      <c r="D9" s="4" t="s">
        <v>3</v>
      </c>
      <c r="E9" s="3">
        <v>12</v>
      </c>
      <c r="F9" s="6">
        <v>5.1131924566321469</v>
      </c>
      <c r="G9" s="6">
        <v>4.9641518666666669E-2</v>
      </c>
      <c r="H9" s="6">
        <v>2.0884791833333333E-2</v>
      </c>
      <c r="I9" s="6">
        <v>1.9067034250000001</v>
      </c>
      <c r="J9" s="6">
        <v>6.1065102166666663E-3</v>
      </c>
      <c r="K9" s="7" t="s">
        <v>1</v>
      </c>
    </row>
    <row r="10" spans="1:12">
      <c r="A10" s="1">
        <v>12</v>
      </c>
      <c r="B10" s="2">
        <v>36502</v>
      </c>
      <c r="C10" s="3">
        <v>1999</v>
      </c>
      <c r="D10" s="4" t="s">
        <v>3</v>
      </c>
      <c r="E10" s="3">
        <v>12</v>
      </c>
      <c r="F10" s="6">
        <v>2.454749919437222</v>
      </c>
      <c r="G10" s="6">
        <v>1.9097802833333333E-2</v>
      </c>
      <c r="H10" s="6">
        <v>0</v>
      </c>
      <c r="I10" s="6">
        <v>0.78655296833333344</v>
      </c>
      <c r="J10" s="6">
        <v>0</v>
      </c>
      <c r="K10" s="7" t="s">
        <v>1</v>
      </c>
    </row>
    <row r="11" spans="1:12">
      <c r="A11" s="1">
        <v>13</v>
      </c>
      <c r="B11" s="2">
        <v>36502</v>
      </c>
      <c r="C11" s="3">
        <v>1999</v>
      </c>
      <c r="D11" s="4" t="s">
        <v>3</v>
      </c>
      <c r="E11" s="3">
        <v>12</v>
      </c>
      <c r="F11" s="6">
        <v>2.8309811592518894</v>
      </c>
      <c r="G11" s="6">
        <v>1.3148406333333333E-2</v>
      </c>
      <c r="H11" s="6">
        <v>0</v>
      </c>
      <c r="I11" s="6">
        <v>0.88810365550000003</v>
      </c>
      <c r="J11" s="6">
        <v>0</v>
      </c>
      <c r="K11" s="7" t="s">
        <v>1</v>
      </c>
    </row>
    <row r="12" spans="1:12">
      <c r="A12" s="1">
        <v>11</v>
      </c>
      <c r="B12" s="2">
        <v>36531</v>
      </c>
      <c r="C12" s="5">
        <v>2000</v>
      </c>
      <c r="D12" s="4" t="s">
        <v>4</v>
      </c>
      <c r="E12" s="3">
        <v>1</v>
      </c>
      <c r="F12" s="6">
        <v>4.7393735604971265</v>
      </c>
      <c r="G12" s="6">
        <v>7.5945145499999991E-2</v>
      </c>
      <c r="H12" s="6">
        <v>0</v>
      </c>
      <c r="I12" s="6">
        <v>1.7825228903333334</v>
      </c>
      <c r="J12" s="6">
        <v>9.7984571666666648E-3</v>
      </c>
      <c r="K12" s="7" t="s">
        <v>1</v>
      </c>
    </row>
    <row r="13" spans="1:12">
      <c r="A13" s="1">
        <v>12</v>
      </c>
      <c r="B13" s="2">
        <v>36531</v>
      </c>
      <c r="C13" s="5">
        <v>2000</v>
      </c>
      <c r="D13" s="4" t="s">
        <v>4</v>
      </c>
      <c r="E13" s="3">
        <v>1</v>
      </c>
      <c r="F13" s="6">
        <v>2.3404211518927891</v>
      </c>
      <c r="G13" s="6">
        <v>4.11249635E-2</v>
      </c>
      <c r="H13" s="6">
        <v>0</v>
      </c>
      <c r="I13" s="6">
        <v>0.80302553483333339</v>
      </c>
      <c r="J13" s="6">
        <v>0</v>
      </c>
      <c r="K13" s="7" t="s">
        <v>1</v>
      </c>
    </row>
    <row r="14" spans="1:12">
      <c r="A14" s="1">
        <v>13</v>
      </c>
      <c r="B14" s="2">
        <v>36531</v>
      </c>
      <c r="C14" s="5">
        <v>2000</v>
      </c>
      <c r="D14" s="4" t="s">
        <v>4</v>
      </c>
      <c r="E14" s="3">
        <v>1</v>
      </c>
      <c r="F14" s="6">
        <v>3.0815296131146908</v>
      </c>
      <c r="G14" s="8">
        <v>5.9161433666666666E-2</v>
      </c>
      <c r="H14" s="8">
        <v>0</v>
      </c>
      <c r="I14" s="8">
        <v>1.0579135275</v>
      </c>
      <c r="J14" s="8">
        <v>6.8825180000000007E-3</v>
      </c>
      <c r="K14" s="9" t="s">
        <v>1</v>
      </c>
    </row>
    <row r="15" spans="1:12">
      <c r="A15" s="1">
        <v>11</v>
      </c>
      <c r="B15" s="2">
        <v>36578</v>
      </c>
      <c r="C15" s="5">
        <v>2000</v>
      </c>
      <c r="D15" s="4" t="s">
        <v>5</v>
      </c>
      <c r="E15" s="5">
        <v>2</v>
      </c>
      <c r="F15" s="6">
        <v>5.5682736079439543</v>
      </c>
      <c r="G15" s="8">
        <v>6.5432039499999997E-2</v>
      </c>
      <c r="H15" s="8">
        <v>0</v>
      </c>
      <c r="I15" s="8">
        <v>2.1888015383333332</v>
      </c>
      <c r="J15" s="8">
        <v>1.2084138333333333E-2</v>
      </c>
      <c r="K15" s="9" t="s">
        <v>1</v>
      </c>
    </row>
    <row r="16" spans="1:12">
      <c r="A16" s="1">
        <v>12</v>
      </c>
      <c r="B16" s="2">
        <v>36578</v>
      </c>
      <c r="C16" s="5">
        <v>2000</v>
      </c>
      <c r="D16" s="4" t="s">
        <v>5</v>
      </c>
      <c r="E16" s="5">
        <v>2</v>
      </c>
      <c r="F16" s="6">
        <v>5.0114112869710041</v>
      </c>
      <c r="G16" s="8">
        <v>6.7189780000000005E-2</v>
      </c>
      <c r="H16" s="8">
        <v>1.2289716500000001E-2</v>
      </c>
      <c r="I16" s="8">
        <v>1.9253816848333332</v>
      </c>
      <c r="J16" s="8">
        <v>1.2229018000000001E-2</v>
      </c>
      <c r="K16" s="9" t="s">
        <v>1</v>
      </c>
    </row>
    <row r="17" spans="1:11">
      <c r="A17" s="1">
        <v>13</v>
      </c>
      <c r="B17" s="2">
        <v>36578</v>
      </c>
      <c r="C17" s="5">
        <v>2000</v>
      </c>
      <c r="D17" s="4" t="s">
        <v>5</v>
      </c>
      <c r="E17" s="5">
        <v>2</v>
      </c>
      <c r="F17" s="6">
        <v>4.3300952374035937</v>
      </c>
      <c r="G17" s="8">
        <v>4.3239661500000005E-2</v>
      </c>
      <c r="H17" s="8">
        <v>0</v>
      </c>
      <c r="I17" s="8">
        <v>1.7433120786666665</v>
      </c>
      <c r="J17" s="8">
        <v>1.1932339666666666E-2</v>
      </c>
      <c r="K17" s="9" t="s">
        <v>1</v>
      </c>
    </row>
    <row r="18" spans="1:11">
      <c r="A18" s="1">
        <v>11</v>
      </c>
      <c r="B18" s="2">
        <v>36599</v>
      </c>
      <c r="C18" s="5">
        <v>2000</v>
      </c>
      <c r="D18" s="4" t="s">
        <v>6</v>
      </c>
      <c r="E18" s="5">
        <v>3</v>
      </c>
      <c r="F18" s="6">
        <v>2.7330777372704516</v>
      </c>
      <c r="G18" s="8">
        <v>6.8348397999999991E-2</v>
      </c>
      <c r="H18" s="8">
        <v>1.7073785666666664E-2</v>
      </c>
      <c r="I18" s="8">
        <v>0.96764343116666651</v>
      </c>
      <c r="J18" s="8">
        <v>9.6989703333333326E-3</v>
      </c>
      <c r="K18" s="9" t="s">
        <v>1</v>
      </c>
    </row>
    <row r="19" spans="1:11">
      <c r="A19" s="1">
        <v>12</v>
      </c>
      <c r="B19" s="2">
        <v>36599</v>
      </c>
      <c r="C19" s="5">
        <v>2000</v>
      </c>
      <c r="D19" s="4" t="s">
        <v>6</v>
      </c>
      <c r="E19" s="5">
        <v>3</v>
      </c>
      <c r="F19" s="6">
        <v>1.8864065296518471</v>
      </c>
      <c r="G19" s="8">
        <v>5.0338660333333334E-2</v>
      </c>
      <c r="H19" s="8">
        <v>0</v>
      </c>
      <c r="I19" s="8">
        <v>0.51953324300000003</v>
      </c>
      <c r="J19" s="8">
        <v>1.47075925E-2</v>
      </c>
      <c r="K19" s="9" t="s">
        <v>1</v>
      </c>
    </row>
    <row r="20" spans="1:11">
      <c r="A20" s="1">
        <v>13</v>
      </c>
      <c r="B20" s="2">
        <v>36599</v>
      </c>
      <c r="C20" s="5">
        <v>2000</v>
      </c>
      <c r="D20" s="4" t="s">
        <v>6</v>
      </c>
      <c r="E20" s="5">
        <v>3</v>
      </c>
      <c r="F20" s="6">
        <v>2.8021033817968788</v>
      </c>
      <c r="G20" s="8">
        <v>7.0593403833333318E-2</v>
      </c>
      <c r="H20" s="8">
        <v>0</v>
      </c>
      <c r="I20" s="8">
        <v>0.87974718083333325</v>
      </c>
      <c r="J20" s="8">
        <v>1.0958542833333333E-2</v>
      </c>
      <c r="K20" s="9" t="s">
        <v>1</v>
      </c>
    </row>
    <row r="21" spans="1:11">
      <c r="A21" s="1">
        <v>11</v>
      </c>
      <c r="B21" s="2">
        <v>36626</v>
      </c>
      <c r="C21" s="5">
        <v>2000</v>
      </c>
      <c r="D21" s="10" t="s">
        <v>7</v>
      </c>
      <c r="E21" s="5">
        <v>4</v>
      </c>
      <c r="F21" s="6">
        <v>4.4064646511447769</v>
      </c>
      <c r="G21" s="8">
        <v>7.1973744333333339E-2</v>
      </c>
      <c r="H21" s="8">
        <v>0</v>
      </c>
      <c r="I21" s="8">
        <v>1.6410688625000001</v>
      </c>
      <c r="J21" s="8">
        <v>6.4108728333333335E-3</v>
      </c>
      <c r="K21" s="9" t="s">
        <v>1</v>
      </c>
    </row>
    <row r="22" spans="1:11">
      <c r="A22" s="1">
        <v>12</v>
      </c>
      <c r="B22" s="2">
        <v>36626</v>
      </c>
      <c r="C22" s="5">
        <v>2000</v>
      </c>
      <c r="D22" s="10" t="s">
        <v>7</v>
      </c>
      <c r="E22" s="5">
        <v>4</v>
      </c>
      <c r="F22" s="6">
        <v>1.5442306758268094</v>
      </c>
      <c r="G22" s="8">
        <v>2.3379825166666666E-2</v>
      </c>
      <c r="H22" s="8">
        <v>0</v>
      </c>
      <c r="I22" s="8">
        <v>0.54958927416666681</v>
      </c>
      <c r="J22" s="8">
        <v>0</v>
      </c>
      <c r="K22" s="9" t="s">
        <v>1</v>
      </c>
    </row>
    <row r="23" spans="1:11">
      <c r="A23" s="1">
        <v>13</v>
      </c>
      <c r="B23" s="2">
        <v>36626</v>
      </c>
      <c r="C23" s="5">
        <v>2000</v>
      </c>
      <c r="D23" s="10" t="s">
        <v>7</v>
      </c>
      <c r="E23" s="5">
        <v>4</v>
      </c>
      <c r="F23" s="6">
        <v>3.8972157484737124</v>
      </c>
      <c r="G23" s="8">
        <v>3.6587462333333334E-2</v>
      </c>
      <c r="H23" s="8">
        <v>0</v>
      </c>
      <c r="I23" s="8">
        <v>1.3872797328333331</v>
      </c>
      <c r="J23" s="8">
        <v>0</v>
      </c>
      <c r="K23" s="9" t="s">
        <v>1</v>
      </c>
    </row>
    <row r="24" spans="1:11">
      <c r="A24" s="1">
        <v>11</v>
      </c>
      <c r="B24" s="2">
        <v>36663</v>
      </c>
      <c r="C24" s="5">
        <v>2000</v>
      </c>
      <c r="D24" s="10" t="s">
        <v>8</v>
      </c>
      <c r="E24" s="5">
        <v>5</v>
      </c>
      <c r="F24" s="6">
        <v>1.3313097890552754</v>
      </c>
      <c r="G24" s="8">
        <v>0.2075917005</v>
      </c>
      <c r="H24" s="8">
        <v>0</v>
      </c>
      <c r="I24" s="8">
        <v>0.323530553</v>
      </c>
      <c r="J24" s="8">
        <v>1.3288883000000003E-2</v>
      </c>
      <c r="K24" s="9" t="s">
        <v>1</v>
      </c>
    </row>
    <row r="25" spans="1:11">
      <c r="A25" s="1">
        <v>12</v>
      </c>
      <c r="B25" s="2">
        <v>36663</v>
      </c>
      <c r="C25" s="5">
        <v>2000</v>
      </c>
      <c r="D25" s="10" t="s">
        <v>8</v>
      </c>
      <c r="E25" s="5">
        <v>5</v>
      </c>
      <c r="F25" s="6">
        <v>1.4326409834565501</v>
      </c>
      <c r="G25" s="8">
        <v>0.16471748799999997</v>
      </c>
      <c r="H25" s="8">
        <v>0</v>
      </c>
      <c r="I25" s="8">
        <v>0.36833579549999995</v>
      </c>
      <c r="J25" s="8">
        <v>1.0015567000000001E-2</v>
      </c>
      <c r="K25" s="9" t="s">
        <v>1</v>
      </c>
    </row>
    <row r="26" spans="1:11">
      <c r="A26" s="1">
        <v>13</v>
      </c>
      <c r="B26" s="2">
        <v>36663</v>
      </c>
      <c r="C26" s="5">
        <v>2000</v>
      </c>
      <c r="D26" s="10" t="s">
        <v>8</v>
      </c>
      <c r="E26" s="5">
        <v>5</v>
      </c>
      <c r="F26" s="6">
        <v>2.1475948154173143</v>
      </c>
      <c r="G26" s="8">
        <v>0.11549991533333333</v>
      </c>
      <c r="H26" s="8">
        <v>0</v>
      </c>
      <c r="I26" s="8">
        <v>0.6636139748333334</v>
      </c>
      <c r="J26" s="8">
        <v>1.0418756E-2</v>
      </c>
      <c r="K26" s="9" t="s">
        <v>1</v>
      </c>
    </row>
    <row r="27" spans="1:11">
      <c r="A27" s="1">
        <v>11</v>
      </c>
      <c r="B27" s="2">
        <v>36692</v>
      </c>
      <c r="C27" s="5">
        <v>2000</v>
      </c>
      <c r="D27" s="10" t="s">
        <v>9</v>
      </c>
      <c r="E27" s="5">
        <v>6</v>
      </c>
      <c r="F27" s="6">
        <v>2.7638883740746656</v>
      </c>
      <c r="G27" s="6">
        <v>5.3150709666666664E-2</v>
      </c>
      <c r="H27" s="6">
        <v>0</v>
      </c>
      <c r="I27" s="6">
        <v>0.87136449783333336</v>
      </c>
      <c r="J27" s="6">
        <v>4.95749495E-2</v>
      </c>
      <c r="K27" s="7" t="s">
        <v>1</v>
      </c>
    </row>
    <row r="28" spans="1:11">
      <c r="A28" s="1">
        <v>12</v>
      </c>
      <c r="B28" s="2">
        <v>36692</v>
      </c>
      <c r="C28" s="5">
        <v>2000</v>
      </c>
      <c r="D28" s="10" t="s">
        <v>9</v>
      </c>
      <c r="E28" s="5">
        <v>6</v>
      </c>
      <c r="F28" s="6">
        <v>2.2124676901625291</v>
      </c>
      <c r="G28" s="6">
        <v>7.0160232500000003E-2</v>
      </c>
      <c r="H28" s="6">
        <v>2.0004715999999999E-2</v>
      </c>
      <c r="I28" s="6">
        <v>0.54223427233333343</v>
      </c>
      <c r="J28" s="6">
        <v>2.6379945499999998E-2</v>
      </c>
      <c r="K28" s="7" t="s">
        <v>1</v>
      </c>
    </row>
    <row r="29" spans="1:11">
      <c r="A29" s="1">
        <v>13</v>
      </c>
      <c r="B29" s="2">
        <v>36692</v>
      </c>
      <c r="C29" s="5">
        <v>2000</v>
      </c>
      <c r="D29" s="10" t="s">
        <v>9</v>
      </c>
      <c r="E29" s="5">
        <v>6</v>
      </c>
      <c r="F29" s="6">
        <v>6.2336130081773158</v>
      </c>
      <c r="G29" s="6">
        <v>7.4122618000000001E-2</v>
      </c>
      <c r="H29" s="6">
        <v>0.19263754</v>
      </c>
      <c r="I29" s="6">
        <v>2.6135140796666665</v>
      </c>
      <c r="J29" s="6">
        <v>9.4161195166666656E-2</v>
      </c>
      <c r="K29" s="7" t="s">
        <v>1</v>
      </c>
    </row>
    <row r="30" spans="1:11">
      <c r="A30" s="1">
        <v>11</v>
      </c>
      <c r="B30" s="2">
        <v>36719</v>
      </c>
      <c r="C30" s="5">
        <v>2000</v>
      </c>
      <c r="D30" s="10" t="s">
        <v>10</v>
      </c>
      <c r="E30" s="5">
        <v>7</v>
      </c>
      <c r="F30" s="6">
        <v>8.3445983651178679</v>
      </c>
      <c r="G30" s="6">
        <v>0.2156364008333333</v>
      </c>
      <c r="H30" s="6">
        <v>2.8658078666666666E-2</v>
      </c>
      <c r="I30" s="6">
        <v>3.0263751078333332</v>
      </c>
      <c r="J30" s="6">
        <v>2.6214413666666669E-2</v>
      </c>
      <c r="K30" s="7" t="s">
        <v>1</v>
      </c>
    </row>
    <row r="31" spans="1:11">
      <c r="A31" s="1">
        <v>12</v>
      </c>
      <c r="B31" s="2">
        <v>36719</v>
      </c>
      <c r="C31" s="5">
        <v>2000</v>
      </c>
      <c r="D31" s="10" t="s">
        <v>10</v>
      </c>
      <c r="E31" s="5">
        <v>7</v>
      </c>
      <c r="F31" s="6">
        <v>8.1836473064242039</v>
      </c>
      <c r="G31" s="6">
        <v>0.11616078466666668</v>
      </c>
      <c r="H31" s="6">
        <v>6.1780065499999995E-2</v>
      </c>
      <c r="I31" s="6">
        <v>3.0311425084999994</v>
      </c>
      <c r="J31" s="6">
        <v>3.3271269500000006E-2</v>
      </c>
      <c r="K31" s="7" t="s">
        <v>1</v>
      </c>
    </row>
    <row r="32" spans="1:11">
      <c r="A32" s="1">
        <v>13</v>
      </c>
      <c r="B32" s="2">
        <v>36719</v>
      </c>
      <c r="C32" s="5">
        <v>2000</v>
      </c>
      <c r="D32" s="10" t="s">
        <v>10</v>
      </c>
      <c r="E32" s="5">
        <v>7</v>
      </c>
      <c r="F32" s="6">
        <v>10.88529023980014</v>
      </c>
      <c r="G32" s="6">
        <v>0.27073449450000003</v>
      </c>
      <c r="H32" s="6">
        <v>0.22492274716666669</v>
      </c>
      <c r="I32" s="6">
        <v>4.1097812715000002</v>
      </c>
      <c r="J32" s="6">
        <v>5.327001E-2</v>
      </c>
      <c r="K32" s="7" t="s">
        <v>1</v>
      </c>
    </row>
    <row r="33" spans="1:11">
      <c r="A33" s="1">
        <v>11</v>
      </c>
      <c r="B33" s="2">
        <v>36755</v>
      </c>
      <c r="C33" s="5">
        <v>2000</v>
      </c>
      <c r="D33" s="10" t="s">
        <v>11</v>
      </c>
      <c r="E33" s="5">
        <v>8</v>
      </c>
      <c r="F33" s="6">
        <v>2.3004537499939484</v>
      </c>
      <c r="G33" s="6">
        <v>0</v>
      </c>
      <c r="H33" s="6">
        <v>0</v>
      </c>
      <c r="I33" s="6">
        <v>0.57614418649999988</v>
      </c>
      <c r="J33" s="6">
        <v>4.9131714166666667E-2</v>
      </c>
      <c r="K33" s="7" t="s">
        <v>1</v>
      </c>
    </row>
    <row r="34" spans="1:11">
      <c r="A34" s="1">
        <v>12</v>
      </c>
      <c r="B34" s="2">
        <v>36755</v>
      </c>
      <c r="C34" s="5">
        <v>2000</v>
      </c>
      <c r="D34" s="10" t="s">
        <v>11</v>
      </c>
      <c r="E34" s="5">
        <v>8</v>
      </c>
      <c r="F34" s="6">
        <v>5.1062291686637913</v>
      </c>
      <c r="G34" s="6">
        <v>2.8334458166666666E-2</v>
      </c>
      <c r="H34" s="6">
        <v>0</v>
      </c>
      <c r="I34" s="6">
        <v>1.760925756</v>
      </c>
      <c r="J34" s="6">
        <v>4.3510970166666663E-2</v>
      </c>
      <c r="K34" s="7" t="s">
        <v>1</v>
      </c>
    </row>
    <row r="35" spans="1:11">
      <c r="A35" s="1">
        <v>13</v>
      </c>
      <c r="B35" s="2">
        <v>36755</v>
      </c>
      <c r="C35" s="5">
        <v>2000</v>
      </c>
      <c r="D35" s="10" t="s">
        <v>11</v>
      </c>
      <c r="E35" s="5">
        <v>8</v>
      </c>
      <c r="F35" s="6">
        <v>3.1531346366686517</v>
      </c>
      <c r="G35" s="6">
        <v>0</v>
      </c>
      <c r="H35" s="6">
        <v>0</v>
      </c>
      <c r="I35" s="6">
        <v>0.8618736216666667</v>
      </c>
      <c r="J35" s="6">
        <v>4.8509213833333335E-2</v>
      </c>
      <c r="K35" s="7" t="s">
        <v>1</v>
      </c>
    </row>
    <row r="36" spans="1:11">
      <c r="A36" s="1">
        <v>11</v>
      </c>
      <c r="B36" s="2">
        <v>36783</v>
      </c>
      <c r="C36" s="5">
        <v>2000</v>
      </c>
      <c r="D36" s="10" t="s">
        <v>12</v>
      </c>
      <c r="E36" s="5">
        <v>9</v>
      </c>
      <c r="F36" s="6">
        <v>6.4921774521053308</v>
      </c>
      <c r="G36" s="6">
        <v>5.1736023666666672E-2</v>
      </c>
      <c r="H36" s="6">
        <v>3.7777829666666665E-2</v>
      </c>
      <c r="I36" s="6">
        <v>2.5259510186666665</v>
      </c>
      <c r="J36" s="6">
        <v>0.10645119900000001</v>
      </c>
      <c r="K36" s="7" t="s">
        <v>1</v>
      </c>
    </row>
    <row r="37" spans="1:11">
      <c r="A37" s="1">
        <v>12</v>
      </c>
      <c r="B37" s="2">
        <v>36783</v>
      </c>
      <c r="C37" s="5">
        <v>2000</v>
      </c>
      <c r="D37" s="10" t="s">
        <v>12</v>
      </c>
      <c r="E37" s="5">
        <v>9</v>
      </c>
      <c r="F37" s="6">
        <v>5.079659737493162</v>
      </c>
      <c r="G37" s="6">
        <v>3.1726026166666664E-2</v>
      </c>
      <c r="H37" s="6">
        <v>1.2722887833333332E-2</v>
      </c>
      <c r="I37" s="6">
        <v>1.8800452518333333</v>
      </c>
      <c r="J37" s="6">
        <v>7.8495006666666672E-2</v>
      </c>
      <c r="K37" s="7" t="s">
        <v>1</v>
      </c>
    </row>
    <row r="38" spans="1:11">
      <c r="A38" s="1">
        <v>13</v>
      </c>
      <c r="B38" s="2">
        <v>36783</v>
      </c>
      <c r="C38" s="5">
        <v>2000</v>
      </c>
      <c r="D38" s="10" t="s">
        <v>12</v>
      </c>
      <c r="E38" s="5">
        <v>9</v>
      </c>
      <c r="F38" s="6">
        <v>7.3300044057768936</v>
      </c>
      <c r="G38" s="6">
        <v>8.0284092333333335E-2</v>
      </c>
      <c r="H38" s="6">
        <v>0</v>
      </c>
      <c r="I38" s="6">
        <v>2.3694259121666668</v>
      </c>
      <c r="J38" s="6">
        <v>0.12728297233333336</v>
      </c>
      <c r="K38" s="7" t="s">
        <v>1</v>
      </c>
    </row>
    <row r="39" spans="1:11">
      <c r="A39" s="1">
        <v>11</v>
      </c>
      <c r="B39" s="2">
        <v>36815</v>
      </c>
      <c r="C39" s="5">
        <v>2000</v>
      </c>
      <c r="D39" s="10" t="s">
        <v>0</v>
      </c>
      <c r="E39" s="5">
        <v>10</v>
      </c>
      <c r="F39" s="7">
        <v>5.6084029273355034</v>
      </c>
      <c r="G39" s="7">
        <v>0</v>
      </c>
      <c r="H39" s="7">
        <v>0</v>
      </c>
      <c r="I39" s="7">
        <v>1.9166889048333331</v>
      </c>
      <c r="J39" s="7">
        <v>0</v>
      </c>
      <c r="K39" s="7" t="s">
        <v>1</v>
      </c>
    </row>
    <row r="40" spans="1:11">
      <c r="A40" s="1">
        <v>12</v>
      </c>
      <c r="B40" s="2">
        <v>36815</v>
      </c>
      <c r="C40" s="5">
        <v>2000</v>
      </c>
      <c r="D40" s="10" t="s">
        <v>0</v>
      </c>
      <c r="E40" s="5">
        <v>10</v>
      </c>
      <c r="F40" s="7">
        <v>2.3146530410208395</v>
      </c>
      <c r="G40" s="7">
        <v>2.0375616333333336E-2</v>
      </c>
      <c r="H40" s="7">
        <v>0</v>
      </c>
      <c r="I40" s="7">
        <v>0.62774420149999999</v>
      </c>
      <c r="J40" s="7">
        <v>0</v>
      </c>
      <c r="K40" s="7" t="s">
        <v>1</v>
      </c>
    </row>
    <row r="41" spans="1:11">
      <c r="A41" s="1">
        <v>13</v>
      </c>
      <c r="B41" s="2">
        <v>36815</v>
      </c>
      <c r="C41" s="5">
        <v>2000</v>
      </c>
      <c r="D41" s="10" t="s">
        <v>0</v>
      </c>
      <c r="E41" s="5">
        <v>10</v>
      </c>
      <c r="F41" s="7">
        <v>4.0722246682320078</v>
      </c>
      <c r="G41" s="7">
        <v>4.0948948333333332E-2</v>
      </c>
      <c r="H41" s="7">
        <v>0</v>
      </c>
      <c r="I41" s="7">
        <v>1.0858327408333333</v>
      </c>
      <c r="J41" s="7">
        <v>1.3631373499999998E-2</v>
      </c>
      <c r="K41" s="7" t="s">
        <v>1</v>
      </c>
    </row>
    <row r="42" spans="1:11">
      <c r="A42" s="1">
        <v>11</v>
      </c>
      <c r="B42" s="2">
        <v>36846</v>
      </c>
      <c r="C42" s="5">
        <v>2000</v>
      </c>
      <c r="D42" s="10" t="s">
        <v>2</v>
      </c>
      <c r="E42" s="5">
        <v>11</v>
      </c>
      <c r="F42" s="7">
        <v>0.96272445572216203</v>
      </c>
      <c r="G42" s="7">
        <v>4.1106722499999998E-2</v>
      </c>
      <c r="H42" s="7">
        <v>0</v>
      </c>
      <c r="I42" s="7">
        <v>0.25774857983333332</v>
      </c>
      <c r="J42" s="7">
        <v>0</v>
      </c>
      <c r="K42" s="7" t="s">
        <v>1</v>
      </c>
    </row>
    <row r="43" spans="1:11">
      <c r="A43" s="1">
        <v>12</v>
      </c>
      <c r="B43" s="2">
        <v>36846</v>
      </c>
      <c r="C43" s="5">
        <v>2000</v>
      </c>
      <c r="D43" s="10" t="s">
        <v>2</v>
      </c>
      <c r="E43" s="5">
        <v>11</v>
      </c>
      <c r="F43" s="7">
        <v>1.1964349732257411</v>
      </c>
      <c r="G43" s="7">
        <v>5.8946105999999998E-2</v>
      </c>
      <c r="H43" s="7">
        <v>1.4805611666666668E-2</v>
      </c>
      <c r="I43" s="7">
        <v>0.34267091816666673</v>
      </c>
      <c r="J43" s="7">
        <v>0</v>
      </c>
      <c r="K43" s="7" t="s">
        <v>1</v>
      </c>
    </row>
    <row r="44" spans="1:11">
      <c r="A44" s="1">
        <v>13</v>
      </c>
      <c r="B44" s="2">
        <v>36846</v>
      </c>
      <c r="C44" s="5">
        <v>2000</v>
      </c>
      <c r="D44" s="10" t="s">
        <v>2</v>
      </c>
      <c r="E44" s="5">
        <v>11</v>
      </c>
      <c r="F44" s="7">
        <v>1.2792640717183579</v>
      </c>
      <c r="G44" s="7">
        <v>5.4019673166666671E-2</v>
      </c>
      <c r="H44" s="7">
        <v>0</v>
      </c>
      <c r="I44" s="7">
        <v>0.37003870816666662</v>
      </c>
      <c r="J44" s="7">
        <v>0</v>
      </c>
      <c r="K44" s="7" t="s">
        <v>1</v>
      </c>
    </row>
    <row r="45" spans="1:11">
      <c r="A45" s="1">
        <v>11</v>
      </c>
      <c r="B45" s="2">
        <v>36873</v>
      </c>
      <c r="C45" s="5">
        <v>2000</v>
      </c>
      <c r="D45" s="10" t="s">
        <v>3</v>
      </c>
      <c r="E45" s="5">
        <v>12</v>
      </c>
      <c r="F45" s="11">
        <v>5.0366794861125577</v>
      </c>
      <c r="G45" s="7">
        <v>6.8993931999999994E-2</v>
      </c>
      <c r="H45" s="7">
        <v>6.3601512333333332E-2</v>
      </c>
      <c r="I45" s="7">
        <v>1.8358230706666665</v>
      </c>
      <c r="J45" s="7">
        <v>1.9002820666666666E-2</v>
      </c>
      <c r="K45" s="7" t="s">
        <v>1</v>
      </c>
    </row>
    <row r="46" spans="1:11">
      <c r="A46" s="1">
        <v>12</v>
      </c>
      <c r="B46" s="2">
        <v>36873</v>
      </c>
      <c r="C46" s="5">
        <v>2000</v>
      </c>
      <c r="D46" s="10" t="s">
        <v>3</v>
      </c>
      <c r="E46" s="5">
        <v>12</v>
      </c>
      <c r="F46" s="11">
        <v>3.6710169965770558</v>
      </c>
      <c r="G46" s="7">
        <v>6.3657106333333338E-2</v>
      </c>
      <c r="H46" s="7">
        <v>0</v>
      </c>
      <c r="I46" s="7">
        <v>1.2523043001666665</v>
      </c>
      <c r="J46" s="7">
        <v>9.8851543333333333E-3</v>
      </c>
      <c r="K46" s="7" t="s">
        <v>1</v>
      </c>
    </row>
    <row r="47" spans="1:11">
      <c r="A47" s="1">
        <v>13</v>
      </c>
      <c r="B47" s="2">
        <v>36873</v>
      </c>
      <c r="C47" s="5">
        <v>2000</v>
      </c>
      <c r="D47" s="10" t="s">
        <v>3</v>
      </c>
      <c r="E47" s="5">
        <v>12</v>
      </c>
      <c r="F47" s="11">
        <v>4.0582539529803396</v>
      </c>
      <c r="G47" s="7">
        <v>6.9258036833333342E-2</v>
      </c>
      <c r="H47" s="7">
        <v>0</v>
      </c>
      <c r="I47" s="7">
        <v>1.3537788783333335</v>
      </c>
      <c r="J47" s="7">
        <v>8.7520108333333339E-3</v>
      </c>
      <c r="K47" s="7" t="s">
        <v>1</v>
      </c>
    </row>
    <row r="48" spans="1:11">
      <c r="A48" s="1">
        <v>11</v>
      </c>
      <c r="B48" s="2">
        <v>36902</v>
      </c>
      <c r="C48" s="5">
        <v>2001</v>
      </c>
      <c r="D48" s="10" t="s">
        <v>4</v>
      </c>
      <c r="E48" s="5">
        <v>1</v>
      </c>
      <c r="F48" s="7">
        <v>3.125475490778856</v>
      </c>
      <c r="G48" s="7">
        <v>7.3836632666666666E-2</v>
      </c>
      <c r="H48" s="7">
        <v>2.2087963999999998E-2</v>
      </c>
      <c r="I48" s="7">
        <v>0.97154480366666673</v>
      </c>
      <c r="J48" s="7">
        <v>0</v>
      </c>
      <c r="K48" s="7" t="s">
        <v>1</v>
      </c>
    </row>
    <row r="49" spans="1:11">
      <c r="A49" s="1">
        <v>12</v>
      </c>
      <c r="B49" s="2">
        <v>36902</v>
      </c>
      <c r="C49" s="5">
        <v>2001</v>
      </c>
      <c r="D49" s="10" t="s">
        <v>4</v>
      </c>
      <c r="E49" s="5">
        <v>1</v>
      </c>
      <c r="F49" s="7">
        <v>3.2308198186483583</v>
      </c>
      <c r="G49" s="7">
        <v>8.3747051833333336E-2</v>
      </c>
      <c r="H49" s="7">
        <v>0</v>
      </c>
      <c r="I49" s="7">
        <v>0.94213643283333337</v>
      </c>
      <c r="J49" s="7">
        <v>0</v>
      </c>
      <c r="K49" s="7" t="s">
        <v>1</v>
      </c>
    </row>
    <row r="50" spans="1:11">
      <c r="A50" s="1">
        <v>13</v>
      </c>
      <c r="B50" s="2">
        <v>36902</v>
      </c>
      <c r="C50" s="5">
        <v>2001</v>
      </c>
      <c r="D50" s="10" t="s">
        <v>4</v>
      </c>
      <c r="E50" s="5">
        <v>1</v>
      </c>
      <c r="F50" s="7">
        <v>3.0209073137566689</v>
      </c>
      <c r="G50" s="7">
        <v>9.0034116499999997E-2</v>
      </c>
      <c r="H50" s="7">
        <v>0</v>
      </c>
      <c r="I50" s="7">
        <v>0.91825393183333315</v>
      </c>
      <c r="J50" s="7">
        <v>0</v>
      </c>
      <c r="K50" s="7" t="s">
        <v>1</v>
      </c>
    </row>
    <row r="51" spans="1:11">
      <c r="A51" s="5">
        <v>11</v>
      </c>
      <c r="B51" s="2">
        <v>36929</v>
      </c>
      <c r="C51" s="5">
        <v>2001</v>
      </c>
      <c r="D51" s="4" t="s">
        <v>5</v>
      </c>
      <c r="E51" s="5">
        <v>2</v>
      </c>
      <c r="F51" s="7">
        <v>3.8806967496891618</v>
      </c>
      <c r="G51" s="7">
        <v>5.7277893166666677E-2</v>
      </c>
      <c r="H51" s="7">
        <v>0</v>
      </c>
      <c r="I51" s="7">
        <v>1.5608120268333334</v>
      </c>
      <c r="J51" s="7">
        <v>1.5925126833333331E-2</v>
      </c>
      <c r="K51" s="7" t="s">
        <v>1</v>
      </c>
    </row>
    <row r="52" spans="1:11">
      <c r="A52" s="5">
        <v>12</v>
      </c>
      <c r="B52" s="2">
        <v>36929</v>
      </c>
      <c r="C52" s="5">
        <v>2001</v>
      </c>
      <c r="D52" s="4" t="s">
        <v>5</v>
      </c>
      <c r="E52" s="5">
        <v>2</v>
      </c>
      <c r="F52" s="7">
        <v>3.7602562722602824</v>
      </c>
      <c r="G52" s="7">
        <v>5.0864085000000003E-2</v>
      </c>
      <c r="H52" s="7">
        <v>0</v>
      </c>
      <c r="I52" s="7">
        <v>1.4864522758333334</v>
      </c>
      <c r="J52" s="7">
        <v>1.3872699833333335E-2</v>
      </c>
      <c r="K52" s="7" t="s">
        <v>1</v>
      </c>
    </row>
    <row r="53" spans="1:11">
      <c r="A53" s="5">
        <v>13</v>
      </c>
      <c r="B53" s="2">
        <v>36929</v>
      </c>
      <c r="C53" s="5">
        <v>2001</v>
      </c>
      <c r="D53" s="4" t="s">
        <v>5</v>
      </c>
      <c r="E53" s="5">
        <v>2</v>
      </c>
      <c r="F53" s="7">
        <v>1.8625191553600533</v>
      </c>
      <c r="G53" s="7">
        <v>0</v>
      </c>
      <c r="H53" s="7">
        <v>0</v>
      </c>
      <c r="I53" s="7">
        <v>0.76332420800000012</v>
      </c>
      <c r="J53" s="7">
        <v>7.8549520000000001E-3</v>
      </c>
      <c r="K53" s="7" t="s">
        <v>1</v>
      </c>
    </row>
    <row r="54" spans="1:11">
      <c r="A54" s="1">
        <v>11</v>
      </c>
      <c r="B54" s="2">
        <v>36962</v>
      </c>
      <c r="C54" s="5">
        <v>2001</v>
      </c>
      <c r="D54" s="4" t="s">
        <v>6</v>
      </c>
      <c r="E54" s="5">
        <v>3</v>
      </c>
      <c r="F54" s="7">
        <v>3.2236465770558715</v>
      </c>
      <c r="G54" s="7">
        <v>4.0268370333333338E-2</v>
      </c>
      <c r="H54" s="7">
        <v>0</v>
      </c>
      <c r="I54" s="7">
        <v>1.1456036754999999</v>
      </c>
      <c r="J54" s="7">
        <v>1.9648177833333332E-2</v>
      </c>
      <c r="K54" s="7" t="s">
        <v>1</v>
      </c>
    </row>
    <row r="55" spans="1:11">
      <c r="A55" s="1">
        <v>12</v>
      </c>
      <c r="B55" s="2">
        <v>36962</v>
      </c>
      <c r="C55" s="5">
        <v>2001</v>
      </c>
      <c r="D55" s="4" t="s">
        <v>6</v>
      </c>
      <c r="E55" s="5">
        <v>3</v>
      </c>
      <c r="F55" s="7">
        <v>3.1171388018704831</v>
      </c>
      <c r="G55" s="7">
        <v>0</v>
      </c>
      <c r="H55" s="7">
        <v>0</v>
      </c>
      <c r="I55" s="7">
        <v>1.1268791841666668</v>
      </c>
      <c r="J55" s="7">
        <v>1.9920010666666665E-2</v>
      </c>
      <c r="K55" s="7" t="s">
        <v>1</v>
      </c>
    </row>
    <row r="56" spans="1:11">
      <c r="A56" s="1">
        <v>13</v>
      </c>
      <c r="B56" s="2">
        <v>36962</v>
      </c>
      <c r="C56" s="5">
        <v>2001</v>
      </c>
      <c r="D56" s="4" t="s">
        <v>6</v>
      </c>
      <c r="E56" s="5">
        <v>3</v>
      </c>
      <c r="F56" s="7">
        <v>3.3878468817028526</v>
      </c>
      <c r="G56" s="7">
        <v>3.3778872500000001E-2</v>
      </c>
      <c r="H56" s="7">
        <v>0</v>
      </c>
      <c r="I56" s="7">
        <v>1.21835413</v>
      </c>
      <c r="J56" s="7">
        <v>2.5159475833333333E-2</v>
      </c>
      <c r="K56" s="7" t="s">
        <v>1</v>
      </c>
    </row>
    <row r="57" spans="1:11">
      <c r="A57" s="1">
        <v>11</v>
      </c>
      <c r="B57" s="2">
        <v>36998</v>
      </c>
      <c r="C57" s="5">
        <v>2001</v>
      </c>
      <c r="D57" s="10" t="s">
        <v>7</v>
      </c>
      <c r="E57" s="5">
        <v>4</v>
      </c>
      <c r="F57" s="7">
        <v>0.77254101365710126</v>
      </c>
      <c r="G57" s="7">
        <v>0</v>
      </c>
      <c r="H57" s="7">
        <v>0</v>
      </c>
      <c r="I57" s="7">
        <v>0.20908421266666669</v>
      </c>
      <c r="J57" s="7">
        <v>0</v>
      </c>
      <c r="K57" s="7" t="s">
        <v>1</v>
      </c>
    </row>
    <row r="58" spans="1:11">
      <c r="A58" s="1">
        <v>12</v>
      </c>
      <c r="B58" s="2">
        <v>36998</v>
      </c>
      <c r="C58" s="5">
        <v>2001</v>
      </c>
      <c r="D58" s="10" t="s">
        <v>7</v>
      </c>
      <c r="E58" s="5">
        <v>4</v>
      </c>
      <c r="F58" s="7">
        <v>0.80760552104540972</v>
      </c>
      <c r="G58" s="7">
        <v>0</v>
      </c>
      <c r="H58" s="7">
        <v>0</v>
      </c>
      <c r="I58" s="7">
        <v>0.18882286466666667</v>
      </c>
      <c r="J58" s="7">
        <v>0</v>
      </c>
      <c r="K58" s="7" t="s">
        <v>1</v>
      </c>
    </row>
    <row r="59" spans="1:11">
      <c r="A59" s="1">
        <v>13</v>
      </c>
      <c r="B59" s="2">
        <v>36998</v>
      </c>
      <c r="C59" s="5">
        <v>2001</v>
      </c>
      <c r="D59" s="10" t="s">
        <v>7</v>
      </c>
      <c r="E59" s="5">
        <v>4</v>
      </c>
      <c r="F59" s="7">
        <v>1.5445543631392016</v>
      </c>
      <c r="G59" s="7">
        <v>4.1020444666666663E-2</v>
      </c>
      <c r="H59" s="7">
        <v>0</v>
      </c>
      <c r="I59" s="7">
        <v>0.37802931449999994</v>
      </c>
      <c r="J59" s="7">
        <v>0</v>
      </c>
      <c r="K59" s="7" t="s">
        <v>1</v>
      </c>
    </row>
    <row r="60" spans="1:11">
      <c r="A60" s="1">
        <v>11</v>
      </c>
      <c r="B60" s="2">
        <v>37025</v>
      </c>
      <c r="C60" s="5">
        <v>2001</v>
      </c>
      <c r="D60" s="10" t="s">
        <v>8</v>
      </c>
      <c r="E60" s="5">
        <v>5</v>
      </c>
      <c r="F60" s="7">
        <v>0.56353446468819501</v>
      </c>
      <c r="G60" s="7">
        <v>0</v>
      </c>
      <c r="H60" s="7">
        <v>0</v>
      </c>
      <c r="I60" s="7">
        <v>0.10816000949999999</v>
      </c>
      <c r="J60" s="7">
        <v>0</v>
      </c>
      <c r="K60" s="7" t="s">
        <v>1</v>
      </c>
    </row>
    <row r="61" spans="1:11">
      <c r="A61" s="1">
        <v>12</v>
      </c>
      <c r="B61" s="2">
        <v>37025</v>
      </c>
      <c r="C61" s="5">
        <v>2001</v>
      </c>
      <c r="D61" s="10" t="s">
        <v>8</v>
      </c>
      <c r="E61" s="5">
        <v>5</v>
      </c>
      <c r="F61" s="7">
        <v>1.0840554346049249</v>
      </c>
      <c r="G61" s="7">
        <v>0</v>
      </c>
      <c r="H61" s="7">
        <v>0</v>
      </c>
      <c r="I61" s="7">
        <v>0.22260456766666667</v>
      </c>
      <c r="J61" s="7">
        <v>0</v>
      </c>
      <c r="K61" s="7" t="s">
        <v>1</v>
      </c>
    </row>
    <row r="62" spans="1:11">
      <c r="A62" s="1">
        <v>13</v>
      </c>
      <c r="B62" s="2">
        <v>37025</v>
      </c>
      <c r="C62" s="5">
        <v>2001</v>
      </c>
      <c r="D62" s="10" t="s">
        <v>8</v>
      </c>
      <c r="E62" s="5">
        <v>5</v>
      </c>
      <c r="F62" s="7">
        <v>1.5084099124201851</v>
      </c>
      <c r="G62" s="7">
        <v>0</v>
      </c>
      <c r="H62" s="7">
        <v>0</v>
      </c>
      <c r="I62" s="7">
        <v>0.3732998635</v>
      </c>
      <c r="J62" s="7">
        <v>0</v>
      </c>
      <c r="K62" s="7" t="s">
        <v>1</v>
      </c>
    </row>
    <row r="63" spans="1:11">
      <c r="A63" s="1">
        <v>11</v>
      </c>
      <c r="B63" s="2">
        <v>37054</v>
      </c>
      <c r="C63" s="5">
        <v>2001</v>
      </c>
      <c r="D63" s="10" t="s">
        <v>9</v>
      </c>
      <c r="E63" s="5">
        <v>6</v>
      </c>
      <c r="F63" s="7">
        <v>1.7758276859708828</v>
      </c>
      <c r="G63" s="7">
        <v>2.9967342166666668E-2</v>
      </c>
      <c r="H63" s="7">
        <v>0</v>
      </c>
      <c r="I63" s="7">
        <v>0.33227973333333333</v>
      </c>
      <c r="J63" s="7">
        <v>2.1784576333333333E-2</v>
      </c>
      <c r="K63" s="7" t="s">
        <v>1</v>
      </c>
    </row>
    <row r="64" spans="1:11">
      <c r="A64" s="1">
        <v>12</v>
      </c>
      <c r="B64" s="2">
        <v>37054</v>
      </c>
      <c r="C64" s="5">
        <v>2001</v>
      </c>
      <c r="D64" s="10" t="s">
        <v>9</v>
      </c>
      <c r="E64" s="5">
        <v>6</v>
      </c>
      <c r="F64" s="7">
        <v>1.9143922671679721</v>
      </c>
      <c r="G64" s="7">
        <v>4.5995834666666673E-2</v>
      </c>
      <c r="H64" s="7">
        <v>0</v>
      </c>
      <c r="I64" s="7">
        <v>0.39249862083333331</v>
      </c>
      <c r="J64" s="7">
        <v>2.0474054833333331E-2</v>
      </c>
      <c r="K64" s="7" t="s">
        <v>1</v>
      </c>
    </row>
    <row r="65" spans="1:11">
      <c r="A65" s="1">
        <v>13</v>
      </c>
      <c r="B65" s="2">
        <v>37054</v>
      </c>
      <c r="C65" s="5">
        <v>2001</v>
      </c>
      <c r="D65" s="10" t="s">
        <v>9</v>
      </c>
      <c r="E65" s="5">
        <v>6</v>
      </c>
      <c r="F65" s="7">
        <v>2.5548083213208304</v>
      </c>
      <c r="G65" s="7">
        <v>8.805025050000001E-2</v>
      </c>
      <c r="H65" s="7">
        <v>0</v>
      </c>
      <c r="I65" s="7">
        <v>0.44492461766666663</v>
      </c>
      <c r="J65" s="7">
        <v>2.7031799166666665E-2</v>
      </c>
      <c r="K65" s="7" t="s">
        <v>1</v>
      </c>
    </row>
    <row r="66" spans="1:11">
      <c r="A66" s="1">
        <v>11</v>
      </c>
      <c r="B66" s="2">
        <v>37090</v>
      </c>
      <c r="C66" s="5">
        <v>2001</v>
      </c>
      <c r="D66" s="10" t="s">
        <v>10</v>
      </c>
      <c r="E66" s="5">
        <v>7</v>
      </c>
      <c r="F66" s="7">
        <v>6.5884677022187228</v>
      </c>
      <c r="G66" s="7">
        <v>0.21351866266666669</v>
      </c>
      <c r="H66" s="7">
        <v>6.0692314833333337E-2</v>
      </c>
      <c r="I66" s="7">
        <v>2.0578257070000001</v>
      </c>
      <c r="J66" s="7">
        <v>8.7279515833333349E-2</v>
      </c>
      <c r="K66" s="7" t="s">
        <v>1</v>
      </c>
    </row>
    <row r="67" spans="1:11">
      <c r="A67" s="1">
        <v>12</v>
      </c>
      <c r="B67" s="2">
        <v>37090</v>
      </c>
      <c r="C67" s="5">
        <v>2001</v>
      </c>
      <c r="D67" s="10" t="s">
        <v>10</v>
      </c>
      <c r="E67" s="5">
        <v>7</v>
      </c>
      <c r="F67" s="7">
        <v>5.7848786293858021</v>
      </c>
      <c r="G67" s="7">
        <v>0.15766367233333334</v>
      </c>
      <c r="H67" s="7">
        <v>3.8277166000000001E-2</v>
      </c>
      <c r="I67" s="7">
        <v>1.6313453611666668</v>
      </c>
      <c r="J67" s="7">
        <v>7.176659366666667E-2</v>
      </c>
      <c r="K67" s="7" t="s">
        <v>1</v>
      </c>
    </row>
    <row r="68" spans="1:11">
      <c r="A68" s="1">
        <v>13</v>
      </c>
      <c r="B68" s="2">
        <v>37090</v>
      </c>
      <c r="C68" s="5">
        <v>2001</v>
      </c>
      <c r="D68" s="10" t="s">
        <v>10</v>
      </c>
      <c r="E68" s="5">
        <v>7</v>
      </c>
      <c r="F68" s="7">
        <v>7.3443080746310807</v>
      </c>
      <c r="G68" s="7">
        <v>0.26227088016666672</v>
      </c>
      <c r="H68" s="7">
        <v>5.3596356166666664E-2</v>
      </c>
      <c r="I68" s="7">
        <v>2.0939522171666671</v>
      </c>
      <c r="J68" s="7">
        <v>9.8025561500000011E-2</v>
      </c>
      <c r="K68" s="7" t="s">
        <v>1</v>
      </c>
    </row>
    <row r="69" spans="1:11">
      <c r="A69" s="1">
        <v>11</v>
      </c>
      <c r="B69" s="2">
        <v>37117</v>
      </c>
      <c r="C69" s="5">
        <v>2001</v>
      </c>
      <c r="D69" s="10" t="s">
        <v>11</v>
      </c>
      <c r="E69" s="5">
        <v>8</v>
      </c>
      <c r="F69" s="7">
        <v>2.7299850378703443</v>
      </c>
      <c r="G69" s="7">
        <v>0</v>
      </c>
      <c r="H69" s="7">
        <v>1.5954165666666666E-2</v>
      </c>
      <c r="I69" s="7">
        <v>0.78053459149999993</v>
      </c>
      <c r="J69" s="7">
        <v>6.6547885499999987E-2</v>
      </c>
      <c r="K69" s="7" t="s">
        <v>1</v>
      </c>
    </row>
    <row r="70" spans="1:11">
      <c r="A70" s="1">
        <v>12</v>
      </c>
      <c r="B70" s="2">
        <v>37117</v>
      </c>
      <c r="C70" s="5">
        <v>2001</v>
      </c>
      <c r="D70" s="10" t="s">
        <v>11</v>
      </c>
      <c r="E70" s="5">
        <v>8</v>
      </c>
      <c r="F70" s="7">
        <v>4.7959886049645082</v>
      </c>
      <c r="G70" s="7">
        <v>5.2747625499999992E-2</v>
      </c>
      <c r="H70" s="7">
        <v>2.7598213666666663E-2</v>
      </c>
      <c r="I70" s="7">
        <v>1.3567874901666668</v>
      </c>
      <c r="J70" s="7">
        <v>0.10584476533333335</v>
      </c>
      <c r="K70" s="7" t="s">
        <v>1</v>
      </c>
    </row>
    <row r="71" spans="1:11">
      <c r="A71" s="1">
        <v>13</v>
      </c>
      <c r="B71" s="2">
        <v>37117</v>
      </c>
      <c r="C71" s="5">
        <v>2001</v>
      </c>
      <c r="D71" s="10" t="s">
        <v>11</v>
      </c>
      <c r="E71" s="5">
        <v>8</v>
      </c>
      <c r="F71" s="7">
        <v>8.0558754442149265</v>
      </c>
      <c r="G71" s="7">
        <v>0.14380198</v>
      </c>
      <c r="H71" s="7">
        <v>0</v>
      </c>
      <c r="I71" s="7">
        <v>1.5364394300000002</v>
      </c>
      <c r="J71" s="7">
        <v>0.16346976166666669</v>
      </c>
      <c r="K71" s="7" t="s">
        <v>1</v>
      </c>
    </row>
    <row r="72" spans="1:11">
      <c r="A72" s="1">
        <v>11</v>
      </c>
      <c r="B72" s="2">
        <v>37145</v>
      </c>
      <c r="C72" s="5">
        <v>2001</v>
      </c>
      <c r="D72" s="10" t="s">
        <v>12</v>
      </c>
      <c r="E72" s="5">
        <v>9</v>
      </c>
      <c r="F72" s="7">
        <v>3.7815516579730826</v>
      </c>
      <c r="G72" s="7">
        <v>0</v>
      </c>
      <c r="H72" s="7">
        <v>1.9176322999999999E-2</v>
      </c>
      <c r="I72" s="7">
        <v>1.1698955506666666</v>
      </c>
      <c r="J72" s="7">
        <v>5.1231735500000007E-2</v>
      </c>
      <c r="K72" s="7" t="s">
        <v>1</v>
      </c>
    </row>
    <row r="73" spans="1:11">
      <c r="A73" s="1">
        <v>12</v>
      </c>
      <c r="B73" s="2">
        <v>37145</v>
      </c>
      <c r="C73" s="5">
        <v>2001</v>
      </c>
      <c r="D73" s="10" t="s">
        <v>12</v>
      </c>
      <c r="E73" s="5">
        <v>9</v>
      </c>
      <c r="F73" s="7">
        <v>6.7455954062702794</v>
      </c>
      <c r="G73" s="7">
        <v>4.7763743999999997E-2</v>
      </c>
      <c r="H73" s="7">
        <v>2.0248139000000002E-2</v>
      </c>
      <c r="I73" s="7">
        <v>2.1877742765000003</v>
      </c>
      <c r="J73" s="7">
        <v>0.10258748883333334</v>
      </c>
      <c r="K73" s="7" t="s">
        <v>1</v>
      </c>
    </row>
    <row r="74" spans="1:11">
      <c r="A74" s="1">
        <v>13</v>
      </c>
      <c r="B74" s="2">
        <v>37145</v>
      </c>
      <c r="C74" s="5">
        <v>2001</v>
      </c>
      <c r="D74" s="10" t="s">
        <v>12</v>
      </c>
      <c r="E74" s="5">
        <v>9</v>
      </c>
      <c r="F74" s="7">
        <v>7.185663900818831</v>
      </c>
      <c r="G74" s="7">
        <v>0</v>
      </c>
      <c r="H74" s="7">
        <v>0</v>
      </c>
      <c r="I74" s="7">
        <v>2.1598375560000003</v>
      </c>
      <c r="J74" s="7">
        <v>0.15274017483333333</v>
      </c>
      <c r="K74" s="7" t="s">
        <v>1</v>
      </c>
    </row>
    <row r="75" spans="1:11">
      <c r="A75" s="1">
        <v>11</v>
      </c>
      <c r="B75" s="2">
        <v>37182</v>
      </c>
      <c r="C75" s="5">
        <v>2001</v>
      </c>
      <c r="D75" s="10" t="s">
        <v>0</v>
      </c>
      <c r="E75" s="5">
        <v>10</v>
      </c>
      <c r="F75" s="6">
        <v>4.1587500147854275</v>
      </c>
      <c r="G75" s="6">
        <v>3.3443029441022933E-2</v>
      </c>
      <c r="H75" s="12">
        <v>0</v>
      </c>
      <c r="I75" s="6">
        <v>1.3325842017073919</v>
      </c>
      <c r="J75" s="6">
        <v>2.0210610840586684E-2</v>
      </c>
      <c r="K75" s="7" t="s">
        <v>13</v>
      </c>
    </row>
    <row r="76" spans="1:11">
      <c r="A76" s="1">
        <v>12</v>
      </c>
      <c r="B76" s="2">
        <v>37182</v>
      </c>
      <c r="C76" s="5">
        <v>2001</v>
      </c>
      <c r="D76" s="10" t="s">
        <v>0</v>
      </c>
      <c r="E76" s="5">
        <v>10</v>
      </c>
      <c r="F76" s="6">
        <v>1.5564200893718469</v>
      </c>
      <c r="G76" s="6">
        <v>1.0104152725620883E-2</v>
      </c>
      <c r="H76" s="12">
        <v>0</v>
      </c>
      <c r="I76" s="6">
        <v>0.39431631216342117</v>
      </c>
      <c r="J76" s="6">
        <v>9.3934403919215589E-3</v>
      </c>
      <c r="K76" s="7" t="s">
        <v>13</v>
      </c>
    </row>
    <row r="77" spans="1:11">
      <c r="A77" s="1">
        <v>13</v>
      </c>
      <c r="B77" s="2">
        <v>37182</v>
      </c>
      <c r="C77" s="5">
        <v>2001</v>
      </c>
      <c r="D77" s="10" t="s">
        <v>0</v>
      </c>
      <c r="E77" s="5">
        <v>10</v>
      </c>
      <c r="F77" s="6">
        <v>1.9834794637689166</v>
      </c>
      <c r="G77" s="6">
        <v>1.61961440741391E-2</v>
      </c>
      <c r="H77" s="12">
        <v>0</v>
      </c>
      <c r="I77" s="6">
        <v>0.5097206300717777</v>
      </c>
      <c r="J77" s="6">
        <v>1.2260733703165289E-2</v>
      </c>
      <c r="K77" s="7" t="s">
        <v>13</v>
      </c>
    </row>
    <row r="78" spans="1:11">
      <c r="A78" s="1">
        <v>11</v>
      </c>
      <c r="B78" s="2">
        <v>37202</v>
      </c>
      <c r="C78" s="5">
        <v>2001</v>
      </c>
      <c r="D78" s="10" t="s">
        <v>2</v>
      </c>
      <c r="E78" s="5">
        <v>11</v>
      </c>
      <c r="F78" s="6">
        <v>3.4182511491427841</v>
      </c>
      <c r="G78" s="6">
        <v>2.5199563487208358E-2</v>
      </c>
      <c r="H78" s="12">
        <v>1.5633345651921628E-2</v>
      </c>
      <c r="I78" s="6">
        <v>1.1567086406303624</v>
      </c>
      <c r="J78" s="6">
        <v>2.0982329927399283E-2</v>
      </c>
      <c r="K78" s="7" t="s">
        <v>13</v>
      </c>
    </row>
    <row r="79" spans="1:11">
      <c r="A79" s="1">
        <v>12</v>
      </c>
      <c r="B79" s="2">
        <v>37202</v>
      </c>
      <c r="C79" s="5">
        <v>2001</v>
      </c>
      <c r="D79" s="10" t="s">
        <v>2</v>
      </c>
      <c r="E79" s="5">
        <v>11</v>
      </c>
      <c r="F79" s="6">
        <v>1.1800202851212065</v>
      </c>
      <c r="G79" s="6">
        <v>0</v>
      </c>
      <c r="H79" s="12">
        <v>0</v>
      </c>
      <c r="I79" s="6">
        <v>0.30963517509876115</v>
      </c>
      <c r="J79" s="6">
        <v>7.7892262103749846E-3</v>
      </c>
      <c r="K79" s="7" t="s">
        <v>13</v>
      </c>
    </row>
    <row r="80" spans="1:11">
      <c r="A80" s="1">
        <v>13</v>
      </c>
      <c r="B80" s="2">
        <v>37202</v>
      </c>
      <c r="C80" s="5">
        <v>2001</v>
      </c>
      <c r="D80" s="10" t="s">
        <v>2</v>
      </c>
      <c r="E80" s="5">
        <v>11</v>
      </c>
      <c r="F80" s="6">
        <v>2.4412516046793691</v>
      </c>
      <c r="G80" s="6">
        <v>0</v>
      </c>
      <c r="H80" s="12">
        <v>0</v>
      </c>
      <c r="I80" s="6">
        <v>0.77477510703508978</v>
      </c>
      <c r="J80" s="6">
        <v>1.1283591621568818E-2</v>
      </c>
      <c r="K80" s="7" t="s">
        <v>13</v>
      </c>
    </row>
    <row r="81" spans="1:11">
      <c r="A81" s="1">
        <v>11</v>
      </c>
      <c r="B81" s="2">
        <v>37230</v>
      </c>
      <c r="C81" s="5">
        <v>2001</v>
      </c>
      <c r="D81" s="10" t="s">
        <v>3</v>
      </c>
      <c r="E81" s="5">
        <v>12</v>
      </c>
      <c r="F81" s="6">
        <v>4.8078685793676872</v>
      </c>
      <c r="G81" s="6">
        <v>7.5779909931389E-2</v>
      </c>
      <c r="H81" s="12">
        <v>0.12744717450832838</v>
      </c>
      <c r="I81" s="6">
        <v>1.8897231850241201</v>
      </c>
      <c r="J81" s="6">
        <v>1.9231491404322256E-2</v>
      </c>
      <c r="K81" s="7" t="s">
        <v>13</v>
      </c>
    </row>
    <row r="82" spans="1:11">
      <c r="A82" s="1">
        <v>12</v>
      </c>
      <c r="B82" s="2">
        <v>37230</v>
      </c>
      <c r="C82" s="5">
        <v>2001</v>
      </c>
      <c r="D82" s="10" t="s">
        <v>3</v>
      </c>
      <c r="E82" s="5">
        <v>12</v>
      </c>
      <c r="F82" s="6">
        <v>1.5722200842333052</v>
      </c>
      <c r="G82" s="6">
        <v>2.3645964289928881E-2</v>
      </c>
      <c r="H82" s="12">
        <v>2.8387595358926612E-2</v>
      </c>
      <c r="I82" s="6">
        <v>0.5204328406837393</v>
      </c>
      <c r="J82" s="6">
        <v>5.548161677260929E-3</v>
      </c>
      <c r="K82" s="7" t="s">
        <v>13</v>
      </c>
    </row>
    <row r="83" spans="1:11">
      <c r="A83" s="1">
        <v>13</v>
      </c>
      <c r="B83" s="2">
        <v>37230</v>
      </c>
      <c r="C83" s="5">
        <v>2001</v>
      </c>
      <c r="D83" s="10" t="s">
        <v>3</v>
      </c>
      <c r="E83" s="5">
        <v>12</v>
      </c>
      <c r="F83" s="6">
        <v>4.6845751366318886</v>
      </c>
      <c r="G83" s="6">
        <v>7.7296347903552678E-2</v>
      </c>
      <c r="H83" s="12">
        <v>0.12793014017879878</v>
      </c>
      <c r="I83" s="6">
        <v>1.7462692848439871</v>
      </c>
      <c r="J83" s="6">
        <v>1.8236532099566997E-2</v>
      </c>
      <c r="K83" s="7" t="s">
        <v>13</v>
      </c>
    </row>
    <row r="84" spans="1:11">
      <c r="A84" s="1">
        <v>11</v>
      </c>
      <c r="B84" s="2">
        <v>37272</v>
      </c>
      <c r="C84" s="5">
        <v>2002</v>
      </c>
      <c r="D84" s="10" t="s">
        <v>4</v>
      </c>
      <c r="E84" s="5">
        <v>1</v>
      </c>
      <c r="F84" s="6">
        <v>4.9591191429106054</v>
      </c>
      <c r="G84" s="6">
        <v>4.4310323344016037E-2</v>
      </c>
      <c r="H84" s="12">
        <v>4.0012212780907976E-2</v>
      </c>
      <c r="I84" s="6">
        <v>1.9585632053718476</v>
      </c>
      <c r="J84" s="6">
        <v>1.5420953373766123E-2</v>
      </c>
      <c r="K84" s="7" t="s">
        <v>13</v>
      </c>
    </row>
    <row r="85" spans="1:11">
      <c r="A85" s="1">
        <v>12</v>
      </c>
      <c r="B85" s="2">
        <v>37272</v>
      </c>
      <c r="C85" s="5">
        <v>2002</v>
      </c>
      <c r="D85" s="10" t="s">
        <v>4</v>
      </c>
      <c r="E85" s="5">
        <v>1</v>
      </c>
      <c r="F85" s="6">
        <v>3.8013884466187902</v>
      </c>
      <c r="G85" s="6">
        <v>3.3479539425757099E-2</v>
      </c>
      <c r="H85" s="12">
        <v>1.920073739531605E-2</v>
      </c>
      <c r="I85" s="6">
        <v>1.2792768724814469</v>
      </c>
      <c r="J85" s="6">
        <v>5.1673498518995577E-3</v>
      </c>
      <c r="K85" s="7" t="s">
        <v>13</v>
      </c>
    </row>
    <row r="86" spans="1:11">
      <c r="A86" s="1">
        <v>13</v>
      </c>
      <c r="B86" s="2">
        <v>37272</v>
      </c>
      <c r="C86" s="5">
        <v>2002</v>
      </c>
      <c r="D86" s="10" t="s">
        <v>4</v>
      </c>
      <c r="E86" s="5">
        <v>1</v>
      </c>
      <c r="F86" s="6">
        <v>3.7012716024785215</v>
      </c>
      <c r="G86" s="6">
        <v>3.8412575356423583E-2</v>
      </c>
      <c r="H86" s="12">
        <v>1.8448080229036889E-2</v>
      </c>
      <c r="I86" s="6">
        <v>1.3638228325273567</v>
      </c>
      <c r="J86" s="6">
        <v>8.3201479236301792E-3</v>
      </c>
      <c r="K86" s="7" t="s">
        <v>13</v>
      </c>
    </row>
    <row r="87" spans="1:11">
      <c r="A87" s="1">
        <v>11</v>
      </c>
      <c r="B87" s="2">
        <v>37301</v>
      </c>
      <c r="C87" s="5">
        <v>2002</v>
      </c>
      <c r="D87" s="4" t="s">
        <v>5</v>
      </c>
      <c r="E87" s="5">
        <v>2</v>
      </c>
      <c r="F87" s="6">
        <v>4.2633391078909577</v>
      </c>
      <c r="G87" s="6">
        <v>0.17087124187603972</v>
      </c>
      <c r="H87" s="12">
        <v>2.9611332725921664E-2</v>
      </c>
      <c r="I87" s="6">
        <v>1.5082205516400069</v>
      </c>
      <c r="J87" s="6">
        <v>1.8908416499635577E-2</v>
      </c>
      <c r="K87" s="7" t="s">
        <v>13</v>
      </c>
    </row>
    <row r="88" spans="1:11">
      <c r="A88" s="1">
        <v>12</v>
      </c>
      <c r="B88" s="2">
        <v>37301</v>
      </c>
      <c r="C88" s="5">
        <v>2002</v>
      </c>
      <c r="D88" s="4" t="s">
        <v>5</v>
      </c>
      <c r="E88" s="5">
        <v>2</v>
      </c>
      <c r="F88" s="6">
        <v>1.9945291234132325</v>
      </c>
      <c r="G88" s="6">
        <v>6.8273084804675574E-2</v>
      </c>
      <c r="H88" s="12">
        <v>1.01412986230793E-2</v>
      </c>
      <c r="I88" s="6">
        <v>0.58763743902436449</v>
      </c>
      <c r="J88" s="6">
        <v>1.1300629295788232E-2</v>
      </c>
      <c r="K88" s="7" t="s">
        <v>13</v>
      </c>
    </row>
    <row r="89" spans="1:11">
      <c r="A89" s="1">
        <v>13</v>
      </c>
      <c r="B89" s="2">
        <v>37301</v>
      </c>
      <c r="C89" s="5">
        <v>2002</v>
      </c>
      <c r="D89" s="4" t="s">
        <v>5</v>
      </c>
      <c r="E89" s="5">
        <v>2</v>
      </c>
      <c r="F89" s="6">
        <v>2.2163407192601272</v>
      </c>
      <c r="G89" s="6">
        <v>7.5895842533716867E-2</v>
      </c>
      <c r="H89" s="12">
        <v>1.0468099733325567E-2</v>
      </c>
      <c r="I89" s="6">
        <v>0.70432828186368412</v>
      </c>
      <c r="J89" s="6">
        <v>6.752415424031862E-3</v>
      </c>
      <c r="K89" s="7" t="s">
        <v>13</v>
      </c>
    </row>
    <row r="90" spans="1:11">
      <c r="A90" s="1">
        <v>11</v>
      </c>
      <c r="B90" s="13">
        <v>37336</v>
      </c>
      <c r="C90" s="5">
        <v>2002</v>
      </c>
      <c r="D90" s="4" t="s">
        <v>6</v>
      </c>
      <c r="E90" s="5">
        <v>3</v>
      </c>
      <c r="F90" s="6">
        <v>2.3653736059281316</v>
      </c>
      <c r="G90" s="6">
        <v>6.3570084334456226E-2</v>
      </c>
      <c r="H90" s="12">
        <v>4.4272253462644955E-2</v>
      </c>
      <c r="I90" s="6">
        <v>0.91186617875395659</v>
      </c>
      <c r="J90" s="6">
        <v>1.3728401146138793E-2</v>
      </c>
      <c r="K90" s="7" t="s">
        <v>13</v>
      </c>
    </row>
    <row r="91" spans="1:11">
      <c r="A91" s="1">
        <v>12</v>
      </c>
      <c r="B91" s="13">
        <v>37336</v>
      </c>
      <c r="C91" s="5">
        <v>2002</v>
      </c>
      <c r="D91" s="4" t="s">
        <v>6</v>
      </c>
      <c r="E91" s="5">
        <v>3</v>
      </c>
      <c r="F91" s="6">
        <v>3.04964324848922</v>
      </c>
      <c r="G91" s="6">
        <v>8.5547067923888845E-2</v>
      </c>
      <c r="H91" s="12">
        <v>2.2462544403207881E-2</v>
      </c>
      <c r="I91" s="6">
        <v>1.0819195974645863</v>
      </c>
      <c r="J91" s="6">
        <v>1.5273507075767148E-2</v>
      </c>
      <c r="K91" s="7" t="s">
        <v>13</v>
      </c>
    </row>
    <row r="92" spans="1:11">
      <c r="A92" s="1">
        <v>13</v>
      </c>
      <c r="B92" s="13">
        <v>37336</v>
      </c>
      <c r="C92" s="5">
        <v>2002</v>
      </c>
      <c r="D92" s="4" t="s">
        <v>6</v>
      </c>
      <c r="E92" s="5">
        <v>3</v>
      </c>
      <c r="F92" s="6">
        <v>2.2489579192201825</v>
      </c>
      <c r="G92" s="6">
        <v>2.9727932977307473E-2</v>
      </c>
      <c r="H92" s="12">
        <v>8.5967295313819428E-3</v>
      </c>
      <c r="I92" s="6">
        <v>0.85468181629743678</v>
      </c>
      <c r="J92" s="6">
        <v>1.7291749888675708E-2</v>
      </c>
      <c r="K92" s="7" t="s">
        <v>13</v>
      </c>
    </row>
    <row r="93" spans="1:11">
      <c r="A93" s="1">
        <v>11</v>
      </c>
      <c r="B93" s="13">
        <v>37363</v>
      </c>
      <c r="C93" s="5">
        <v>2002</v>
      </c>
      <c r="D93" s="10" t="s">
        <v>7</v>
      </c>
      <c r="E93" s="5">
        <v>4</v>
      </c>
      <c r="F93" s="6">
        <v>1.8468308678027694</v>
      </c>
      <c r="G93" s="6">
        <v>3.0889788608073277E-2</v>
      </c>
      <c r="H93" s="12">
        <v>0</v>
      </c>
      <c r="I93" s="6">
        <v>0.54598767028307849</v>
      </c>
      <c r="J93" s="6">
        <v>1.6874717009786641E-2</v>
      </c>
      <c r="K93" s="7" t="s">
        <v>13</v>
      </c>
    </row>
    <row r="94" spans="1:11">
      <c r="A94" s="1">
        <v>12</v>
      </c>
      <c r="B94" s="13">
        <v>37363</v>
      </c>
      <c r="C94" s="5">
        <v>2002</v>
      </c>
      <c r="D94" s="10" t="s">
        <v>7</v>
      </c>
      <c r="E94" s="5">
        <v>4</v>
      </c>
      <c r="F94" s="6">
        <v>2.5389168074917996</v>
      </c>
      <c r="G94" s="6">
        <v>3.4684631730133336E-2</v>
      </c>
      <c r="H94" s="12">
        <v>0</v>
      </c>
      <c r="I94" s="6">
        <v>0.81808405524525241</v>
      </c>
      <c r="J94" s="6">
        <v>1.2713299044310051E-2</v>
      </c>
      <c r="K94" s="7" t="s">
        <v>13</v>
      </c>
    </row>
    <row r="95" spans="1:11">
      <c r="A95" s="1">
        <v>13</v>
      </c>
      <c r="B95" s="13">
        <v>37363</v>
      </c>
      <c r="C95" s="5">
        <v>2002</v>
      </c>
      <c r="D95" s="10" t="s">
        <v>7</v>
      </c>
      <c r="E95" s="5">
        <v>4</v>
      </c>
      <c r="F95" s="6">
        <v>2.1392321583524088</v>
      </c>
      <c r="G95" s="6">
        <v>0</v>
      </c>
      <c r="H95" s="6">
        <v>0</v>
      </c>
      <c r="I95" s="6">
        <v>0.64310829258166435</v>
      </c>
      <c r="J95" s="6">
        <v>1.8316802245219713E-2</v>
      </c>
      <c r="K95" s="7" t="s">
        <v>13</v>
      </c>
    </row>
    <row r="96" spans="1:11">
      <c r="A96" s="1">
        <v>11</v>
      </c>
      <c r="B96" s="13">
        <v>37392</v>
      </c>
      <c r="C96" s="5">
        <v>2002</v>
      </c>
      <c r="D96" s="10" t="s">
        <v>8</v>
      </c>
      <c r="E96" s="5">
        <v>5</v>
      </c>
      <c r="F96" s="6">
        <v>3.1846477905693367</v>
      </c>
      <c r="G96" s="14"/>
      <c r="H96" s="6">
        <v>0</v>
      </c>
      <c r="I96" s="14"/>
      <c r="J96" s="14"/>
      <c r="K96" s="7" t="s">
        <v>13</v>
      </c>
    </row>
    <row r="97" spans="1:11">
      <c r="A97" s="1">
        <v>12</v>
      </c>
      <c r="B97" s="13">
        <v>37392</v>
      </c>
      <c r="C97" s="5">
        <v>2002</v>
      </c>
      <c r="D97" s="10" t="s">
        <v>8</v>
      </c>
      <c r="E97" s="5">
        <v>5</v>
      </c>
      <c r="F97" s="6">
        <v>3.1559811950131778</v>
      </c>
      <c r="G97" s="14"/>
      <c r="H97" s="6">
        <v>0</v>
      </c>
      <c r="I97" s="14"/>
      <c r="J97" s="14"/>
      <c r="K97" s="7" t="s">
        <v>13</v>
      </c>
    </row>
    <row r="98" spans="1:11">
      <c r="A98" s="1">
        <v>13</v>
      </c>
      <c r="B98" s="13">
        <v>37392</v>
      </c>
      <c r="C98" s="5">
        <v>2002</v>
      </c>
      <c r="D98" s="10" t="s">
        <v>8</v>
      </c>
      <c r="E98" s="5">
        <v>5</v>
      </c>
      <c r="F98" s="6">
        <v>4.007809908242117</v>
      </c>
      <c r="G98" s="14"/>
      <c r="H98" s="6">
        <v>0</v>
      </c>
      <c r="I98" s="14"/>
      <c r="J98" s="14"/>
      <c r="K98" s="7" t="s">
        <v>13</v>
      </c>
    </row>
    <row r="99" spans="1:11">
      <c r="A99" s="1">
        <v>11</v>
      </c>
      <c r="B99" s="13">
        <v>37420</v>
      </c>
      <c r="C99" s="5">
        <v>2002</v>
      </c>
      <c r="D99" s="10" t="s">
        <v>9</v>
      </c>
      <c r="E99" s="5">
        <v>6</v>
      </c>
      <c r="F99" s="6">
        <v>5.6136567215606314</v>
      </c>
      <c r="G99" s="14"/>
      <c r="H99" s="6">
        <v>6.6396537304238556E-2</v>
      </c>
      <c r="I99" s="14"/>
      <c r="J99" s="14"/>
      <c r="K99" s="7" t="s">
        <v>13</v>
      </c>
    </row>
    <row r="100" spans="1:11">
      <c r="A100" s="1">
        <v>12</v>
      </c>
      <c r="B100" s="13">
        <v>37420</v>
      </c>
      <c r="C100" s="5">
        <v>2002</v>
      </c>
      <c r="D100" s="10" t="s">
        <v>9</v>
      </c>
      <c r="E100" s="5">
        <v>6</v>
      </c>
      <c r="F100" s="6">
        <v>5.7318857572664292</v>
      </c>
      <c r="G100" s="14"/>
      <c r="H100" s="6">
        <v>6.1979478963799364E-2</v>
      </c>
      <c r="I100" s="14"/>
      <c r="J100" s="14"/>
      <c r="K100" s="7" t="s">
        <v>13</v>
      </c>
    </row>
    <row r="101" spans="1:11">
      <c r="A101" s="1">
        <v>13</v>
      </c>
      <c r="B101" s="13">
        <v>37420</v>
      </c>
      <c r="C101" s="5">
        <v>2002</v>
      </c>
      <c r="D101" s="10" t="s">
        <v>9</v>
      </c>
      <c r="E101" s="5">
        <v>6</v>
      </c>
      <c r="F101" s="6">
        <v>7.9933765886263464</v>
      </c>
      <c r="G101" s="14"/>
      <c r="H101" s="6">
        <v>6.8415155217588564E-2</v>
      </c>
      <c r="I101" s="14"/>
      <c r="J101" s="14"/>
      <c r="K101" s="7" t="s">
        <v>13</v>
      </c>
    </row>
    <row r="102" spans="1:11">
      <c r="A102" s="1">
        <v>11</v>
      </c>
      <c r="B102" s="13">
        <v>37453</v>
      </c>
      <c r="C102" s="5">
        <v>2002</v>
      </c>
      <c r="D102" s="10" t="s">
        <v>10</v>
      </c>
      <c r="E102" s="5">
        <v>7</v>
      </c>
      <c r="F102" s="6">
        <v>7.8352628075604649</v>
      </c>
      <c r="G102" s="14"/>
      <c r="H102" s="6">
        <v>2.6123136294288644E-2</v>
      </c>
      <c r="I102" s="14"/>
      <c r="J102" s="14"/>
      <c r="K102" s="7" t="s">
        <v>13</v>
      </c>
    </row>
    <row r="103" spans="1:11">
      <c r="A103" s="1">
        <v>12</v>
      </c>
      <c r="B103" s="13">
        <v>37453</v>
      </c>
      <c r="C103" s="5">
        <v>2002</v>
      </c>
      <c r="D103" s="10" t="s">
        <v>10</v>
      </c>
      <c r="E103" s="5">
        <v>7</v>
      </c>
      <c r="F103" s="6">
        <v>6.7690574409260895</v>
      </c>
      <c r="G103" s="14"/>
      <c r="H103" s="6">
        <v>0</v>
      </c>
      <c r="I103" s="14"/>
      <c r="J103" s="14"/>
      <c r="K103" s="7" t="s">
        <v>13</v>
      </c>
    </row>
    <row r="104" spans="1:11">
      <c r="A104" s="1">
        <v>13</v>
      </c>
      <c r="B104" s="13">
        <v>37453</v>
      </c>
      <c r="C104" s="5">
        <v>2002</v>
      </c>
      <c r="D104" s="10" t="s">
        <v>10</v>
      </c>
      <c r="E104" s="5">
        <v>7</v>
      </c>
      <c r="F104" s="6">
        <v>7.136531931146477</v>
      </c>
      <c r="G104" s="14"/>
      <c r="H104" s="6">
        <v>0</v>
      </c>
      <c r="I104" s="14"/>
      <c r="J104" s="14"/>
      <c r="K104" s="7" t="s">
        <v>13</v>
      </c>
    </row>
    <row r="105" spans="1:11">
      <c r="A105" s="1">
        <v>11</v>
      </c>
      <c r="B105" s="13">
        <v>37481</v>
      </c>
      <c r="C105" s="5">
        <v>2002</v>
      </c>
      <c r="D105" s="10" t="s">
        <v>11</v>
      </c>
      <c r="E105" s="5">
        <v>8</v>
      </c>
      <c r="F105" s="6">
        <v>9.0493772456427095</v>
      </c>
      <c r="G105" s="14"/>
      <c r="H105" s="6">
        <v>2.4440125564759305E-2</v>
      </c>
      <c r="I105" s="14"/>
      <c r="J105" s="14"/>
      <c r="K105" s="7" t="s">
        <v>13</v>
      </c>
    </row>
    <row r="106" spans="1:11">
      <c r="A106" s="1">
        <v>12</v>
      </c>
      <c r="B106" s="13">
        <v>37481</v>
      </c>
      <c r="C106" s="5">
        <v>2002</v>
      </c>
      <c r="D106" s="10" t="s">
        <v>11</v>
      </c>
      <c r="E106" s="5">
        <v>8</v>
      </c>
      <c r="F106" s="6">
        <v>6.3998824331066571</v>
      </c>
      <c r="G106" s="14"/>
      <c r="H106" s="6">
        <v>0</v>
      </c>
      <c r="I106" s="14"/>
      <c r="J106" s="14"/>
      <c r="K106" s="7" t="s">
        <v>13</v>
      </c>
    </row>
    <row r="107" spans="1:11">
      <c r="A107" s="1">
        <v>13</v>
      </c>
      <c r="B107" s="13">
        <v>37481</v>
      </c>
      <c r="C107" s="5">
        <v>2002</v>
      </c>
      <c r="D107" s="10" t="s">
        <v>11</v>
      </c>
      <c r="E107" s="5">
        <v>8</v>
      </c>
      <c r="F107" s="6">
        <v>8.0232315251566746</v>
      </c>
      <c r="G107" s="14"/>
      <c r="H107" s="6">
        <v>0</v>
      </c>
      <c r="I107" s="14"/>
      <c r="J107" s="14"/>
      <c r="K107" s="7" t="s">
        <v>13</v>
      </c>
    </row>
    <row r="108" spans="1:11">
      <c r="A108" s="1">
        <v>11</v>
      </c>
      <c r="B108" s="13">
        <v>37518</v>
      </c>
      <c r="C108" s="5">
        <v>2002</v>
      </c>
      <c r="D108" s="10" t="s">
        <v>12</v>
      </c>
      <c r="E108" s="5">
        <v>9</v>
      </c>
      <c r="F108" s="6">
        <v>5.3303392258580082</v>
      </c>
      <c r="G108" s="14"/>
      <c r="H108" s="6">
        <v>0</v>
      </c>
      <c r="I108" s="14"/>
      <c r="J108" s="14"/>
      <c r="K108" s="7" t="s">
        <v>13</v>
      </c>
    </row>
    <row r="109" spans="1:11">
      <c r="A109" s="1">
        <v>12</v>
      </c>
      <c r="B109" s="13">
        <v>37518</v>
      </c>
      <c r="C109" s="5">
        <v>2002</v>
      </c>
      <c r="D109" s="10" t="s">
        <v>12</v>
      </c>
      <c r="E109" s="5">
        <v>9</v>
      </c>
      <c r="F109" s="6">
        <v>5.5906034676997107</v>
      </c>
      <c r="G109" s="14"/>
      <c r="H109" s="6">
        <v>9.3248677408630451E-3</v>
      </c>
      <c r="I109" s="14"/>
      <c r="J109" s="14"/>
      <c r="K109" s="7" t="s">
        <v>13</v>
      </c>
    </row>
    <row r="110" spans="1:11">
      <c r="A110" s="1">
        <v>13</v>
      </c>
      <c r="B110" s="13">
        <v>37518</v>
      </c>
      <c r="C110" s="5">
        <v>2002</v>
      </c>
      <c r="D110" s="10" t="s">
        <v>12</v>
      </c>
      <c r="E110" s="5">
        <v>9</v>
      </c>
      <c r="F110" s="6">
        <v>5.2380315895402019</v>
      </c>
      <c r="G110" s="14"/>
      <c r="H110" s="6">
        <v>0</v>
      </c>
      <c r="I110" s="14"/>
      <c r="J110" s="14"/>
      <c r="K110" s="7" t="s">
        <v>13</v>
      </c>
    </row>
    <row r="111" spans="1:11">
      <c r="A111" s="1">
        <v>11</v>
      </c>
      <c r="B111" s="13">
        <v>37546</v>
      </c>
      <c r="C111" s="5">
        <v>2002</v>
      </c>
      <c r="D111" s="10" t="s">
        <v>0</v>
      </c>
      <c r="E111" s="5">
        <v>10</v>
      </c>
      <c r="F111" s="7">
        <v>2.6166408250405646</v>
      </c>
      <c r="G111" s="7">
        <v>1.5379279243088486E-2</v>
      </c>
      <c r="H111" s="7">
        <v>0</v>
      </c>
      <c r="I111" s="7">
        <v>0.81941654429271582</v>
      </c>
      <c r="J111" s="7">
        <v>2.4065684090239289E-2</v>
      </c>
      <c r="K111" s="7">
        <v>0</v>
      </c>
    </row>
    <row r="112" spans="1:11">
      <c r="A112" s="1">
        <v>12</v>
      </c>
      <c r="B112" s="13">
        <v>37546</v>
      </c>
      <c r="C112" s="5">
        <v>2002</v>
      </c>
      <c r="D112" s="10" t="s">
        <v>0</v>
      </c>
      <c r="E112" s="5">
        <v>10</v>
      </c>
      <c r="F112" s="7">
        <v>1.7856278872824622</v>
      </c>
      <c r="G112" s="7">
        <v>0</v>
      </c>
      <c r="H112" s="7">
        <v>0</v>
      </c>
      <c r="I112" s="7">
        <v>0.57349036171031242</v>
      </c>
      <c r="J112" s="7">
        <v>1.8738156482626792E-2</v>
      </c>
      <c r="K112" s="7">
        <v>0</v>
      </c>
    </row>
    <row r="113" spans="1:11">
      <c r="A113" s="1">
        <v>13</v>
      </c>
      <c r="B113" s="13">
        <v>37546</v>
      </c>
      <c r="C113" s="5">
        <v>2002</v>
      </c>
      <c r="D113" s="10" t="s">
        <v>0</v>
      </c>
      <c r="E113" s="5">
        <v>10</v>
      </c>
      <c r="F113" s="7">
        <v>6.1642929285936283</v>
      </c>
      <c r="G113" s="7">
        <v>0.11464457654148681</v>
      </c>
      <c r="H113" s="7">
        <v>0</v>
      </c>
      <c r="I113" s="7">
        <v>1.7437779962787312</v>
      </c>
      <c r="J113" s="7">
        <v>3.5890277107961881E-2</v>
      </c>
      <c r="K113" s="7">
        <v>0</v>
      </c>
    </row>
    <row r="114" spans="1:11">
      <c r="A114" s="1">
        <v>11</v>
      </c>
      <c r="B114" s="13">
        <v>37574</v>
      </c>
      <c r="C114" s="5">
        <v>2002</v>
      </c>
      <c r="D114" s="10" t="s">
        <v>2</v>
      </c>
      <c r="E114" s="5">
        <v>11</v>
      </c>
      <c r="F114" s="7">
        <v>1.2757848084848946</v>
      </c>
      <c r="G114" s="7">
        <v>0</v>
      </c>
      <c r="H114" s="7">
        <v>0</v>
      </c>
      <c r="I114" s="7">
        <v>0.39018306191170027</v>
      </c>
      <c r="J114" s="7">
        <v>7.0203385539314034E-3</v>
      </c>
      <c r="K114" s="7">
        <v>0</v>
      </c>
    </row>
    <row r="115" spans="1:11">
      <c r="A115" s="1">
        <v>12</v>
      </c>
      <c r="B115" s="13">
        <v>37574</v>
      </c>
      <c r="C115" s="5">
        <v>2002</v>
      </c>
      <c r="D115" s="10" t="s">
        <v>2</v>
      </c>
      <c r="E115" s="5">
        <v>11</v>
      </c>
      <c r="F115" s="7">
        <v>0.8751535788144692</v>
      </c>
      <c r="G115" s="7">
        <v>0</v>
      </c>
      <c r="H115" s="7">
        <v>0</v>
      </c>
      <c r="I115" s="7">
        <v>0.23672737169167038</v>
      </c>
      <c r="J115" s="7">
        <v>9.778128253999499E-3</v>
      </c>
      <c r="K115" s="7">
        <v>0</v>
      </c>
    </row>
    <row r="116" spans="1:11">
      <c r="A116" s="1">
        <v>13</v>
      </c>
      <c r="B116" s="13">
        <v>37574</v>
      </c>
      <c r="C116" s="5">
        <v>2002</v>
      </c>
      <c r="D116" s="10" t="s">
        <v>2</v>
      </c>
      <c r="E116" s="5">
        <v>11</v>
      </c>
      <c r="F116" s="7">
        <v>2.7665530049533538</v>
      </c>
      <c r="G116" s="7">
        <v>3.0343499546855546E-2</v>
      </c>
      <c r="H116" s="7">
        <v>0</v>
      </c>
      <c r="I116" s="7">
        <v>0.58870512354623661</v>
      </c>
      <c r="J116" s="7">
        <v>7.1090984747071142E-3</v>
      </c>
      <c r="K116" s="7">
        <v>0</v>
      </c>
    </row>
    <row r="117" spans="1:11">
      <c r="A117" s="1">
        <v>11</v>
      </c>
      <c r="B117" s="13">
        <v>37608</v>
      </c>
      <c r="C117" s="5">
        <v>2002</v>
      </c>
      <c r="D117" s="10" t="s">
        <v>3</v>
      </c>
      <c r="E117" s="5">
        <v>12</v>
      </c>
      <c r="F117" s="7">
        <v>3.6969123378621527</v>
      </c>
      <c r="G117" s="7">
        <v>6.0968783219610918E-2</v>
      </c>
      <c r="H117" s="7">
        <v>0</v>
      </c>
      <c r="I117" s="7">
        <v>1.2738907255563263</v>
      </c>
      <c r="J117" s="7">
        <v>1.9809355685359936E-2</v>
      </c>
      <c r="K117" s="7">
        <v>0</v>
      </c>
    </row>
    <row r="118" spans="1:11">
      <c r="A118" s="1">
        <v>12</v>
      </c>
      <c r="B118" s="13">
        <v>37608</v>
      </c>
      <c r="C118" s="5">
        <v>2002</v>
      </c>
      <c r="D118" s="10" t="s">
        <v>3</v>
      </c>
      <c r="E118" s="5">
        <v>12</v>
      </c>
      <c r="F118" s="7">
        <v>2.2912272988173004</v>
      </c>
      <c r="G118" s="7">
        <v>9.9642614517490638E-2</v>
      </c>
      <c r="H118" s="7">
        <v>0</v>
      </c>
      <c r="I118" s="7">
        <v>0.60883252675219535</v>
      </c>
      <c r="J118" s="7">
        <v>1.1251156926795881E-2</v>
      </c>
      <c r="K118" s="7">
        <v>0</v>
      </c>
    </row>
    <row r="119" spans="1:11">
      <c r="A119" s="1">
        <v>13</v>
      </c>
      <c r="B119" s="13">
        <v>37608</v>
      </c>
      <c r="C119" s="5">
        <v>2002</v>
      </c>
      <c r="D119" s="10" t="s">
        <v>3</v>
      </c>
      <c r="E119" s="5">
        <v>12</v>
      </c>
      <c r="F119" s="7">
        <v>1.8414558030688872</v>
      </c>
      <c r="G119" s="7">
        <v>0.14294159677039506</v>
      </c>
      <c r="H119" s="7">
        <v>0</v>
      </c>
      <c r="I119" s="7">
        <v>0.37267169816897089</v>
      </c>
      <c r="J119" s="7">
        <v>1.508866709882156E-2</v>
      </c>
      <c r="K119" s="7">
        <v>0</v>
      </c>
    </row>
    <row r="120" spans="1:11">
      <c r="A120" s="1">
        <v>11</v>
      </c>
      <c r="B120" s="13">
        <v>37636</v>
      </c>
      <c r="C120" s="5">
        <v>2003</v>
      </c>
      <c r="D120" s="10" t="s">
        <v>4</v>
      </c>
      <c r="E120" s="5">
        <v>1</v>
      </c>
      <c r="F120" s="7">
        <v>5.3202170742900545</v>
      </c>
      <c r="G120" s="7">
        <v>9.8206937393222699E-2</v>
      </c>
      <c r="H120" s="7">
        <v>0</v>
      </c>
      <c r="I120" s="7">
        <v>1.6657109833679171</v>
      </c>
      <c r="J120" s="7">
        <v>1.9661543632823034E-2</v>
      </c>
      <c r="K120" s="7">
        <v>0</v>
      </c>
    </row>
    <row r="121" spans="1:11">
      <c r="A121" s="1">
        <v>12</v>
      </c>
      <c r="B121" s="13">
        <v>37636</v>
      </c>
      <c r="C121" s="5">
        <v>2003</v>
      </c>
      <c r="D121" s="10" t="s">
        <v>4</v>
      </c>
      <c r="E121" s="5">
        <v>1</v>
      </c>
      <c r="F121" s="7">
        <v>4.6355852855706683</v>
      </c>
      <c r="G121" s="7">
        <v>0.10285365088630945</v>
      </c>
      <c r="H121" s="7">
        <v>0</v>
      </c>
      <c r="I121" s="7">
        <v>1.4458444057395419</v>
      </c>
      <c r="J121" s="7">
        <v>2.024114019018974E-2</v>
      </c>
      <c r="K121" s="7">
        <v>0</v>
      </c>
    </row>
    <row r="122" spans="1:11">
      <c r="A122" s="1">
        <v>13</v>
      </c>
      <c r="B122" s="13">
        <v>37636</v>
      </c>
      <c r="C122" s="5">
        <v>2003</v>
      </c>
      <c r="D122" s="10" t="s">
        <v>4</v>
      </c>
      <c r="E122" s="5">
        <v>1</v>
      </c>
      <c r="F122" s="7">
        <v>3.3775114300288349</v>
      </c>
      <c r="G122" s="7">
        <v>8.3449139377884549E-2</v>
      </c>
      <c r="H122" s="7">
        <v>0</v>
      </c>
      <c r="I122" s="7">
        <v>0.96685599484949558</v>
      </c>
      <c r="J122" s="7">
        <v>2.1411969489907031E-2</v>
      </c>
      <c r="K122" s="7">
        <v>0</v>
      </c>
    </row>
    <row r="123" spans="1:11">
      <c r="A123" s="1">
        <v>11</v>
      </c>
      <c r="B123" s="13">
        <v>37663</v>
      </c>
      <c r="C123" s="5">
        <v>2003</v>
      </c>
      <c r="D123" s="4" t="s">
        <v>5</v>
      </c>
      <c r="E123" s="5">
        <v>2</v>
      </c>
      <c r="F123" s="7">
        <v>3.3368064315505848</v>
      </c>
      <c r="G123" s="7">
        <v>0.25652151735635281</v>
      </c>
      <c r="H123" s="7">
        <v>0</v>
      </c>
      <c r="I123" s="7">
        <v>1.0271200350006593</v>
      </c>
      <c r="J123" s="7">
        <v>2.4915708282294474E-2</v>
      </c>
      <c r="K123" s="7">
        <v>0</v>
      </c>
    </row>
    <row r="124" spans="1:11">
      <c r="A124" s="1">
        <v>12</v>
      </c>
      <c r="B124" s="13">
        <v>37663</v>
      </c>
      <c r="C124" s="5">
        <v>2003</v>
      </c>
      <c r="D124" s="4" t="s">
        <v>5</v>
      </c>
      <c r="E124" s="5">
        <v>2</v>
      </c>
      <c r="F124" s="7">
        <v>4.0076498065935011</v>
      </c>
      <c r="G124" s="7">
        <v>0.28875078145329386</v>
      </c>
      <c r="H124" s="7">
        <v>0</v>
      </c>
      <c r="I124" s="7">
        <v>1.3627323480610576</v>
      </c>
      <c r="J124" s="7">
        <v>3.0754029368429383E-2</v>
      </c>
      <c r="K124" s="7">
        <v>0</v>
      </c>
    </row>
    <row r="125" spans="1:11">
      <c r="A125" s="1">
        <v>13</v>
      </c>
      <c r="B125" s="13">
        <v>37663</v>
      </c>
      <c r="C125" s="5">
        <v>2003</v>
      </c>
      <c r="D125" s="4" t="s">
        <v>5</v>
      </c>
      <c r="E125" s="5">
        <v>2</v>
      </c>
      <c r="F125" s="7">
        <v>4.1914962166262475</v>
      </c>
      <c r="G125" s="7">
        <v>0.3761945174595796</v>
      </c>
      <c r="H125" s="7">
        <v>0</v>
      </c>
      <c r="I125" s="7">
        <v>1.3655291128877431</v>
      </c>
      <c r="J125" s="7">
        <v>3.0161946502775615E-2</v>
      </c>
      <c r="K125" s="7">
        <v>0</v>
      </c>
    </row>
    <row r="126" spans="1:11">
      <c r="A126" s="1">
        <v>11</v>
      </c>
      <c r="B126" s="13">
        <v>37691</v>
      </c>
      <c r="C126" s="5">
        <v>2003</v>
      </c>
      <c r="D126" s="4" t="s">
        <v>6</v>
      </c>
      <c r="E126" s="5">
        <v>3</v>
      </c>
      <c r="F126" s="7">
        <v>5.0204351351137921</v>
      </c>
      <c r="G126" s="7">
        <v>0.1956049098120021</v>
      </c>
      <c r="H126" s="7">
        <v>2.2807955042198055E-2</v>
      </c>
      <c r="I126" s="7">
        <v>1.6609138533444763</v>
      </c>
      <c r="J126" s="7">
        <v>3.9297493581565861E-2</v>
      </c>
      <c r="K126" s="7">
        <v>0</v>
      </c>
    </row>
    <row r="127" spans="1:11">
      <c r="A127" s="1">
        <v>12</v>
      </c>
      <c r="B127" s="13">
        <v>37691</v>
      </c>
      <c r="C127" s="5">
        <v>2003</v>
      </c>
      <c r="D127" s="4" t="s">
        <v>6</v>
      </c>
      <c r="E127" s="5">
        <v>3</v>
      </c>
      <c r="F127" s="7">
        <v>4.9045491572184394</v>
      </c>
      <c r="G127" s="7">
        <v>0.347082297142004</v>
      </c>
      <c r="H127" s="7">
        <v>0</v>
      </c>
      <c r="I127" s="7">
        <v>1.4844363923564432</v>
      </c>
      <c r="J127" s="7">
        <v>3.7384948327449229E-2</v>
      </c>
      <c r="K127" s="7">
        <v>0</v>
      </c>
    </row>
    <row r="128" spans="1:11">
      <c r="A128" s="1">
        <v>13</v>
      </c>
      <c r="B128" s="13">
        <v>37691</v>
      </c>
      <c r="C128" s="5">
        <v>2003</v>
      </c>
      <c r="D128" s="4" t="s">
        <v>6</v>
      </c>
      <c r="E128" s="5">
        <v>3</v>
      </c>
      <c r="F128" s="7">
        <v>6.9685076649625985</v>
      </c>
      <c r="G128" s="7">
        <v>0.56171819115534394</v>
      </c>
      <c r="H128" s="7">
        <v>0</v>
      </c>
      <c r="I128" s="7">
        <v>2.0654738625235027</v>
      </c>
      <c r="J128" s="7">
        <v>5.1379796073410249E-2</v>
      </c>
      <c r="K128" s="7">
        <v>0</v>
      </c>
    </row>
    <row r="129" spans="1:11">
      <c r="A129" s="1">
        <v>11</v>
      </c>
      <c r="B129" s="13">
        <v>37727</v>
      </c>
      <c r="C129" s="5">
        <v>2003</v>
      </c>
      <c r="D129" s="4" t="s">
        <v>7</v>
      </c>
      <c r="E129" s="5">
        <v>4</v>
      </c>
      <c r="F129" s="7">
        <v>11.254232607769834</v>
      </c>
      <c r="G129" s="7">
        <v>0.10128559581150011</v>
      </c>
      <c r="H129" s="7">
        <v>0</v>
      </c>
      <c r="I129" s="7">
        <v>5.0591511409989343</v>
      </c>
      <c r="J129" s="7">
        <v>3.6542256227410197E-2</v>
      </c>
      <c r="K129" s="7">
        <v>0</v>
      </c>
    </row>
    <row r="130" spans="1:11">
      <c r="A130" s="1">
        <v>12</v>
      </c>
      <c r="B130" s="13">
        <v>37727</v>
      </c>
      <c r="C130" s="5">
        <v>2003</v>
      </c>
      <c r="D130" s="4" t="s">
        <v>7</v>
      </c>
      <c r="E130" s="5">
        <v>4</v>
      </c>
      <c r="F130" s="7">
        <v>10.079919344752577</v>
      </c>
      <c r="G130" s="7">
        <v>8.9537009450891797E-2</v>
      </c>
      <c r="H130" s="7">
        <v>0</v>
      </c>
      <c r="I130" s="7">
        <v>4.6054073495921974</v>
      </c>
      <c r="J130" s="7">
        <v>3.1120217994200824E-2</v>
      </c>
      <c r="K130" s="7">
        <v>0</v>
      </c>
    </row>
    <row r="131" spans="1:11">
      <c r="A131" s="1">
        <v>13</v>
      </c>
      <c r="B131" s="13">
        <v>37727</v>
      </c>
      <c r="C131" s="5">
        <v>2003</v>
      </c>
      <c r="D131" s="4" t="s">
        <v>7</v>
      </c>
      <c r="E131" s="5">
        <v>4</v>
      </c>
      <c r="F131" s="7">
        <v>8.438081157946268</v>
      </c>
      <c r="G131" s="7">
        <v>0</v>
      </c>
      <c r="H131" s="7">
        <v>0</v>
      </c>
      <c r="I131" s="7">
        <v>3.9518842199722251</v>
      </c>
      <c r="J131" s="7">
        <v>5.07740699040439E-2</v>
      </c>
      <c r="K131" s="7">
        <v>0</v>
      </c>
    </row>
    <row r="132" spans="1:11">
      <c r="A132" s="1">
        <v>11</v>
      </c>
      <c r="B132" s="13">
        <v>37756</v>
      </c>
      <c r="C132" s="5">
        <v>2003</v>
      </c>
      <c r="D132" s="4" t="s">
        <v>8</v>
      </c>
      <c r="E132" s="5">
        <v>5</v>
      </c>
      <c r="F132" s="7">
        <v>5.484311063249673</v>
      </c>
      <c r="G132" s="7">
        <v>0.15267109649441435</v>
      </c>
      <c r="H132" s="7">
        <v>0</v>
      </c>
      <c r="I132" s="7">
        <v>1.8030158003863914</v>
      </c>
      <c r="J132" s="7">
        <v>1.4615482509872945E-2</v>
      </c>
      <c r="K132" s="7">
        <v>0</v>
      </c>
    </row>
    <row r="133" spans="1:11">
      <c r="A133" s="1">
        <v>12</v>
      </c>
      <c r="B133" s="13">
        <v>37756</v>
      </c>
      <c r="C133" s="5">
        <v>2003</v>
      </c>
      <c r="D133" s="4" t="s">
        <v>8</v>
      </c>
      <c r="E133" s="5">
        <v>5</v>
      </c>
      <c r="F133" s="7">
        <v>2.9480197528948007</v>
      </c>
      <c r="G133" s="7">
        <v>4.8196814404201441E-2</v>
      </c>
      <c r="H133" s="7">
        <v>0</v>
      </c>
      <c r="I133" s="7">
        <v>0.9972345029165488</v>
      </c>
      <c r="J133" s="7">
        <v>1.0558607053162868E-2</v>
      </c>
      <c r="K133" s="7">
        <v>0</v>
      </c>
    </row>
    <row r="134" spans="1:11">
      <c r="A134" s="1">
        <v>13</v>
      </c>
      <c r="B134" s="13">
        <v>37756</v>
      </c>
      <c r="C134" s="5">
        <v>2003</v>
      </c>
      <c r="D134" s="4" t="s">
        <v>8</v>
      </c>
      <c r="E134" s="5">
        <v>5</v>
      </c>
      <c r="F134" s="7">
        <v>3.2661056665483179</v>
      </c>
      <c r="G134" s="7">
        <v>4.1319719643609955E-2</v>
      </c>
      <c r="H134" s="7">
        <v>0</v>
      </c>
      <c r="I134" s="7">
        <v>0.95029265021341924</v>
      </c>
      <c r="J134" s="7">
        <v>1.1741001767732781E-2</v>
      </c>
      <c r="K134" s="7">
        <v>0</v>
      </c>
    </row>
    <row r="135" spans="1:11">
      <c r="A135" s="1">
        <v>11</v>
      </c>
      <c r="B135" s="13">
        <v>37790</v>
      </c>
      <c r="C135" s="5">
        <v>2003</v>
      </c>
      <c r="D135" s="4" t="s">
        <v>9</v>
      </c>
      <c r="E135" s="5">
        <v>6</v>
      </c>
      <c r="F135" s="7">
        <v>3.2426267869058725</v>
      </c>
      <c r="G135" s="7">
        <v>3.5852234675977465E-2</v>
      </c>
      <c r="H135" s="7">
        <v>6.1029871841645059E-2</v>
      </c>
      <c r="I135" s="7">
        <v>1.3607660496659861</v>
      </c>
      <c r="J135" s="7">
        <v>2.4567000643532459E-2</v>
      </c>
      <c r="K135" s="7">
        <v>0</v>
      </c>
    </row>
    <row r="136" spans="1:11">
      <c r="A136" s="1">
        <v>12</v>
      </c>
      <c r="B136" s="13">
        <v>37790</v>
      </c>
      <c r="C136" s="5">
        <v>2003</v>
      </c>
      <c r="D136" s="4" t="s">
        <v>9</v>
      </c>
      <c r="E136" s="5">
        <v>6</v>
      </c>
      <c r="F136" s="7">
        <v>3.5286733265654591</v>
      </c>
      <c r="G136" s="7">
        <v>2.7921891431596704E-2</v>
      </c>
      <c r="H136" s="7">
        <v>0</v>
      </c>
      <c r="I136" s="7">
        <v>1.2506459356053581</v>
      </c>
      <c r="J136" s="7">
        <v>2.4312217254127928E-2</v>
      </c>
      <c r="K136" s="7">
        <v>0</v>
      </c>
    </row>
    <row r="137" spans="1:11">
      <c r="A137" s="1">
        <v>13</v>
      </c>
      <c r="B137" s="13">
        <v>37790</v>
      </c>
      <c r="C137" s="5">
        <v>2003</v>
      </c>
      <c r="D137" s="4" t="s">
        <v>9</v>
      </c>
      <c r="E137" s="5">
        <v>6</v>
      </c>
      <c r="F137" s="7">
        <v>2.8322365351529468</v>
      </c>
      <c r="G137" s="7">
        <v>5.9789702601109045E-2</v>
      </c>
      <c r="H137" s="7">
        <v>0</v>
      </c>
      <c r="I137" s="7">
        <v>1.0065106129702024</v>
      </c>
      <c r="J137" s="7">
        <v>3.1536014447632141E-2</v>
      </c>
      <c r="K137" s="7">
        <v>0</v>
      </c>
    </row>
    <row r="138" spans="1:11">
      <c r="A138" s="1">
        <v>11</v>
      </c>
      <c r="B138" s="13">
        <v>37818</v>
      </c>
      <c r="C138" s="5">
        <v>2003</v>
      </c>
      <c r="D138" s="10" t="s">
        <v>10</v>
      </c>
      <c r="E138" s="5">
        <v>7</v>
      </c>
      <c r="F138" s="7">
        <v>6.5051406992595178</v>
      </c>
      <c r="G138" s="7">
        <v>0.18176155444381639</v>
      </c>
      <c r="H138" s="7">
        <v>4.8255559293576916E-2</v>
      </c>
      <c r="I138" s="7">
        <v>1.5236835904141635</v>
      </c>
      <c r="J138" s="7">
        <v>0.14489569947508035</v>
      </c>
      <c r="K138" s="7">
        <v>0</v>
      </c>
    </row>
    <row r="139" spans="1:11">
      <c r="A139" s="1">
        <v>12</v>
      </c>
      <c r="B139" s="13">
        <v>37818</v>
      </c>
      <c r="C139" s="5">
        <v>2003</v>
      </c>
      <c r="D139" s="10" t="s">
        <v>10</v>
      </c>
      <c r="E139" s="5">
        <v>7</v>
      </c>
      <c r="F139" s="7">
        <v>6.0535765478145125</v>
      </c>
      <c r="G139" s="7">
        <v>0.12641502347927966</v>
      </c>
      <c r="H139" s="7">
        <v>0</v>
      </c>
      <c r="I139" s="7">
        <v>1.4262158378112171</v>
      </c>
      <c r="J139" s="7">
        <v>0.15003230225962186</v>
      </c>
      <c r="K139" s="7">
        <v>0</v>
      </c>
    </row>
    <row r="140" spans="1:11">
      <c r="A140" s="1">
        <v>13</v>
      </c>
      <c r="B140" s="13">
        <v>37818</v>
      </c>
      <c r="C140" s="5">
        <v>2003</v>
      </c>
      <c r="D140" s="10" t="s">
        <v>10</v>
      </c>
      <c r="E140" s="5">
        <v>7</v>
      </c>
      <c r="F140" s="7">
        <v>6.58335560767273</v>
      </c>
      <c r="G140" s="7">
        <v>0.16889182974400288</v>
      </c>
      <c r="H140" s="7">
        <v>4.9092442272546312E-2</v>
      </c>
      <c r="I140" s="7">
        <v>1.5345801116252418</v>
      </c>
      <c r="J140" s="7">
        <v>0.17411166722348972</v>
      </c>
      <c r="K140" s="7">
        <v>0</v>
      </c>
    </row>
    <row r="141" spans="1:11">
      <c r="A141" s="1">
        <v>11</v>
      </c>
      <c r="B141" s="13">
        <v>37846</v>
      </c>
      <c r="C141" s="5">
        <v>2003</v>
      </c>
      <c r="D141" s="10" t="s">
        <v>11</v>
      </c>
      <c r="E141" s="5">
        <v>8</v>
      </c>
      <c r="F141" s="7">
        <v>4.5407838560447962</v>
      </c>
      <c r="G141" s="7">
        <v>0.13128955567799624</v>
      </c>
      <c r="H141" s="7">
        <v>0</v>
      </c>
      <c r="I141" s="7">
        <v>1.3295078169763914</v>
      </c>
      <c r="J141" s="7">
        <v>4.9228154826732692E-2</v>
      </c>
      <c r="K141" s="7">
        <v>0</v>
      </c>
    </row>
    <row r="142" spans="1:11">
      <c r="A142" s="1">
        <v>12</v>
      </c>
      <c r="B142" s="13">
        <v>37846</v>
      </c>
      <c r="C142" s="5">
        <v>2003</v>
      </c>
      <c r="D142" s="10" t="s">
        <v>11</v>
      </c>
      <c r="E142" s="5">
        <v>8</v>
      </c>
      <c r="F142" s="7">
        <v>3.7189576159817936</v>
      </c>
      <c r="G142" s="7">
        <v>4.7577285699421712E-2</v>
      </c>
      <c r="H142" s="7">
        <v>0</v>
      </c>
      <c r="I142" s="7">
        <v>1.0467911152771305</v>
      </c>
      <c r="J142" s="7">
        <v>4.3439947379466243E-2</v>
      </c>
      <c r="K142" s="7">
        <v>0</v>
      </c>
    </row>
    <row r="143" spans="1:11">
      <c r="A143" s="1">
        <v>13</v>
      </c>
      <c r="B143" s="13">
        <v>37846</v>
      </c>
      <c r="C143" s="5">
        <v>2003</v>
      </c>
      <c r="D143" s="10" t="s">
        <v>11</v>
      </c>
      <c r="E143" s="5">
        <v>8</v>
      </c>
      <c r="F143" s="7">
        <v>10.711076709545047</v>
      </c>
      <c r="G143" s="7">
        <v>0.19422818224362742</v>
      </c>
      <c r="H143" s="7">
        <v>0</v>
      </c>
      <c r="I143" s="7">
        <v>3.5803623952044212</v>
      </c>
      <c r="J143" s="7">
        <v>0.15122868772861633</v>
      </c>
      <c r="K143" s="7">
        <v>0</v>
      </c>
    </row>
    <row r="144" spans="1:11">
      <c r="A144" s="1">
        <v>11</v>
      </c>
      <c r="B144" s="13">
        <v>37886</v>
      </c>
      <c r="C144" s="5">
        <v>2003</v>
      </c>
      <c r="D144" s="10" t="s">
        <v>12</v>
      </c>
      <c r="E144" s="5">
        <v>9</v>
      </c>
      <c r="F144" s="7">
        <v>4.2536354087212249</v>
      </c>
      <c r="G144" s="7">
        <v>6.7357800263588646E-2</v>
      </c>
      <c r="H144" s="7">
        <v>0</v>
      </c>
      <c r="I144" s="7">
        <v>1.0031016120243779</v>
      </c>
      <c r="J144" s="7">
        <v>7.8561217128649219E-2</v>
      </c>
      <c r="K144" s="7">
        <v>0</v>
      </c>
    </row>
    <row r="145" spans="1:11">
      <c r="A145" s="1">
        <v>12</v>
      </c>
      <c r="B145" s="13">
        <v>37886</v>
      </c>
      <c r="C145" s="5">
        <v>2003</v>
      </c>
      <c r="D145" s="10" t="s">
        <v>12</v>
      </c>
      <c r="E145" s="5">
        <v>9</v>
      </c>
      <c r="F145" s="7">
        <v>3.1023816465487308</v>
      </c>
      <c r="G145" s="7">
        <v>3.2899516300811581E-2</v>
      </c>
      <c r="H145" s="7">
        <v>0</v>
      </c>
      <c r="I145" s="7">
        <v>0.79147673709216049</v>
      </c>
      <c r="J145" s="7">
        <v>7.2287376548971313E-2</v>
      </c>
      <c r="K145" s="7">
        <v>0</v>
      </c>
    </row>
    <row r="146" spans="1:11">
      <c r="A146" s="1">
        <v>13</v>
      </c>
      <c r="B146" s="13">
        <v>37886</v>
      </c>
      <c r="C146" s="5">
        <v>2003</v>
      </c>
      <c r="D146" s="10" t="s">
        <v>12</v>
      </c>
      <c r="E146" s="5">
        <v>9</v>
      </c>
      <c r="F146" s="7">
        <v>13.142605853309073</v>
      </c>
      <c r="G146" s="7">
        <v>0.55280683036087264</v>
      </c>
      <c r="H146" s="7">
        <v>0</v>
      </c>
      <c r="I146" s="7">
        <v>3.9831909031615851</v>
      </c>
      <c r="J146" s="7">
        <v>0.11979716761760784</v>
      </c>
      <c r="K146" s="7">
        <v>0</v>
      </c>
    </row>
    <row r="147" spans="1:11">
      <c r="A147" s="1">
        <v>11</v>
      </c>
      <c r="B147" s="13">
        <v>37910</v>
      </c>
      <c r="C147" s="5">
        <v>2003</v>
      </c>
      <c r="D147" s="10" t="s">
        <v>0</v>
      </c>
      <c r="E147" s="5">
        <v>10</v>
      </c>
      <c r="F147" s="6">
        <v>3.8068</v>
      </c>
      <c r="G147" s="7">
        <v>5.1957383941687647E-2</v>
      </c>
      <c r="H147" s="7">
        <v>0</v>
      </c>
      <c r="I147" s="7">
        <v>0.93134827756924476</v>
      </c>
      <c r="J147" s="7">
        <v>3.6916700543619195E-2</v>
      </c>
      <c r="K147" s="7">
        <v>0</v>
      </c>
    </row>
    <row r="148" spans="1:11">
      <c r="A148" s="1">
        <v>12</v>
      </c>
      <c r="B148" s="13">
        <v>37910</v>
      </c>
      <c r="C148" s="5">
        <v>2003</v>
      </c>
      <c r="D148" s="10" t="s">
        <v>0</v>
      </c>
      <c r="E148" s="5">
        <v>10</v>
      </c>
      <c r="F148" s="6">
        <v>3.6869999999999998</v>
      </c>
      <c r="G148" s="7">
        <v>2.5649842033089995E-2</v>
      </c>
      <c r="H148" s="7">
        <v>0</v>
      </c>
      <c r="I148" s="7">
        <v>0.80979879140503963</v>
      </c>
      <c r="J148" s="7">
        <v>2.3725839338018338E-2</v>
      </c>
      <c r="K148" s="7">
        <v>0</v>
      </c>
    </row>
    <row r="149" spans="1:11">
      <c r="A149" s="1">
        <v>13</v>
      </c>
      <c r="B149" s="13">
        <v>37910</v>
      </c>
      <c r="C149" s="5">
        <v>2003</v>
      </c>
      <c r="D149" s="10" t="s">
        <v>0</v>
      </c>
      <c r="E149" s="5">
        <v>10</v>
      </c>
      <c r="F149" s="6">
        <v>3.1741999999999999</v>
      </c>
      <c r="G149" s="7">
        <v>7.0483787417965391E-2</v>
      </c>
      <c r="H149" s="7">
        <v>0</v>
      </c>
      <c r="I149" s="7">
        <v>0.61377676831994654</v>
      </c>
      <c r="J149" s="7">
        <v>4.017307436404341E-2</v>
      </c>
      <c r="K149" s="7">
        <v>0</v>
      </c>
    </row>
    <row r="150" spans="1:11">
      <c r="A150" s="1">
        <v>11</v>
      </c>
      <c r="B150" s="13">
        <v>37942</v>
      </c>
      <c r="C150" s="5">
        <v>2003</v>
      </c>
      <c r="D150" s="10" t="s">
        <v>2</v>
      </c>
      <c r="E150" s="5">
        <v>11</v>
      </c>
      <c r="F150" s="6">
        <v>4.8413000000000004</v>
      </c>
      <c r="G150" s="7">
        <v>0.11228905157681913</v>
      </c>
      <c r="H150" s="7">
        <v>0</v>
      </c>
      <c r="I150" s="7">
        <v>1.3173269554706923</v>
      </c>
      <c r="J150" s="7">
        <v>4.3447615135408457E-2</v>
      </c>
      <c r="K150" s="7">
        <v>0</v>
      </c>
    </row>
    <row r="151" spans="1:11">
      <c r="A151" s="1">
        <v>12</v>
      </c>
      <c r="B151" s="13">
        <v>37942</v>
      </c>
      <c r="C151" s="5">
        <v>2003</v>
      </c>
      <c r="D151" s="10" t="s">
        <v>2</v>
      </c>
      <c r="E151" s="5">
        <v>11</v>
      </c>
      <c r="F151" s="6">
        <v>3.2201</v>
      </c>
      <c r="G151" s="7">
        <v>6.7456715119782157E-2</v>
      </c>
      <c r="H151" s="7">
        <v>0</v>
      </c>
      <c r="I151" s="7">
        <v>0.79199886929580077</v>
      </c>
      <c r="J151" s="7">
        <v>3.4302199117123275E-2</v>
      </c>
      <c r="K151" s="7">
        <v>0</v>
      </c>
    </row>
    <row r="152" spans="1:11">
      <c r="A152" s="1">
        <v>13</v>
      </c>
      <c r="B152" s="13">
        <v>37942</v>
      </c>
      <c r="C152" s="5">
        <v>2003</v>
      </c>
      <c r="D152" s="10" t="s">
        <v>2</v>
      </c>
      <c r="E152" s="5">
        <v>11</v>
      </c>
      <c r="F152" s="6">
        <v>5.569</v>
      </c>
      <c r="G152" s="7">
        <v>6.3811667168690189E-2</v>
      </c>
      <c r="H152" s="7">
        <v>0</v>
      </c>
      <c r="I152" s="7">
        <v>1.334186781333782</v>
      </c>
      <c r="J152" s="7">
        <v>3.8601675026404297E-2</v>
      </c>
      <c r="K152" s="7">
        <v>0</v>
      </c>
    </row>
    <row r="153" spans="1:11">
      <c r="A153" s="1">
        <v>11</v>
      </c>
      <c r="B153" s="13">
        <v>37971</v>
      </c>
      <c r="C153" s="5">
        <v>2003</v>
      </c>
      <c r="D153" s="10" t="s">
        <v>3</v>
      </c>
      <c r="E153" s="5">
        <v>12</v>
      </c>
      <c r="F153" s="6">
        <v>3.92</v>
      </c>
      <c r="G153" s="7">
        <v>0.1694587067773953</v>
      </c>
      <c r="H153" s="7">
        <v>0</v>
      </c>
      <c r="I153" s="7">
        <v>0.92641531772651942</v>
      </c>
      <c r="J153" s="7">
        <v>2.0643451948078498E-2</v>
      </c>
      <c r="K153" s="7">
        <v>0</v>
      </c>
    </row>
    <row r="154" spans="1:11">
      <c r="A154" s="1">
        <v>12</v>
      </c>
      <c r="B154" s="13">
        <v>37971</v>
      </c>
      <c r="C154" s="5">
        <v>2003</v>
      </c>
      <c r="D154" s="10" t="s">
        <v>3</v>
      </c>
      <c r="E154" s="5">
        <v>12</v>
      </c>
      <c r="F154" s="6">
        <v>4.3407999999999998</v>
      </c>
      <c r="G154" s="7">
        <v>0.13682492368917237</v>
      </c>
      <c r="H154" s="7">
        <v>0</v>
      </c>
      <c r="I154" s="7">
        <v>1.1899397734898358</v>
      </c>
      <c r="J154" s="7">
        <v>1.9868902264510095E-2</v>
      </c>
      <c r="K154" s="7">
        <v>0</v>
      </c>
    </row>
    <row r="155" spans="1:11">
      <c r="A155" s="1">
        <v>13</v>
      </c>
      <c r="B155" s="13">
        <v>37971</v>
      </c>
      <c r="C155" s="5">
        <v>2003</v>
      </c>
      <c r="D155" s="10" t="s">
        <v>3</v>
      </c>
      <c r="E155" s="5">
        <v>12</v>
      </c>
      <c r="F155" s="6">
        <v>4.5111999999999997</v>
      </c>
      <c r="G155" s="7">
        <v>0.11936726931516636</v>
      </c>
      <c r="H155" s="7">
        <v>0</v>
      </c>
      <c r="I155" s="7">
        <v>1.3101490921158321</v>
      </c>
      <c r="J155" s="7">
        <v>1.5835596477880087E-2</v>
      </c>
      <c r="K155" s="7">
        <v>0</v>
      </c>
    </row>
    <row r="156" spans="1:11">
      <c r="A156" s="1">
        <v>11</v>
      </c>
      <c r="B156" s="13">
        <v>37998</v>
      </c>
      <c r="C156" s="5">
        <v>2004</v>
      </c>
      <c r="D156" s="10" t="s">
        <v>4</v>
      </c>
      <c r="E156" s="5">
        <v>1</v>
      </c>
      <c r="F156" s="6">
        <v>11.2464</v>
      </c>
      <c r="G156" s="6">
        <v>4.9257430716762342E-2</v>
      </c>
      <c r="H156" s="6">
        <v>0</v>
      </c>
      <c r="I156" s="6">
        <v>3.6971911775045836</v>
      </c>
      <c r="J156" s="6">
        <v>1.5760368466281663E-2</v>
      </c>
      <c r="K156" s="6">
        <v>0</v>
      </c>
    </row>
    <row r="157" spans="1:11">
      <c r="A157" s="1">
        <v>12</v>
      </c>
      <c r="B157" s="13">
        <v>37998</v>
      </c>
      <c r="C157" s="5">
        <v>2004</v>
      </c>
      <c r="D157" s="10" t="s">
        <v>4</v>
      </c>
      <c r="E157" s="5">
        <v>1</v>
      </c>
      <c r="F157" s="6">
        <v>8.6221999999999994</v>
      </c>
      <c r="G157" s="6">
        <v>3.9365345337830961E-2</v>
      </c>
      <c r="H157" s="6">
        <v>0</v>
      </c>
      <c r="I157" s="6">
        <v>2.7540841760994961</v>
      </c>
      <c r="J157" s="6">
        <v>1.6129202502105075E-2</v>
      </c>
      <c r="K157" s="6">
        <v>0</v>
      </c>
    </row>
    <row r="158" spans="1:11">
      <c r="A158" s="1">
        <v>13</v>
      </c>
      <c r="B158" s="13">
        <v>37998</v>
      </c>
      <c r="C158" s="5">
        <v>2004</v>
      </c>
      <c r="D158" s="10" t="s">
        <v>4</v>
      </c>
      <c r="E158" s="5">
        <v>1</v>
      </c>
      <c r="F158" s="6">
        <v>8.8927999999999994</v>
      </c>
      <c r="G158" s="6">
        <v>3.8575275212569753E-2</v>
      </c>
      <c r="H158" s="6">
        <v>0</v>
      </c>
      <c r="I158" s="6">
        <v>2.7545533730197231</v>
      </c>
      <c r="J158" s="6">
        <v>1.4365564827511087E-2</v>
      </c>
      <c r="K158" s="6">
        <v>0</v>
      </c>
    </row>
    <row r="159" spans="1:11">
      <c r="A159" s="1">
        <v>11</v>
      </c>
      <c r="B159" s="13">
        <v>38026</v>
      </c>
      <c r="C159" s="5">
        <v>2004</v>
      </c>
      <c r="D159" s="4" t="s">
        <v>5</v>
      </c>
      <c r="E159" s="5">
        <v>2</v>
      </c>
      <c r="F159" s="6">
        <v>10.513199999999999</v>
      </c>
      <c r="G159" s="6">
        <v>0.33397054537147164</v>
      </c>
      <c r="H159" s="6">
        <v>0</v>
      </c>
      <c r="I159" s="6">
        <v>3.3928981313643551</v>
      </c>
      <c r="J159" s="6">
        <v>2.678906065631825E-2</v>
      </c>
      <c r="K159" s="6">
        <v>0</v>
      </c>
    </row>
    <row r="160" spans="1:11">
      <c r="A160" s="1">
        <v>12</v>
      </c>
      <c r="B160" s="13">
        <v>38026</v>
      </c>
      <c r="C160" s="5">
        <v>2004</v>
      </c>
      <c r="D160" s="4" t="s">
        <v>5</v>
      </c>
      <c r="E160" s="5">
        <v>2</v>
      </c>
      <c r="F160" s="6">
        <v>7.7442000000000002</v>
      </c>
      <c r="G160" s="6">
        <v>0.15392051521273245</v>
      </c>
      <c r="H160" s="6">
        <v>0</v>
      </c>
      <c r="I160" s="6">
        <v>2.4485607490234975</v>
      </c>
      <c r="J160" s="6">
        <v>2.4359852773418299E-2</v>
      </c>
      <c r="K160" s="6">
        <v>0</v>
      </c>
    </row>
    <row r="161" spans="1:11">
      <c r="A161" s="1">
        <v>13</v>
      </c>
      <c r="B161" s="13">
        <v>38026</v>
      </c>
      <c r="C161" s="5">
        <v>2004</v>
      </c>
      <c r="D161" s="4" t="s">
        <v>5</v>
      </c>
      <c r="E161" s="5">
        <v>2</v>
      </c>
      <c r="F161" s="6">
        <v>7.9497</v>
      </c>
      <c r="G161" s="6">
        <v>0.23408982207284412</v>
      </c>
      <c r="H161" s="6">
        <v>0</v>
      </c>
      <c r="I161" s="6">
        <v>2.5488635206380792</v>
      </c>
      <c r="J161" s="6">
        <v>2.2943820413453317E-2</v>
      </c>
      <c r="K161" s="6">
        <v>0</v>
      </c>
    </row>
    <row r="162" spans="1:11">
      <c r="A162" s="1">
        <v>11</v>
      </c>
      <c r="B162" s="13">
        <v>38061</v>
      </c>
      <c r="C162" s="5">
        <v>2004</v>
      </c>
      <c r="D162" s="4" t="s">
        <v>6</v>
      </c>
      <c r="E162" s="5">
        <v>3</v>
      </c>
      <c r="F162" s="6">
        <v>7.3631000000000002</v>
      </c>
      <c r="G162" s="6">
        <v>0.18406605091588557</v>
      </c>
      <c r="H162" s="6">
        <v>0</v>
      </c>
      <c r="I162" s="6">
        <v>3.0024074779196406</v>
      </c>
      <c r="J162" s="6">
        <v>5.68193513745609E-2</v>
      </c>
      <c r="K162" s="6">
        <v>0</v>
      </c>
    </row>
    <row r="163" spans="1:11">
      <c r="A163" s="1">
        <v>12</v>
      </c>
      <c r="B163" s="13">
        <v>38061</v>
      </c>
      <c r="C163" s="5">
        <v>2004</v>
      </c>
      <c r="D163" s="4" t="s">
        <v>6</v>
      </c>
      <c r="E163" s="5">
        <v>3</v>
      </c>
      <c r="F163" s="6">
        <v>7.0602999999999998</v>
      </c>
      <c r="G163" s="6">
        <v>0.25464506174903367</v>
      </c>
      <c r="H163" s="6">
        <v>0</v>
      </c>
      <c r="I163" s="6">
        <v>2.7913365965378549</v>
      </c>
      <c r="J163" s="6">
        <v>3.3875499731458363E-2</v>
      </c>
      <c r="K163" s="6">
        <v>0</v>
      </c>
    </row>
    <row r="164" spans="1:11">
      <c r="A164" s="1">
        <v>13</v>
      </c>
      <c r="B164" s="13">
        <v>38061</v>
      </c>
      <c r="C164" s="5">
        <v>2004</v>
      </c>
      <c r="D164" s="4" t="s">
        <v>6</v>
      </c>
      <c r="E164" s="5">
        <v>3</v>
      </c>
      <c r="F164" s="6">
        <v>5.5250000000000004</v>
      </c>
      <c r="G164" s="6">
        <v>0.34106172905722992</v>
      </c>
      <c r="H164" s="6">
        <v>0</v>
      </c>
      <c r="I164" s="6">
        <v>2.0877719480598564</v>
      </c>
      <c r="J164" s="6">
        <v>5.0367866786962569E-2</v>
      </c>
      <c r="K164" s="6">
        <v>0</v>
      </c>
    </row>
    <row r="165" spans="1:11">
      <c r="A165" s="1">
        <v>11</v>
      </c>
      <c r="B165" s="13">
        <v>38093</v>
      </c>
      <c r="C165" s="5">
        <v>2004</v>
      </c>
      <c r="D165" s="4" t="s">
        <v>7</v>
      </c>
      <c r="E165" s="5">
        <v>4</v>
      </c>
      <c r="F165" s="6">
        <v>2.2610000000000001</v>
      </c>
      <c r="G165" s="15">
        <v>6.5263731479753867E-2</v>
      </c>
      <c r="H165" s="15">
        <v>0</v>
      </c>
      <c r="I165" s="15">
        <v>0.63957856125469259</v>
      </c>
      <c r="J165" s="15">
        <v>2.4833100487574544E-2</v>
      </c>
      <c r="K165" s="15">
        <v>0</v>
      </c>
    </row>
    <row r="166" spans="1:11">
      <c r="A166" s="1">
        <v>12</v>
      </c>
      <c r="B166" s="13">
        <v>38093</v>
      </c>
      <c r="C166" s="5">
        <v>2004</v>
      </c>
      <c r="D166" s="4" t="s">
        <v>7</v>
      </c>
      <c r="E166" s="5">
        <v>4</v>
      </c>
      <c r="F166" s="6">
        <v>1.8019000000000001</v>
      </c>
      <c r="G166" s="15">
        <v>5.2192355365586224E-2</v>
      </c>
      <c r="H166" s="15">
        <v>0</v>
      </c>
      <c r="I166" s="15">
        <v>0.4072977558515376</v>
      </c>
      <c r="J166" s="15">
        <v>1.8351640154420257E-2</v>
      </c>
      <c r="K166" s="15">
        <v>0</v>
      </c>
    </row>
    <row r="167" spans="1:11">
      <c r="A167" s="1">
        <v>13</v>
      </c>
      <c r="B167" s="13">
        <v>38093</v>
      </c>
      <c r="C167" s="5">
        <v>2004</v>
      </c>
      <c r="D167" s="4" t="s">
        <v>7</v>
      </c>
      <c r="E167" s="5">
        <v>4</v>
      </c>
      <c r="F167" s="6">
        <v>3.4596</v>
      </c>
      <c r="G167" s="15">
        <v>4.0618298143635732E-2</v>
      </c>
      <c r="H167" s="15">
        <v>2.2832210548346471E-2</v>
      </c>
      <c r="I167" s="15">
        <v>1.1038725735418771</v>
      </c>
      <c r="J167" s="15">
        <v>3.2097076233406047E-2</v>
      </c>
      <c r="K167" s="15">
        <v>0</v>
      </c>
    </row>
    <row r="168" spans="1:11">
      <c r="A168" s="1">
        <v>11</v>
      </c>
      <c r="B168" s="13">
        <v>38117</v>
      </c>
      <c r="C168" s="5">
        <v>2004</v>
      </c>
      <c r="D168" s="4" t="s">
        <v>8</v>
      </c>
      <c r="E168" s="5">
        <v>5</v>
      </c>
      <c r="F168" s="6">
        <v>4.9371999999999998</v>
      </c>
      <c r="G168" s="15">
        <v>0.20867167585237326</v>
      </c>
      <c r="H168" s="15">
        <v>0</v>
      </c>
      <c r="I168" s="15">
        <v>1.6100857064739558</v>
      </c>
      <c r="J168" s="15">
        <v>1.6191275147653016E-2</v>
      </c>
      <c r="K168" s="15">
        <v>0</v>
      </c>
    </row>
    <row r="169" spans="1:11">
      <c r="A169" s="1">
        <v>12</v>
      </c>
      <c r="B169" s="13">
        <v>38117</v>
      </c>
      <c r="C169" s="5">
        <v>2004</v>
      </c>
      <c r="D169" s="4" t="s">
        <v>8</v>
      </c>
      <c r="E169" s="5">
        <v>5</v>
      </c>
      <c r="F169" s="6">
        <v>2.9653</v>
      </c>
      <c r="G169" s="15">
        <v>0.12655352138126949</v>
      </c>
      <c r="H169" s="15">
        <v>0</v>
      </c>
      <c r="I169" s="15">
        <v>0.84690802432131007</v>
      </c>
      <c r="J169" s="15">
        <v>1.2692177126340727E-2</v>
      </c>
      <c r="K169" s="15">
        <v>0</v>
      </c>
    </row>
    <row r="170" spans="1:11">
      <c r="A170" s="1">
        <v>13</v>
      </c>
      <c r="B170" s="13">
        <v>38117</v>
      </c>
      <c r="C170" s="5">
        <v>2004</v>
      </c>
      <c r="D170" s="4" t="s">
        <v>8</v>
      </c>
      <c r="E170" s="5">
        <v>5</v>
      </c>
      <c r="F170" s="6">
        <v>2.9287000000000001</v>
      </c>
      <c r="G170" s="15">
        <v>0.1810841132355917</v>
      </c>
      <c r="H170" s="15">
        <v>0</v>
      </c>
      <c r="I170" s="15">
        <v>0.85126551786532056</v>
      </c>
      <c r="J170" s="15">
        <v>1.0542508534415494E-2</v>
      </c>
      <c r="K170" s="15">
        <v>0</v>
      </c>
    </row>
    <row r="171" spans="1:11">
      <c r="A171" s="1">
        <v>11</v>
      </c>
      <c r="B171" s="13">
        <v>38160</v>
      </c>
      <c r="C171" s="5">
        <v>2004</v>
      </c>
      <c r="D171" s="4" t="s">
        <v>9</v>
      </c>
      <c r="E171" s="5">
        <v>6</v>
      </c>
      <c r="F171" s="6">
        <v>7.8769999999999998</v>
      </c>
      <c r="G171" s="15">
        <v>0.23024114308043489</v>
      </c>
      <c r="H171" s="15">
        <v>0</v>
      </c>
      <c r="I171" s="15">
        <v>2.1581524060972521</v>
      </c>
      <c r="J171" s="15">
        <v>7.8933593964726476E-2</v>
      </c>
      <c r="K171" s="15">
        <v>0</v>
      </c>
    </row>
    <row r="172" spans="1:11">
      <c r="A172" s="1">
        <v>12</v>
      </c>
      <c r="B172" s="13">
        <v>38160</v>
      </c>
      <c r="C172" s="5">
        <v>2004</v>
      </c>
      <c r="D172" s="4" t="s">
        <v>9</v>
      </c>
      <c r="E172" s="5">
        <v>6</v>
      </c>
      <c r="F172" s="6">
        <v>7.3765999999999998</v>
      </c>
      <c r="G172" s="15">
        <v>0.20919179113905606</v>
      </c>
      <c r="H172" s="15">
        <v>0</v>
      </c>
      <c r="I172" s="15">
        <v>1.7373711827316012</v>
      </c>
      <c r="J172" s="15">
        <v>8.9545748068955627E-2</v>
      </c>
      <c r="K172" s="15">
        <v>0</v>
      </c>
    </row>
    <row r="173" spans="1:11">
      <c r="A173" s="1">
        <v>13</v>
      </c>
      <c r="B173" s="13">
        <v>38160</v>
      </c>
      <c r="C173" s="5">
        <v>2004</v>
      </c>
      <c r="D173" s="4" t="s">
        <v>9</v>
      </c>
      <c r="E173" s="5">
        <v>6</v>
      </c>
      <c r="F173" s="6">
        <v>10.226000000000001</v>
      </c>
      <c r="G173" s="15">
        <v>0.25846215017468394</v>
      </c>
      <c r="H173" s="15">
        <v>0</v>
      </c>
      <c r="I173" s="15">
        <v>2.6309626752157644</v>
      </c>
      <c r="J173" s="15">
        <v>0.112320005607152</v>
      </c>
      <c r="K173" s="15">
        <v>0</v>
      </c>
    </row>
    <row r="174" spans="1:11">
      <c r="A174" s="1">
        <v>11</v>
      </c>
      <c r="B174" s="13">
        <v>38183</v>
      </c>
      <c r="C174" s="5">
        <v>2004</v>
      </c>
      <c r="D174" s="10" t="s">
        <v>10</v>
      </c>
      <c r="E174" s="5">
        <v>7</v>
      </c>
      <c r="F174" s="6">
        <v>14.6899</v>
      </c>
      <c r="G174" s="15">
        <v>0.18122687970976248</v>
      </c>
      <c r="H174" s="15">
        <v>0</v>
      </c>
      <c r="I174" s="15">
        <v>4.749554972316238</v>
      </c>
      <c r="J174" s="15">
        <v>0.14701362813420379</v>
      </c>
      <c r="K174" s="15">
        <v>0</v>
      </c>
    </row>
    <row r="175" spans="1:11">
      <c r="A175" s="1">
        <v>12</v>
      </c>
      <c r="B175" s="13">
        <v>38183</v>
      </c>
      <c r="C175" s="5">
        <v>2004</v>
      </c>
      <c r="D175" s="10" t="s">
        <v>10</v>
      </c>
      <c r="E175" s="5">
        <v>7</v>
      </c>
      <c r="F175" s="6">
        <v>8.7265999999999995</v>
      </c>
      <c r="G175" s="15">
        <v>7.5135736232372713E-2</v>
      </c>
      <c r="H175" s="15">
        <v>0</v>
      </c>
      <c r="I175" s="15">
        <v>2.8062664694408261</v>
      </c>
      <c r="J175" s="15">
        <v>6.4155481407246459E-2</v>
      </c>
      <c r="K175" s="15">
        <v>0</v>
      </c>
    </row>
    <row r="176" spans="1:11">
      <c r="A176" s="1">
        <v>13</v>
      </c>
      <c r="B176" s="13">
        <v>38183</v>
      </c>
      <c r="C176" s="5">
        <v>2004</v>
      </c>
      <c r="D176" s="10" t="s">
        <v>10</v>
      </c>
      <c r="E176" s="5">
        <v>7</v>
      </c>
      <c r="F176" s="6">
        <v>10.5932</v>
      </c>
      <c r="G176" s="15">
        <v>0.3133429785884394</v>
      </c>
      <c r="H176" s="15">
        <v>0</v>
      </c>
      <c r="I176" s="15">
        <v>2.7075589762777907</v>
      </c>
      <c r="J176" s="15">
        <v>7.8188488680549131E-2</v>
      </c>
      <c r="K176" s="15">
        <v>0</v>
      </c>
    </row>
    <row r="177" spans="1:11">
      <c r="A177" s="1">
        <v>11</v>
      </c>
      <c r="B177" s="13">
        <v>38218</v>
      </c>
      <c r="C177" s="5">
        <v>2004</v>
      </c>
      <c r="D177" s="10" t="s">
        <v>11</v>
      </c>
      <c r="E177" s="5">
        <v>8</v>
      </c>
      <c r="F177" s="6">
        <v>11.2111</v>
      </c>
      <c r="G177" s="14"/>
      <c r="H177" s="14"/>
      <c r="I177" s="14"/>
      <c r="J177" s="14"/>
      <c r="K177" s="14"/>
    </row>
    <row r="178" spans="1:11">
      <c r="A178" s="1">
        <v>12</v>
      </c>
      <c r="B178" s="13">
        <v>38218</v>
      </c>
      <c r="C178" s="5">
        <v>2004</v>
      </c>
      <c r="D178" s="10" t="s">
        <v>11</v>
      </c>
      <c r="E178" s="5">
        <v>8</v>
      </c>
      <c r="F178" s="6">
        <v>9.3885000000000005</v>
      </c>
      <c r="G178" s="14"/>
      <c r="H178" s="14"/>
      <c r="I178" s="14"/>
      <c r="J178" s="14"/>
      <c r="K178" s="14"/>
    </row>
    <row r="179" spans="1:11">
      <c r="A179" s="1">
        <v>13</v>
      </c>
      <c r="B179" s="13">
        <v>38218</v>
      </c>
      <c r="C179" s="5">
        <v>2004</v>
      </c>
      <c r="D179" s="10" t="s">
        <v>11</v>
      </c>
      <c r="E179" s="5">
        <v>8</v>
      </c>
      <c r="F179" s="6">
        <v>13.0357</v>
      </c>
      <c r="G179" s="14"/>
      <c r="H179" s="14"/>
      <c r="I179" s="14"/>
      <c r="J179" s="14"/>
      <c r="K179" s="14"/>
    </row>
    <row r="180" spans="1:11">
      <c r="A180" s="1">
        <v>11</v>
      </c>
      <c r="B180" s="13">
        <v>38246</v>
      </c>
      <c r="C180" s="5">
        <v>2004</v>
      </c>
      <c r="D180" s="10" t="s">
        <v>12</v>
      </c>
      <c r="E180" s="5">
        <v>9</v>
      </c>
      <c r="F180" s="6">
        <v>4.3521000000000001</v>
      </c>
      <c r="G180" s="15">
        <v>1.7273895707203366E-2</v>
      </c>
      <c r="H180" s="15">
        <v>0</v>
      </c>
      <c r="I180" s="15">
        <v>1.6145385057381063</v>
      </c>
      <c r="J180" s="15">
        <v>0.12219155621286505</v>
      </c>
      <c r="K180" s="15">
        <v>0</v>
      </c>
    </row>
    <row r="181" spans="1:11">
      <c r="A181" s="1">
        <v>12</v>
      </c>
      <c r="B181" s="13">
        <v>38246</v>
      </c>
      <c r="C181" s="5">
        <v>2004</v>
      </c>
      <c r="D181" s="10" t="s">
        <v>12</v>
      </c>
      <c r="E181" s="5">
        <v>9</v>
      </c>
      <c r="F181" s="6">
        <v>5.0631000000000004</v>
      </c>
      <c r="G181" s="15">
        <v>1.6024531170876152E-2</v>
      </c>
      <c r="H181" s="15">
        <v>0</v>
      </c>
      <c r="I181" s="15">
        <v>1.7783215857050327</v>
      </c>
      <c r="J181" s="15">
        <v>0.15231197598264903</v>
      </c>
      <c r="K181" s="15">
        <v>0</v>
      </c>
    </row>
    <row r="182" spans="1:11">
      <c r="A182" s="1">
        <v>13</v>
      </c>
      <c r="B182" s="13">
        <v>38246</v>
      </c>
      <c r="C182" s="5">
        <v>2004</v>
      </c>
      <c r="D182" s="10" t="s">
        <v>12</v>
      </c>
      <c r="E182" s="5">
        <v>9</v>
      </c>
      <c r="F182" s="6">
        <v>2.5247999999999999</v>
      </c>
      <c r="G182" s="15">
        <v>0</v>
      </c>
      <c r="H182" s="15">
        <v>0</v>
      </c>
      <c r="I182" s="15">
        <v>0.75210382550039512</v>
      </c>
      <c r="J182" s="15">
        <v>0.18195703333662638</v>
      </c>
      <c r="K182" s="15">
        <v>0</v>
      </c>
    </row>
    <row r="183" spans="1:11">
      <c r="A183" s="1">
        <v>11</v>
      </c>
      <c r="B183" s="13">
        <v>38274</v>
      </c>
      <c r="C183" s="5">
        <v>2004</v>
      </c>
      <c r="D183" s="10" t="s">
        <v>0</v>
      </c>
      <c r="E183" s="5">
        <v>10</v>
      </c>
      <c r="F183" s="7">
        <v>7.8294300000000003</v>
      </c>
      <c r="G183" s="7">
        <v>2.647261391745221E-2</v>
      </c>
      <c r="H183" s="7">
        <v>0</v>
      </c>
      <c r="I183" s="7">
        <v>2.1054986414099757</v>
      </c>
      <c r="J183" s="7">
        <v>0.12443921283058797</v>
      </c>
      <c r="K183" s="7">
        <v>0</v>
      </c>
    </row>
    <row r="184" spans="1:11">
      <c r="A184" s="1">
        <v>12</v>
      </c>
      <c r="B184" s="13">
        <v>38274</v>
      </c>
      <c r="C184" s="5">
        <v>2004</v>
      </c>
      <c r="D184" s="10" t="s">
        <v>0</v>
      </c>
      <c r="E184" s="5">
        <v>10</v>
      </c>
      <c r="F184" s="7">
        <v>4.15266</v>
      </c>
      <c r="G184" s="7">
        <v>1.5406273755327824E-2</v>
      </c>
      <c r="H184" s="7">
        <v>0</v>
      </c>
      <c r="I184" s="7">
        <v>1.0797877642108888</v>
      </c>
      <c r="J184" s="7">
        <v>8.1178926427704551E-2</v>
      </c>
      <c r="K184" s="7">
        <v>0</v>
      </c>
    </row>
    <row r="185" spans="1:11">
      <c r="A185" s="1">
        <v>13</v>
      </c>
      <c r="B185" s="13">
        <v>38274</v>
      </c>
      <c r="C185" s="5">
        <v>2004</v>
      </c>
      <c r="D185" s="10" t="s">
        <v>0</v>
      </c>
      <c r="E185" s="5">
        <v>10</v>
      </c>
      <c r="F185" s="7">
        <v>5.6451799999999999</v>
      </c>
      <c r="G185" s="7">
        <v>7.3496285453922311E-2</v>
      </c>
      <c r="H185" s="7">
        <v>0</v>
      </c>
      <c r="I185" s="7">
        <v>1.2105146050751232</v>
      </c>
      <c r="J185" s="7">
        <v>0.15122104067342917</v>
      </c>
      <c r="K185" s="7">
        <v>0</v>
      </c>
    </row>
    <row r="186" spans="1:11">
      <c r="A186" s="1">
        <v>11</v>
      </c>
      <c r="B186" s="13">
        <v>38309</v>
      </c>
      <c r="C186" s="5">
        <v>2004</v>
      </c>
      <c r="D186" s="10" t="s">
        <v>2</v>
      </c>
      <c r="E186" s="5">
        <v>11</v>
      </c>
      <c r="F186" s="7">
        <v>5.3161199999999997</v>
      </c>
      <c r="G186" s="7">
        <v>4.3714278544189432E-2</v>
      </c>
      <c r="H186" s="7">
        <v>0</v>
      </c>
      <c r="I186" s="7">
        <v>1.7220291323551182</v>
      </c>
      <c r="J186" s="7">
        <v>3.2650781158634123E-2</v>
      </c>
      <c r="K186" s="7">
        <v>0</v>
      </c>
    </row>
    <row r="187" spans="1:11">
      <c r="A187" s="1">
        <v>12</v>
      </c>
      <c r="B187" s="13">
        <v>38309</v>
      </c>
      <c r="C187" s="5">
        <v>2004</v>
      </c>
      <c r="D187" s="10" t="s">
        <v>2</v>
      </c>
      <c r="E187" s="5">
        <v>11</v>
      </c>
      <c r="F187" s="7">
        <v>3.90544</v>
      </c>
      <c r="G187" s="7">
        <v>3.8173183723446073E-2</v>
      </c>
      <c r="H187" s="7">
        <v>0</v>
      </c>
      <c r="I187" s="7">
        <v>1.1734586126559425</v>
      </c>
      <c r="J187" s="7">
        <v>2.3180553884585609E-2</v>
      </c>
      <c r="K187" s="7">
        <v>0</v>
      </c>
    </row>
    <row r="188" spans="1:11">
      <c r="A188" s="1">
        <v>13</v>
      </c>
      <c r="B188" s="13">
        <v>38309</v>
      </c>
      <c r="C188" s="5">
        <v>2004</v>
      </c>
      <c r="D188" s="10" t="s">
        <v>2</v>
      </c>
      <c r="E188" s="5">
        <v>11</v>
      </c>
      <c r="F188" s="7">
        <v>4.2647000000000004</v>
      </c>
      <c r="G188" s="7">
        <v>2.6062967438509905E-2</v>
      </c>
      <c r="H188" s="7">
        <v>0</v>
      </c>
      <c r="I188" s="7">
        <v>1.3395430218210533</v>
      </c>
      <c r="J188" s="7">
        <v>2.8183928706920439E-2</v>
      </c>
      <c r="K188" s="7">
        <v>0</v>
      </c>
    </row>
    <row r="189" spans="1:11">
      <c r="A189" s="1">
        <v>11</v>
      </c>
      <c r="B189" s="13">
        <v>38337</v>
      </c>
      <c r="C189" s="5">
        <v>2004</v>
      </c>
      <c r="D189" s="10" t="s">
        <v>3</v>
      </c>
      <c r="E189" s="5">
        <v>12</v>
      </c>
      <c r="F189" s="7">
        <v>10.83085</v>
      </c>
      <c r="G189" s="7">
        <v>7.1450037037066344E-2</v>
      </c>
      <c r="H189" s="7">
        <v>0</v>
      </c>
      <c r="I189" s="7">
        <v>3.7820720425288656</v>
      </c>
      <c r="J189" s="7">
        <v>2.6837301270379713E-2</v>
      </c>
      <c r="K189" s="7">
        <v>0</v>
      </c>
    </row>
    <row r="190" spans="1:11">
      <c r="A190" s="1">
        <v>12</v>
      </c>
      <c r="B190" s="13">
        <v>38337</v>
      </c>
      <c r="C190" s="5">
        <v>2004</v>
      </c>
      <c r="D190" s="10" t="s">
        <v>3</v>
      </c>
      <c r="E190" s="5">
        <v>12</v>
      </c>
      <c r="F190" s="7">
        <v>6.6114800000000002</v>
      </c>
      <c r="G190" s="7">
        <v>4.5992473272129256E-2</v>
      </c>
      <c r="H190" s="7">
        <v>0</v>
      </c>
      <c r="I190" s="7">
        <v>2.1406654628542259</v>
      </c>
      <c r="J190" s="7">
        <v>1.564341594757087E-2</v>
      </c>
      <c r="K190" s="7">
        <v>0</v>
      </c>
    </row>
    <row r="191" spans="1:11">
      <c r="A191" s="1">
        <v>13</v>
      </c>
      <c r="B191" s="13">
        <v>38337</v>
      </c>
      <c r="C191" s="5">
        <v>2004</v>
      </c>
      <c r="D191" s="10" t="s">
        <v>3</v>
      </c>
      <c r="E191" s="5">
        <v>12</v>
      </c>
      <c r="F191" s="7">
        <v>7.4565900000000003</v>
      </c>
      <c r="G191" s="7">
        <v>4.7913671390033628E-2</v>
      </c>
      <c r="H191" s="7">
        <v>0</v>
      </c>
      <c r="I191" s="7">
        <v>2.4048233145940414</v>
      </c>
      <c r="J191" s="7">
        <v>1.7101768035714237E-2</v>
      </c>
      <c r="K191" s="7">
        <v>0</v>
      </c>
    </row>
    <row r="192" spans="1:11">
      <c r="A192" s="1">
        <v>11</v>
      </c>
      <c r="B192" s="16">
        <v>38364</v>
      </c>
      <c r="C192" s="5">
        <v>2005</v>
      </c>
      <c r="D192" s="10" t="s">
        <v>4</v>
      </c>
      <c r="E192" s="5">
        <v>1</v>
      </c>
      <c r="F192" s="7">
        <v>8.1826799999999995</v>
      </c>
      <c r="G192" s="7">
        <v>7.5478566565867031E-2</v>
      </c>
      <c r="H192" s="7">
        <v>0</v>
      </c>
      <c r="I192" s="7">
        <v>3.1746369142817854</v>
      </c>
      <c r="J192" s="7">
        <v>1.0398757685069536E-2</v>
      </c>
      <c r="K192" s="7">
        <v>0</v>
      </c>
    </row>
    <row r="193" spans="1:11">
      <c r="A193" s="1">
        <v>12</v>
      </c>
      <c r="B193" s="16">
        <v>38364</v>
      </c>
      <c r="C193" s="5">
        <v>2005</v>
      </c>
      <c r="D193" s="10" t="s">
        <v>4</v>
      </c>
      <c r="E193" s="5">
        <v>1</v>
      </c>
      <c r="F193" s="7">
        <v>6.3224999999999998</v>
      </c>
      <c r="G193" s="7">
        <v>7.2708783467580751E-2</v>
      </c>
      <c r="H193" s="7">
        <v>0</v>
      </c>
      <c r="I193" s="7">
        <v>2.3375118016277927</v>
      </c>
      <c r="J193" s="7">
        <v>1.3132349591770979E-2</v>
      </c>
      <c r="K193" s="7">
        <v>0</v>
      </c>
    </row>
    <row r="194" spans="1:11">
      <c r="A194" s="1">
        <v>13</v>
      </c>
      <c r="B194" s="16">
        <v>38364</v>
      </c>
      <c r="C194" s="5">
        <v>2005</v>
      </c>
      <c r="D194" s="10" t="s">
        <v>4</v>
      </c>
      <c r="E194" s="5">
        <v>1</v>
      </c>
      <c r="F194" s="7">
        <v>4.9944100000000002</v>
      </c>
      <c r="G194" s="7">
        <v>6.0740527535524697E-2</v>
      </c>
      <c r="H194" s="7">
        <v>0</v>
      </c>
      <c r="I194" s="7">
        <v>1.7581885025816095</v>
      </c>
      <c r="J194" s="7">
        <v>1.2074158907698099E-2</v>
      </c>
      <c r="K194" s="7">
        <v>0</v>
      </c>
    </row>
    <row r="195" spans="1:11">
      <c r="A195" s="1">
        <v>11</v>
      </c>
      <c r="B195" s="16">
        <v>38398</v>
      </c>
      <c r="C195" s="5">
        <v>2005</v>
      </c>
      <c r="D195" s="4" t="s">
        <v>5</v>
      </c>
      <c r="E195" s="5">
        <v>2</v>
      </c>
      <c r="F195" s="7">
        <v>8.4402000000000008</v>
      </c>
      <c r="G195" s="7">
        <v>0.35404087982700283</v>
      </c>
      <c r="H195" s="7">
        <v>0</v>
      </c>
      <c r="I195" s="7">
        <v>2.7355993098911542</v>
      </c>
      <c r="J195" s="7">
        <v>2.1226540369461769E-2</v>
      </c>
      <c r="K195" s="7">
        <v>0</v>
      </c>
    </row>
    <row r="196" spans="1:11">
      <c r="A196" s="1">
        <v>12</v>
      </c>
      <c r="B196" s="16">
        <v>38398</v>
      </c>
      <c r="C196" s="5">
        <v>2005</v>
      </c>
      <c r="D196" s="4" t="s">
        <v>5</v>
      </c>
      <c r="E196" s="5">
        <v>2</v>
      </c>
      <c r="F196" s="7">
        <v>8.54068</v>
      </c>
      <c r="G196" s="7">
        <v>0.35326072116846241</v>
      </c>
      <c r="H196" s="7">
        <v>0</v>
      </c>
      <c r="I196" s="7">
        <v>2.7438280949049449</v>
      </c>
      <c r="J196" s="7">
        <v>2.1351364075241727E-2</v>
      </c>
      <c r="K196" s="7">
        <v>0</v>
      </c>
    </row>
    <row r="197" spans="1:11">
      <c r="A197" s="1">
        <v>13</v>
      </c>
      <c r="B197" s="16">
        <v>38398</v>
      </c>
      <c r="C197" s="5">
        <v>2005</v>
      </c>
      <c r="D197" s="4" t="s">
        <v>5</v>
      </c>
      <c r="E197" s="5">
        <v>2</v>
      </c>
      <c r="F197" s="7">
        <v>3.43594</v>
      </c>
      <c r="G197" s="7">
        <v>7.9025243046809829E-2</v>
      </c>
      <c r="H197" s="7">
        <v>0</v>
      </c>
      <c r="I197" s="7">
        <v>1.232268201983129</v>
      </c>
      <c r="J197" s="7">
        <v>2.7756648456539388E-2</v>
      </c>
      <c r="K197" s="7">
        <v>0</v>
      </c>
    </row>
    <row r="198" spans="1:11">
      <c r="A198" s="1">
        <v>11</v>
      </c>
      <c r="B198" s="16">
        <v>38427</v>
      </c>
      <c r="C198" s="5">
        <v>2005</v>
      </c>
      <c r="D198" s="4" t="s">
        <v>6</v>
      </c>
      <c r="E198" s="5">
        <v>3</v>
      </c>
      <c r="F198" s="7">
        <v>2.9179499999999998</v>
      </c>
      <c r="G198" s="7">
        <v>0.76093816727360153</v>
      </c>
      <c r="H198" s="7">
        <v>0</v>
      </c>
      <c r="I198" s="7">
        <v>0.4423653351319396</v>
      </c>
      <c r="J198" s="7">
        <v>7.2049119931984276E-3</v>
      </c>
      <c r="K198" s="7">
        <v>0</v>
      </c>
    </row>
    <row r="199" spans="1:11">
      <c r="A199" s="1">
        <v>12</v>
      </c>
      <c r="B199" s="16">
        <v>38427</v>
      </c>
      <c r="C199" s="5">
        <v>2005</v>
      </c>
      <c r="D199" s="4" t="s">
        <v>6</v>
      </c>
      <c r="E199" s="5">
        <v>3</v>
      </c>
      <c r="F199" s="7">
        <v>2.10453</v>
      </c>
      <c r="G199" s="7">
        <v>0.49424851163647865</v>
      </c>
      <c r="H199" s="7">
        <v>0</v>
      </c>
      <c r="I199" s="7">
        <v>0.25741647014000679</v>
      </c>
      <c r="J199" s="7">
        <v>5.9410020510767955E-3</v>
      </c>
      <c r="K199" s="7">
        <v>0</v>
      </c>
    </row>
    <row r="200" spans="1:11">
      <c r="A200" s="1">
        <v>13</v>
      </c>
      <c r="B200" s="16">
        <v>38427</v>
      </c>
      <c r="C200" s="5">
        <v>2005</v>
      </c>
      <c r="D200" s="4" t="s">
        <v>6</v>
      </c>
      <c r="E200" s="5">
        <v>3</v>
      </c>
      <c r="F200" s="7">
        <v>0.86712999999999996</v>
      </c>
      <c r="G200" s="7">
        <v>0.17070164297739318</v>
      </c>
      <c r="H200" s="7">
        <v>0</v>
      </c>
      <c r="I200" s="7">
        <v>0.15478008602873131</v>
      </c>
      <c r="J200" s="7">
        <v>5.4907166253169055E-3</v>
      </c>
      <c r="K200" s="7">
        <v>0</v>
      </c>
    </row>
    <row r="201" spans="1:11">
      <c r="A201" s="1">
        <v>11</v>
      </c>
      <c r="B201" s="16">
        <v>38470</v>
      </c>
      <c r="C201" s="5">
        <v>2005</v>
      </c>
      <c r="D201" s="4" t="s">
        <v>7</v>
      </c>
      <c r="E201" s="5">
        <v>4</v>
      </c>
      <c r="F201" s="7">
        <v>5.6201699999999999</v>
      </c>
      <c r="G201" s="7">
        <v>6.3574632882968787E-2</v>
      </c>
      <c r="H201" s="7">
        <v>0</v>
      </c>
      <c r="I201" s="7">
        <v>1.8904466951684977</v>
      </c>
      <c r="J201" s="7">
        <v>1.7128703758354746E-2</v>
      </c>
      <c r="K201" s="7">
        <v>0</v>
      </c>
    </row>
    <row r="202" spans="1:11">
      <c r="A202" s="1">
        <v>12</v>
      </c>
      <c r="B202" s="16">
        <v>38470</v>
      </c>
      <c r="C202" s="5">
        <v>2005</v>
      </c>
      <c r="D202" s="4" t="s">
        <v>7</v>
      </c>
      <c r="E202" s="5">
        <v>4</v>
      </c>
      <c r="F202" s="7">
        <v>3.6750799999999999</v>
      </c>
      <c r="G202" s="7">
        <v>4.6892023323111313E-2</v>
      </c>
      <c r="H202" s="7">
        <v>0</v>
      </c>
      <c r="I202" s="7">
        <v>1.1962520814292867</v>
      </c>
      <c r="J202" s="7">
        <v>1.0267594122518098E-2</v>
      </c>
      <c r="K202" s="7">
        <v>0</v>
      </c>
    </row>
    <row r="203" spans="1:11">
      <c r="A203" s="1">
        <v>13</v>
      </c>
      <c r="B203" s="16">
        <v>38470</v>
      </c>
      <c r="C203" s="5">
        <v>2005</v>
      </c>
      <c r="D203" s="4" t="s">
        <v>7</v>
      </c>
      <c r="E203" s="5">
        <v>4</v>
      </c>
      <c r="F203" s="7">
        <v>4.2923299999999998</v>
      </c>
      <c r="G203" s="7">
        <v>4.7706651195047224E-2</v>
      </c>
      <c r="H203" s="7">
        <v>5.427872567048974E-2</v>
      </c>
      <c r="I203" s="7">
        <v>1.514283755131417</v>
      </c>
      <c r="J203" s="7">
        <v>2.4644356904985645E-2</v>
      </c>
      <c r="K203" s="7">
        <v>0</v>
      </c>
    </row>
    <row r="204" spans="1:11">
      <c r="A204" s="1">
        <v>11</v>
      </c>
      <c r="B204" s="16">
        <v>38488</v>
      </c>
      <c r="C204" s="5">
        <v>2005</v>
      </c>
      <c r="D204" s="4" t="s">
        <v>8</v>
      </c>
      <c r="E204" s="5">
        <v>5</v>
      </c>
      <c r="F204" s="7">
        <v>3.2892600000000001</v>
      </c>
      <c r="G204" s="7">
        <v>3.4772556754998817E-2</v>
      </c>
      <c r="H204" s="7">
        <v>0</v>
      </c>
      <c r="I204" s="7">
        <v>0.89012177908933021</v>
      </c>
      <c r="J204" s="7">
        <v>1.4431488922119555E-2</v>
      </c>
      <c r="K204" s="7">
        <v>0</v>
      </c>
    </row>
    <row r="205" spans="1:11">
      <c r="A205" s="1">
        <v>12</v>
      </c>
      <c r="B205" s="16">
        <v>38488</v>
      </c>
      <c r="C205" s="5">
        <v>2005</v>
      </c>
      <c r="D205" s="4" t="s">
        <v>8</v>
      </c>
      <c r="E205" s="5">
        <v>5</v>
      </c>
      <c r="F205" s="7">
        <v>1.8287899999999999</v>
      </c>
      <c r="G205" s="7">
        <v>3.1857814694829234E-2</v>
      </c>
      <c r="H205" s="7">
        <v>0</v>
      </c>
      <c r="I205" s="7">
        <v>0.43728732265410813</v>
      </c>
      <c r="J205" s="7">
        <v>7.422550666077765E-3</v>
      </c>
      <c r="K205" s="7">
        <v>0</v>
      </c>
    </row>
    <row r="206" spans="1:11">
      <c r="A206" s="1">
        <v>13</v>
      </c>
      <c r="B206" s="16">
        <v>38488</v>
      </c>
      <c r="C206" s="5">
        <v>2005</v>
      </c>
      <c r="D206" s="4" t="s">
        <v>8</v>
      </c>
      <c r="E206" s="5">
        <v>5</v>
      </c>
      <c r="F206" s="7">
        <v>1.7048399999999999</v>
      </c>
      <c r="G206" s="7">
        <v>3.2253084532680228E-2</v>
      </c>
      <c r="H206" s="7">
        <v>0</v>
      </c>
      <c r="I206" s="7">
        <v>0.34894387812072031</v>
      </c>
      <c r="J206" s="7">
        <v>1.4850519178791653E-2</v>
      </c>
      <c r="K206" s="7">
        <v>0</v>
      </c>
    </row>
    <row r="207" spans="1:11">
      <c r="A207" s="1">
        <v>11</v>
      </c>
      <c r="B207" s="16">
        <v>38525</v>
      </c>
      <c r="C207" s="5">
        <v>2005</v>
      </c>
      <c r="D207" s="4" t="s">
        <v>9</v>
      </c>
      <c r="E207" s="5">
        <v>6</v>
      </c>
      <c r="F207" s="7">
        <v>6.0249600000000001</v>
      </c>
      <c r="G207" s="7">
        <v>8.7379743602930618E-2</v>
      </c>
      <c r="H207" s="7">
        <v>0.14954562632813362</v>
      </c>
      <c r="I207" s="7">
        <v>2.3093637097973772</v>
      </c>
      <c r="J207" s="7">
        <v>5.2109325081626238E-2</v>
      </c>
      <c r="K207" s="7">
        <v>0</v>
      </c>
    </row>
    <row r="208" spans="1:11">
      <c r="A208" s="1">
        <v>12</v>
      </c>
      <c r="B208" s="16">
        <v>38525</v>
      </c>
      <c r="C208" s="5">
        <v>2005</v>
      </c>
      <c r="D208" s="4" t="s">
        <v>9</v>
      </c>
      <c r="E208" s="5">
        <v>6</v>
      </c>
      <c r="F208" s="7">
        <v>6.7552099999999999</v>
      </c>
      <c r="G208" s="7">
        <v>7.8043282531859132E-2</v>
      </c>
      <c r="H208" s="7">
        <v>0.12937845620708019</v>
      </c>
      <c r="I208" s="7">
        <v>2.4433574197972687</v>
      </c>
      <c r="J208" s="7">
        <v>4.4114828722937496E-2</v>
      </c>
      <c r="K208" s="7">
        <v>0</v>
      </c>
    </row>
    <row r="209" spans="1:11">
      <c r="A209" s="1">
        <v>13</v>
      </c>
      <c r="B209" s="16">
        <v>38525</v>
      </c>
      <c r="C209" s="5">
        <v>2005</v>
      </c>
      <c r="D209" s="4" t="s">
        <v>9</v>
      </c>
      <c r="E209" s="5">
        <v>6</v>
      </c>
      <c r="F209" s="7">
        <v>6.4130900000000004</v>
      </c>
      <c r="G209" s="7">
        <v>6.2236623460820858E-2</v>
      </c>
      <c r="H209" s="7">
        <v>0.1712906947359174</v>
      </c>
      <c r="I209" s="7">
        <v>2.4085294098155603</v>
      </c>
      <c r="J209" s="7">
        <v>5.95589985099296E-2</v>
      </c>
      <c r="K209" s="7">
        <v>0</v>
      </c>
    </row>
    <row r="210" spans="1:11">
      <c r="A210" s="1">
        <v>11</v>
      </c>
      <c r="B210" s="16">
        <v>38546</v>
      </c>
      <c r="C210" s="5">
        <v>2005</v>
      </c>
      <c r="D210" s="10" t="s">
        <v>10</v>
      </c>
      <c r="E210" s="5">
        <v>7</v>
      </c>
      <c r="F210" s="7">
        <v>11.095750000000001</v>
      </c>
      <c r="G210" s="7">
        <v>0.48372881875535212</v>
      </c>
      <c r="H210" s="7">
        <v>0</v>
      </c>
      <c r="I210" s="7">
        <v>2.8001459068051604</v>
      </c>
      <c r="J210" s="7">
        <v>0.32685472564041307</v>
      </c>
      <c r="K210" s="7">
        <v>0</v>
      </c>
    </row>
    <row r="211" spans="1:11">
      <c r="A211" s="1">
        <v>12</v>
      </c>
      <c r="B211" s="16">
        <v>38546</v>
      </c>
      <c r="C211" s="5">
        <v>2005</v>
      </c>
      <c r="D211" s="10" t="s">
        <v>10</v>
      </c>
      <c r="E211" s="5">
        <v>7</v>
      </c>
      <c r="F211" s="7">
        <v>16.865120000000001</v>
      </c>
      <c r="G211" s="7">
        <v>0.80734781315962179</v>
      </c>
      <c r="H211" s="7">
        <v>7.5418472587968757E-2</v>
      </c>
      <c r="I211" s="7">
        <v>3.9571620036493922</v>
      </c>
      <c r="J211" s="7">
        <v>0.55291589598329083</v>
      </c>
      <c r="K211" s="7">
        <v>0</v>
      </c>
    </row>
    <row r="212" spans="1:11">
      <c r="A212" s="1">
        <v>13</v>
      </c>
      <c r="B212" s="16">
        <v>38546</v>
      </c>
      <c r="C212" s="5">
        <v>2005</v>
      </c>
      <c r="D212" s="10" t="s">
        <v>10</v>
      </c>
      <c r="E212" s="5">
        <v>7</v>
      </c>
      <c r="F212" s="7">
        <v>17.255890000000001</v>
      </c>
      <c r="G212" s="7">
        <v>0.5862258115030704</v>
      </c>
      <c r="H212" s="7">
        <v>6.6751780080171713E-2</v>
      </c>
      <c r="I212" s="7">
        <v>3.6180434396005614</v>
      </c>
      <c r="J212" s="7">
        <v>0.912971669153674</v>
      </c>
      <c r="K212" s="7">
        <v>0</v>
      </c>
    </row>
    <row r="213" spans="1:11">
      <c r="A213" s="1">
        <v>11</v>
      </c>
      <c r="B213" s="16">
        <v>38587</v>
      </c>
      <c r="C213" s="5">
        <v>2005</v>
      </c>
      <c r="D213" s="10" t="s">
        <v>11</v>
      </c>
      <c r="E213" s="5">
        <v>8</v>
      </c>
      <c r="F213" s="7">
        <v>10.53126</v>
      </c>
      <c r="G213" s="7">
        <v>0.14075532547653286</v>
      </c>
      <c r="H213" s="7">
        <v>0</v>
      </c>
      <c r="I213" s="7">
        <v>3.8454101806555356</v>
      </c>
      <c r="J213" s="7">
        <v>9.8718647556600786E-2</v>
      </c>
      <c r="K213" s="7">
        <v>0</v>
      </c>
    </row>
    <row r="214" spans="1:11">
      <c r="A214" s="1">
        <v>12</v>
      </c>
      <c r="B214" s="16">
        <v>38587</v>
      </c>
      <c r="C214" s="5">
        <v>2005</v>
      </c>
      <c r="D214" s="10" t="s">
        <v>11</v>
      </c>
      <c r="E214" s="5">
        <v>8</v>
      </c>
      <c r="F214" s="7">
        <v>9.8003099999999996</v>
      </c>
      <c r="G214" s="7">
        <v>9.9714731176877111E-2</v>
      </c>
      <c r="H214" s="7">
        <v>0</v>
      </c>
      <c r="I214" s="7">
        <v>3.2607610348782901</v>
      </c>
      <c r="J214" s="7">
        <v>9.7426749226591336E-2</v>
      </c>
      <c r="K214" s="7">
        <v>0</v>
      </c>
    </row>
    <row r="215" spans="1:11">
      <c r="A215" s="1">
        <v>13</v>
      </c>
      <c r="B215" s="16">
        <v>38587</v>
      </c>
      <c r="C215" s="5">
        <v>2005</v>
      </c>
      <c r="D215" s="10" t="s">
        <v>11</v>
      </c>
      <c r="E215" s="5">
        <v>8</v>
      </c>
      <c r="F215" s="7">
        <v>11.50888</v>
      </c>
      <c r="G215" s="7">
        <v>0.24314447957205104</v>
      </c>
      <c r="H215" s="7">
        <v>0</v>
      </c>
      <c r="I215" s="7">
        <v>3.7986573666588286</v>
      </c>
      <c r="J215" s="7">
        <v>0.10057198766267536</v>
      </c>
      <c r="K215" s="7">
        <v>0</v>
      </c>
    </row>
    <row r="216" spans="1:11">
      <c r="A216" s="1">
        <v>11</v>
      </c>
      <c r="B216" s="16">
        <v>38609</v>
      </c>
      <c r="C216" s="5">
        <v>2005</v>
      </c>
      <c r="D216" s="10" t="s">
        <v>12</v>
      </c>
      <c r="E216" s="5">
        <v>9</v>
      </c>
      <c r="F216" s="7">
        <v>9.4169599999999996</v>
      </c>
      <c r="G216" s="7">
        <v>0.11106202592328614</v>
      </c>
      <c r="H216" s="7">
        <v>0</v>
      </c>
      <c r="I216" s="7">
        <v>3.0650845232158894</v>
      </c>
      <c r="J216" s="7">
        <v>0.3254667363547219</v>
      </c>
      <c r="K216" s="7">
        <v>0</v>
      </c>
    </row>
    <row r="217" spans="1:11">
      <c r="A217" s="1">
        <v>12</v>
      </c>
      <c r="B217" s="16">
        <v>38609</v>
      </c>
      <c r="C217" s="5">
        <v>2005</v>
      </c>
      <c r="D217" s="10" t="s">
        <v>12</v>
      </c>
      <c r="E217" s="5">
        <v>9</v>
      </c>
      <c r="F217" s="7">
        <v>7.8674499999999998</v>
      </c>
      <c r="G217" s="7">
        <v>8.872255946404739E-2</v>
      </c>
      <c r="H217" s="7">
        <v>0</v>
      </c>
      <c r="I217" s="7">
        <v>2.4405102499280402</v>
      </c>
      <c r="J217" s="7">
        <v>0.25393561641540929</v>
      </c>
      <c r="K217" s="7">
        <v>0</v>
      </c>
    </row>
    <row r="218" spans="1:11">
      <c r="A218" s="1">
        <v>13</v>
      </c>
      <c r="B218" s="16">
        <v>38609</v>
      </c>
      <c r="C218" s="5">
        <v>2005</v>
      </c>
      <c r="D218" s="10" t="s">
        <v>12</v>
      </c>
      <c r="E218" s="5">
        <v>9</v>
      </c>
      <c r="F218" s="7">
        <v>13.38785</v>
      </c>
      <c r="G218" s="7">
        <v>0.21709032411661716</v>
      </c>
      <c r="H218" s="7">
        <v>0</v>
      </c>
      <c r="I218" s="7">
        <v>3.4181857939824307</v>
      </c>
      <c r="J218" s="7">
        <v>0.55248908908077066</v>
      </c>
      <c r="K218" s="7">
        <v>0</v>
      </c>
    </row>
    <row r="219" spans="1:11">
      <c r="A219" s="1">
        <v>11</v>
      </c>
      <c r="B219" s="16">
        <v>38643</v>
      </c>
      <c r="C219" s="5">
        <v>2005</v>
      </c>
      <c r="D219" s="10" t="s">
        <v>0</v>
      </c>
      <c r="E219" s="5">
        <v>10</v>
      </c>
      <c r="F219" s="7">
        <v>5.6131000000000002</v>
      </c>
      <c r="G219" s="7">
        <v>1.26E-2</v>
      </c>
      <c r="H219" s="7">
        <v>1E-4</v>
      </c>
      <c r="I219" s="7">
        <v>1.8831</v>
      </c>
      <c r="J219" s="7">
        <v>6.8099999999999994E-2</v>
      </c>
      <c r="K219" s="7">
        <v>1E-4</v>
      </c>
    </row>
    <row r="220" spans="1:11">
      <c r="A220" s="1">
        <v>12</v>
      </c>
      <c r="B220" s="16">
        <v>38643</v>
      </c>
      <c r="C220" s="5">
        <v>2005</v>
      </c>
      <c r="D220" s="10" t="s">
        <v>0</v>
      </c>
      <c r="E220" s="5">
        <v>10</v>
      </c>
      <c r="F220" s="7">
        <v>5.6215000000000002</v>
      </c>
      <c r="G220" s="7">
        <v>1.03E-2</v>
      </c>
      <c r="H220" s="7">
        <v>1E-4</v>
      </c>
      <c r="I220" s="7">
        <v>1.7775000000000001</v>
      </c>
      <c r="J220" s="7">
        <v>6.2700000000000006E-2</v>
      </c>
      <c r="K220" s="7">
        <v>1E-4</v>
      </c>
    </row>
    <row r="221" spans="1:11">
      <c r="A221" s="1">
        <v>13</v>
      </c>
      <c r="B221" s="16">
        <v>38643</v>
      </c>
      <c r="C221" s="5">
        <v>2005</v>
      </c>
      <c r="D221" s="10" t="s">
        <v>0</v>
      </c>
      <c r="E221" s="5">
        <v>10</v>
      </c>
      <c r="F221" s="7">
        <v>6.0598000000000001</v>
      </c>
      <c r="G221" s="7">
        <v>1.1900000000000001E-2</v>
      </c>
      <c r="H221" s="7">
        <v>1E-4</v>
      </c>
      <c r="I221" s="7">
        <v>1.8792</v>
      </c>
      <c r="J221" s="7">
        <v>7.1400000000000005E-2</v>
      </c>
      <c r="K221" s="7">
        <v>1E-4</v>
      </c>
    </row>
    <row r="222" spans="1:11">
      <c r="A222" s="1">
        <v>11</v>
      </c>
      <c r="B222" s="16">
        <v>38670</v>
      </c>
      <c r="C222" s="5">
        <v>2005</v>
      </c>
      <c r="D222" s="10" t="s">
        <v>2</v>
      </c>
      <c r="E222" s="5">
        <v>11</v>
      </c>
      <c r="F222" s="7">
        <v>4.7024999999999997</v>
      </c>
      <c r="G222" s="7">
        <v>1.43E-2</v>
      </c>
      <c r="H222" s="7">
        <v>1E-4</v>
      </c>
      <c r="I222" s="7">
        <v>1.1791</v>
      </c>
      <c r="J222" s="7">
        <v>2.6499999999999999E-2</v>
      </c>
      <c r="K222" s="7">
        <v>1E-4</v>
      </c>
    </row>
    <row r="223" spans="1:11">
      <c r="A223" s="1">
        <v>12</v>
      </c>
      <c r="B223" s="16">
        <v>38670</v>
      </c>
      <c r="C223" s="5">
        <v>2005</v>
      </c>
      <c r="D223" s="10" t="s">
        <v>2</v>
      </c>
      <c r="E223" s="5">
        <v>11</v>
      </c>
      <c r="F223" s="7">
        <v>4.1001000000000003</v>
      </c>
      <c r="G223" s="7">
        <v>1.35E-2</v>
      </c>
      <c r="H223" s="7">
        <v>1E-4</v>
      </c>
      <c r="I223" s="7">
        <v>0.95930000000000004</v>
      </c>
      <c r="J223" s="7">
        <v>2.2700000000000001E-2</v>
      </c>
      <c r="K223" s="7">
        <v>1E-4</v>
      </c>
    </row>
    <row r="224" spans="1:11">
      <c r="A224" s="1">
        <v>13</v>
      </c>
      <c r="B224" s="16">
        <v>38670</v>
      </c>
      <c r="C224" s="5">
        <v>2005</v>
      </c>
      <c r="D224" s="10" t="s">
        <v>2</v>
      </c>
      <c r="E224" s="5">
        <v>11</v>
      </c>
      <c r="F224" s="7">
        <v>3.3422000000000001</v>
      </c>
      <c r="G224" s="7">
        <v>1.2800000000000001E-2</v>
      </c>
      <c r="H224" s="7">
        <v>1E-4</v>
      </c>
      <c r="I224" s="7">
        <v>0.76929999999999998</v>
      </c>
      <c r="J224" s="7">
        <v>2.8199999999999999E-2</v>
      </c>
      <c r="K224" s="7">
        <v>1E-4</v>
      </c>
    </row>
    <row r="225" spans="1:11">
      <c r="A225" s="1">
        <v>11</v>
      </c>
      <c r="B225" s="16">
        <v>38706</v>
      </c>
      <c r="C225" s="5">
        <v>2005</v>
      </c>
      <c r="D225" s="10" t="s">
        <v>3</v>
      </c>
      <c r="E225" s="5">
        <v>12</v>
      </c>
      <c r="F225" s="7">
        <v>4.9904000000000002</v>
      </c>
      <c r="G225" s="7">
        <v>2.7799999999999998E-2</v>
      </c>
      <c r="H225" s="7">
        <v>1E-4</v>
      </c>
      <c r="I225" s="7">
        <v>1.4658</v>
      </c>
      <c r="J225" s="7">
        <v>7.7000000000000002E-3</v>
      </c>
      <c r="K225" s="7">
        <v>1E-4</v>
      </c>
    </row>
    <row r="226" spans="1:11">
      <c r="A226" s="1">
        <v>12</v>
      </c>
      <c r="B226" s="16">
        <v>38706</v>
      </c>
      <c r="C226" s="5">
        <v>2005</v>
      </c>
      <c r="D226" s="10" t="s">
        <v>3</v>
      </c>
      <c r="E226" s="5">
        <v>12</v>
      </c>
      <c r="F226" s="7">
        <v>4.7717000000000001</v>
      </c>
      <c r="G226" s="7">
        <v>2.2499999999999999E-2</v>
      </c>
      <c r="H226" s="7">
        <v>1E-4</v>
      </c>
      <c r="I226" s="7">
        <v>1.3328</v>
      </c>
      <c r="J226" s="7">
        <v>6.1000000000000004E-3</v>
      </c>
      <c r="K226" s="7">
        <v>1E-4</v>
      </c>
    </row>
    <row r="227" spans="1:11">
      <c r="A227" s="1">
        <v>13</v>
      </c>
      <c r="B227" s="16">
        <v>38706</v>
      </c>
      <c r="C227" s="5">
        <v>2005</v>
      </c>
      <c r="D227" s="10" t="s">
        <v>3</v>
      </c>
      <c r="E227" s="5">
        <v>12</v>
      </c>
      <c r="F227" s="7">
        <v>5.3963000000000001</v>
      </c>
      <c r="G227" s="7">
        <v>3.3000000000000002E-2</v>
      </c>
      <c r="H227" s="7">
        <v>1E-4</v>
      </c>
      <c r="I227" s="7">
        <v>1.5071000000000001</v>
      </c>
      <c r="J227" s="7">
        <v>6.4999999999999997E-3</v>
      </c>
      <c r="K227" s="7">
        <v>1E-4</v>
      </c>
    </row>
    <row r="228" spans="1:11">
      <c r="A228" s="5">
        <v>11</v>
      </c>
      <c r="B228" s="16">
        <v>38737</v>
      </c>
      <c r="C228" s="5">
        <v>2006</v>
      </c>
      <c r="D228" s="4" t="s">
        <v>4</v>
      </c>
      <c r="E228" s="5">
        <v>1</v>
      </c>
      <c r="F228" s="7">
        <v>3.8893</v>
      </c>
      <c r="G228" s="7">
        <v>0.21029999999999999</v>
      </c>
      <c r="H228" s="7">
        <v>2.8899999999999999E-2</v>
      </c>
      <c r="I228" s="7">
        <v>1.0504</v>
      </c>
      <c r="J228" s="7">
        <v>1.84E-2</v>
      </c>
      <c r="K228" s="7">
        <v>1E-4</v>
      </c>
    </row>
    <row r="229" spans="1:11">
      <c r="A229" s="5">
        <v>12</v>
      </c>
      <c r="B229" s="16">
        <v>38740</v>
      </c>
      <c r="C229" s="5">
        <v>2006</v>
      </c>
      <c r="D229" s="4" t="s">
        <v>4</v>
      </c>
      <c r="E229" s="5">
        <v>1</v>
      </c>
      <c r="F229" s="7">
        <v>4.3521000000000001</v>
      </c>
      <c r="G229" s="7">
        <v>0.24990000000000001</v>
      </c>
      <c r="H229" s="7">
        <v>1E-4</v>
      </c>
      <c r="I229" s="7">
        <v>1.2266999999999999</v>
      </c>
      <c r="J229" s="7">
        <v>1.44E-2</v>
      </c>
      <c r="K229" s="7">
        <v>1E-4</v>
      </c>
    </row>
    <row r="230" spans="1:11">
      <c r="A230" s="5">
        <v>13</v>
      </c>
      <c r="B230" s="16">
        <v>38740</v>
      </c>
      <c r="C230" s="5">
        <v>2006</v>
      </c>
      <c r="D230" s="4" t="s">
        <v>4</v>
      </c>
      <c r="E230" s="5">
        <v>1</v>
      </c>
      <c r="F230" s="7">
        <v>4.3926999999999996</v>
      </c>
      <c r="G230" s="7">
        <v>0.19739999999999999</v>
      </c>
      <c r="H230" s="7">
        <v>1E-4</v>
      </c>
      <c r="I230" s="7">
        <v>1.3949</v>
      </c>
      <c r="J230" s="7">
        <v>1.84E-2</v>
      </c>
      <c r="K230" s="7">
        <v>1E-4</v>
      </c>
    </row>
    <row r="231" spans="1:11">
      <c r="A231" s="5">
        <v>11</v>
      </c>
      <c r="B231" s="16">
        <v>38763</v>
      </c>
      <c r="C231" s="10">
        <v>2006</v>
      </c>
      <c r="D231" s="4" t="s">
        <v>14</v>
      </c>
      <c r="E231" s="10">
        <v>2</v>
      </c>
      <c r="F231" s="7">
        <v>3.9405000000000001</v>
      </c>
      <c r="G231" s="7">
        <v>9.1600000000000001E-2</v>
      </c>
      <c r="H231" s="7">
        <v>1E-4</v>
      </c>
      <c r="I231" s="7">
        <v>1.4208000000000001</v>
      </c>
      <c r="J231" s="7">
        <v>2.1399999999999999E-2</v>
      </c>
      <c r="K231" s="7">
        <v>1E-4</v>
      </c>
    </row>
    <row r="232" spans="1:11">
      <c r="A232" s="5">
        <v>12</v>
      </c>
      <c r="B232" s="16">
        <v>38763</v>
      </c>
      <c r="C232" s="10">
        <v>2006</v>
      </c>
      <c r="D232" s="4" t="s">
        <v>14</v>
      </c>
      <c r="E232" s="10">
        <v>2</v>
      </c>
      <c r="F232" s="7">
        <v>3.2296999999999998</v>
      </c>
      <c r="G232" s="7">
        <v>6.8599999999999994E-2</v>
      </c>
      <c r="H232" s="7">
        <v>1E-4</v>
      </c>
      <c r="I232" s="7">
        <v>1.1432</v>
      </c>
      <c r="J232" s="7">
        <v>1.9800000000000002E-2</v>
      </c>
      <c r="K232" s="7">
        <v>1E-4</v>
      </c>
    </row>
    <row r="233" spans="1:11">
      <c r="A233" s="5">
        <v>13</v>
      </c>
      <c r="B233" s="16">
        <v>38763</v>
      </c>
      <c r="C233" s="10">
        <v>2006</v>
      </c>
      <c r="D233" s="4" t="s">
        <v>14</v>
      </c>
      <c r="E233" s="10">
        <v>2</v>
      </c>
      <c r="F233" s="7">
        <v>3.5844</v>
      </c>
      <c r="G233" s="7">
        <v>8.9800000000000005E-2</v>
      </c>
      <c r="H233" s="7">
        <v>1E-4</v>
      </c>
      <c r="I233" s="7">
        <v>1.2597</v>
      </c>
      <c r="J233" s="7">
        <v>1.8700000000000001E-2</v>
      </c>
      <c r="K233" s="7">
        <v>1E-4</v>
      </c>
    </row>
    <row r="234" spans="1:11">
      <c r="A234" s="5">
        <v>11</v>
      </c>
      <c r="B234" s="16">
        <v>38792</v>
      </c>
      <c r="C234" s="5">
        <v>2006</v>
      </c>
      <c r="D234" s="4" t="s">
        <v>15</v>
      </c>
      <c r="E234" s="10">
        <v>3</v>
      </c>
      <c r="F234" s="7">
        <v>4.5331999999999999</v>
      </c>
      <c r="G234" s="7">
        <v>3.85E-2</v>
      </c>
      <c r="H234" s="7">
        <v>1E-4</v>
      </c>
      <c r="I234" s="7">
        <v>1.8281000000000001</v>
      </c>
      <c r="J234" s="7">
        <v>2.07E-2</v>
      </c>
      <c r="K234" s="7">
        <v>1E-4</v>
      </c>
    </row>
    <row r="235" spans="1:11">
      <c r="A235" s="5">
        <v>12</v>
      </c>
      <c r="B235" s="16">
        <v>38792</v>
      </c>
      <c r="C235" s="5">
        <v>2006</v>
      </c>
      <c r="D235" s="4" t="s">
        <v>15</v>
      </c>
      <c r="E235" s="10">
        <v>3</v>
      </c>
      <c r="F235" s="7">
        <v>4.0243000000000002</v>
      </c>
      <c r="G235" s="7">
        <v>3.6299999999999999E-2</v>
      </c>
      <c r="H235" s="7">
        <v>1E-4</v>
      </c>
      <c r="I235" s="7">
        <v>1.5284</v>
      </c>
      <c r="J235" s="7">
        <v>1.8499999999999999E-2</v>
      </c>
      <c r="K235" s="7">
        <v>1E-4</v>
      </c>
    </row>
    <row r="236" spans="1:11">
      <c r="A236" s="5">
        <v>13</v>
      </c>
      <c r="B236" s="16">
        <v>38792</v>
      </c>
      <c r="C236" s="5">
        <v>2006</v>
      </c>
      <c r="D236" s="4" t="s">
        <v>15</v>
      </c>
      <c r="E236" s="10">
        <v>3</v>
      </c>
      <c r="F236" s="7">
        <v>4.0721999999999996</v>
      </c>
      <c r="G236" s="7">
        <v>3.0499999999999999E-2</v>
      </c>
      <c r="H236" s="7">
        <v>1E-4</v>
      </c>
      <c r="I236" s="7">
        <v>1.5130999999999999</v>
      </c>
      <c r="J236" s="7">
        <v>1.8100000000000002E-2</v>
      </c>
      <c r="K236" s="7">
        <v>1E-4</v>
      </c>
    </row>
    <row r="237" spans="1:11">
      <c r="A237" s="5">
        <v>11</v>
      </c>
      <c r="B237" s="2">
        <v>38826</v>
      </c>
      <c r="C237" s="5">
        <v>2006</v>
      </c>
      <c r="D237" s="4" t="s">
        <v>16</v>
      </c>
      <c r="E237" s="5">
        <v>4</v>
      </c>
      <c r="F237" s="7">
        <v>4.0330000000000004</v>
      </c>
      <c r="G237" s="7">
        <v>3.4599999999999999E-2</v>
      </c>
      <c r="H237" s="7">
        <v>1E-4</v>
      </c>
      <c r="I237" s="7">
        <v>1.4144000000000001</v>
      </c>
      <c r="J237" s="7">
        <v>3.7699999999999997E-2</v>
      </c>
      <c r="K237" s="7">
        <v>1E-4</v>
      </c>
    </row>
    <row r="238" spans="1:11">
      <c r="A238" s="5">
        <v>12</v>
      </c>
      <c r="B238" s="2">
        <v>38826</v>
      </c>
      <c r="C238" s="5">
        <v>2006</v>
      </c>
      <c r="D238" s="4" t="s">
        <v>16</v>
      </c>
      <c r="E238" s="5">
        <v>4</v>
      </c>
      <c r="F238" s="7">
        <v>3.0863999999999998</v>
      </c>
      <c r="G238" s="7">
        <v>2.5000000000000001E-2</v>
      </c>
      <c r="H238" s="7">
        <v>1.78E-2</v>
      </c>
      <c r="I238" s="7">
        <v>1.0446</v>
      </c>
      <c r="J238" s="7">
        <v>3.0700000000000002E-2</v>
      </c>
      <c r="K238" s="7">
        <v>1E-4</v>
      </c>
    </row>
    <row r="239" spans="1:11">
      <c r="A239" s="5">
        <v>13</v>
      </c>
      <c r="B239" s="2">
        <v>38826</v>
      </c>
      <c r="C239" s="5">
        <v>2006</v>
      </c>
      <c r="D239" s="4" t="s">
        <v>16</v>
      </c>
      <c r="E239" s="5">
        <v>4</v>
      </c>
      <c r="F239" s="7">
        <v>2.5145</v>
      </c>
      <c r="G239" s="7">
        <v>1.09E-2</v>
      </c>
      <c r="H239" s="7">
        <v>1E-4</v>
      </c>
      <c r="I239" s="7">
        <v>0.82099999999999995</v>
      </c>
      <c r="J239" s="7">
        <v>3.6299999999999999E-2</v>
      </c>
      <c r="K239" s="7">
        <v>1E-4</v>
      </c>
    </row>
    <row r="240" spans="1:11">
      <c r="A240" s="5">
        <v>11</v>
      </c>
      <c r="B240" s="2">
        <v>38853</v>
      </c>
      <c r="C240" s="5">
        <v>2006</v>
      </c>
      <c r="D240" s="4" t="s">
        <v>17</v>
      </c>
      <c r="E240" s="5">
        <v>5</v>
      </c>
      <c r="F240" s="7">
        <v>5.1134000000000004</v>
      </c>
      <c r="G240" s="7">
        <v>3.1800000000000002E-2</v>
      </c>
      <c r="H240" s="7">
        <v>1E-4</v>
      </c>
      <c r="I240" s="7">
        <v>1.8345</v>
      </c>
      <c r="J240" s="7">
        <v>3.5799999999999998E-2</v>
      </c>
      <c r="K240" s="7">
        <v>1E-4</v>
      </c>
    </row>
    <row r="241" spans="1:11">
      <c r="A241" s="5">
        <v>12</v>
      </c>
      <c r="B241" s="2">
        <v>38853</v>
      </c>
      <c r="C241" s="5">
        <v>2006</v>
      </c>
      <c r="D241" s="4" t="s">
        <v>17</v>
      </c>
      <c r="E241" s="5">
        <v>5</v>
      </c>
      <c r="F241" s="7">
        <v>4.5170000000000003</v>
      </c>
      <c r="G241" s="7">
        <v>1.54E-2</v>
      </c>
      <c r="H241" s="7">
        <v>1E-4</v>
      </c>
      <c r="I241" s="7">
        <v>1.5242</v>
      </c>
      <c r="J241" s="7">
        <v>2.8500000000000001E-2</v>
      </c>
      <c r="K241" s="7">
        <v>1E-4</v>
      </c>
    </row>
    <row r="242" spans="1:11">
      <c r="A242" s="5">
        <v>13</v>
      </c>
      <c r="B242" s="2">
        <v>38853</v>
      </c>
      <c r="C242" s="5">
        <v>2006</v>
      </c>
      <c r="D242" s="4" t="s">
        <v>17</v>
      </c>
      <c r="E242" s="5">
        <v>5</v>
      </c>
      <c r="F242" s="7">
        <v>5.2694000000000001</v>
      </c>
      <c r="G242" s="7">
        <v>3.7499999999999999E-2</v>
      </c>
      <c r="H242" s="7">
        <v>2.4E-2</v>
      </c>
      <c r="I242" s="7">
        <v>1.7713000000000001</v>
      </c>
      <c r="J242" s="7">
        <v>4.1599999999999998E-2</v>
      </c>
      <c r="K242" s="7">
        <v>1E-4</v>
      </c>
    </row>
    <row r="243" spans="1:11">
      <c r="A243" s="5">
        <v>11</v>
      </c>
      <c r="B243" s="2">
        <v>38884</v>
      </c>
      <c r="C243" s="5">
        <v>2006</v>
      </c>
      <c r="D243" s="4" t="s">
        <v>18</v>
      </c>
      <c r="E243" s="5">
        <v>6</v>
      </c>
      <c r="F243" s="7">
        <v>10.573600000000001</v>
      </c>
      <c r="G243" s="7">
        <v>0.23100000000000001</v>
      </c>
      <c r="H243" s="7">
        <v>0.53859999999999997</v>
      </c>
      <c r="I243" s="7">
        <v>4.6184000000000003</v>
      </c>
      <c r="J243" s="7">
        <v>9.3299999999999994E-2</v>
      </c>
      <c r="K243" s="7">
        <v>1E-4</v>
      </c>
    </row>
    <row r="244" spans="1:11">
      <c r="A244" s="5">
        <v>12</v>
      </c>
      <c r="B244" s="2">
        <v>38884</v>
      </c>
      <c r="C244" s="5">
        <v>2006</v>
      </c>
      <c r="D244" s="4" t="s">
        <v>18</v>
      </c>
      <c r="E244" s="5">
        <v>6</v>
      </c>
      <c r="F244" s="7">
        <v>9.7650000000000006</v>
      </c>
      <c r="G244" s="7">
        <v>0.19189999999999999</v>
      </c>
      <c r="H244" s="7">
        <v>0.49280000000000002</v>
      </c>
      <c r="I244" s="7">
        <v>4.1369999999999996</v>
      </c>
      <c r="J244" s="7">
        <v>0.11990000000000001</v>
      </c>
      <c r="K244" s="7">
        <v>1E-4</v>
      </c>
    </row>
    <row r="245" spans="1:11">
      <c r="A245" s="5">
        <v>13</v>
      </c>
      <c r="B245" s="2">
        <v>38884</v>
      </c>
      <c r="C245" s="5">
        <v>2006</v>
      </c>
      <c r="D245" s="4" t="s">
        <v>18</v>
      </c>
      <c r="E245" s="5">
        <v>6</v>
      </c>
      <c r="F245" s="7">
        <v>8.5838999999999999</v>
      </c>
      <c r="G245" s="7">
        <v>0.21729999999999999</v>
      </c>
      <c r="H245" s="7">
        <v>0.74660000000000004</v>
      </c>
      <c r="I245" s="7">
        <v>3.5573999999999999</v>
      </c>
      <c r="J245" s="7">
        <v>0.14630000000000001</v>
      </c>
      <c r="K245" s="7">
        <v>1E-4</v>
      </c>
    </row>
    <row r="246" spans="1:11">
      <c r="A246" s="5">
        <v>11</v>
      </c>
      <c r="B246" s="2">
        <v>38915</v>
      </c>
      <c r="C246" s="5">
        <v>2006</v>
      </c>
      <c r="D246" s="4" t="s">
        <v>19</v>
      </c>
      <c r="E246" s="5">
        <v>7</v>
      </c>
      <c r="F246" s="7">
        <v>12.3408</v>
      </c>
      <c r="G246" s="7">
        <v>0.1336</v>
      </c>
      <c r="H246" s="7">
        <v>0.81089999999999995</v>
      </c>
      <c r="I246" s="7">
        <v>5.5903</v>
      </c>
      <c r="J246" s="7">
        <v>0.21049999999999999</v>
      </c>
      <c r="K246" s="7">
        <v>1E-4</v>
      </c>
    </row>
    <row r="247" spans="1:11">
      <c r="A247" s="5">
        <v>12</v>
      </c>
      <c r="B247" s="2">
        <v>38915</v>
      </c>
      <c r="C247" s="5">
        <v>2006</v>
      </c>
      <c r="D247" s="4" t="s">
        <v>19</v>
      </c>
      <c r="E247" s="5">
        <v>7</v>
      </c>
      <c r="F247" s="7">
        <v>9.6376000000000008</v>
      </c>
      <c r="G247" s="7">
        <v>0.13039999999999999</v>
      </c>
      <c r="H247" s="7">
        <v>0.71330000000000005</v>
      </c>
      <c r="I247" s="7">
        <v>3.8073000000000001</v>
      </c>
      <c r="J247" s="7">
        <v>0.2397</v>
      </c>
      <c r="K247" s="7">
        <v>1E-4</v>
      </c>
    </row>
    <row r="248" spans="1:11">
      <c r="A248" s="5">
        <v>13</v>
      </c>
      <c r="B248" s="2">
        <v>38915</v>
      </c>
      <c r="C248" s="5">
        <v>2006</v>
      </c>
      <c r="D248" s="4" t="s">
        <v>19</v>
      </c>
      <c r="E248" s="5">
        <v>7</v>
      </c>
      <c r="F248" s="7">
        <v>6.1684000000000001</v>
      </c>
      <c r="G248" s="7">
        <v>4.8500000000000001E-2</v>
      </c>
      <c r="H248" s="7">
        <v>0.55840000000000001</v>
      </c>
      <c r="I248" s="7">
        <v>2.5912000000000002</v>
      </c>
      <c r="J248" s="7">
        <v>0.20100000000000001</v>
      </c>
      <c r="K248" s="7">
        <v>1E-4</v>
      </c>
    </row>
    <row r="249" spans="1:11">
      <c r="A249" s="5">
        <v>11</v>
      </c>
      <c r="B249" s="2">
        <v>38952</v>
      </c>
      <c r="C249" s="5">
        <v>2006</v>
      </c>
      <c r="D249" s="4" t="s">
        <v>20</v>
      </c>
      <c r="E249" s="5">
        <v>8</v>
      </c>
      <c r="F249" s="7">
        <v>9.0381</v>
      </c>
      <c r="G249" s="7">
        <v>8.2299999999999998E-2</v>
      </c>
      <c r="H249" s="7">
        <v>1E-4</v>
      </c>
      <c r="I249" s="7">
        <v>3.5531000000000001</v>
      </c>
      <c r="J249" s="7">
        <v>0.1663</v>
      </c>
      <c r="K249" s="7">
        <v>1E-4</v>
      </c>
    </row>
    <row r="250" spans="1:11">
      <c r="A250" s="5">
        <v>12</v>
      </c>
      <c r="B250" s="2">
        <v>38952</v>
      </c>
      <c r="C250" s="5">
        <v>2006</v>
      </c>
      <c r="D250" s="4" t="s">
        <v>20</v>
      </c>
      <c r="E250" s="5">
        <v>8</v>
      </c>
      <c r="F250" s="7">
        <v>10.0083</v>
      </c>
      <c r="G250" s="7">
        <v>3.9600000000000003E-2</v>
      </c>
      <c r="H250" s="7">
        <v>1E-4</v>
      </c>
      <c r="I250" s="7">
        <v>3.4281000000000001</v>
      </c>
      <c r="J250" s="7">
        <v>0.15720000000000001</v>
      </c>
      <c r="K250" s="7">
        <v>1E-4</v>
      </c>
    </row>
    <row r="251" spans="1:11">
      <c r="A251" s="5">
        <v>13</v>
      </c>
      <c r="B251" s="2">
        <v>38952</v>
      </c>
      <c r="C251" s="5">
        <v>2006</v>
      </c>
      <c r="D251" s="4" t="s">
        <v>20</v>
      </c>
      <c r="E251" s="5">
        <v>8</v>
      </c>
      <c r="F251" s="7">
        <v>10.6065</v>
      </c>
      <c r="G251" s="7">
        <v>6.5600000000000006E-2</v>
      </c>
      <c r="H251" s="7">
        <v>1E-4</v>
      </c>
      <c r="I251" s="7">
        <v>3.5815999999999999</v>
      </c>
      <c r="J251" s="7">
        <v>0.37640000000000001</v>
      </c>
      <c r="K251" s="7">
        <v>1E-4</v>
      </c>
    </row>
    <row r="252" spans="1:11">
      <c r="A252" s="5">
        <v>11</v>
      </c>
      <c r="B252" s="2">
        <v>38975</v>
      </c>
      <c r="C252" s="5">
        <v>2006</v>
      </c>
      <c r="D252" s="4" t="s">
        <v>21</v>
      </c>
      <c r="E252" s="5">
        <v>9</v>
      </c>
      <c r="F252" s="7">
        <v>3.3115000000000001</v>
      </c>
      <c r="G252" s="7">
        <v>6.3100000000000003E-2</v>
      </c>
      <c r="H252" s="7">
        <v>1E-4</v>
      </c>
      <c r="I252" s="7">
        <v>1.0286</v>
      </c>
      <c r="J252" s="7">
        <v>3.5099999999999999E-2</v>
      </c>
      <c r="K252" s="7">
        <v>1E-4</v>
      </c>
    </row>
    <row r="253" spans="1:11">
      <c r="A253" s="5">
        <v>12</v>
      </c>
      <c r="B253" s="2">
        <v>38975</v>
      </c>
      <c r="C253" s="5">
        <v>2006</v>
      </c>
      <c r="D253" s="4" t="s">
        <v>21</v>
      </c>
      <c r="E253" s="5">
        <v>9</v>
      </c>
      <c r="F253" s="7">
        <v>2.6202999999999999</v>
      </c>
      <c r="G253" s="7">
        <v>2.18E-2</v>
      </c>
      <c r="H253" s="7">
        <v>1E-4</v>
      </c>
      <c r="I253" s="7">
        <v>0.86040000000000005</v>
      </c>
      <c r="J253" s="7">
        <v>3.5499999999999997E-2</v>
      </c>
      <c r="K253" s="7">
        <v>1E-4</v>
      </c>
    </row>
    <row r="254" spans="1:11">
      <c r="A254" s="5">
        <v>13</v>
      </c>
      <c r="B254" s="2">
        <v>38975</v>
      </c>
      <c r="C254" s="5">
        <v>2006</v>
      </c>
      <c r="D254" s="4" t="s">
        <v>21</v>
      </c>
      <c r="E254" s="5">
        <v>9</v>
      </c>
      <c r="F254" s="7">
        <v>5.3052999999999999</v>
      </c>
      <c r="G254" s="7">
        <v>4.9299999999999997E-2</v>
      </c>
      <c r="H254" s="7">
        <v>1E-4</v>
      </c>
      <c r="I254" s="7">
        <v>1.7524999999999999</v>
      </c>
      <c r="J254" s="7">
        <v>7.46E-2</v>
      </c>
      <c r="K254" s="7">
        <v>1E-4</v>
      </c>
    </row>
    <row r="255" spans="1:11">
      <c r="A255" s="5">
        <v>11</v>
      </c>
      <c r="B255" s="2">
        <v>39006</v>
      </c>
      <c r="C255" s="5">
        <v>2006</v>
      </c>
      <c r="D255" s="4" t="s">
        <v>22</v>
      </c>
      <c r="E255" s="5">
        <v>10</v>
      </c>
      <c r="F255" s="7">
        <v>6.2370000000000001</v>
      </c>
      <c r="G255" s="7">
        <v>2.7E-2</v>
      </c>
      <c r="H255" s="7">
        <v>0.51800000000000002</v>
      </c>
      <c r="I255" s="7">
        <v>3.085</v>
      </c>
      <c r="J255" s="7">
        <v>0.19700000000000001</v>
      </c>
      <c r="K255" s="7">
        <v>9.9989999999999996E-4</v>
      </c>
    </row>
    <row r="256" spans="1:11">
      <c r="A256" s="5">
        <v>12</v>
      </c>
      <c r="B256" s="2">
        <v>39006</v>
      </c>
      <c r="C256" s="5">
        <v>2006</v>
      </c>
      <c r="D256" s="4" t="s">
        <v>22</v>
      </c>
      <c r="E256" s="5">
        <v>10</v>
      </c>
      <c r="F256" s="7">
        <v>2.2080000000000002</v>
      </c>
      <c r="G256" s="7">
        <v>2.9000000000000001E-2</v>
      </c>
      <c r="H256" s="7">
        <v>9.9989999999999996E-4</v>
      </c>
      <c r="I256" s="7">
        <v>0.502</v>
      </c>
      <c r="J256" s="7">
        <v>0.05</v>
      </c>
      <c r="K256" s="7">
        <v>9.9989999999999996E-4</v>
      </c>
    </row>
    <row r="257" spans="1:11">
      <c r="A257" s="5">
        <v>13</v>
      </c>
      <c r="B257" s="2">
        <v>39006</v>
      </c>
      <c r="C257" s="5">
        <v>2006</v>
      </c>
      <c r="D257" s="4" t="s">
        <v>22</v>
      </c>
      <c r="E257" s="5">
        <v>10</v>
      </c>
      <c r="F257" s="7">
        <v>5.6740000000000004</v>
      </c>
      <c r="G257" s="7">
        <v>3.3000000000000002E-2</v>
      </c>
      <c r="H257" s="7">
        <v>0.18099999999999999</v>
      </c>
      <c r="I257" s="7">
        <v>2.1389999999999998</v>
      </c>
      <c r="J257" s="7">
        <v>8.5000000000000006E-2</v>
      </c>
      <c r="K257" s="7">
        <v>9.9989999999999996E-4</v>
      </c>
    </row>
    <row r="258" spans="1:11">
      <c r="A258" s="5">
        <v>11</v>
      </c>
      <c r="B258" s="2">
        <v>39041</v>
      </c>
      <c r="C258" s="5">
        <v>2006</v>
      </c>
      <c r="D258" s="4" t="s">
        <v>23</v>
      </c>
      <c r="E258" s="5">
        <v>11</v>
      </c>
      <c r="F258" s="7">
        <v>4.78</v>
      </c>
      <c r="G258" s="7">
        <v>2.1000000000000001E-2</v>
      </c>
      <c r="H258" s="7">
        <v>9.9989999999999996E-4</v>
      </c>
      <c r="I258" s="7">
        <v>1.7350000000000001</v>
      </c>
      <c r="J258" s="7">
        <v>3.6999999999999998E-2</v>
      </c>
      <c r="K258" s="7">
        <v>9.9989999999999996E-4</v>
      </c>
    </row>
    <row r="259" spans="1:11">
      <c r="A259" s="5">
        <v>12</v>
      </c>
      <c r="B259" s="2">
        <v>39041</v>
      </c>
      <c r="C259" s="5">
        <v>2006</v>
      </c>
      <c r="D259" s="4" t="s">
        <v>23</v>
      </c>
      <c r="E259" s="5">
        <v>11</v>
      </c>
      <c r="F259" s="7">
        <v>3.375</v>
      </c>
      <c r="G259" s="7">
        <v>1.7999999999999999E-2</v>
      </c>
      <c r="H259" s="7">
        <v>9.9989999999999996E-4</v>
      </c>
      <c r="I259" s="7">
        <v>1.113</v>
      </c>
      <c r="J259" s="7">
        <v>2.5999999999999999E-2</v>
      </c>
      <c r="K259" s="7">
        <v>9.9989999999999996E-4</v>
      </c>
    </row>
    <row r="260" spans="1:11">
      <c r="A260" s="5">
        <v>13</v>
      </c>
      <c r="B260" s="2">
        <v>39041</v>
      </c>
      <c r="C260" s="5">
        <v>2006</v>
      </c>
      <c r="D260" s="4" t="s">
        <v>23</v>
      </c>
      <c r="E260" s="5">
        <v>11</v>
      </c>
      <c r="F260" s="7">
        <v>3.2229999999999999</v>
      </c>
      <c r="G260" s="7">
        <v>1.4999999999999999E-2</v>
      </c>
      <c r="H260" s="7">
        <v>9.9989999999999996E-4</v>
      </c>
      <c r="I260" s="7">
        <v>0.94899999999999995</v>
      </c>
      <c r="J260" s="7">
        <v>3.4000000000000002E-2</v>
      </c>
      <c r="K260" s="7">
        <v>9.9989999999999996E-4</v>
      </c>
    </row>
    <row r="261" spans="1:11">
      <c r="A261" s="5">
        <v>11</v>
      </c>
      <c r="B261" s="16">
        <v>39062</v>
      </c>
      <c r="C261" s="10">
        <v>2006</v>
      </c>
      <c r="D261" s="4" t="s">
        <v>24</v>
      </c>
      <c r="E261" s="10">
        <v>12</v>
      </c>
      <c r="F261" s="7">
        <v>2.6179999999999999</v>
      </c>
      <c r="G261" s="7">
        <v>7.3999999999999996E-2</v>
      </c>
      <c r="H261" s="7">
        <v>9.9989999999999996E-4</v>
      </c>
      <c r="I261" s="7">
        <v>0.71299999999999997</v>
      </c>
      <c r="J261" s="7">
        <v>1.2999999999999999E-2</v>
      </c>
      <c r="K261" s="7">
        <v>9.9989999999999996E-4</v>
      </c>
    </row>
    <row r="262" spans="1:11">
      <c r="A262" s="5">
        <v>12</v>
      </c>
      <c r="B262" s="16">
        <v>39062</v>
      </c>
      <c r="C262" s="10">
        <v>2006</v>
      </c>
      <c r="D262" s="4" t="s">
        <v>24</v>
      </c>
      <c r="E262" s="10">
        <v>12</v>
      </c>
      <c r="F262" s="7">
        <v>3.3340000000000001</v>
      </c>
      <c r="G262" s="7">
        <v>9.6000000000000002E-2</v>
      </c>
      <c r="H262" s="7">
        <v>9.9989999999999996E-4</v>
      </c>
      <c r="I262" s="7">
        <v>0.93300000000000005</v>
      </c>
      <c r="J262" s="7">
        <v>0.01</v>
      </c>
      <c r="K262" s="7">
        <v>9.9989999999999996E-4</v>
      </c>
    </row>
    <row r="263" spans="1:11">
      <c r="A263" s="5">
        <v>13</v>
      </c>
      <c r="B263" s="16">
        <v>39062</v>
      </c>
      <c r="C263" s="10">
        <v>2006</v>
      </c>
      <c r="D263" s="4" t="s">
        <v>24</v>
      </c>
      <c r="E263" s="10">
        <v>12</v>
      </c>
      <c r="F263" s="7">
        <v>5.5019999999999998</v>
      </c>
      <c r="G263" s="7">
        <v>1.6E-2</v>
      </c>
      <c r="H263" s="7">
        <v>9.9989999999999996E-4</v>
      </c>
      <c r="I263" s="7">
        <v>1.865</v>
      </c>
      <c r="J263" s="7">
        <v>0.01</v>
      </c>
      <c r="K263" s="7">
        <v>9.9989999999999996E-4</v>
      </c>
    </row>
    <row r="264" spans="1:11">
      <c r="A264" s="10">
        <v>11</v>
      </c>
      <c r="B264" s="16">
        <v>39100</v>
      </c>
      <c r="C264" s="10">
        <v>2007</v>
      </c>
      <c r="D264" s="4" t="s">
        <v>25</v>
      </c>
      <c r="E264" s="10">
        <v>1</v>
      </c>
      <c r="F264" s="7">
        <v>2.6269999999999998</v>
      </c>
      <c r="G264" s="7">
        <v>8.6999999999999994E-2</v>
      </c>
      <c r="H264" s="7">
        <v>9.9989999999999996E-4</v>
      </c>
      <c r="I264" s="7">
        <v>0.76</v>
      </c>
      <c r="J264" s="7">
        <v>8.0000000000000002E-3</v>
      </c>
      <c r="K264" s="7">
        <v>9.9989999999999996E-4</v>
      </c>
    </row>
    <row r="265" spans="1:11">
      <c r="A265" s="10">
        <v>12</v>
      </c>
      <c r="B265" s="16">
        <v>39100</v>
      </c>
      <c r="C265" s="10">
        <v>2007</v>
      </c>
      <c r="D265" s="4" t="s">
        <v>25</v>
      </c>
      <c r="E265" s="10">
        <v>1</v>
      </c>
      <c r="F265" s="7">
        <v>3.4929999999999999</v>
      </c>
      <c r="G265" s="7">
        <v>0.13500000000000001</v>
      </c>
      <c r="H265" s="7">
        <v>9.9989999999999996E-4</v>
      </c>
      <c r="I265" s="7">
        <v>1.113</v>
      </c>
      <c r="J265" s="7">
        <v>0.01</v>
      </c>
      <c r="K265" s="7">
        <v>9.9989999999999996E-4</v>
      </c>
    </row>
    <row r="266" spans="1:11">
      <c r="A266" s="10">
        <v>13</v>
      </c>
      <c r="B266" s="16">
        <v>39100</v>
      </c>
      <c r="C266" s="10">
        <v>2007</v>
      </c>
      <c r="D266" s="4" t="s">
        <v>25</v>
      </c>
      <c r="E266" s="10">
        <v>1</v>
      </c>
      <c r="F266" s="7">
        <v>4.4210000000000003</v>
      </c>
      <c r="G266" s="7">
        <v>0.13400000000000001</v>
      </c>
      <c r="H266" s="7">
        <v>9.9989999999999996E-4</v>
      </c>
      <c r="I266" s="7">
        <v>1.5</v>
      </c>
      <c r="J266" s="7">
        <v>0.01</v>
      </c>
      <c r="K266" s="7">
        <v>9.9989999999999996E-4</v>
      </c>
    </row>
    <row r="267" spans="1:11">
      <c r="A267" s="10">
        <v>11</v>
      </c>
      <c r="B267" s="16">
        <v>39135</v>
      </c>
      <c r="C267" s="10">
        <v>2007</v>
      </c>
      <c r="D267" s="4" t="s">
        <v>14</v>
      </c>
      <c r="E267" s="10">
        <v>2</v>
      </c>
      <c r="F267" s="7">
        <v>4.931</v>
      </c>
      <c r="G267" s="7">
        <v>5.8000000000000003E-2</v>
      </c>
      <c r="H267" s="7">
        <v>9.9989999999999996E-4</v>
      </c>
      <c r="I267" s="7">
        <v>1.8240000000000001</v>
      </c>
      <c r="J267" s="7">
        <v>1.4999999999999999E-2</v>
      </c>
      <c r="K267" s="7">
        <v>9.9989999999999996E-4</v>
      </c>
    </row>
    <row r="268" spans="1:11">
      <c r="A268" s="10">
        <v>12</v>
      </c>
      <c r="B268" s="16">
        <v>39135</v>
      </c>
      <c r="C268" s="10">
        <v>2007</v>
      </c>
      <c r="D268" s="4" t="s">
        <v>14</v>
      </c>
      <c r="E268" s="10">
        <v>2</v>
      </c>
      <c r="F268" s="7">
        <v>3.262</v>
      </c>
      <c r="G268" s="7">
        <v>3.9E-2</v>
      </c>
      <c r="H268" s="7">
        <v>9.9989999999999996E-4</v>
      </c>
      <c r="I268" s="7">
        <v>1.202</v>
      </c>
      <c r="J268" s="7">
        <v>1.2999999999999999E-2</v>
      </c>
      <c r="K268" s="7">
        <v>9.9989999999999996E-4</v>
      </c>
    </row>
    <row r="269" spans="1:11">
      <c r="A269" s="10">
        <v>13</v>
      </c>
      <c r="B269" s="16">
        <v>39135</v>
      </c>
      <c r="C269" s="10">
        <v>2007</v>
      </c>
      <c r="D269" s="4" t="s">
        <v>14</v>
      </c>
      <c r="E269" s="10">
        <v>2</v>
      </c>
      <c r="F269" s="7">
        <v>1.911</v>
      </c>
      <c r="G269" s="7">
        <v>2.3E-2</v>
      </c>
      <c r="H269" s="7">
        <v>9.9989999999999996E-4</v>
      </c>
      <c r="I269" s="7">
        <v>0.61699999999999999</v>
      </c>
      <c r="J269" s="7">
        <v>8.9999999999999993E-3</v>
      </c>
      <c r="K269" s="7">
        <v>9.9989999999999996E-4</v>
      </c>
    </row>
    <row r="270" spans="1:11">
      <c r="A270" s="10">
        <v>11</v>
      </c>
      <c r="B270" s="16">
        <v>39153</v>
      </c>
      <c r="C270" s="10">
        <v>2007</v>
      </c>
      <c r="D270" s="4" t="s">
        <v>15</v>
      </c>
      <c r="E270" s="10">
        <v>3</v>
      </c>
      <c r="F270" s="7">
        <v>3.69</v>
      </c>
      <c r="G270" s="7">
        <v>2.9000000000000001E-2</v>
      </c>
      <c r="H270" s="7">
        <v>9.9989999999999996E-4</v>
      </c>
      <c r="I270" s="7">
        <v>1.415</v>
      </c>
      <c r="J270" s="7">
        <v>0.02</v>
      </c>
      <c r="K270" s="7">
        <v>9.9989999999999996E-4</v>
      </c>
    </row>
    <row r="271" spans="1:11">
      <c r="A271" s="10">
        <v>12</v>
      </c>
      <c r="B271" s="16">
        <v>39153</v>
      </c>
      <c r="C271" s="10">
        <v>2007</v>
      </c>
      <c r="D271" s="4" t="s">
        <v>15</v>
      </c>
      <c r="E271" s="10">
        <v>3</v>
      </c>
      <c r="F271" s="7">
        <v>2.7309999999999999</v>
      </c>
      <c r="G271" s="7">
        <v>1.7000000000000001E-2</v>
      </c>
      <c r="H271" s="7">
        <v>0.01</v>
      </c>
      <c r="I271" s="7">
        <v>1.115</v>
      </c>
      <c r="J271" s="7">
        <v>4.2999999999999997E-2</v>
      </c>
      <c r="K271" s="7">
        <v>9.9989999999999996E-4</v>
      </c>
    </row>
    <row r="272" spans="1:11">
      <c r="A272" s="10">
        <v>13</v>
      </c>
      <c r="B272" s="16">
        <v>39153</v>
      </c>
      <c r="C272" s="10">
        <v>2007</v>
      </c>
      <c r="D272" s="4" t="s">
        <v>15</v>
      </c>
      <c r="E272" s="10">
        <v>3</v>
      </c>
      <c r="F272" s="7">
        <v>2.9929999999999999</v>
      </c>
      <c r="G272" s="7">
        <v>1.7999999999999999E-2</v>
      </c>
      <c r="H272" s="7">
        <v>1.2999999999999999E-2</v>
      </c>
      <c r="I272" s="7">
        <v>1.167</v>
      </c>
      <c r="J272" s="7">
        <v>2.5000000000000001E-2</v>
      </c>
      <c r="K272" s="7">
        <v>9.9989999999999996E-4</v>
      </c>
    </row>
    <row r="273" spans="1:11">
      <c r="A273" s="10">
        <v>11</v>
      </c>
      <c r="B273" s="16">
        <v>39191</v>
      </c>
      <c r="C273" s="10">
        <v>2007</v>
      </c>
      <c r="D273" s="4" t="s">
        <v>16</v>
      </c>
      <c r="E273" s="10">
        <v>4</v>
      </c>
      <c r="F273" s="7">
        <v>4.2329999999999997</v>
      </c>
      <c r="G273" s="7">
        <v>2.8000000000000001E-2</v>
      </c>
      <c r="H273" s="7">
        <v>9.9989999999999996E-4</v>
      </c>
      <c r="I273" s="7">
        <v>1.677</v>
      </c>
      <c r="J273" s="7">
        <v>2.1000000000000001E-2</v>
      </c>
      <c r="K273" s="7">
        <v>9.9989999999999996E-4</v>
      </c>
    </row>
    <row r="274" spans="1:11">
      <c r="A274" s="10">
        <v>12</v>
      </c>
      <c r="B274" s="16">
        <v>39191</v>
      </c>
      <c r="C274" s="10">
        <v>2007</v>
      </c>
      <c r="D274" s="4" t="s">
        <v>16</v>
      </c>
      <c r="E274" s="10">
        <v>4</v>
      </c>
      <c r="F274" s="7">
        <v>3.0619999999999998</v>
      </c>
      <c r="G274" s="7">
        <v>2.5000000000000001E-2</v>
      </c>
      <c r="H274" s="7">
        <v>9.9989999999999996E-4</v>
      </c>
      <c r="I274" s="7">
        <v>1.1659999999999999</v>
      </c>
      <c r="J274" s="7">
        <v>1.2999999999999999E-2</v>
      </c>
      <c r="K274" s="7">
        <v>9.9989999999999996E-4</v>
      </c>
    </row>
    <row r="275" spans="1:11">
      <c r="A275" s="10">
        <v>13</v>
      </c>
      <c r="B275" s="16">
        <v>39191</v>
      </c>
      <c r="C275" s="10">
        <v>2007</v>
      </c>
      <c r="D275" s="4" t="s">
        <v>16</v>
      </c>
      <c r="E275" s="10">
        <v>4</v>
      </c>
      <c r="F275" s="7">
        <v>2.7480000000000002</v>
      </c>
      <c r="G275" s="7">
        <v>2.9000000000000001E-2</v>
      </c>
      <c r="H275" s="7">
        <v>9.9989999999999996E-4</v>
      </c>
      <c r="I275" s="7">
        <v>1.0309999999999999</v>
      </c>
      <c r="J275" s="7">
        <v>8.9999999999999993E-3</v>
      </c>
      <c r="K275" s="7">
        <v>9.9989999999999996E-4</v>
      </c>
    </row>
    <row r="276" spans="1:11">
      <c r="A276" s="10">
        <v>11</v>
      </c>
      <c r="B276" s="16">
        <v>39216</v>
      </c>
      <c r="C276" s="10">
        <v>2007</v>
      </c>
      <c r="D276" s="4" t="s">
        <v>17</v>
      </c>
      <c r="E276" s="10">
        <v>5</v>
      </c>
      <c r="F276" s="7">
        <v>10.526999999999999</v>
      </c>
      <c r="G276" s="7">
        <v>0.10100000000000001</v>
      </c>
      <c r="H276" s="7">
        <v>0.59299999999999997</v>
      </c>
      <c r="I276" s="7">
        <v>4.7549999999999999</v>
      </c>
      <c r="J276" s="7">
        <v>0.06</v>
      </c>
      <c r="K276" s="7">
        <v>9.9989999999999996E-4</v>
      </c>
    </row>
    <row r="277" spans="1:11">
      <c r="A277" s="10">
        <v>12</v>
      </c>
      <c r="B277" s="16">
        <v>39216</v>
      </c>
      <c r="C277" s="10">
        <v>2007</v>
      </c>
      <c r="D277" s="4" t="s">
        <v>17</v>
      </c>
      <c r="E277" s="10">
        <v>5</v>
      </c>
      <c r="F277" s="7">
        <v>12.195</v>
      </c>
      <c r="G277" s="7">
        <v>0.11600000000000001</v>
      </c>
      <c r="H277" s="7">
        <v>0.61799999999999999</v>
      </c>
      <c r="I277" s="7">
        <v>5.7249999999999996</v>
      </c>
      <c r="J277" s="7">
        <v>0.05</v>
      </c>
      <c r="K277" s="7">
        <v>9.9989999999999996E-4</v>
      </c>
    </row>
    <row r="278" spans="1:11">
      <c r="A278" s="10">
        <v>13</v>
      </c>
      <c r="B278" s="16">
        <v>39216</v>
      </c>
      <c r="C278" s="10">
        <v>2007</v>
      </c>
      <c r="D278" s="4" t="s">
        <v>17</v>
      </c>
      <c r="E278" s="10">
        <v>5</v>
      </c>
      <c r="F278" s="7">
        <v>3.3740000000000001</v>
      </c>
      <c r="G278" s="7">
        <v>9.9989999999999996E-4</v>
      </c>
      <c r="H278" s="7">
        <v>6.5000000000000002E-2</v>
      </c>
      <c r="I278" s="7">
        <v>1.1000000000000001</v>
      </c>
      <c r="J278" s="7">
        <v>0.04</v>
      </c>
      <c r="K278" s="7">
        <v>9.9989999999999996E-4</v>
      </c>
    </row>
    <row r="279" spans="1:11">
      <c r="A279" s="10">
        <v>11</v>
      </c>
      <c r="B279" s="16">
        <v>39248</v>
      </c>
      <c r="C279" s="10">
        <v>2007</v>
      </c>
      <c r="D279" s="4" t="s">
        <v>18</v>
      </c>
      <c r="E279" s="10">
        <v>6</v>
      </c>
      <c r="F279" s="7">
        <v>2.7450000000000001</v>
      </c>
      <c r="G279" s="7">
        <v>0.04</v>
      </c>
      <c r="H279" s="7">
        <v>4.4999999999999998E-2</v>
      </c>
      <c r="I279" s="7">
        <v>0.95</v>
      </c>
      <c r="J279" s="7">
        <v>3.7999999999999999E-2</v>
      </c>
      <c r="K279" s="7">
        <v>9.9989999999999996E-4</v>
      </c>
    </row>
    <row r="280" spans="1:11">
      <c r="A280" s="10">
        <v>12</v>
      </c>
      <c r="B280" s="16">
        <v>39248</v>
      </c>
      <c r="C280" s="10">
        <v>2007</v>
      </c>
      <c r="D280" s="4" t="s">
        <v>18</v>
      </c>
      <c r="E280" s="10">
        <v>6</v>
      </c>
      <c r="F280" s="7">
        <v>3.7749999999999999</v>
      </c>
      <c r="G280" s="7">
        <v>8.4000000000000005E-2</v>
      </c>
      <c r="H280" s="7">
        <v>4.2000000000000003E-2</v>
      </c>
      <c r="I280" s="7">
        <v>1.1890000000000001</v>
      </c>
      <c r="J280" s="7">
        <v>4.5999999999999999E-2</v>
      </c>
      <c r="K280" s="7">
        <v>9.9989999999999996E-4</v>
      </c>
    </row>
    <row r="281" spans="1:11">
      <c r="A281" s="10">
        <v>13</v>
      </c>
      <c r="B281" s="16">
        <v>39248</v>
      </c>
      <c r="C281" s="10">
        <v>2007</v>
      </c>
      <c r="D281" s="4" t="s">
        <v>18</v>
      </c>
      <c r="E281" s="10">
        <v>6</v>
      </c>
      <c r="F281" s="7">
        <v>8.7929999999999993</v>
      </c>
      <c r="G281" s="7">
        <v>0.56299999999999994</v>
      </c>
      <c r="H281" s="7">
        <v>3.7999999999999999E-2</v>
      </c>
      <c r="I281" s="7">
        <v>1.966</v>
      </c>
      <c r="J281" s="7">
        <v>5.2999999999999999E-2</v>
      </c>
      <c r="K281" s="7">
        <v>9.9989999999999996E-4</v>
      </c>
    </row>
    <row r="282" spans="1:11">
      <c r="A282" s="10">
        <v>11</v>
      </c>
      <c r="B282" s="16">
        <v>39279</v>
      </c>
      <c r="C282" s="10">
        <v>2007</v>
      </c>
      <c r="D282" s="4" t="s">
        <v>19</v>
      </c>
      <c r="E282" s="10">
        <v>7</v>
      </c>
      <c r="F282" s="7">
        <v>8.2260000000000009</v>
      </c>
      <c r="G282" s="7">
        <v>0.155</v>
      </c>
      <c r="H282" s="7">
        <v>8.6999999999999994E-2</v>
      </c>
      <c r="I282" s="7">
        <v>2.726</v>
      </c>
      <c r="J282" s="7">
        <v>9.0999999999999998E-2</v>
      </c>
      <c r="K282" s="7">
        <v>9.9989999999999996E-4</v>
      </c>
    </row>
    <row r="283" spans="1:11">
      <c r="A283" s="10">
        <v>12</v>
      </c>
      <c r="B283" s="16">
        <v>39279</v>
      </c>
      <c r="C283" s="10">
        <v>2007</v>
      </c>
      <c r="D283" s="4" t="s">
        <v>19</v>
      </c>
      <c r="E283" s="10">
        <v>7</v>
      </c>
      <c r="F283" s="7">
        <v>8.6479999999999997</v>
      </c>
      <c r="G283" s="7">
        <v>0.109</v>
      </c>
      <c r="H283" s="7">
        <v>9.1999999999999998E-2</v>
      </c>
      <c r="I283" s="7">
        <v>2.5880000000000001</v>
      </c>
      <c r="J283" s="7">
        <v>0.107</v>
      </c>
      <c r="K283" s="7">
        <v>9.9989999999999996E-4</v>
      </c>
    </row>
    <row r="284" spans="1:11">
      <c r="A284" s="10">
        <v>13</v>
      </c>
      <c r="B284" s="16">
        <v>39279</v>
      </c>
      <c r="C284" s="10">
        <v>2007</v>
      </c>
      <c r="D284" s="4" t="s">
        <v>19</v>
      </c>
      <c r="E284" s="10">
        <v>7</v>
      </c>
      <c r="F284" s="7">
        <v>10.461</v>
      </c>
      <c r="G284" s="7">
        <v>0.20799999999999999</v>
      </c>
      <c r="H284" s="7">
        <v>0.28000000000000003</v>
      </c>
      <c r="I284" s="7">
        <v>2.7759999999999998</v>
      </c>
      <c r="J284" s="7">
        <v>0.27200000000000002</v>
      </c>
      <c r="K284" s="7">
        <v>9.9989999999999996E-4</v>
      </c>
    </row>
    <row r="285" spans="1:11">
      <c r="A285" s="10">
        <v>11</v>
      </c>
      <c r="B285" s="16">
        <v>39310</v>
      </c>
      <c r="C285" s="10">
        <v>2007</v>
      </c>
      <c r="D285" s="4" t="s">
        <v>20</v>
      </c>
      <c r="E285" s="10">
        <v>8</v>
      </c>
      <c r="F285" s="7">
        <v>13.513</v>
      </c>
      <c r="G285" s="7">
        <v>9.9989999999999996E-4</v>
      </c>
      <c r="H285" s="7">
        <v>9.9989999999999996E-4</v>
      </c>
      <c r="I285" s="7">
        <v>4.9569999999999999</v>
      </c>
      <c r="J285" s="7">
        <v>0.35499999999999998</v>
      </c>
      <c r="K285" s="7">
        <v>9.9989999999999996E-4</v>
      </c>
    </row>
    <row r="286" spans="1:11">
      <c r="A286" s="10">
        <v>12</v>
      </c>
      <c r="B286" s="16">
        <v>39308</v>
      </c>
      <c r="C286" s="10">
        <v>2007</v>
      </c>
      <c r="D286" s="4" t="s">
        <v>20</v>
      </c>
      <c r="E286" s="10">
        <v>8</v>
      </c>
      <c r="F286" s="7">
        <v>14.622999999999999</v>
      </c>
      <c r="G286" s="7">
        <v>9.8000000000000004E-2</v>
      </c>
      <c r="H286" s="7">
        <v>9.9989999999999996E-4</v>
      </c>
      <c r="I286" s="7">
        <v>5.1079999999999997</v>
      </c>
      <c r="J286" s="7">
        <v>0.27200000000000002</v>
      </c>
      <c r="K286" s="7">
        <v>9.9989999999999996E-4</v>
      </c>
    </row>
    <row r="287" spans="1:11">
      <c r="A287" s="10">
        <v>13</v>
      </c>
      <c r="B287" s="16">
        <v>39308</v>
      </c>
      <c r="C287" s="10">
        <v>2007</v>
      </c>
      <c r="D287" s="4" t="s">
        <v>20</v>
      </c>
      <c r="E287" s="10">
        <v>8</v>
      </c>
      <c r="F287" s="7">
        <v>17.204999999999998</v>
      </c>
      <c r="G287" s="7">
        <v>9.9989999999999996E-4</v>
      </c>
      <c r="H287" s="7">
        <v>9.9989999999999996E-4</v>
      </c>
      <c r="I287" s="7">
        <v>6.2489999999999997</v>
      </c>
      <c r="J287" s="7">
        <v>0.26600000000000001</v>
      </c>
      <c r="K287" s="7">
        <v>9.9989999999999996E-4</v>
      </c>
    </row>
    <row r="288" spans="1:11">
      <c r="A288" s="10">
        <v>11</v>
      </c>
      <c r="B288" s="16">
        <v>39335</v>
      </c>
      <c r="C288" s="10">
        <v>2007</v>
      </c>
      <c r="D288" s="4" t="s">
        <v>26</v>
      </c>
      <c r="E288" s="10">
        <v>9</v>
      </c>
      <c r="F288" s="7">
        <v>9.2560000000000002</v>
      </c>
      <c r="G288" s="7">
        <v>9.9989999999999996E-4</v>
      </c>
      <c r="H288" s="7">
        <v>9.9989999999999996E-4</v>
      </c>
      <c r="I288" s="7">
        <v>3.8109999999999999</v>
      </c>
      <c r="J288" s="7">
        <v>0.14699999999999999</v>
      </c>
      <c r="K288" s="7">
        <v>9.9989999999999996E-4</v>
      </c>
    </row>
    <row r="289" spans="1:11">
      <c r="A289" s="10">
        <v>12</v>
      </c>
      <c r="B289" s="16">
        <v>39335</v>
      </c>
      <c r="C289" s="10">
        <v>2007</v>
      </c>
      <c r="D289" s="4" t="s">
        <v>26</v>
      </c>
      <c r="E289" s="10">
        <v>9</v>
      </c>
      <c r="F289" s="7">
        <v>8.8049999999999997</v>
      </c>
      <c r="G289" s="7">
        <v>9.9989999999999996E-4</v>
      </c>
      <c r="H289" s="7">
        <v>9.9989999999999996E-4</v>
      </c>
      <c r="I289" s="7">
        <v>3.5310000000000001</v>
      </c>
      <c r="J289" s="7">
        <v>0.11</v>
      </c>
      <c r="K289" s="7">
        <v>9.9989999999999996E-4</v>
      </c>
    </row>
    <row r="290" spans="1:11">
      <c r="A290" s="10">
        <v>13</v>
      </c>
      <c r="B290" s="16">
        <v>39335</v>
      </c>
      <c r="C290" s="10">
        <v>2007</v>
      </c>
      <c r="D290" s="4" t="s">
        <v>26</v>
      </c>
      <c r="E290" s="10">
        <v>9</v>
      </c>
      <c r="F290" s="7">
        <v>9.2910000000000004</v>
      </c>
      <c r="G290" s="7">
        <v>9.9989999999999996E-4</v>
      </c>
      <c r="H290" s="7">
        <v>9.9989999999999996E-4</v>
      </c>
      <c r="I290" s="7">
        <v>2.9289999999999998</v>
      </c>
      <c r="J290" s="7">
        <v>0.46800000000000003</v>
      </c>
      <c r="K290" s="7">
        <v>9.9989999999999996E-4</v>
      </c>
    </row>
    <row r="291" spans="1:11">
      <c r="A291" s="10">
        <v>11</v>
      </c>
      <c r="B291" s="16">
        <v>39370</v>
      </c>
      <c r="C291" s="10">
        <v>2007</v>
      </c>
      <c r="D291" s="4" t="s">
        <v>22</v>
      </c>
      <c r="E291" s="10">
        <v>10</v>
      </c>
      <c r="F291" s="7">
        <v>6.5750000000000002</v>
      </c>
      <c r="G291" s="7">
        <v>0.03</v>
      </c>
      <c r="H291" s="7">
        <v>9.9989999999999996E-4</v>
      </c>
      <c r="I291" s="7">
        <v>1.9770000000000001</v>
      </c>
      <c r="J291" s="7">
        <v>0.126</v>
      </c>
      <c r="K291" s="7">
        <v>9.9989999999999996E-4</v>
      </c>
    </row>
    <row r="292" spans="1:11">
      <c r="A292" s="10">
        <v>12</v>
      </c>
      <c r="B292" s="16">
        <v>39370</v>
      </c>
      <c r="C292" s="10">
        <v>2007</v>
      </c>
      <c r="D292" s="4" t="s">
        <v>22</v>
      </c>
      <c r="E292" s="10">
        <v>10</v>
      </c>
      <c r="F292" s="7">
        <v>3.2440000000000002</v>
      </c>
      <c r="G292" s="7">
        <v>1.4999999999999999E-2</v>
      </c>
      <c r="H292" s="7">
        <v>9.9989999999999996E-4</v>
      </c>
      <c r="I292" s="7">
        <v>0.76800000000000002</v>
      </c>
      <c r="J292" s="7">
        <v>6.5000000000000002E-2</v>
      </c>
      <c r="K292" s="7">
        <v>9.9989999999999996E-4</v>
      </c>
    </row>
    <row r="293" spans="1:11">
      <c r="A293" s="10">
        <v>13</v>
      </c>
      <c r="B293" s="16">
        <v>39370</v>
      </c>
      <c r="C293" s="10">
        <v>2007</v>
      </c>
      <c r="D293" s="4" t="s">
        <v>22</v>
      </c>
      <c r="E293" s="10">
        <v>10</v>
      </c>
      <c r="F293" s="7">
        <v>4.617</v>
      </c>
      <c r="G293" s="7">
        <v>2.9000000000000001E-2</v>
      </c>
      <c r="H293" s="7">
        <v>9.9989999999999996E-4</v>
      </c>
      <c r="I293" s="7">
        <v>1.079</v>
      </c>
      <c r="J293" s="7">
        <v>0.18099999999999999</v>
      </c>
      <c r="K293" s="7">
        <v>9.9989999999999996E-4</v>
      </c>
    </row>
    <row r="294" spans="1:11">
      <c r="A294" s="10">
        <v>11</v>
      </c>
      <c r="B294" s="16">
        <v>39400</v>
      </c>
      <c r="C294" s="10">
        <v>2007</v>
      </c>
      <c r="D294" s="4" t="s">
        <v>23</v>
      </c>
      <c r="E294" s="10">
        <v>11</v>
      </c>
      <c r="F294" s="7">
        <v>2.919</v>
      </c>
      <c r="G294" s="7">
        <v>9.9989999999999996E-4</v>
      </c>
      <c r="H294" s="7">
        <v>9.9989999999999996E-4</v>
      </c>
      <c r="I294" s="7">
        <v>0.90700000000000003</v>
      </c>
      <c r="J294" s="7">
        <v>1.2999999999999999E-2</v>
      </c>
      <c r="K294" s="7">
        <v>9.9989999999999996E-4</v>
      </c>
    </row>
    <row r="295" spans="1:11">
      <c r="A295" s="10">
        <v>12</v>
      </c>
      <c r="B295" s="16">
        <v>39400</v>
      </c>
      <c r="C295" s="10">
        <v>2007</v>
      </c>
      <c r="D295" s="4" t="s">
        <v>23</v>
      </c>
      <c r="E295" s="10">
        <v>11</v>
      </c>
      <c r="F295" s="7">
        <v>1.5880000000000001</v>
      </c>
      <c r="G295" s="7">
        <v>9.9989999999999996E-4</v>
      </c>
      <c r="H295" s="7">
        <v>9.9989999999999996E-4</v>
      </c>
      <c r="I295" s="7">
        <v>0.45700000000000002</v>
      </c>
      <c r="J295" s="7">
        <v>7.0000000000000001E-3</v>
      </c>
      <c r="K295" s="7">
        <v>9.9989999999999996E-4</v>
      </c>
    </row>
    <row r="296" spans="1:11">
      <c r="A296" s="10">
        <v>13</v>
      </c>
      <c r="B296" s="16">
        <v>39400</v>
      </c>
      <c r="C296" s="10">
        <v>2007</v>
      </c>
      <c r="D296" s="4" t="s">
        <v>23</v>
      </c>
      <c r="E296" s="10">
        <v>11</v>
      </c>
      <c r="F296" s="7">
        <v>2.2069999999999999</v>
      </c>
      <c r="G296" s="7">
        <v>9.9989999999999996E-4</v>
      </c>
      <c r="H296" s="7">
        <v>9.9989999999999996E-4</v>
      </c>
      <c r="I296" s="7">
        <v>0.61099999999999999</v>
      </c>
      <c r="J296" s="7">
        <v>8.9999999999999993E-3</v>
      </c>
      <c r="K296" s="7">
        <v>9.9989999999999996E-4</v>
      </c>
    </row>
    <row r="297" spans="1:11">
      <c r="A297" s="10">
        <v>11</v>
      </c>
      <c r="B297" s="16">
        <v>39434</v>
      </c>
      <c r="C297" s="10">
        <v>2007</v>
      </c>
      <c r="D297" s="4" t="s">
        <v>24</v>
      </c>
      <c r="E297" s="10">
        <v>12</v>
      </c>
      <c r="F297" s="7">
        <v>6.556</v>
      </c>
      <c r="G297" s="7">
        <v>9.5000000000000001E-2</v>
      </c>
      <c r="H297" s="7">
        <v>9.9989999999999996E-4</v>
      </c>
      <c r="I297" s="7">
        <v>1.9359999999999999</v>
      </c>
      <c r="J297" s="7">
        <v>1.2999999999999999E-2</v>
      </c>
      <c r="K297" s="7">
        <v>9.9989999999999996E-4</v>
      </c>
    </row>
    <row r="298" spans="1:11">
      <c r="A298" s="10">
        <v>12</v>
      </c>
      <c r="B298" s="16">
        <v>39434</v>
      </c>
      <c r="C298" s="10">
        <v>2007</v>
      </c>
      <c r="D298" s="4" t="s">
        <v>24</v>
      </c>
      <c r="E298" s="10">
        <v>12</v>
      </c>
      <c r="F298" s="7">
        <v>5.6070000000000002</v>
      </c>
      <c r="G298" s="7">
        <v>5.2999999999999999E-2</v>
      </c>
      <c r="H298" s="7">
        <v>9.9989999999999996E-4</v>
      </c>
      <c r="I298" s="7">
        <v>1.7050000000000001</v>
      </c>
      <c r="J298" s="7">
        <v>1.4E-2</v>
      </c>
      <c r="K298" s="7">
        <v>9.9989999999999996E-4</v>
      </c>
    </row>
    <row r="299" spans="1:11">
      <c r="A299" s="10">
        <v>13</v>
      </c>
      <c r="B299" s="16">
        <v>39434</v>
      </c>
      <c r="C299" s="10">
        <v>2007</v>
      </c>
      <c r="D299" s="4" t="s">
        <v>24</v>
      </c>
      <c r="E299" s="10">
        <v>12</v>
      </c>
      <c r="F299" s="7">
        <v>5.415</v>
      </c>
      <c r="G299" s="7">
        <v>5.5E-2</v>
      </c>
      <c r="H299" s="7">
        <v>9.9989999999999996E-4</v>
      </c>
      <c r="I299" s="7">
        <v>1.7050000000000001</v>
      </c>
      <c r="J299" s="7">
        <v>8.0000000000000002E-3</v>
      </c>
      <c r="K299" s="7">
        <v>9.9989999999999996E-4</v>
      </c>
    </row>
    <row r="300" spans="1:11">
      <c r="A300" s="10">
        <v>11</v>
      </c>
      <c r="B300" s="16">
        <v>39463</v>
      </c>
      <c r="C300" s="10">
        <v>2008</v>
      </c>
      <c r="D300" s="4" t="s">
        <v>25</v>
      </c>
      <c r="E300" s="10">
        <v>1</v>
      </c>
      <c r="F300" s="17">
        <v>3.371</v>
      </c>
      <c r="G300" s="17">
        <v>3.4000000000000002E-2</v>
      </c>
      <c r="H300" s="17">
        <v>9.9989999999999996E-4</v>
      </c>
      <c r="I300" s="17">
        <v>1.167</v>
      </c>
      <c r="J300" s="17">
        <v>0.01</v>
      </c>
      <c r="K300" s="17">
        <v>9.9989999999999996E-4</v>
      </c>
    </row>
    <row r="301" spans="1:11">
      <c r="A301" s="10">
        <v>12</v>
      </c>
      <c r="B301" s="16">
        <v>39463</v>
      </c>
      <c r="C301" s="10">
        <v>2008</v>
      </c>
      <c r="D301" s="4" t="s">
        <v>25</v>
      </c>
      <c r="E301" s="10">
        <v>1</v>
      </c>
      <c r="F301" s="17">
        <v>1.7969999999999999</v>
      </c>
      <c r="G301" s="17">
        <v>3.2000000000000001E-2</v>
      </c>
      <c r="H301" s="17">
        <v>9.9989999999999996E-4</v>
      </c>
      <c r="I301" s="17">
        <v>0.57599999999999996</v>
      </c>
      <c r="J301" s="17">
        <v>8.9999999999999993E-3</v>
      </c>
      <c r="K301" s="17">
        <v>9.9989999999999996E-4</v>
      </c>
    </row>
    <row r="302" spans="1:11">
      <c r="A302" s="10">
        <v>13</v>
      </c>
      <c r="B302" s="16">
        <v>39463</v>
      </c>
      <c r="C302" s="10">
        <v>2008</v>
      </c>
      <c r="D302" s="4" t="s">
        <v>25</v>
      </c>
      <c r="E302" s="10">
        <v>1</v>
      </c>
      <c r="F302" s="17">
        <v>2.0569999999999999</v>
      </c>
      <c r="G302" s="17">
        <v>2.7E-2</v>
      </c>
      <c r="H302" s="17">
        <v>9.9989999999999996E-4</v>
      </c>
      <c r="I302" s="17">
        <v>0.69099999999999995</v>
      </c>
      <c r="J302" s="17">
        <v>1.0999999999999999E-2</v>
      </c>
      <c r="K302" s="17">
        <v>9.9989999999999996E-4</v>
      </c>
    </row>
    <row r="303" spans="1:11">
      <c r="A303" s="10">
        <v>11</v>
      </c>
      <c r="B303" s="16">
        <v>39493</v>
      </c>
      <c r="C303" s="10">
        <v>2008</v>
      </c>
      <c r="D303" s="4" t="s">
        <v>14</v>
      </c>
      <c r="E303" s="10">
        <v>2</v>
      </c>
      <c r="F303" s="17">
        <v>2.9140000000000001</v>
      </c>
      <c r="G303" s="17">
        <v>5.5E-2</v>
      </c>
      <c r="H303" s="17">
        <v>9.9989999999999996E-4</v>
      </c>
      <c r="I303" s="17">
        <v>0.92900000000000005</v>
      </c>
      <c r="J303" s="17">
        <v>0.01</v>
      </c>
      <c r="K303" s="17">
        <v>9.9989999999999996E-4</v>
      </c>
    </row>
    <row r="304" spans="1:11">
      <c r="A304" s="10">
        <v>12</v>
      </c>
      <c r="B304" s="16">
        <v>39493</v>
      </c>
      <c r="C304" s="10">
        <v>2008</v>
      </c>
      <c r="D304" s="4" t="s">
        <v>14</v>
      </c>
      <c r="E304" s="10">
        <v>2</v>
      </c>
      <c r="F304" s="17">
        <v>1.8939999999999999</v>
      </c>
      <c r="G304" s="17">
        <v>3.7999999999999999E-2</v>
      </c>
      <c r="H304" s="17">
        <v>9.9989999999999996E-4</v>
      </c>
      <c r="I304" s="17">
        <v>0.58699999999999997</v>
      </c>
      <c r="J304" s="17">
        <v>1.0999999999999999E-2</v>
      </c>
      <c r="K304" s="17">
        <v>9.9989999999999996E-4</v>
      </c>
    </row>
    <row r="305" spans="1:11">
      <c r="A305" s="10">
        <v>13</v>
      </c>
      <c r="B305" s="16">
        <v>39493</v>
      </c>
      <c r="C305" s="10">
        <v>2008</v>
      </c>
      <c r="D305" s="4" t="s">
        <v>14</v>
      </c>
      <c r="E305" s="10">
        <v>2</v>
      </c>
      <c r="F305" s="17">
        <v>2.54</v>
      </c>
      <c r="G305" s="17">
        <v>0.05</v>
      </c>
      <c r="H305" s="17">
        <v>9.9989999999999996E-4</v>
      </c>
      <c r="I305" s="17">
        <v>0.83299999999999996</v>
      </c>
      <c r="J305" s="17">
        <v>0.01</v>
      </c>
      <c r="K305" s="17">
        <v>9.9989999999999996E-4</v>
      </c>
    </row>
    <row r="306" spans="1:11">
      <c r="A306" s="10">
        <v>11</v>
      </c>
      <c r="B306" s="16">
        <v>39517</v>
      </c>
      <c r="C306" s="10">
        <v>2008</v>
      </c>
      <c r="D306" s="4" t="s">
        <v>15</v>
      </c>
      <c r="E306" s="10">
        <v>3</v>
      </c>
      <c r="F306" s="18">
        <v>1.5009999999999999</v>
      </c>
      <c r="G306" s="17">
        <v>2.5000000000000001E-2</v>
      </c>
      <c r="H306" s="17">
        <v>9.9989999999999996E-4</v>
      </c>
      <c r="I306" s="17">
        <v>0.52100000000000002</v>
      </c>
      <c r="J306" s="17">
        <v>1.0999999999999999E-2</v>
      </c>
      <c r="K306" s="17">
        <v>9.9989999999999996E-4</v>
      </c>
    </row>
    <row r="307" spans="1:11">
      <c r="A307" s="10">
        <v>12</v>
      </c>
      <c r="B307" s="16">
        <v>39517</v>
      </c>
      <c r="C307" s="10">
        <v>2008</v>
      </c>
      <c r="D307" s="4" t="s">
        <v>15</v>
      </c>
      <c r="E307" s="10">
        <v>3</v>
      </c>
      <c r="F307" s="18">
        <v>2.431</v>
      </c>
      <c r="G307" s="17">
        <v>5.0999999999999997E-2</v>
      </c>
      <c r="H307" s="17">
        <v>9.9989999999999996E-4</v>
      </c>
      <c r="I307" s="17">
        <v>0.77200000000000002</v>
      </c>
      <c r="J307" s="17">
        <v>1.6E-2</v>
      </c>
      <c r="K307" s="17">
        <v>9.9989999999999996E-4</v>
      </c>
    </row>
    <row r="308" spans="1:11">
      <c r="A308" s="10">
        <v>13</v>
      </c>
      <c r="B308" s="16">
        <v>39517</v>
      </c>
      <c r="C308" s="10">
        <v>2008</v>
      </c>
      <c r="D308" s="4" t="s">
        <v>15</v>
      </c>
      <c r="E308" s="10">
        <v>3</v>
      </c>
      <c r="F308" s="18">
        <v>3.1509999999999998</v>
      </c>
      <c r="G308" s="17">
        <v>6.0999999999999999E-2</v>
      </c>
      <c r="H308" s="17">
        <v>9.9989999999999996E-4</v>
      </c>
      <c r="I308" s="17">
        <v>1.016</v>
      </c>
      <c r="J308" s="17">
        <v>1.4999999999999999E-2</v>
      </c>
      <c r="K308" s="17">
        <v>9.9989999999999996E-4</v>
      </c>
    </row>
    <row r="309" spans="1:11">
      <c r="A309" s="10">
        <v>11</v>
      </c>
      <c r="B309" s="16">
        <v>39552</v>
      </c>
      <c r="C309" s="10">
        <v>2008</v>
      </c>
      <c r="D309" s="4" t="s">
        <v>16</v>
      </c>
      <c r="E309" s="10">
        <v>4</v>
      </c>
      <c r="F309" s="18">
        <v>1.153</v>
      </c>
      <c r="G309" s="17">
        <v>9.9989999999999996E-4</v>
      </c>
      <c r="H309" s="17">
        <v>9.9989999999999996E-4</v>
      </c>
      <c r="I309" s="17">
        <v>0.34699999999999998</v>
      </c>
      <c r="J309" s="17">
        <v>7.0000000000000001E-3</v>
      </c>
      <c r="K309" s="17">
        <v>9.9989999999999996E-4</v>
      </c>
    </row>
    <row r="310" spans="1:11">
      <c r="A310" s="10">
        <v>12</v>
      </c>
      <c r="B310" s="16">
        <v>39552</v>
      </c>
      <c r="C310" s="10">
        <v>2008</v>
      </c>
      <c r="D310" s="4" t="s">
        <v>16</v>
      </c>
      <c r="E310" s="10">
        <v>4</v>
      </c>
      <c r="F310" s="18">
        <v>1.347</v>
      </c>
      <c r="G310" s="17">
        <v>9.9989999999999996E-4</v>
      </c>
      <c r="H310" s="17">
        <v>9.9989999999999996E-4</v>
      </c>
      <c r="I310" s="17">
        <v>0.379</v>
      </c>
      <c r="J310" s="17">
        <v>8.9999999999999993E-3</v>
      </c>
      <c r="K310" s="17">
        <v>9.9989999999999996E-4</v>
      </c>
    </row>
    <row r="311" spans="1:11">
      <c r="A311" s="10">
        <v>13</v>
      </c>
      <c r="B311" s="16">
        <v>39552</v>
      </c>
      <c r="C311" s="10">
        <v>2008</v>
      </c>
      <c r="D311" s="4" t="s">
        <v>16</v>
      </c>
      <c r="E311" s="10">
        <v>4</v>
      </c>
      <c r="F311" s="18">
        <v>2.6349999999999998</v>
      </c>
      <c r="G311" s="17">
        <v>1.4999999999999999E-2</v>
      </c>
      <c r="H311" s="17">
        <v>9.9989999999999996E-4</v>
      </c>
      <c r="I311" s="17">
        <v>0.69</v>
      </c>
      <c r="J311" s="17">
        <v>5.0000000000000001E-3</v>
      </c>
      <c r="K311" s="17">
        <v>9.9989999999999996E-4</v>
      </c>
    </row>
    <row r="312" spans="1:11">
      <c r="A312" s="10">
        <v>11</v>
      </c>
      <c r="B312" s="16">
        <v>39583</v>
      </c>
      <c r="C312" s="10">
        <v>2008</v>
      </c>
      <c r="D312" s="4" t="s">
        <v>17</v>
      </c>
      <c r="E312" s="10">
        <v>5</v>
      </c>
      <c r="F312" s="18">
        <v>1.796</v>
      </c>
      <c r="G312" s="17">
        <v>9.9989999999999996E-4</v>
      </c>
      <c r="H312" s="17">
        <v>9.9989999999999996E-4</v>
      </c>
      <c r="I312" s="17">
        <v>0.54900000000000004</v>
      </c>
      <c r="J312" s="17">
        <v>2.1000000000000001E-2</v>
      </c>
      <c r="K312" s="17">
        <v>9.9989999999999996E-4</v>
      </c>
    </row>
    <row r="313" spans="1:11">
      <c r="A313" s="10">
        <v>12</v>
      </c>
      <c r="B313" s="16">
        <v>39583</v>
      </c>
      <c r="C313" s="10">
        <v>2008</v>
      </c>
      <c r="D313" s="4" t="s">
        <v>17</v>
      </c>
      <c r="E313" s="10">
        <v>5</v>
      </c>
      <c r="F313" s="18">
        <v>2.3330000000000002</v>
      </c>
      <c r="G313" s="17">
        <v>2.1000000000000001E-2</v>
      </c>
      <c r="H313" s="17">
        <v>9.9989999999999996E-4</v>
      </c>
      <c r="I313" s="17">
        <v>0.66700000000000004</v>
      </c>
      <c r="J313" s="17">
        <v>1.9E-2</v>
      </c>
      <c r="K313" s="17">
        <v>9.9989999999999996E-4</v>
      </c>
    </row>
    <row r="314" spans="1:11">
      <c r="A314" s="10">
        <v>13</v>
      </c>
      <c r="B314" s="16">
        <v>39583</v>
      </c>
      <c r="C314" s="10">
        <v>2008</v>
      </c>
      <c r="D314" s="4" t="s">
        <v>17</v>
      </c>
      <c r="E314" s="10">
        <v>5</v>
      </c>
      <c r="F314" s="18">
        <v>2.1070000000000002</v>
      </c>
      <c r="G314" s="17">
        <v>9.9989999999999996E-4</v>
      </c>
      <c r="H314" s="17">
        <v>9.9989999999999996E-4</v>
      </c>
      <c r="I314" s="17">
        <v>0.61199999999999999</v>
      </c>
      <c r="J314" s="17">
        <v>2.1000000000000001E-2</v>
      </c>
      <c r="K314" s="17">
        <v>9.9989999999999996E-4</v>
      </c>
    </row>
    <row r="315" spans="1:11">
      <c r="A315" s="10">
        <v>11</v>
      </c>
      <c r="B315" s="16">
        <v>39617</v>
      </c>
      <c r="C315" s="10">
        <v>2008</v>
      </c>
      <c r="D315" s="4" t="s">
        <v>18</v>
      </c>
      <c r="E315" s="10">
        <v>6</v>
      </c>
      <c r="F315" s="18">
        <v>2.1179999999999999</v>
      </c>
      <c r="G315" s="17">
        <v>1.2E-2</v>
      </c>
      <c r="H315" s="17">
        <v>9.9989999999999996E-4</v>
      </c>
      <c r="I315" s="17">
        <v>0.5</v>
      </c>
      <c r="J315" s="17">
        <v>4.1000000000000002E-2</v>
      </c>
      <c r="K315" s="17">
        <v>9.9989999999999996E-4</v>
      </c>
    </row>
    <row r="316" spans="1:11">
      <c r="A316" s="10">
        <v>12</v>
      </c>
      <c r="B316" s="16">
        <v>39617</v>
      </c>
      <c r="C316" s="10">
        <v>2008</v>
      </c>
      <c r="D316" s="4" t="s">
        <v>18</v>
      </c>
      <c r="E316" s="10">
        <v>6</v>
      </c>
      <c r="F316" s="18">
        <v>2.484</v>
      </c>
      <c r="G316" s="17">
        <v>1.4E-2</v>
      </c>
      <c r="H316" s="17">
        <v>9.9989999999999996E-4</v>
      </c>
      <c r="I316" s="17">
        <v>0.53400000000000003</v>
      </c>
      <c r="J316" s="17">
        <v>2.7E-2</v>
      </c>
      <c r="K316" s="17">
        <v>9.9989999999999996E-4</v>
      </c>
    </row>
    <row r="317" spans="1:11">
      <c r="A317" s="10">
        <v>13</v>
      </c>
      <c r="B317" s="16">
        <v>39617</v>
      </c>
      <c r="C317" s="10">
        <v>2008</v>
      </c>
      <c r="D317" s="4" t="s">
        <v>18</v>
      </c>
      <c r="E317" s="10">
        <v>6</v>
      </c>
      <c r="F317" s="18">
        <v>8.8379999999999992</v>
      </c>
      <c r="G317" s="17">
        <v>0.115</v>
      </c>
      <c r="H317" s="17">
        <v>9.9989999999999996E-4</v>
      </c>
      <c r="I317" s="17">
        <v>2.8860000000000001</v>
      </c>
      <c r="J317" s="17">
        <v>4.4999999999999998E-2</v>
      </c>
      <c r="K317" s="17">
        <v>9.9989999999999996E-4</v>
      </c>
    </row>
    <row r="318" spans="1:11">
      <c r="A318" s="10">
        <v>11</v>
      </c>
      <c r="B318" s="16">
        <v>39645</v>
      </c>
      <c r="C318" s="10">
        <v>2008</v>
      </c>
      <c r="D318" s="4" t="s">
        <v>19</v>
      </c>
      <c r="E318" s="10">
        <v>7</v>
      </c>
      <c r="F318" s="18">
        <v>1.85</v>
      </c>
      <c r="G318" s="17">
        <v>4.5999999999999999E-2</v>
      </c>
      <c r="H318" s="17">
        <v>9.9989999999999996E-4</v>
      </c>
      <c r="I318" s="17">
        <v>0.55400000000000005</v>
      </c>
      <c r="J318" s="17">
        <v>1.7000000000000001E-2</v>
      </c>
      <c r="K318" s="17">
        <v>9.9989999999999996E-4</v>
      </c>
    </row>
    <row r="319" spans="1:11">
      <c r="A319" s="10">
        <v>12</v>
      </c>
      <c r="B319" s="16">
        <v>39645</v>
      </c>
      <c r="C319" s="10">
        <v>2008</v>
      </c>
      <c r="D319" s="4" t="s">
        <v>19</v>
      </c>
      <c r="E319" s="10">
        <v>7</v>
      </c>
      <c r="F319" s="18">
        <v>3.04</v>
      </c>
      <c r="G319" s="17">
        <v>2.3E-2</v>
      </c>
      <c r="H319" s="17">
        <v>9.9989999999999996E-4</v>
      </c>
      <c r="I319" s="17">
        <v>0.94799999999999995</v>
      </c>
      <c r="J319" s="17">
        <v>2.1000000000000001E-2</v>
      </c>
      <c r="K319" s="17">
        <v>9.9989999999999996E-4</v>
      </c>
    </row>
    <row r="320" spans="1:11">
      <c r="A320" s="10">
        <v>13</v>
      </c>
      <c r="B320" s="16">
        <v>39645</v>
      </c>
      <c r="C320" s="10">
        <v>2008</v>
      </c>
      <c r="D320" s="4" t="s">
        <v>19</v>
      </c>
      <c r="E320" s="10">
        <v>7</v>
      </c>
      <c r="F320" s="18">
        <v>9.8940000000000001</v>
      </c>
      <c r="G320" s="17">
        <v>0.14399999999999999</v>
      </c>
      <c r="H320" s="17">
        <v>9.9989999999999996E-4</v>
      </c>
      <c r="I320" s="17">
        <v>3.76</v>
      </c>
      <c r="J320" s="17">
        <v>5.7000000000000002E-2</v>
      </c>
      <c r="K320" s="17">
        <v>9.9989999999999996E-4</v>
      </c>
    </row>
    <row r="321" spans="1:11">
      <c r="A321" s="10">
        <v>11</v>
      </c>
      <c r="B321" s="16">
        <v>39672</v>
      </c>
      <c r="C321" s="10">
        <v>2008</v>
      </c>
      <c r="D321" s="4" t="s">
        <v>20</v>
      </c>
      <c r="E321" s="10">
        <v>8</v>
      </c>
      <c r="F321" s="18">
        <v>5.2789999999999999</v>
      </c>
      <c r="G321" s="17">
        <v>6.3E-2</v>
      </c>
      <c r="H321" s="17">
        <v>9.9989999999999996E-4</v>
      </c>
      <c r="I321" s="17">
        <v>1.665</v>
      </c>
      <c r="J321" s="17">
        <v>3.2000000000000001E-2</v>
      </c>
      <c r="K321" s="17">
        <v>9.9989999999999996E-4</v>
      </c>
    </row>
    <row r="322" spans="1:11">
      <c r="A322" s="10">
        <v>12</v>
      </c>
      <c r="B322" s="16">
        <v>39672</v>
      </c>
      <c r="C322" s="10">
        <v>2008</v>
      </c>
      <c r="D322" s="4" t="s">
        <v>20</v>
      </c>
      <c r="E322" s="10">
        <v>8</v>
      </c>
      <c r="F322" s="18">
        <v>5.0039999999999996</v>
      </c>
      <c r="G322" s="17">
        <v>3.1E-2</v>
      </c>
      <c r="H322" s="17">
        <v>9.9989999999999996E-4</v>
      </c>
      <c r="I322" s="17">
        <v>1.6759999999999999</v>
      </c>
      <c r="J322" s="17">
        <v>3.3000000000000002E-2</v>
      </c>
      <c r="K322" s="17">
        <v>9.9989999999999996E-4</v>
      </c>
    </row>
    <row r="323" spans="1:11">
      <c r="A323" s="10">
        <v>13</v>
      </c>
      <c r="B323" s="16">
        <v>39672</v>
      </c>
      <c r="C323" s="10">
        <v>2008</v>
      </c>
      <c r="D323" s="4" t="s">
        <v>20</v>
      </c>
      <c r="E323" s="10">
        <v>8</v>
      </c>
      <c r="F323" s="18">
        <v>20.181999999999999</v>
      </c>
      <c r="G323" s="17">
        <v>0.14899999999999999</v>
      </c>
      <c r="H323" s="17">
        <v>4.2999999999999997E-2</v>
      </c>
      <c r="I323" s="17">
        <v>7.2619999999999996</v>
      </c>
      <c r="J323" s="17">
        <v>0.35899999999999999</v>
      </c>
      <c r="K323" s="17">
        <v>9.9989999999999996E-4</v>
      </c>
    </row>
    <row r="324" spans="1:11">
      <c r="A324" s="10">
        <v>11</v>
      </c>
      <c r="B324" s="16">
        <v>39709</v>
      </c>
      <c r="C324" s="10">
        <v>2008</v>
      </c>
      <c r="D324" s="4" t="s">
        <v>26</v>
      </c>
      <c r="E324" s="10">
        <v>9</v>
      </c>
      <c r="F324" s="17">
        <v>9.52</v>
      </c>
      <c r="G324" s="17">
        <v>4.4999999999999998E-2</v>
      </c>
      <c r="H324" s="17">
        <v>0.55400000000000005</v>
      </c>
      <c r="I324" s="17">
        <v>5.1310000000000002</v>
      </c>
      <c r="J324" s="17">
        <v>0.14299999999999999</v>
      </c>
      <c r="K324" s="17">
        <v>9.9989999999999996E-4</v>
      </c>
    </row>
    <row r="325" spans="1:11">
      <c r="A325" s="10">
        <v>12</v>
      </c>
      <c r="B325" s="16">
        <v>39709</v>
      </c>
      <c r="C325" s="10">
        <v>2008</v>
      </c>
      <c r="D325" s="4" t="s">
        <v>26</v>
      </c>
      <c r="E325" s="10">
        <v>9</v>
      </c>
      <c r="F325" s="17">
        <v>19.344999999999999</v>
      </c>
      <c r="G325" s="17">
        <v>5.3999999999999999E-2</v>
      </c>
      <c r="H325" s="17">
        <v>1.171</v>
      </c>
      <c r="I325" s="17">
        <v>10.523</v>
      </c>
      <c r="J325" s="17">
        <v>0.32700000000000001</v>
      </c>
      <c r="K325" s="17">
        <v>9.9989999999999996E-4</v>
      </c>
    </row>
    <row r="326" spans="1:11">
      <c r="A326" s="10">
        <v>13</v>
      </c>
      <c r="B326" s="16">
        <v>39709</v>
      </c>
      <c r="C326" s="10">
        <v>2008</v>
      </c>
      <c r="D326" s="4" t="s">
        <v>26</v>
      </c>
      <c r="E326" s="10">
        <v>9</v>
      </c>
      <c r="F326" s="17">
        <v>22.425999999999998</v>
      </c>
      <c r="G326" s="17">
        <v>4.3999999999999997E-2</v>
      </c>
      <c r="H326" s="17">
        <v>1.4770000000000001</v>
      </c>
      <c r="I326" s="17">
        <v>11.792</v>
      </c>
      <c r="J326" s="17">
        <v>0.50600000000000001</v>
      </c>
      <c r="K326" s="17">
        <v>9.9989999999999996E-4</v>
      </c>
    </row>
    <row r="327" spans="1:11">
      <c r="A327" s="10">
        <v>11</v>
      </c>
      <c r="B327" s="16">
        <v>39735</v>
      </c>
      <c r="C327" s="10">
        <v>2008</v>
      </c>
      <c r="D327" s="4" t="s">
        <v>22</v>
      </c>
      <c r="E327" s="10">
        <v>10</v>
      </c>
      <c r="F327" s="17">
        <v>8.7769999999999992</v>
      </c>
      <c r="G327" s="17">
        <v>2.9000000000000001E-2</v>
      </c>
      <c r="H327" s="17">
        <v>9.9989999999999996E-4</v>
      </c>
      <c r="I327" s="17">
        <v>3.379</v>
      </c>
      <c r="J327" s="17">
        <v>4.9000000000000002E-2</v>
      </c>
      <c r="K327" s="17">
        <v>9.9989999999999996E-4</v>
      </c>
    </row>
    <row r="328" spans="1:11">
      <c r="A328" s="10">
        <v>12</v>
      </c>
      <c r="B328" s="16">
        <v>39735</v>
      </c>
      <c r="C328" s="10">
        <v>2008</v>
      </c>
      <c r="D328" s="4" t="s">
        <v>22</v>
      </c>
      <c r="E328" s="10">
        <v>10</v>
      </c>
      <c r="F328" s="17">
        <v>5.4119999999999999</v>
      </c>
      <c r="G328" s="17">
        <v>1.7999999999999999E-2</v>
      </c>
      <c r="H328" s="17">
        <v>9.9989999999999996E-4</v>
      </c>
      <c r="I328" s="17">
        <v>2.0489999999999999</v>
      </c>
      <c r="J328" s="17">
        <v>4.9000000000000002E-2</v>
      </c>
      <c r="K328" s="17">
        <v>9.9989999999999996E-4</v>
      </c>
    </row>
    <row r="329" spans="1:11">
      <c r="A329" s="10">
        <v>13</v>
      </c>
      <c r="B329" s="16">
        <v>39735</v>
      </c>
      <c r="C329" s="10">
        <v>2008</v>
      </c>
      <c r="D329" s="4" t="s">
        <v>22</v>
      </c>
      <c r="E329" s="10">
        <v>10</v>
      </c>
      <c r="F329" s="17">
        <v>5.5890000000000004</v>
      </c>
      <c r="G329" s="17">
        <v>1.7000000000000001E-2</v>
      </c>
      <c r="H329" s="17">
        <v>9.9989999999999996E-4</v>
      </c>
      <c r="I329" s="17">
        <v>1.9059999999999999</v>
      </c>
      <c r="J329" s="17">
        <v>0.113</v>
      </c>
      <c r="K329" s="17">
        <v>9.9989999999999996E-4</v>
      </c>
    </row>
    <row r="330" spans="1:11">
      <c r="A330" s="10">
        <v>11</v>
      </c>
      <c r="B330" s="16">
        <v>39769</v>
      </c>
      <c r="C330" s="10">
        <v>2008</v>
      </c>
      <c r="D330" s="4" t="s">
        <v>23</v>
      </c>
      <c r="E330" s="10">
        <v>11</v>
      </c>
      <c r="F330" s="17">
        <v>2.835</v>
      </c>
      <c r="G330" s="17">
        <v>4.1000000000000002E-2</v>
      </c>
      <c r="H330" s="17">
        <v>9.9989999999999996E-4</v>
      </c>
      <c r="I330" s="17">
        <v>0.98</v>
      </c>
      <c r="J330" s="17">
        <v>0.02</v>
      </c>
      <c r="K330" s="17">
        <v>9.9989999999999996E-4</v>
      </c>
    </row>
    <row r="331" spans="1:11">
      <c r="A331" s="10">
        <v>12</v>
      </c>
      <c r="B331" s="16">
        <v>39769</v>
      </c>
      <c r="C331" s="10">
        <v>2008</v>
      </c>
      <c r="D331" s="4" t="s">
        <v>23</v>
      </c>
      <c r="E331" s="10">
        <v>11</v>
      </c>
      <c r="F331" s="17">
        <v>1.167</v>
      </c>
      <c r="G331" s="17">
        <v>1.2999999999999999E-2</v>
      </c>
      <c r="H331" s="17">
        <v>9.9989999999999996E-4</v>
      </c>
      <c r="I331" s="17">
        <v>0.34</v>
      </c>
      <c r="J331" s="17">
        <v>8.0000000000000002E-3</v>
      </c>
      <c r="K331" s="17">
        <v>9.9989999999999996E-4</v>
      </c>
    </row>
    <row r="332" spans="1:11">
      <c r="A332" s="10">
        <v>13</v>
      </c>
      <c r="B332" s="16">
        <v>39769</v>
      </c>
      <c r="C332" s="10">
        <v>2008</v>
      </c>
      <c r="D332" s="4" t="s">
        <v>23</v>
      </c>
      <c r="E332" s="10">
        <v>11</v>
      </c>
      <c r="F332" s="17">
        <v>2.2989999999999999</v>
      </c>
      <c r="G332" s="17">
        <v>3.5000000000000003E-2</v>
      </c>
      <c r="H332" s="17">
        <v>9.9989999999999996E-4</v>
      </c>
      <c r="I332" s="17">
        <v>0.68100000000000005</v>
      </c>
      <c r="J332" s="17">
        <v>1.2999999999999999E-2</v>
      </c>
      <c r="K332" s="17">
        <v>9.9989999999999996E-4</v>
      </c>
    </row>
    <row r="333" spans="1:11">
      <c r="A333" s="10">
        <v>11</v>
      </c>
      <c r="B333" s="16">
        <v>39797</v>
      </c>
      <c r="C333" s="10">
        <v>2008</v>
      </c>
      <c r="D333" s="4" t="s">
        <v>24</v>
      </c>
      <c r="E333" s="10">
        <v>12</v>
      </c>
      <c r="F333" s="17">
        <v>5.1849999999999996</v>
      </c>
      <c r="G333" s="17">
        <v>0.04</v>
      </c>
      <c r="H333" s="17">
        <v>9.9989999999999996E-4</v>
      </c>
      <c r="I333" s="17">
        <v>1.7110000000000001</v>
      </c>
      <c r="J333" s="17">
        <v>1.7000000000000001E-2</v>
      </c>
      <c r="K333" s="17">
        <v>9.9989999999999996E-4</v>
      </c>
    </row>
    <row r="334" spans="1:11">
      <c r="A334" s="10">
        <v>12</v>
      </c>
      <c r="B334" s="16">
        <v>39797</v>
      </c>
      <c r="C334" s="10">
        <v>2008</v>
      </c>
      <c r="D334" s="4" t="s">
        <v>24</v>
      </c>
      <c r="E334" s="10">
        <v>12</v>
      </c>
      <c r="F334" s="17">
        <v>4.3090000000000002</v>
      </c>
      <c r="G334" s="17">
        <v>2.8000000000000001E-2</v>
      </c>
      <c r="H334" s="17">
        <v>9.9989999999999996E-4</v>
      </c>
      <c r="I334" s="17">
        <v>1.3939999999999999</v>
      </c>
      <c r="J334" s="17">
        <v>1.2E-2</v>
      </c>
      <c r="K334" s="17">
        <v>9.9989999999999996E-4</v>
      </c>
    </row>
    <row r="335" spans="1:11">
      <c r="A335" s="10">
        <v>13</v>
      </c>
      <c r="B335" s="16">
        <v>39797</v>
      </c>
      <c r="C335" s="10">
        <v>2008</v>
      </c>
      <c r="D335" s="4" t="s">
        <v>24</v>
      </c>
      <c r="E335" s="10">
        <v>12</v>
      </c>
      <c r="F335" s="17">
        <v>4.5129999999999999</v>
      </c>
      <c r="G335" s="17">
        <v>3.5000000000000003E-2</v>
      </c>
      <c r="H335" s="17">
        <v>9.9989999999999996E-4</v>
      </c>
      <c r="I335" s="17">
        <v>1.4259999999999999</v>
      </c>
      <c r="J335" s="17">
        <v>1.2E-2</v>
      </c>
      <c r="K335" s="17">
        <v>9.9989999999999996E-4</v>
      </c>
    </row>
    <row r="336" spans="1:11">
      <c r="A336" s="10">
        <v>11</v>
      </c>
      <c r="B336" s="16">
        <v>39826</v>
      </c>
      <c r="C336" s="10">
        <v>2009</v>
      </c>
      <c r="D336" s="4" t="s">
        <v>25</v>
      </c>
      <c r="E336" s="5">
        <v>1</v>
      </c>
      <c r="F336" s="17">
        <v>4.407</v>
      </c>
      <c r="G336" s="17">
        <v>6.3E-2</v>
      </c>
      <c r="H336" s="17">
        <v>9.9989999999999996E-4</v>
      </c>
      <c r="I336" s="17">
        <v>1.669</v>
      </c>
      <c r="J336" s="17">
        <v>1.6E-2</v>
      </c>
      <c r="K336" s="17">
        <v>9.9989999999999996E-4</v>
      </c>
    </row>
    <row r="337" spans="1:11">
      <c r="A337" s="10">
        <v>12</v>
      </c>
      <c r="B337" s="16">
        <v>39826</v>
      </c>
      <c r="C337" s="10">
        <v>2009</v>
      </c>
      <c r="D337" s="4" t="s">
        <v>25</v>
      </c>
      <c r="E337" s="5">
        <v>1</v>
      </c>
      <c r="F337" s="17">
        <v>4.0830000000000002</v>
      </c>
      <c r="G337" s="17">
        <v>4.4999999999999998E-2</v>
      </c>
      <c r="H337" s="17">
        <v>9.9989999999999996E-4</v>
      </c>
      <c r="I337" s="17">
        <v>1.421</v>
      </c>
      <c r="J337" s="17">
        <v>1.2999999999999999E-2</v>
      </c>
      <c r="K337" s="17">
        <v>9.9989999999999996E-4</v>
      </c>
    </row>
    <row r="338" spans="1:11">
      <c r="A338" s="10">
        <v>13</v>
      </c>
      <c r="B338" s="16">
        <v>39826</v>
      </c>
      <c r="C338" s="10">
        <v>2009</v>
      </c>
      <c r="D338" s="4" t="s">
        <v>25</v>
      </c>
      <c r="E338" s="5">
        <v>1</v>
      </c>
      <c r="F338" s="17">
        <v>3.7650000000000001</v>
      </c>
      <c r="G338" s="17">
        <v>4.7E-2</v>
      </c>
      <c r="H338" s="17">
        <v>9.9989999999999996E-4</v>
      </c>
      <c r="I338" s="17">
        <v>1.268</v>
      </c>
      <c r="J338" s="17">
        <v>1.2E-2</v>
      </c>
      <c r="K338" s="17">
        <v>9.9989999999999996E-4</v>
      </c>
    </row>
    <row r="339" spans="1:11">
      <c r="A339" s="5">
        <v>11</v>
      </c>
      <c r="B339" s="16">
        <v>39861</v>
      </c>
      <c r="C339" s="10">
        <v>2009</v>
      </c>
      <c r="D339" s="4" t="s">
        <v>14</v>
      </c>
      <c r="E339" s="5">
        <v>2</v>
      </c>
      <c r="F339" s="17">
        <v>4.8280000000000003</v>
      </c>
      <c r="G339" s="17">
        <v>2.9000000000000001E-2</v>
      </c>
      <c r="H339" s="17">
        <v>1E-3</v>
      </c>
      <c r="I339" s="17">
        <v>2.37</v>
      </c>
      <c r="J339" s="17">
        <v>2.1000000000000001E-2</v>
      </c>
      <c r="K339" s="17">
        <v>9.9989999999999996E-4</v>
      </c>
    </row>
    <row r="340" spans="1:11">
      <c r="A340" s="5">
        <v>12</v>
      </c>
      <c r="B340" s="16">
        <v>39861</v>
      </c>
      <c r="C340" s="10">
        <v>2009</v>
      </c>
      <c r="D340" s="4" t="s">
        <v>14</v>
      </c>
      <c r="E340" s="5">
        <v>2</v>
      </c>
      <c r="F340" s="17">
        <v>3.97</v>
      </c>
      <c r="G340" s="17">
        <v>2.4E-2</v>
      </c>
      <c r="H340" s="17">
        <v>1E-3</v>
      </c>
      <c r="I340" s="17">
        <v>1.915</v>
      </c>
      <c r="J340" s="17">
        <v>1.9E-2</v>
      </c>
      <c r="K340" s="17">
        <v>9.9989999999999996E-4</v>
      </c>
    </row>
    <row r="341" spans="1:11">
      <c r="A341" s="5">
        <v>13</v>
      </c>
      <c r="B341" s="16">
        <v>39861</v>
      </c>
      <c r="C341" s="10">
        <v>2009</v>
      </c>
      <c r="D341" s="4" t="s">
        <v>14</v>
      </c>
      <c r="E341" s="5">
        <v>2</v>
      </c>
      <c r="F341" s="17">
        <v>2.0529999999999999</v>
      </c>
      <c r="G341" s="17">
        <v>1.9E-2</v>
      </c>
      <c r="H341" s="17">
        <v>9.9989999999999996E-4</v>
      </c>
      <c r="I341" s="17">
        <v>0.85199999999999998</v>
      </c>
      <c r="J341" s="17">
        <v>1.9E-2</v>
      </c>
      <c r="K341" s="17">
        <v>9.9989999999999996E-4</v>
      </c>
    </row>
    <row r="342" spans="1:11">
      <c r="A342" s="5">
        <v>11</v>
      </c>
      <c r="B342" s="16">
        <v>39888</v>
      </c>
      <c r="C342" s="10">
        <v>2009</v>
      </c>
      <c r="D342" s="4" t="s">
        <v>15</v>
      </c>
      <c r="E342" s="5">
        <v>3</v>
      </c>
      <c r="F342" s="17">
        <v>5.6769999999999996</v>
      </c>
      <c r="G342" s="19">
        <v>5.5E-2</v>
      </c>
      <c r="H342" s="19">
        <v>1E-3</v>
      </c>
      <c r="I342" s="19">
        <v>2.4140000000000001</v>
      </c>
      <c r="J342" s="19">
        <v>1.6E-2</v>
      </c>
      <c r="K342" s="19">
        <v>9.9989999999999996E-4</v>
      </c>
    </row>
    <row r="343" spans="1:11">
      <c r="A343" s="5">
        <v>12</v>
      </c>
      <c r="B343" s="16">
        <v>39888</v>
      </c>
      <c r="C343" s="10">
        <v>2009</v>
      </c>
      <c r="D343" s="4" t="s">
        <v>15</v>
      </c>
      <c r="E343" s="5">
        <v>3</v>
      </c>
      <c r="F343" s="17">
        <v>5.3869999999999996</v>
      </c>
      <c r="G343" s="19">
        <v>3.4000000000000002E-2</v>
      </c>
      <c r="H343" s="19">
        <v>1E-3</v>
      </c>
      <c r="I343" s="19">
        <v>2.3010000000000002</v>
      </c>
      <c r="J343" s="19">
        <v>1.7999999999999999E-2</v>
      </c>
      <c r="K343" s="19">
        <v>9.9989999999999996E-4</v>
      </c>
    </row>
    <row r="344" spans="1:11">
      <c r="A344" s="5">
        <v>13</v>
      </c>
      <c r="B344" s="16">
        <v>39888</v>
      </c>
      <c r="C344" s="10">
        <v>2009</v>
      </c>
      <c r="D344" s="4" t="s">
        <v>15</v>
      </c>
      <c r="E344" s="5">
        <v>3</v>
      </c>
      <c r="F344" s="17">
        <v>5.391</v>
      </c>
      <c r="G344" s="19">
        <v>3.3000000000000002E-2</v>
      </c>
      <c r="H344" s="19">
        <v>9.9989999999999996E-4</v>
      </c>
      <c r="I344" s="19">
        <v>2.3940000000000001</v>
      </c>
      <c r="J344" s="19">
        <v>1.6E-2</v>
      </c>
      <c r="K344" s="19">
        <v>9.9989999999999996E-4</v>
      </c>
    </row>
    <row r="345" spans="1:11">
      <c r="A345" s="5">
        <v>11</v>
      </c>
      <c r="B345" s="16">
        <v>39916</v>
      </c>
      <c r="C345" s="10">
        <v>2009</v>
      </c>
      <c r="D345" s="4" t="s">
        <v>16</v>
      </c>
      <c r="E345" s="5">
        <v>4</v>
      </c>
      <c r="F345" s="17">
        <v>1.3879999999999999</v>
      </c>
      <c r="G345" s="19">
        <v>1.6E-2</v>
      </c>
      <c r="H345" s="19">
        <v>1E-3</v>
      </c>
      <c r="I345" s="19">
        <v>0.46500000000000002</v>
      </c>
      <c r="J345" s="19">
        <v>1.0999999999999999E-2</v>
      </c>
      <c r="K345" s="19">
        <v>9.9989999999999996E-4</v>
      </c>
    </row>
    <row r="346" spans="1:11">
      <c r="A346" s="5">
        <v>12</v>
      </c>
      <c r="B346" s="16">
        <v>39916</v>
      </c>
      <c r="C346" s="10">
        <v>2009</v>
      </c>
      <c r="D346" s="4" t="s">
        <v>16</v>
      </c>
      <c r="E346" s="5">
        <v>4</v>
      </c>
      <c r="F346" s="17">
        <v>0.76600000000000001</v>
      </c>
      <c r="G346" s="19">
        <v>0.01</v>
      </c>
      <c r="H346" s="19">
        <v>9.9989999999999996E-4</v>
      </c>
      <c r="I346" s="19">
        <v>0.218</v>
      </c>
      <c r="J346" s="19">
        <v>6.0000000000000001E-3</v>
      </c>
      <c r="K346" s="19">
        <v>9.9989999999999996E-4</v>
      </c>
    </row>
    <row r="347" spans="1:11">
      <c r="A347" s="5">
        <v>13</v>
      </c>
      <c r="B347" s="16">
        <v>39916</v>
      </c>
      <c r="C347" s="10">
        <v>2009</v>
      </c>
      <c r="D347" s="4" t="s">
        <v>16</v>
      </c>
      <c r="E347" s="5">
        <v>4</v>
      </c>
      <c r="F347" s="17">
        <v>0.74299999999999999</v>
      </c>
      <c r="G347" s="19">
        <v>9.9989999999999996E-4</v>
      </c>
      <c r="H347" s="19">
        <v>9.9989999999999996E-4</v>
      </c>
      <c r="I347" s="19">
        <v>0.20200000000000001</v>
      </c>
      <c r="J347" s="19">
        <v>0.01</v>
      </c>
      <c r="K347" s="19">
        <v>9.9989999999999996E-4</v>
      </c>
    </row>
    <row r="348" spans="1:11">
      <c r="A348" s="5">
        <v>11</v>
      </c>
      <c r="B348" s="16">
        <v>39946</v>
      </c>
      <c r="C348" s="10">
        <v>2009</v>
      </c>
      <c r="D348" s="4" t="s">
        <v>17</v>
      </c>
      <c r="E348" s="5">
        <v>5</v>
      </c>
      <c r="F348" s="17">
        <v>1.4530000000000001</v>
      </c>
      <c r="G348" s="19">
        <v>2.7E-2</v>
      </c>
      <c r="H348" s="19">
        <v>1E-3</v>
      </c>
      <c r="I348" s="19">
        <v>0.36099999999999999</v>
      </c>
      <c r="J348" s="19">
        <v>7.0000000000000001E-3</v>
      </c>
      <c r="K348" s="19">
        <v>9.9989999999999996E-4</v>
      </c>
    </row>
    <row r="349" spans="1:11">
      <c r="A349" s="5">
        <v>12</v>
      </c>
      <c r="B349" s="16">
        <v>39946</v>
      </c>
      <c r="C349" s="10">
        <v>2009</v>
      </c>
      <c r="D349" s="4" t="s">
        <v>17</v>
      </c>
      <c r="E349" s="5">
        <v>5</v>
      </c>
      <c r="F349" s="17">
        <v>0.98099999999999998</v>
      </c>
      <c r="G349" s="19">
        <v>1.2E-2</v>
      </c>
      <c r="H349" s="19">
        <v>9.9989999999999996E-4</v>
      </c>
      <c r="I349" s="19">
        <v>0.22</v>
      </c>
      <c r="J349" s="19">
        <v>8.0000000000000002E-3</v>
      </c>
      <c r="K349" s="19">
        <v>9.9989999999999996E-4</v>
      </c>
    </row>
    <row r="350" spans="1:11">
      <c r="A350" s="5">
        <v>13</v>
      </c>
      <c r="B350" s="16">
        <v>39946</v>
      </c>
      <c r="C350" s="10">
        <v>2009</v>
      </c>
      <c r="D350" s="4" t="s">
        <v>17</v>
      </c>
      <c r="E350" s="5">
        <v>5</v>
      </c>
      <c r="F350" s="17">
        <v>1.7330000000000001</v>
      </c>
      <c r="G350" s="19">
        <v>1.2E-2</v>
      </c>
      <c r="H350" s="19">
        <v>9.9989999999999996E-4</v>
      </c>
      <c r="I350" s="19">
        <v>0.315</v>
      </c>
      <c r="J350" s="19">
        <v>8.9999999999999993E-3</v>
      </c>
      <c r="K350" s="19">
        <v>9.9989999999999996E-4</v>
      </c>
    </row>
    <row r="351" spans="1:11">
      <c r="A351" s="10">
        <v>11</v>
      </c>
      <c r="B351" s="16">
        <v>39983</v>
      </c>
      <c r="C351" s="10">
        <v>2009</v>
      </c>
      <c r="D351" s="4" t="s">
        <v>18</v>
      </c>
      <c r="E351" s="5">
        <v>6</v>
      </c>
      <c r="F351" s="17">
        <v>2.0920000000000001</v>
      </c>
      <c r="G351" s="19">
        <v>5.2999999999999999E-2</v>
      </c>
      <c r="H351" s="19">
        <v>1E-3</v>
      </c>
      <c r="I351" s="19">
        <v>0.53</v>
      </c>
      <c r="J351" s="19">
        <v>1.7000000000000001E-2</v>
      </c>
      <c r="K351" s="19">
        <v>9.9989999999999996E-4</v>
      </c>
    </row>
    <row r="352" spans="1:11">
      <c r="A352" s="10">
        <v>12</v>
      </c>
      <c r="B352" s="16">
        <v>39983</v>
      </c>
      <c r="C352" s="10">
        <v>2009</v>
      </c>
      <c r="D352" s="4" t="s">
        <v>18</v>
      </c>
      <c r="E352" s="5">
        <v>6</v>
      </c>
      <c r="F352" s="17">
        <v>2.6070000000000002</v>
      </c>
      <c r="G352" s="19">
        <v>5.5E-2</v>
      </c>
      <c r="H352" s="19">
        <v>1E-3</v>
      </c>
      <c r="I352" s="19">
        <v>0.56999999999999995</v>
      </c>
      <c r="J352" s="19">
        <v>2.4E-2</v>
      </c>
      <c r="K352" s="19">
        <v>9.9989999999999996E-4</v>
      </c>
    </row>
    <row r="353" spans="1:11">
      <c r="A353" s="10">
        <v>13</v>
      </c>
      <c r="B353" s="16">
        <v>39983</v>
      </c>
      <c r="C353" s="10">
        <v>2009</v>
      </c>
      <c r="D353" s="4" t="s">
        <v>18</v>
      </c>
      <c r="E353" s="5">
        <v>6</v>
      </c>
      <c r="F353" s="17">
        <v>5.7839999999999998</v>
      </c>
      <c r="G353" s="19">
        <v>0.14599999999999999</v>
      </c>
      <c r="H353" s="19">
        <v>0.03</v>
      </c>
      <c r="I353" s="19">
        <v>1.7809999999999999</v>
      </c>
      <c r="J353" s="19">
        <v>3.5999999999999997E-2</v>
      </c>
      <c r="K353" s="19">
        <v>9.9989999999999996E-4</v>
      </c>
    </row>
    <row r="354" spans="1:11">
      <c r="A354" s="10">
        <v>11</v>
      </c>
      <c r="B354" s="16">
        <v>40007</v>
      </c>
      <c r="C354" s="10">
        <v>2009</v>
      </c>
      <c r="D354" s="4" t="s">
        <v>19</v>
      </c>
      <c r="E354" s="5">
        <v>7</v>
      </c>
      <c r="F354" s="17">
        <v>6.2919999999999998</v>
      </c>
      <c r="G354" s="19">
        <v>8.6999999999999994E-2</v>
      </c>
      <c r="H354" s="19">
        <v>0.107</v>
      </c>
      <c r="I354" s="19">
        <v>1.679</v>
      </c>
      <c r="J354" s="19">
        <v>7.0000000000000007E-2</v>
      </c>
      <c r="K354" s="19">
        <v>9.9989999999999996E-4</v>
      </c>
    </row>
    <row r="355" spans="1:11">
      <c r="A355" s="10">
        <v>12</v>
      </c>
      <c r="B355" s="16">
        <v>40007</v>
      </c>
      <c r="C355" s="10">
        <v>2009</v>
      </c>
      <c r="D355" s="4" t="s">
        <v>19</v>
      </c>
      <c r="E355" s="5">
        <v>7</v>
      </c>
      <c r="F355" s="17">
        <v>6.1</v>
      </c>
      <c r="G355" s="19">
        <v>6.6000000000000003E-2</v>
      </c>
      <c r="H355" s="19">
        <v>6.8000000000000005E-2</v>
      </c>
      <c r="I355" s="19">
        <v>1.5469999999999999</v>
      </c>
      <c r="J355" s="19">
        <v>6.7000000000000004E-2</v>
      </c>
      <c r="K355" s="19">
        <v>9.9989999999999996E-4</v>
      </c>
    </row>
    <row r="356" spans="1:11">
      <c r="A356" s="10">
        <v>13</v>
      </c>
      <c r="B356" s="16">
        <v>40007</v>
      </c>
      <c r="C356" s="10">
        <v>2009</v>
      </c>
      <c r="D356" s="4" t="s">
        <v>19</v>
      </c>
      <c r="E356" s="5">
        <v>7</v>
      </c>
      <c r="F356" s="17">
        <v>8.9359999999999999</v>
      </c>
      <c r="G356" s="19">
        <v>0.13900000000000001</v>
      </c>
      <c r="H356" s="19">
        <v>0.186</v>
      </c>
      <c r="I356" s="19">
        <v>2.48</v>
      </c>
      <c r="J356" s="19">
        <v>0.121</v>
      </c>
      <c r="K356" s="19">
        <v>9.9989999999999996E-4</v>
      </c>
    </row>
    <row r="357" spans="1:11">
      <c r="A357" s="10">
        <v>11</v>
      </c>
      <c r="B357" s="16">
        <v>40042</v>
      </c>
      <c r="C357" s="10">
        <v>2009</v>
      </c>
      <c r="D357" s="4" t="s">
        <v>20</v>
      </c>
      <c r="E357" s="5">
        <v>8</v>
      </c>
      <c r="F357" s="17">
        <v>8.41</v>
      </c>
      <c r="G357" s="19">
        <v>0.125</v>
      </c>
      <c r="H357" s="19">
        <v>1E-3</v>
      </c>
      <c r="I357" s="19">
        <v>2.3370000000000002</v>
      </c>
      <c r="J357" s="19">
        <v>9.9000000000000005E-2</v>
      </c>
      <c r="K357" s="19">
        <v>9.9989999999999996E-4</v>
      </c>
    </row>
    <row r="358" spans="1:11">
      <c r="A358" s="10">
        <v>12</v>
      </c>
      <c r="B358" s="16">
        <v>40042</v>
      </c>
      <c r="C358" s="10">
        <v>2009</v>
      </c>
      <c r="D358" s="4" t="s">
        <v>20</v>
      </c>
      <c r="E358" s="5">
        <v>8</v>
      </c>
      <c r="F358" s="17">
        <v>6.8849999999999998</v>
      </c>
      <c r="G358" s="19">
        <v>5.6000000000000001E-2</v>
      </c>
      <c r="H358" s="19">
        <v>9.9989999999999996E-4</v>
      </c>
      <c r="I358" s="19">
        <v>2.1339999999999999</v>
      </c>
      <c r="J358" s="19">
        <v>6.8000000000000005E-2</v>
      </c>
      <c r="K358" s="19">
        <v>9.9989999999999996E-4</v>
      </c>
    </row>
    <row r="359" spans="1:11">
      <c r="A359" s="10">
        <v>13</v>
      </c>
      <c r="B359" s="16">
        <v>40042</v>
      </c>
      <c r="C359" s="10">
        <v>2009</v>
      </c>
      <c r="D359" s="4" t="s">
        <v>20</v>
      </c>
      <c r="E359" s="5">
        <v>8</v>
      </c>
      <c r="F359" s="17">
        <v>14.276999999999999</v>
      </c>
      <c r="G359" s="19">
        <v>0.249</v>
      </c>
      <c r="H359" s="19">
        <v>4.8000000000000001E-2</v>
      </c>
      <c r="I359" s="19">
        <v>4.6479999999999997</v>
      </c>
      <c r="J359" s="19">
        <v>0.64400000000000002</v>
      </c>
      <c r="K359" s="19">
        <v>9.9989999999999996E-4</v>
      </c>
    </row>
    <row r="360" spans="1:11">
      <c r="A360" s="10">
        <v>11</v>
      </c>
      <c r="B360" s="16">
        <v>40071</v>
      </c>
      <c r="C360" s="10">
        <v>2009</v>
      </c>
      <c r="D360" s="4" t="s">
        <v>26</v>
      </c>
      <c r="E360" s="5">
        <v>9</v>
      </c>
      <c r="F360" s="17">
        <v>4.6399999999999997</v>
      </c>
      <c r="G360" s="19">
        <v>4.2000000000000003E-2</v>
      </c>
      <c r="H360" s="19">
        <v>1E-3</v>
      </c>
      <c r="I360" s="19">
        <v>1.2470000000000001</v>
      </c>
      <c r="J360" s="19">
        <v>4.7E-2</v>
      </c>
      <c r="K360" s="19">
        <v>9.9989999999999996E-4</v>
      </c>
    </row>
    <row r="361" spans="1:11">
      <c r="A361" s="10">
        <v>12</v>
      </c>
      <c r="B361" s="16">
        <v>40071</v>
      </c>
      <c r="C361" s="10">
        <v>2009</v>
      </c>
      <c r="D361" s="4" t="s">
        <v>26</v>
      </c>
      <c r="E361" s="5">
        <v>9</v>
      </c>
      <c r="F361" s="17">
        <v>4.3499999999999996</v>
      </c>
      <c r="G361" s="19">
        <v>2.3E-2</v>
      </c>
      <c r="H361" s="19">
        <v>1E-3</v>
      </c>
      <c r="I361" s="19">
        <v>1.33</v>
      </c>
      <c r="J361" s="19">
        <v>5.2999999999999999E-2</v>
      </c>
      <c r="K361" s="19">
        <v>9.9989999999999996E-4</v>
      </c>
    </row>
    <row r="362" spans="1:11">
      <c r="A362" s="10">
        <v>13</v>
      </c>
      <c r="B362" s="16">
        <v>40071</v>
      </c>
      <c r="C362" s="10">
        <v>2009</v>
      </c>
      <c r="D362" s="4" t="s">
        <v>26</v>
      </c>
      <c r="E362" s="5">
        <v>9</v>
      </c>
      <c r="F362" s="17">
        <v>20.911000000000001</v>
      </c>
      <c r="G362" s="19">
        <v>3.9E-2</v>
      </c>
      <c r="H362" s="19">
        <v>1E-3</v>
      </c>
      <c r="I362" s="19">
        <v>7.4790000000000001</v>
      </c>
      <c r="J362" s="19">
        <v>0.32500000000000001</v>
      </c>
      <c r="K362" s="19">
        <v>9.9989999999999996E-4</v>
      </c>
    </row>
    <row r="363" spans="1:11">
      <c r="A363" s="10">
        <v>11</v>
      </c>
      <c r="B363" s="16">
        <v>40100</v>
      </c>
      <c r="C363" s="10">
        <v>2009</v>
      </c>
      <c r="D363" s="4" t="s">
        <v>22</v>
      </c>
      <c r="E363" s="5">
        <v>10</v>
      </c>
      <c r="F363" s="17">
        <v>5.3250000000000002</v>
      </c>
      <c r="G363" s="19">
        <v>3.7999999999999999E-2</v>
      </c>
      <c r="H363" s="19">
        <v>1E-3</v>
      </c>
      <c r="I363" s="19">
        <v>1.694</v>
      </c>
      <c r="J363" s="19">
        <v>5.7000000000000002E-2</v>
      </c>
      <c r="K363" s="19">
        <v>9.9989999999999996E-4</v>
      </c>
    </row>
    <row r="364" spans="1:11">
      <c r="A364" s="10">
        <v>12</v>
      </c>
      <c r="B364" s="16">
        <v>40100</v>
      </c>
      <c r="C364" s="10">
        <v>2009</v>
      </c>
      <c r="D364" s="4" t="s">
        <v>22</v>
      </c>
      <c r="E364" s="5">
        <v>10</v>
      </c>
      <c r="F364" s="17">
        <v>4.2830000000000004</v>
      </c>
      <c r="G364" s="19">
        <v>3.4000000000000002E-2</v>
      </c>
      <c r="H364" s="19">
        <v>1E-3</v>
      </c>
      <c r="I364" s="19">
        <v>1.3149999999999999</v>
      </c>
      <c r="J364" s="19">
        <v>5.0999999999999997E-2</v>
      </c>
      <c r="K364" s="19">
        <v>9.9989999999999996E-4</v>
      </c>
    </row>
    <row r="365" spans="1:11">
      <c r="A365" s="10">
        <v>13</v>
      </c>
      <c r="B365" s="16">
        <v>40100</v>
      </c>
      <c r="C365" s="10">
        <v>2009</v>
      </c>
      <c r="D365" s="4" t="s">
        <v>22</v>
      </c>
      <c r="E365" s="5">
        <v>10</v>
      </c>
      <c r="F365" s="17">
        <v>5.3259999999999996</v>
      </c>
      <c r="G365" s="19">
        <v>9.4E-2</v>
      </c>
      <c r="H365" s="19">
        <v>1E-3</v>
      </c>
      <c r="I365" s="19">
        <v>1.169</v>
      </c>
      <c r="J365" s="19">
        <v>6.5000000000000002E-2</v>
      </c>
      <c r="K365" s="19">
        <v>9.9989999999999996E-4</v>
      </c>
    </row>
    <row r="366" spans="1:11">
      <c r="A366" s="10">
        <v>11</v>
      </c>
      <c r="B366" s="16">
        <v>40133</v>
      </c>
      <c r="C366" s="10">
        <v>2009</v>
      </c>
      <c r="D366" s="4" t="s">
        <v>23</v>
      </c>
      <c r="E366" s="5">
        <v>11</v>
      </c>
      <c r="F366" s="17">
        <v>3.3140000000000001</v>
      </c>
      <c r="G366" s="19">
        <v>4.2999999999999997E-2</v>
      </c>
      <c r="H366" s="19">
        <v>1E-3</v>
      </c>
      <c r="I366" s="19">
        <v>1.05</v>
      </c>
      <c r="J366" s="19">
        <v>3.3000000000000002E-2</v>
      </c>
      <c r="K366" s="19">
        <v>9.9989999999999996E-4</v>
      </c>
    </row>
    <row r="367" spans="1:11">
      <c r="A367" s="10">
        <v>12</v>
      </c>
      <c r="B367" s="16">
        <v>40133</v>
      </c>
      <c r="C367" s="10">
        <v>2009</v>
      </c>
      <c r="D367" s="4" t="s">
        <v>23</v>
      </c>
      <c r="E367" s="5">
        <v>11</v>
      </c>
      <c r="F367" s="17">
        <v>3.0539999999999998</v>
      </c>
      <c r="G367" s="19">
        <v>0.06</v>
      </c>
      <c r="H367" s="19">
        <v>1E-3</v>
      </c>
      <c r="I367" s="19">
        <v>1.014</v>
      </c>
      <c r="J367" s="19">
        <v>0.04</v>
      </c>
      <c r="K367" s="19">
        <v>9.9989999999999996E-4</v>
      </c>
    </row>
    <row r="368" spans="1:11">
      <c r="A368" s="10">
        <v>13</v>
      </c>
      <c r="B368" s="16">
        <v>40133</v>
      </c>
      <c r="C368" s="10">
        <v>2009</v>
      </c>
      <c r="D368" s="4" t="s">
        <v>23</v>
      </c>
      <c r="E368" s="5">
        <v>11</v>
      </c>
      <c r="F368" s="17">
        <v>2.4089999999999998</v>
      </c>
      <c r="G368" s="19">
        <v>1.7000000000000001E-2</v>
      </c>
      <c r="H368" s="19">
        <v>2.5000000000000001E-2</v>
      </c>
      <c r="I368" s="19">
        <v>0.75</v>
      </c>
      <c r="J368" s="19">
        <v>4.1000000000000002E-2</v>
      </c>
      <c r="K368" s="19">
        <v>9.9989999999999996E-4</v>
      </c>
    </row>
    <row r="369" spans="1:11">
      <c r="A369" s="10">
        <v>11</v>
      </c>
      <c r="B369" s="16">
        <v>40161</v>
      </c>
      <c r="C369" s="10">
        <v>2009</v>
      </c>
      <c r="D369" s="4" t="s">
        <v>24</v>
      </c>
      <c r="E369" s="5">
        <v>12</v>
      </c>
      <c r="F369" s="17">
        <v>3.17</v>
      </c>
      <c r="G369" s="19">
        <v>9.9989999999999996E-4</v>
      </c>
      <c r="H369" s="19">
        <v>9.9989999999999996E-4</v>
      </c>
      <c r="I369" s="19">
        <v>1.0049999999999999</v>
      </c>
      <c r="J369" s="19">
        <v>2.3E-2</v>
      </c>
      <c r="K369" s="19">
        <v>9.9989999999999996E-4</v>
      </c>
    </row>
    <row r="370" spans="1:11">
      <c r="A370" s="10">
        <v>12</v>
      </c>
      <c r="B370" s="16">
        <v>40161</v>
      </c>
      <c r="C370" s="10">
        <v>2009</v>
      </c>
      <c r="D370" s="4" t="s">
        <v>24</v>
      </c>
      <c r="E370" s="5">
        <v>12</v>
      </c>
      <c r="F370" s="17">
        <v>3.0089999999999999</v>
      </c>
      <c r="G370" s="19">
        <v>4.8000000000000001E-2</v>
      </c>
      <c r="H370" s="19">
        <v>1.2999999999999999E-2</v>
      </c>
      <c r="I370" s="19">
        <v>0.89800000000000002</v>
      </c>
      <c r="J370" s="19">
        <v>1.9E-2</v>
      </c>
      <c r="K370" s="19">
        <v>9.9989999999999996E-4</v>
      </c>
    </row>
    <row r="371" spans="1:11">
      <c r="A371" s="10">
        <v>13</v>
      </c>
      <c r="B371" s="16">
        <v>40161</v>
      </c>
      <c r="C371" s="10">
        <v>2009</v>
      </c>
      <c r="D371" s="4" t="s">
        <v>24</v>
      </c>
      <c r="E371" s="5">
        <v>12</v>
      </c>
      <c r="F371" s="17">
        <v>3.7519999999999998</v>
      </c>
      <c r="G371" s="19">
        <v>2.3E-2</v>
      </c>
      <c r="H371" s="19">
        <v>9.9989999999999996E-4</v>
      </c>
      <c r="I371" s="19">
        <v>1.012</v>
      </c>
      <c r="J371" s="19">
        <v>1.0999999999999999E-2</v>
      </c>
      <c r="K371" s="19">
        <v>9.9989999999999996E-4</v>
      </c>
    </row>
    <row r="372" spans="1:11">
      <c r="A372" s="10">
        <v>11</v>
      </c>
      <c r="B372" s="13">
        <v>40197</v>
      </c>
      <c r="C372" s="10">
        <v>2010</v>
      </c>
      <c r="D372" s="4" t="s">
        <v>25</v>
      </c>
      <c r="E372" s="10">
        <v>1</v>
      </c>
      <c r="F372" s="20">
        <v>6.298</v>
      </c>
      <c r="G372" s="21">
        <v>0.28056087499999999</v>
      </c>
      <c r="H372" s="21">
        <v>0</v>
      </c>
      <c r="I372" s="21">
        <v>2.7773789999999998</v>
      </c>
      <c r="J372" s="21">
        <v>1.6945874999999999E-2</v>
      </c>
      <c r="K372" s="21">
        <v>0</v>
      </c>
    </row>
    <row r="373" spans="1:11">
      <c r="A373" s="10">
        <v>12</v>
      </c>
      <c r="B373" s="13">
        <v>40197</v>
      </c>
      <c r="C373" s="10">
        <v>2010</v>
      </c>
      <c r="D373" s="4" t="s">
        <v>25</v>
      </c>
      <c r="E373" s="10">
        <v>1</v>
      </c>
      <c r="F373" s="20">
        <v>5.3440000000000003</v>
      </c>
      <c r="G373" s="21">
        <v>0.19030737499999997</v>
      </c>
      <c r="H373" s="21">
        <v>0</v>
      </c>
      <c r="I373" s="21">
        <v>2.3223413750000002</v>
      </c>
      <c r="J373" s="21">
        <v>1.57675E-2</v>
      </c>
      <c r="K373" s="21">
        <v>0</v>
      </c>
    </row>
    <row r="374" spans="1:11">
      <c r="A374" s="10">
        <v>13</v>
      </c>
      <c r="B374" s="13">
        <v>40197</v>
      </c>
      <c r="C374" s="10">
        <v>2010</v>
      </c>
      <c r="D374" s="4" t="s">
        <v>25</v>
      </c>
      <c r="E374" s="10">
        <v>1</v>
      </c>
      <c r="F374" s="20">
        <v>4.0140000000000002</v>
      </c>
      <c r="G374" s="21">
        <v>0.10376024999999998</v>
      </c>
      <c r="H374" s="21">
        <v>0</v>
      </c>
      <c r="I374" s="21">
        <v>1.7277698749999999</v>
      </c>
      <c r="J374" s="21">
        <v>1.1636374999999999E-2</v>
      </c>
      <c r="K374" s="21">
        <v>0</v>
      </c>
    </row>
    <row r="375" spans="1:11">
      <c r="A375" s="10">
        <v>11</v>
      </c>
      <c r="B375" s="13">
        <v>40225</v>
      </c>
      <c r="C375" s="10">
        <v>2010</v>
      </c>
      <c r="D375" s="4" t="s">
        <v>14</v>
      </c>
      <c r="E375" s="10">
        <v>2</v>
      </c>
      <c r="F375" s="20">
        <v>8.09</v>
      </c>
      <c r="G375" s="21">
        <v>7.6776374999999994E-2</v>
      </c>
      <c r="H375" s="21">
        <v>1.0725374999999999E-2</v>
      </c>
      <c r="I375" s="21">
        <v>1.0876388749999997</v>
      </c>
      <c r="J375" s="21">
        <v>0.17936537499999997</v>
      </c>
      <c r="K375" s="21">
        <v>0</v>
      </c>
    </row>
    <row r="376" spans="1:11">
      <c r="A376" s="10">
        <v>12</v>
      </c>
      <c r="B376" s="13">
        <v>40225</v>
      </c>
      <c r="C376" s="10">
        <v>2010</v>
      </c>
      <c r="D376" s="4" t="s">
        <v>14</v>
      </c>
      <c r="E376" s="10">
        <v>2</v>
      </c>
      <c r="F376" s="20">
        <v>5.6180000000000003</v>
      </c>
      <c r="G376" s="21">
        <v>0.11805737500000001</v>
      </c>
      <c r="H376" s="21">
        <v>0</v>
      </c>
      <c r="I376" s="21">
        <v>0.66560162499999997</v>
      </c>
      <c r="J376" s="21">
        <v>0.18171524999999997</v>
      </c>
      <c r="K376" s="21">
        <v>0</v>
      </c>
    </row>
    <row r="377" spans="1:11">
      <c r="A377" s="10">
        <v>13</v>
      </c>
      <c r="B377" s="13">
        <v>40225</v>
      </c>
      <c r="C377" s="10">
        <v>2010</v>
      </c>
      <c r="D377" s="4" t="s">
        <v>14</v>
      </c>
      <c r="E377" s="10">
        <v>2</v>
      </c>
      <c r="F377" s="20">
        <v>11.273</v>
      </c>
      <c r="G377" s="21">
        <v>0</v>
      </c>
      <c r="H377" s="21">
        <v>0</v>
      </c>
      <c r="I377" s="21">
        <v>2.6408898750000001</v>
      </c>
      <c r="J377" s="21">
        <v>0.143069375</v>
      </c>
      <c r="K377" s="21">
        <v>0</v>
      </c>
    </row>
    <row r="378" spans="1:11">
      <c r="A378" s="10">
        <v>11</v>
      </c>
      <c r="B378" s="13">
        <v>40255</v>
      </c>
      <c r="C378" s="10">
        <v>2010</v>
      </c>
      <c r="D378" s="4" t="s">
        <v>15</v>
      </c>
      <c r="E378" s="10">
        <v>3</v>
      </c>
      <c r="F378" s="20">
        <v>9.875</v>
      </c>
      <c r="G378" s="21">
        <v>0</v>
      </c>
      <c r="H378" s="21">
        <v>0</v>
      </c>
      <c r="I378" s="21">
        <v>5.008502749999999</v>
      </c>
      <c r="J378" s="21">
        <v>9.9562374999999967E-2</v>
      </c>
      <c r="K378" s="21">
        <v>0</v>
      </c>
    </row>
    <row r="379" spans="1:11">
      <c r="A379" s="10">
        <v>12</v>
      </c>
      <c r="B379" s="13">
        <v>40255</v>
      </c>
      <c r="C379" s="10">
        <v>2010</v>
      </c>
      <c r="D379" s="4" t="s">
        <v>15</v>
      </c>
      <c r="E379" s="10">
        <v>3</v>
      </c>
      <c r="F379" s="20">
        <v>7.36</v>
      </c>
      <c r="G379" s="21">
        <v>0</v>
      </c>
      <c r="H379" s="21">
        <v>0</v>
      </c>
      <c r="I379" s="21">
        <v>3.5946757499999995</v>
      </c>
      <c r="J379" s="21">
        <v>8.3432124999999982E-2</v>
      </c>
      <c r="K379" s="21">
        <v>0</v>
      </c>
    </row>
    <row r="380" spans="1:11">
      <c r="A380" s="10">
        <v>13</v>
      </c>
      <c r="B380" s="13">
        <v>40255</v>
      </c>
      <c r="C380" s="10">
        <v>2010</v>
      </c>
      <c r="D380" s="4" t="s">
        <v>15</v>
      </c>
      <c r="E380" s="10">
        <v>3</v>
      </c>
      <c r="F380" s="20">
        <v>7.2409999999999997</v>
      </c>
      <c r="G380" s="21">
        <v>0</v>
      </c>
      <c r="H380" s="21">
        <v>0</v>
      </c>
      <c r="I380" s="21">
        <v>3.7038785000000001</v>
      </c>
      <c r="J380" s="21">
        <v>0.11737262499999998</v>
      </c>
      <c r="K380" s="21">
        <v>0</v>
      </c>
    </row>
    <row r="381" spans="1:11">
      <c r="A381" s="10">
        <v>11</v>
      </c>
      <c r="B381" s="13">
        <v>40281</v>
      </c>
      <c r="C381" s="10">
        <v>2010</v>
      </c>
      <c r="D381" s="4" t="s">
        <v>16</v>
      </c>
      <c r="E381" s="10">
        <v>4</v>
      </c>
      <c r="F381" s="20">
        <v>7.1959999999999997</v>
      </c>
      <c r="G381" s="21">
        <v>7.2235875000000005E-2</v>
      </c>
      <c r="H381" s="21">
        <v>0</v>
      </c>
      <c r="I381" s="21">
        <v>3.8398642500000002</v>
      </c>
      <c r="J381" s="21">
        <v>2.4237999999999996E-2</v>
      </c>
      <c r="K381" s="21">
        <v>0</v>
      </c>
    </row>
    <row r="382" spans="1:11">
      <c r="A382" s="10">
        <v>12</v>
      </c>
      <c r="B382" s="13">
        <v>40281</v>
      </c>
      <c r="C382" s="10">
        <v>2010</v>
      </c>
      <c r="D382" s="4" t="s">
        <v>16</v>
      </c>
      <c r="E382" s="10">
        <v>4</v>
      </c>
      <c r="F382" s="20">
        <v>2.206</v>
      </c>
      <c r="G382" s="21">
        <v>0</v>
      </c>
      <c r="H382" s="21">
        <v>0</v>
      </c>
      <c r="I382" s="21">
        <v>1.0840942499999999</v>
      </c>
      <c r="J382" s="21">
        <v>1.6498874999999996E-2</v>
      </c>
      <c r="K382" s="21">
        <v>0</v>
      </c>
    </row>
    <row r="383" spans="1:11">
      <c r="A383" s="10">
        <v>13</v>
      </c>
      <c r="B383" s="13">
        <v>40281</v>
      </c>
      <c r="C383" s="10">
        <v>2010</v>
      </c>
      <c r="D383" s="4" t="s">
        <v>16</v>
      </c>
      <c r="E383" s="10">
        <v>4</v>
      </c>
      <c r="F383" s="20">
        <v>3.1669999999999998</v>
      </c>
      <c r="G383" s="21">
        <v>0</v>
      </c>
      <c r="H383" s="21">
        <v>0</v>
      </c>
      <c r="I383" s="21">
        <v>1.7109952499999999</v>
      </c>
      <c r="J383" s="21">
        <v>4.5620624999999991E-2</v>
      </c>
      <c r="K383" s="21">
        <v>0</v>
      </c>
    </row>
    <row r="384" spans="1:11">
      <c r="A384" s="10">
        <v>11</v>
      </c>
      <c r="B384" s="16">
        <v>40317</v>
      </c>
      <c r="C384" s="10">
        <v>2010</v>
      </c>
      <c r="D384" s="4" t="s">
        <v>17</v>
      </c>
      <c r="E384" s="10">
        <v>5</v>
      </c>
      <c r="F384" s="22">
        <v>2.11</v>
      </c>
      <c r="G384" s="21">
        <v>0</v>
      </c>
      <c r="H384" s="21">
        <v>0</v>
      </c>
      <c r="I384" s="21">
        <v>0.944902625</v>
      </c>
      <c r="J384" s="21">
        <v>7.9616375000000003E-2</v>
      </c>
      <c r="K384" s="21">
        <v>0</v>
      </c>
    </row>
    <row r="385" spans="1:11">
      <c r="A385" s="10">
        <v>12</v>
      </c>
      <c r="B385" s="16">
        <v>40317</v>
      </c>
      <c r="C385" s="10">
        <v>2010</v>
      </c>
      <c r="D385" s="4" t="s">
        <v>17</v>
      </c>
      <c r="E385" s="10">
        <v>5</v>
      </c>
      <c r="F385" s="22">
        <v>1.224</v>
      </c>
      <c r="G385" s="21">
        <v>0</v>
      </c>
      <c r="H385" s="21">
        <v>0</v>
      </c>
      <c r="I385" s="21">
        <v>0.48095887499999995</v>
      </c>
      <c r="J385" s="21">
        <v>4.297999999999999E-2</v>
      </c>
      <c r="K385" s="21">
        <v>0</v>
      </c>
    </row>
    <row r="386" spans="1:11">
      <c r="A386" s="10">
        <v>13</v>
      </c>
      <c r="B386" s="16">
        <v>40317</v>
      </c>
      <c r="C386" s="10">
        <v>2010</v>
      </c>
      <c r="D386" s="4" t="s">
        <v>17</v>
      </c>
      <c r="E386" s="10">
        <v>5</v>
      </c>
      <c r="F386" s="22">
        <v>2.8039999999999998</v>
      </c>
      <c r="G386" s="21">
        <v>0.17299762500000002</v>
      </c>
      <c r="H386" s="21">
        <v>0</v>
      </c>
      <c r="I386" s="21">
        <v>0.78446712500000004</v>
      </c>
      <c r="J386" s="21">
        <v>7.2252374999999994E-2</v>
      </c>
      <c r="K386" s="21">
        <v>0</v>
      </c>
    </row>
    <row r="387" spans="1:11">
      <c r="A387" s="10">
        <v>11</v>
      </c>
      <c r="B387" s="16">
        <v>40345</v>
      </c>
      <c r="C387" s="10">
        <v>2010</v>
      </c>
      <c r="D387" s="4" t="s">
        <v>18</v>
      </c>
      <c r="E387" s="10">
        <v>6</v>
      </c>
      <c r="F387" s="22">
        <v>7.0090000000000003</v>
      </c>
      <c r="G387" s="21">
        <v>0.160388375</v>
      </c>
      <c r="H387" s="21">
        <v>0</v>
      </c>
      <c r="I387" s="21">
        <v>1.4828007499999998</v>
      </c>
      <c r="J387" s="21">
        <v>4.7002374999999992E-2</v>
      </c>
      <c r="K387" s="21">
        <v>0</v>
      </c>
    </row>
    <row r="388" spans="1:11">
      <c r="A388" s="10">
        <v>12</v>
      </c>
      <c r="B388" s="16">
        <v>40345</v>
      </c>
      <c r="C388" s="10">
        <v>2010</v>
      </c>
      <c r="D388" s="4" t="s">
        <v>18</v>
      </c>
      <c r="E388" s="10">
        <v>6</v>
      </c>
      <c r="F388" s="22">
        <v>7.4489999999999998</v>
      </c>
      <c r="G388" s="21">
        <v>0.26101762499999998</v>
      </c>
      <c r="H388" s="21">
        <v>0</v>
      </c>
      <c r="I388" s="21">
        <v>3.0888511250000001</v>
      </c>
      <c r="J388" s="21">
        <v>6.9584124999999997E-2</v>
      </c>
      <c r="K388" s="21">
        <v>0</v>
      </c>
    </row>
    <row r="389" spans="1:11">
      <c r="A389" s="10">
        <v>13</v>
      </c>
      <c r="B389" s="16">
        <v>40345</v>
      </c>
      <c r="C389" s="10">
        <v>2010</v>
      </c>
      <c r="D389" s="4" t="s">
        <v>18</v>
      </c>
      <c r="E389" s="10">
        <v>6</v>
      </c>
      <c r="F389" s="22">
        <v>9.2870000000000008</v>
      </c>
      <c r="G389" s="21">
        <v>0.41241524999999996</v>
      </c>
      <c r="H389" s="21">
        <v>1.947525E-2</v>
      </c>
      <c r="I389" s="21">
        <v>3.375342625</v>
      </c>
      <c r="J389" s="21">
        <v>0.11963925</v>
      </c>
      <c r="K389" s="21">
        <v>0</v>
      </c>
    </row>
    <row r="390" spans="1:11">
      <c r="A390" s="10">
        <v>11</v>
      </c>
      <c r="B390" s="16">
        <v>40374</v>
      </c>
      <c r="C390" s="10">
        <v>2010</v>
      </c>
      <c r="D390" s="4" t="s">
        <v>19</v>
      </c>
      <c r="E390" s="10">
        <v>7</v>
      </c>
      <c r="F390" s="22">
        <v>9.1110000000000007</v>
      </c>
      <c r="G390" s="21">
        <v>0.21518424999999997</v>
      </c>
      <c r="H390" s="21">
        <v>0.10064674999999997</v>
      </c>
      <c r="I390" s="21">
        <v>3.9736303749999995</v>
      </c>
      <c r="J390" s="21">
        <v>0.17845837499999997</v>
      </c>
      <c r="K390" s="21">
        <v>0</v>
      </c>
    </row>
    <row r="391" spans="1:11">
      <c r="A391" s="10">
        <v>12</v>
      </c>
      <c r="B391" s="16">
        <v>40374</v>
      </c>
      <c r="C391" s="10">
        <v>2010</v>
      </c>
      <c r="D391" s="4" t="s">
        <v>19</v>
      </c>
      <c r="E391" s="10">
        <v>7</v>
      </c>
      <c r="F391" s="22">
        <v>9.8789999999999996</v>
      </c>
      <c r="G391" s="21">
        <v>0.22296774999999999</v>
      </c>
      <c r="H391" s="21">
        <v>0</v>
      </c>
      <c r="I391" s="21">
        <v>3.9796848749999993</v>
      </c>
      <c r="J391" s="21">
        <v>0.23227674999999998</v>
      </c>
      <c r="K391" s="21">
        <v>0</v>
      </c>
    </row>
    <row r="392" spans="1:11">
      <c r="A392" s="10">
        <v>13</v>
      </c>
      <c r="B392" s="16">
        <v>40374</v>
      </c>
      <c r="C392" s="10">
        <v>2010</v>
      </c>
      <c r="D392" s="4" t="s">
        <v>19</v>
      </c>
      <c r="E392" s="10">
        <v>7</v>
      </c>
      <c r="F392" s="22">
        <v>11.994</v>
      </c>
      <c r="G392" s="21">
        <v>0.3593377499999999</v>
      </c>
      <c r="H392" s="21">
        <v>0</v>
      </c>
      <c r="I392" s="21">
        <v>3.2317847499999997</v>
      </c>
      <c r="J392" s="21">
        <v>0.43335612499999998</v>
      </c>
      <c r="K392" s="21">
        <v>0</v>
      </c>
    </row>
    <row r="393" spans="1:11">
      <c r="A393" s="10">
        <v>11</v>
      </c>
      <c r="B393" s="16">
        <v>40409</v>
      </c>
      <c r="C393" s="10">
        <v>2010</v>
      </c>
      <c r="D393" s="4" t="s">
        <v>20</v>
      </c>
      <c r="E393" s="10">
        <v>8</v>
      </c>
      <c r="F393" s="22">
        <v>8.5289999999999999</v>
      </c>
      <c r="G393" s="21">
        <v>0.11170112500000001</v>
      </c>
      <c r="H393" s="21">
        <v>9.5084125000000005E-2</v>
      </c>
      <c r="I393" s="21">
        <v>4.2170784999999995</v>
      </c>
      <c r="J393" s="21">
        <v>0.11129262500000001</v>
      </c>
      <c r="K393" s="21">
        <v>0</v>
      </c>
    </row>
    <row r="394" spans="1:11">
      <c r="A394" s="10">
        <v>12</v>
      </c>
      <c r="B394" s="16">
        <v>40409</v>
      </c>
      <c r="C394" s="10">
        <v>2010</v>
      </c>
      <c r="D394" s="4" t="s">
        <v>20</v>
      </c>
      <c r="E394" s="10">
        <v>8</v>
      </c>
      <c r="F394" s="22">
        <v>4.7140000000000004</v>
      </c>
      <c r="G394" s="21">
        <v>5.6065249999999997E-2</v>
      </c>
      <c r="H394" s="21">
        <v>0</v>
      </c>
      <c r="I394" s="21">
        <v>2.1106778749999999</v>
      </c>
      <c r="J394" s="21">
        <v>8.7749374999999991E-2</v>
      </c>
      <c r="K394" s="21">
        <v>0</v>
      </c>
    </row>
    <row r="395" spans="1:11">
      <c r="A395" s="10">
        <v>13</v>
      </c>
      <c r="B395" s="16">
        <v>40409</v>
      </c>
      <c r="C395" s="10">
        <v>2010</v>
      </c>
      <c r="D395" s="4" t="s">
        <v>20</v>
      </c>
      <c r="E395" s="10">
        <v>8</v>
      </c>
      <c r="F395" s="22">
        <v>14.83</v>
      </c>
      <c r="G395" s="21">
        <v>0.46560637500000002</v>
      </c>
      <c r="H395" s="21">
        <v>0</v>
      </c>
      <c r="I395" s="21">
        <v>5.9818733749999993</v>
      </c>
      <c r="J395" s="21">
        <v>0.90194474999999996</v>
      </c>
      <c r="K395" s="21">
        <v>0</v>
      </c>
    </row>
    <row r="396" spans="1:11">
      <c r="A396" s="10">
        <v>11</v>
      </c>
      <c r="B396" s="16">
        <v>40434</v>
      </c>
      <c r="C396" s="10">
        <v>2010</v>
      </c>
      <c r="D396" s="4" t="s">
        <v>26</v>
      </c>
      <c r="E396" s="10">
        <v>9</v>
      </c>
      <c r="F396" s="22">
        <v>7.556</v>
      </c>
      <c r="G396" s="21">
        <v>0.12148437499999999</v>
      </c>
      <c r="H396" s="21">
        <v>6.2443249999999992E-2</v>
      </c>
      <c r="I396" s="21">
        <v>3.6542648749999995</v>
      </c>
      <c r="J396" s="21">
        <v>0.13528137500000004</v>
      </c>
      <c r="K396" s="21">
        <v>0</v>
      </c>
    </row>
    <row r="397" spans="1:11">
      <c r="A397" s="10">
        <v>12</v>
      </c>
      <c r="B397" s="16">
        <v>40434</v>
      </c>
      <c r="C397" s="10">
        <v>2010</v>
      </c>
      <c r="D397" s="4" t="s">
        <v>26</v>
      </c>
      <c r="E397" s="10">
        <v>9</v>
      </c>
      <c r="F397" s="22">
        <v>7.0720000000000001</v>
      </c>
      <c r="G397" s="21">
        <v>7.5326500000000005E-2</v>
      </c>
      <c r="H397" s="21">
        <v>5.8952374999999994E-2</v>
      </c>
      <c r="I397" s="21">
        <v>2.9663888749999994</v>
      </c>
      <c r="J397" s="21">
        <v>0.1995895</v>
      </c>
      <c r="K397" s="21">
        <v>0</v>
      </c>
    </row>
    <row r="398" spans="1:11">
      <c r="A398" s="10">
        <v>13</v>
      </c>
      <c r="B398" s="16">
        <v>40434</v>
      </c>
      <c r="C398" s="10">
        <v>2010</v>
      </c>
      <c r="D398" s="4" t="s">
        <v>26</v>
      </c>
      <c r="E398" s="10">
        <v>9</v>
      </c>
      <c r="F398" s="22">
        <v>6.4009999999999998</v>
      </c>
      <c r="G398" s="21">
        <v>0.10688587499999999</v>
      </c>
      <c r="H398" s="21">
        <v>0</v>
      </c>
      <c r="I398" s="21">
        <v>2.7384643749999995</v>
      </c>
      <c r="J398" s="21">
        <v>0.16332174999999999</v>
      </c>
      <c r="K398" s="21">
        <v>0</v>
      </c>
    </row>
    <row r="399" spans="1:11">
      <c r="A399" s="10">
        <v>11</v>
      </c>
      <c r="B399" s="16">
        <v>40463</v>
      </c>
      <c r="C399" s="10">
        <v>2010</v>
      </c>
      <c r="D399" s="4" t="s">
        <v>22</v>
      </c>
      <c r="E399" s="10">
        <v>10</v>
      </c>
      <c r="F399" s="20">
        <v>4.1390000000000002</v>
      </c>
      <c r="G399" s="21">
        <v>9.5263874999999984E-2</v>
      </c>
      <c r="H399" s="21">
        <v>0</v>
      </c>
      <c r="I399" s="21">
        <v>1.14626725</v>
      </c>
      <c r="J399" s="21">
        <v>0.10521699999999998</v>
      </c>
      <c r="K399" s="21">
        <v>0</v>
      </c>
    </row>
    <row r="400" spans="1:11">
      <c r="A400" s="10">
        <v>12</v>
      </c>
      <c r="B400" s="16">
        <v>40463</v>
      </c>
      <c r="C400" s="10">
        <v>2010</v>
      </c>
      <c r="D400" s="4" t="s">
        <v>22</v>
      </c>
      <c r="E400" s="10">
        <v>10</v>
      </c>
      <c r="F400" s="20">
        <v>4.9029999999999996</v>
      </c>
      <c r="G400" s="21">
        <v>6.5592625000000002E-2</v>
      </c>
      <c r="H400" s="21">
        <v>0</v>
      </c>
      <c r="I400" s="21">
        <v>1.3538313749999999</v>
      </c>
      <c r="J400" s="21">
        <v>0.16496725000000001</v>
      </c>
      <c r="K400" s="21">
        <v>0</v>
      </c>
    </row>
    <row r="401" spans="1:11">
      <c r="A401" s="10">
        <v>13</v>
      </c>
      <c r="B401" s="16">
        <v>40463</v>
      </c>
      <c r="C401" s="10">
        <v>2010</v>
      </c>
      <c r="D401" s="4" t="s">
        <v>22</v>
      </c>
      <c r="E401" s="10">
        <v>10</v>
      </c>
      <c r="F401" s="20">
        <v>4.6959999999999997</v>
      </c>
      <c r="G401" s="21">
        <v>0.144603125</v>
      </c>
      <c r="H401" s="21">
        <v>0</v>
      </c>
      <c r="I401" s="21">
        <v>0.78685775000000013</v>
      </c>
      <c r="J401" s="21">
        <v>0.13354262499999997</v>
      </c>
      <c r="K401" s="21">
        <v>0</v>
      </c>
    </row>
    <row r="402" spans="1:11">
      <c r="A402" s="10">
        <v>11</v>
      </c>
      <c r="B402" s="16">
        <v>40500</v>
      </c>
      <c r="C402" s="10">
        <v>2010</v>
      </c>
      <c r="D402" s="4" t="s">
        <v>23</v>
      </c>
      <c r="E402" s="10">
        <v>11</v>
      </c>
      <c r="F402" s="20">
        <v>1.873</v>
      </c>
      <c r="G402" s="21">
        <v>0</v>
      </c>
      <c r="H402" s="21">
        <v>0</v>
      </c>
      <c r="I402" s="21">
        <v>0.57485662500000001</v>
      </c>
      <c r="J402" s="21">
        <v>1.4732374999999999E-2</v>
      </c>
      <c r="K402" s="21">
        <v>0</v>
      </c>
    </row>
    <row r="403" spans="1:11">
      <c r="A403" s="10">
        <v>12</v>
      </c>
      <c r="B403" s="16">
        <v>40500</v>
      </c>
      <c r="C403" s="10">
        <v>2010</v>
      </c>
      <c r="D403" s="4" t="s">
        <v>23</v>
      </c>
      <c r="E403" s="10">
        <v>11</v>
      </c>
      <c r="F403" s="20">
        <v>2.181</v>
      </c>
      <c r="G403" s="21">
        <v>3.2155875E-2</v>
      </c>
      <c r="H403" s="21">
        <v>0</v>
      </c>
      <c r="I403" s="21">
        <v>0.60223274999999987</v>
      </c>
      <c r="J403" s="21">
        <v>2.0206750000000002E-2</v>
      </c>
      <c r="K403" s="21">
        <v>0</v>
      </c>
    </row>
    <row r="404" spans="1:11">
      <c r="A404" s="10">
        <v>13</v>
      </c>
      <c r="B404" s="16">
        <v>40500</v>
      </c>
      <c r="C404" s="10">
        <v>2010</v>
      </c>
      <c r="D404" s="4" t="s">
        <v>23</v>
      </c>
      <c r="E404" s="10">
        <v>11</v>
      </c>
      <c r="F404" s="20">
        <v>2.2469999999999999</v>
      </c>
      <c r="G404" s="21">
        <v>3.0115249999999996E-2</v>
      </c>
      <c r="H404" s="21">
        <v>0</v>
      </c>
      <c r="I404" s="21">
        <v>0.60608287500000002</v>
      </c>
      <c r="J404" s="21">
        <v>1.7799124999999999E-2</v>
      </c>
      <c r="K404" s="21">
        <v>0</v>
      </c>
    </row>
    <row r="405" spans="1:11">
      <c r="A405" s="10">
        <v>11</v>
      </c>
      <c r="B405" s="16">
        <v>40521</v>
      </c>
      <c r="C405" s="10">
        <v>2010</v>
      </c>
      <c r="D405" s="4" t="s">
        <v>24</v>
      </c>
      <c r="E405" s="10">
        <v>12</v>
      </c>
      <c r="F405" s="20">
        <v>3.871</v>
      </c>
      <c r="G405" s="21">
        <v>3.1928874999999995E-2</v>
      </c>
      <c r="H405" s="21">
        <v>0</v>
      </c>
      <c r="I405" s="21">
        <v>1.3320129999999997</v>
      </c>
      <c r="J405" s="21">
        <v>5.2029625000000003E-2</v>
      </c>
      <c r="K405" s="21">
        <v>0</v>
      </c>
    </row>
    <row r="406" spans="1:11">
      <c r="A406" s="10">
        <v>12</v>
      </c>
      <c r="B406" s="16">
        <v>40521</v>
      </c>
      <c r="C406" s="10">
        <v>2010</v>
      </c>
      <c r="D406" s="4" t="s">
        <v>24</v>
      </c>
      <c r="E406" s="10">
        <v>12</v>
      </c>
      <c r="F406" s="20">
        <v>2.9849999999999999</v>
      </c>
      <c r="G406" s="21">
        <v>2.4042999999999998E-2</v>
      </c>
      <c r="H406" s="21">
        <v>0</v>
      </c>
      <c r="I406" s="21">
        <v>0.97991262499999998</v>
      </c>
      <c r="J406" s="21">
        <v>3.9146374999999997E-2</v>
      </c>
      <c r="K406" s="21">
        <v>0</v>
      </c>
    </row>
    <row r="407" spans="1:11">
      <c r="A407" s="10">
        <v>13</v>
      </c>
      <c r="B407" s="16">
        <v>40521</v>
      </c>
      <c r="C407" s="10">
        <v>2010</v>
      </c>
      <c r="D407" s="4" t="s">
        <v>24</v>
      </c>
      <c r="E407" s="10">
        <v>12</v>
      </c>
      <c r="F407" s="20">
        <v>3.0150000000000001</v>
      </c>
      <c r="G407" s="21">
        <v>2.3383999999999995E-2</v>
      </c>
      <c r="H407" s="21">
        <v>0</v>
      </c>
      <c r="I407" s="21">
        <v>1.0007093749999998</v>
      </c>
      <c r="J407" s="21">
        <v>3.4752249999999998E-2</v>
      </c>
      <c r="K407" s="21">
        <v>0</v>
      </c>
    </row>
    <row r="408" spans="1:11">
      <c r="A408" s="10">
        <v>11</v>
      </c>
      <c r="B408" s="16">
        <v>40563</v>
      </c>
      <c r="C408" s="10">
        <v>2011</v>
      </c>
      <c r="D408" s="4" t="s">
        <v>25</v>
      </c>
      <c r="E408" s="10">
        <v>1</v>
      </c>
      <c r="F408" s="20">
        <v>4.7370000000000001</v>
      </c>
      <c r="G408" s="21">
        <v>3.3315874999999995E-2</v>
      </c>
      <c r="H408" s="21">
        <v>0</v>
      </c>
      <c r="I408" s="21">
        <v>2.36553375</v>
      </c>
      <c r="J408" s="21">
        <v>1.8862749999999998E-2</v>
      </c>
      <c r="K408" s="21">
        <v>0</v>
      </c>
    </row>
    <row r="409" spans="1:11">
      <c r="A409" s="10">
        <v>12</v>
      </c>
      <c r="B409" s="16">
        <v>40563</v>
      </c>
      <c r="C409" s="10">
        <v>2011</v>
      </c>
      <c r="D409" s="4" t="s">
        <v>25</v>
      </c>
      <c r="E409" s="10">
        <v>1</v>
      </c>
      <c r="F409" s="20">
        <v>4.4649999999999999</v>
      </c>
      <c r="G409" s="21">
        <v>3.6811874999999994E-2</v>
      </c>
      <c r="H409" s="21">
        <v>0</v>
      </c>
      <c r="I409" s="21">
        <v>2.0076682499999996</v>
      </c>
      <c r="J409" s="21">
        <v>1.5601124999999997E-2</v>
      </c>
      <c r="K409" s="21">
        <v>0</v>
      </c>
    </row>
    <row r="410" spans="1:11">
      <c r="A410" s="10">
        <v>13</v>
      </c>
      <c r="B410" s="16">
        <v>40563</v>
      </c>
      <c r="C410" s="10">
        <v>2011</v>
      </c>
      <c r="D410" s="4" t="s">
        <v>25</v>
      </c>
      <c r="E410" s="10">
        <v>1</v>
      </c>
      <c r="F410" s="20">
        <v>2.9350000000000001</v>
      </c>
      <c r="G410" s="21">
        <v>0</v>
      </c>
      <c r="H410" s="21">
        <v>0</v>
      </c>
      <c r="I410" s="21">
        <v>1.3223704999999999</v>
      </c>
      <c r="J410" s="21">
        <v>1.2249749999999998E-2</v>
      </c>
      <c r="K410" s="21">
        <v>0</v>
      </c>
    </row>
    <row r="411" spans="1:11">
      <c r="A411" s="10">
        <v>11</v>
      </c>
      <c r="B411" s="16">
        <v>40598</v>
      </c>
      <c r="C411" s="10">
        <v>2011</v>
      </c>
      <c r="D411" s="4" t="s">
        <v>14</v>
      </c>
      <c r="E411" s="10">
        <v>2</v>
      </c>
      <c r="F411" s="20">
        <v>4.5720000000000001</v>
      </c>
      <c r="G411" s="21">
        <v>2.2770624999999999E-2</v>
      </c>
      <c r="H411" s="21">
        <v>0</v>
      </c>
      <c r="I411" s="21">
        <v>1.9516983750000001</v>
      </c>
      <c r="J411" s="21">
        <v>2.0020499999999997E-2</v>
      </c>
      <c r="K411" s="21">
        <v>0</v>
      </c>
    </row>
    <row r="412" spans="1:11">
      <c r="A412" s="10">
        <v>12</v>
      </c>
      <c r="B412" s="16">
        <v>40598</v>
      </c>
      <c r="C412" s="10">
        <v>2011</v>
      </c>
      <c r="D412" s="4" t="s">
        <v>14</v>
      </c>
      <c r="E412" s="10">
        <v>2</v>
      </c>
      <c r="F412" s="20">
        <v>4.8120000000000003</v>
      </c>
      <c r="G412" s="21">
        <v>2.3152874999999996E-2</v>
      </c>
      <c r="H412" s="21">
        <v>0</v>
      </c>
      <c r="I412" s="21">
        <v>2.0351182499999996</v>
      </c>
      <c r="J412" s="21">
        <v>2.1537125000000001E-2</v>
      </c>
      <c r="K412" s="21">
        <v>0</v>
      </c>
    </row>
    <row r="413" spans="1:11">
      <c r="A413" s="10">
        <v>13</v>
      </c>
      <c r="B413" s="16">
        <v>40598</v>
      </c>
      <c r="C413" s="10">
        <v>2011</v>
      </c>
      <c r="D413" s="4" t="s">
        <v>14</v>
      </c>
      <c r="E413" s="10">
        <v>2</v>
      </c>
      <c r="F413" s="20">
        <v>3.6349999999999998</v>
      </c>
      <c r="G413" s="21">
        <v>4.2264999999999997E-2</v>
      </c>
      <c r="H413" s="21">
        <v>0</v>
      </c>
      <c r="I413" s="21">
        <v>1.5853638750000001</v>
      </c>
      <c r="J413" s="21">
        <v>1.8725124999999995E-2</v>
      </c>
      <c r="K413" s="21">
        <v>0</v>
      </c>
    </row>
    <row r="414" spans="1:11">
      <c r="A414" s="10">
        <v>11</v>
      </c>
      <c r="B414" s="16">
        <v>40617</v>
      </c>
      <c r="C414" s="10">
        <v>2011</v>
      </c>
      <c r="D414" s="4" t="s">
        <v>15</v>
      </c>
      <c r="E414" s="10">
        <v>3</v>
      </c>
      <c r="F414" s="20">
        <v>4.766</v>
      </c>
      <c r="G414" s="21">
        <v>0.10769475000000003</v>
      </c>
      <c r="H414" s="21">
        <v>0</v>
      </c>
      <c r="I414" s="21">
        <v>2.1968587500000001</v>
      </c>
      <c r="J414" s="21">
        <v>2.4880249999999996E-2</v>
      </c>
      <c r="K414" s="21">
        <v>0</v>
      </c>
    </row>
    <row r="415" spans="1:11">
      <c r="A415" s="10">
        <v>12</v>
      </c>
      <c r="B415" s="16">
        <v>40617</v>
      </c>
      <c r="C415" s="10">
        <v>2011</v>
      </c>
      <c r="D415" s="4" t="s">
        <v>15</v>
      </c>
      <c r="E415" s="10">
        <v>3</v>
      </c>
      <c r="F415" s="20">
        <v>3.7519999999999998</v>
      </c>
      <c r="G415" s="21">
        <v>8.0132624999999999E-2</v>
      </c>
      <c r="H415" s="21">
        <v>0</v>
      </c>
      <c r="I415" s="21">
        <v>1.732851125</v>
      </c>
      <c r="J415" s="21">
        <v>2.0319375000000001E-2</v>
      </c>
      <c r="K415" s="21">
        <v>0</v>
      </c>
    </row>
    <row r="416" spans="1:11">
      <c r="A416" s="10">
        <v>13</v>
      </c>
      <c r="B416" s="16">
        <v>40617</v>
      </c>
      <c r="C416" s="10">
        <v>2011</v>
      </c>
      <c r="D416" s="4" t="s">
        <v>15</v>
      </c>
      <c r="E416" s="10">
        <v>3</v>
      </c>
      <c r="F416" s="20">
        <v>4.41</v>
      </c>
      <c r="G416" s="21">
        <v>9.529799999999998E-2</v>
      </c>
      <c r="H416" s="21">
        <v>0</v>
      </c>
      <c r="I416" s="21">
        <v>2.0573730000000001</v>
      </c>
      <c r="J416" s="21">
        <v>2.4913624999999995E-2</v>
      </c>
      <c r="K416" s="21">
        <v>0</v>
      </c>
    </row>
    <row r="417" spans="1:11">
      <c r="A417" s="10">
        <v>11</v>
      </c>
      <c r="B417" s="16">
        <v>40647</v>
      </c>
      <c r="C417" s="10">
        <v>2011</v>
      </c>
      <c r="D417" s="4" t="s">
        <v>16</v>
      </c>
      <c r="E417" s="10">
        <v>4</v>
      </c>
      <c r="F417" s="20">
        <v>4.5590000000000002</v>
      </c>
      <c r="G417" s="21">
        <v>8.8226750000000007E-2</v>
      </c>
      <c r="H417" s="21">
        <v>0</v>
      </c>
      <c r="I417" s="21">
        <v>1.8173878749999999</v>
      </c>
      <c r="J417" s="21">
        <v>1.4323124999999999E-2</v>
      </c>
      <c r="K417" s="21">
        <v>0</v>
      </c>
    </row>
    <row r="418" spans="1:11">
      <c r="A418" s="10">
        <v>12</v>
      </c>
      <c r="B418" s="16">
        <v>40647</v>
      </c>
      <c r="C418" s="10">
        <v>2011</v>
      </c>
      <c r="D418" s="4" t="s">
        <v>16</v>
      </c>
      <c r="E418" s="10">
        <v>4</v>
      </c>
      <c r="F418" s="20">
        <v>3.8530000000000002</v>
      </c>
      <c r="G418" s="21">
        <v>7.9927374999999995E-2</v>
      </c>
      <c r="H418" s="21">
        <v>0</v>
      </c>
      <c r="I418" s="21">
        <v>1.4834718749999998</v>
      </c>
      <c r="J418" s="21">
        <v>1.1424999999999998E-2</v>
      </c>
      <c r="K418" s="21">
        <v>0</v>
      </c>
    </row>
    <row r="419" spans="1:11">
      <c r="A419" s="10">
        <v>13</v>
      </c>
      <c r="B419" s="16">
        <v>40647</v>
      </c>
      <c r="C419" s="10">
        <v>2011</v>
      </c>
      <c r="D419" s="4" t="s">
        <v>16</v>
      </c>
      <c r="E419" s="10">
        <v>4</v>
      </c>
      <c r="F419" s="20">
        <v>2.294</v>
      </c>
      <c r="G419" s="21">
        <v>3.421337499999999E-2</v>
      </c>
      <c r="H419" s="21">
        <v>0</v>
      </c>
      <c r="I419" s="21">
        <v>0.70023224999999989</v>
      </c>
      <c r="J419" s="21">
        <v>8.0346250000000018E-3</v>
      </c>
      <c r="K419" s="21">
        <v>0</v>
      </c>
    </row>
    <row r="420" spans="1:11">
      <c r="A420" s="10">
        <v>11</v>
      </c>
      <c r="B420" s="16">
        <v>40682</v>
      </c>
      <c r="C420" s="10">
        <v>2011</v>
      </c>
      <c r="D420" s="4" t="s">
        <v>17</v>
      </c>
      <c r="E420" s="10">
        <v>5</v>
      </c>
      <c r="F420" s="20">
        <v>2.02</v>
      </c>
      <c r="G420" s="21">
        <v>0.1153435</v>
      </c>
      <c r="H420" s="21">
        <v>0</v>
      </c>
      <c r="I420" s="21">
        <v>0.58843400000000001</v>
      </c>
      <c r="J420" s="21">
        <v>3.1000375E-2</v>
      </c>
      <c r="K420" s="21">
        <v>0</v>
      </c>
    </row>
    <row r="421" spans="1:11">
      <c r="A421" s="10">
        <v>12</v>
      </c>
      <c r="B421" s="16">
        <v>40682</v>
      </c>
      <c r="C421" s="10">
        <v>2011</v>
      </c>
      <c r="D421" s="4" t="s">
        <v>17</v>
      </c>
      <c r="E421" s="10">
        <v>5</v>
      </c>
      <c r="F421" s="20">
        <v>1.5920000000000001</v>
      </c>
      <c r="G421" s="21">
        <v>6.7288749999999994E-2</v>
      </c>
      <c r="H421" s="21">
        <v>0</v>
      </c>
      <c r="I421" s="21">
        <v>0.42106137500000002</v>
      </c>
      <c r="J421" s="21">
        <v>2.2930749999999996E-2</v>
      </c>
      <c r="K421" s="21">
        <v>0</v>
      </c>
    </row>
    <row r="422" spans="1:11">
      <c r="A422" s="10">
        <v>13</v>
      </c>
      <c r="B422" s="16">
        <v>40682</v>
      </c>
      <c r="C422" s="10">
        <v>2011</v>
      </c>
      <c r="D422" s="4" t="s">
        <v>17</v>
      </c>
      <c r="E422" s="10">
        <v>5</v>
      </c>
      <c r="F422" s="20">
        <v>2.5779999999999998</v>
      </c>
      <c r="G422" s="21">
        <v>0.22370912499999998</v>
      </c>
      <c r="H422" s="21">
        <v>4.6396499999999993E-2</v>
      </c>
      <c r="I422" s="21">
        <v>0.62708837500000003</v>
      </c>
      <c r="J422" s="21">
        <v>3.9002124999999999E-2</v>
      </c>
      <c r="K422" s="21">
        <v>0</v>
      </c>
    </row>
    <row r="423" spans="1:11">
      <c r="A423" s="10">
        <v>11</v>
      </c>
      <c r="B423" s="16">
        <v>40709</v>
      </c>
      <c r="C423" s="10">
        <v>2011</v>
      </c>
      <c r="D423" s="4" t="s">
        <v>18</v>
      </c>
      <c r="E423" s="10">
        <v>6</v>
      </c>
      <c r="F423" s="20">
        <v>4.0220000000000002</v>
      </c>
      <c r="G423" s="21">
        <v>0.10144599999999999</v>
      </c>
      <c r="H423" s="21">
        <v>0</v>
      </c>
      <c r="I423" s="21">
        <v>1.5833134999999998</v>
      </c>
      <c r="J423" s="21">
        <v>6.4036250000000003E-2</v>
      </c>
      <c r="K423" s="21">
        <v>0</v>
      </c>
    </row>
    <row r="424" spans="1:11">
      <c r="A424" s="10">
        <v>12</v>
      </c>
      <c r="B424" s="16">
        <v>40709</v>
      </c>
      <c r="C424" s="10">
        <v>2011</v>
      </c>
      <c r="D424" s="4" t="s">
        <v>18</v>
      </c>
      <c r="E424" s="10">
        <v>6</v>
      </c>
      <c r="F424" s="20">
        <v>4.2</v>
      </c>
      <c r="G424" s="21">
        <v>8.8062625000000005E-2</v>
      </c>
      <c r="H424" s="21">
        <v>0</v>
      </c>
      <c r="I424" s="21">
        <v>1.4930836249999997</v>
      </c>
      <c r="J424" s="21">
        <v>6.4282875000000003E-2</v>
      </c>
      <c r="K424" s="21">
        <v>0</v>
      </c>
    </row>
    <row r="425" spans="1:11">
      <c r="A425" s="10">
        <v>13</v>
      </c>
      <c r="B425" s="16">
        <v>40709</v>
      </c>
      <c r="C425" s="10">
        <v>2011</v>
      </c>
      <c r="D425" s="4" t="s">
        <v>18</v>
      </c>
      <c r="E425" s="10">
        <v>6</v>
      </c>
      <c r="F425" s="20">
        <v>7.6539999999999999</v>
      </c>
      <c r="G425" s="21">
        <v>6.9927000000000003E-2</v>
      </c>
      <c r="H425" s="21">
        <v>0</v>
      </c>
      <c r="I425" s="21">
        <v>3.3013943749999997</v>
      </c>
      <c r="J425" s="21">
        <v>9.1840874999999988E-2</v>
      </c>
      <c r="K425" s="21">
        <v>0</v>
      </c>
    </row>
    <row r="426" spans="1:11">
      <c r="A426" s="10">
        <v>11</v>
      </c>
      <c r="B426" s="16">
        <v>40736</v>
      </c>
      <c r="C426" s="10">
        <v>2011</v>
      </c>
      <c r="D426" s="4" t="s">
        <v>19</v>
      </c>
      <c r="E426" s="10">
        <v>7</v>
      </c>
      <c r="F426" s="20">
        <v>7.407</v>
      </c>
      <c r="G426" s="21">
        <v>0.169541625</v>
      </c>
      <c r="H426" s="21">
        <v>0</v>
      </c>
      <c r="I426" s="21">
        <v>2.3847900000000002</v>
      </c>
      <c r="J426" s="21">
        <v>0.20515887499999999</v>
      </c>
      <c r="K426" s="21">
        <v>0</v>
      </c>
    </row>
    <row r="427" spans="1:11">
      <c r="A427" s="10">
        <v>12</v>
      </c>
      <c r="B427" s="16">
        <v>40736</v>
      </c>
      <c r="C427" s="10">
        <v>2011</v>
      </c>
      <c r="D427" s="4" t="s">
        <v>19</v>
      </c>
      <c r="E427" s="10">
        <v>7</v>
      </c>
      <c r="F427" s="20">
        <v>8.0679999999999996</v>
      </c>
      <c r="G427" s="21">
        <v>0.15381462500000001</v>
      </c>
      <c r="H427" s="21">
        <v>0</v>
      </c>
      <c r="I427" s="21">
        <v>2.9900811249999997</v>
      </c>
      <c r="J427" s="21">
        <v>0.20078225</v>
      </c>
      <c r="K427" s="21">
        <v>0</v>
      </c>
    </row>
    <row r="428" spans="1:11">
      <c r="A428" s="10">
        <v>13</v>
      </c>
      <c r="B428" s="16">
        <v>40736</v>
      </c>
      <c r="C428" s="10">
        <v>2011</v>
      </c>
      <c r="D428" s="4" t="s">
        <v>19</v>
      </c>
      <c r="E428" s="10">
        <v>7</v>
      </c>
      <c r="F428" s="20">
        <v>8.9009999999999998</v>
      </c>
      <c r="G428" s="21">
        <v>0.17544412499999998</v>
      </c>
      <c r="H428" s="21">
        <v>0</v>
      </c>
      <c r="I428" s="21">
        <v>2.87796275</v>
      </c>
      <c r="J428" s="21">
        <v>0.68417237500000005</v>
      </c>
      <c r="K428" s="21">
        <v>0</v>
      </c>
    </row>
    <row r="429" spans="1:11">
      <c r="A429" s="10">
        <v>11</v>
      </c>
      <c r="B429" s="16">
        <v>40772</v>
      </c>
      <c r="C429" s="10">
        <v>2011</v>
      </c>
      <c r="D429" s="4" t="s">
        <v>20</v>
      </c>
      <c r="E429" s="10">
        <v>8</v>
      </c>
      <c r="F429" s="20">
        <v>14.526999999999999</v>
      </c>
      <c r="G429" s="21">
        <v>0.16420162499999999</v>
      </c>
      <c r="H429" s="21">
        <v>0</v>
      </c>
      <c r="I429" s="21">
        <v>6.8055946249999995</v>
      </c>
      <c r="J429" s="21">
        <v>0.18949312500000004</v>
      </c>
      <c r="K429" s="21">
        <v>0</v>
      </c>
    </row>
    <row r="430" spans="1:11">
      <c r="A430" s="10">
        <v>12</v>
      </c>
      <c r="B430" s="16">
        <v>40772</v>
      </c>
      <c r="C430" s="10">
        <v>2011</v>
      </c>
      <c r="D430" s="4" t="s">
        <v>20</v>
      </c>
      <c r="E430" s="10">
        <v>8</v>
      </c>
      <c r="F430" s="20">
        <v>11.542999999999999</v>
      </c>
      <c r="G430" s="21">
        <v>9.0062874999999987E-2</v>
      </c>
      <c r="H430" s="21">
        <v>0</v>
      </c>
      <c r="I430" s="21">
        <v>4.6113218749999998</v>
      </c>
      <c r="J430" s="21">
        <v>0.19088712499999999</v>
      </c>
      <c r="K430" s="21">
        <v>0</v>
      </c>
    </row>
    <row r="431" spans="1:11">
      <c r="A431" s="10">
        <v>13</v>
      </c>
      <c r="B431" s="16">
        <v>40772</v>
      </c>
      <c r="C431" s="10">
        <v>2011</v>
      </c>
      <c r="D431" s="4" t="s">
        <v>20</v>
      </c>
      <c r="E431" s="10">
        <v>8</v>
      </c>
      <c r="F431" s="20">
        <v>10.285</v>
      </c>
      <c r="G431" s="21">
        <v>5.3601499999999996E-2</v>
      </c>
      <c r="H431" s="21">
        <v>0</v>
      </c>
      <c r="I431" s="21">
        <v>4.1019173750000002</v>
      </c>
      <c r="J431" s="21">
        <v>0.27433174999999999</v>
      </c>
      <c r="K431" s="21">
        <v>0</v>
      </c>
    </row>
    <row r="432" spans="1:11">
      <c r="A432" s="10">
        <v>11</v>
      </c>
      <c r="B432" s="16">
        <v>40798</v>
      </c>
      <c r="C432" s="10">
        <v>2011</v>
      </c>
      <c r="D432" s="4" t="s">
        <v>26</v>
      </c>
      <c r="E432" s="10">
        <v>9</v>
      </c>
      <c r="F432" s="20">
        <v>6.1180000000000003</v>
      </c>
      <c r="G432" s="21">
        <v>9.5918249999999983E-2</v>
      </c>
      <c r="H432" s="21">
        <v>0</v>
      </c>
      <c r="I432" s="21">
        <v>2.5321488749999999</v>
      </c>
      <c r="J432" s="21">
        <v>0.23636000000000001</v>
      </c>
      <c r="K432" s="21">
        <v>0</v>
      </c>
    </row>
    <row r="433" spans="1:11">
      <c r="A433" s="10">
        <v>12</v>
      </c>
      <c r="B433" s="16">
        <v>40798</v>
      </c>
      <c r="C433" s="10">
        <v>2011</v>
      </c>
      <c r="D433" s="4" t="s">
        <v>26</v>
      </c>
      <c r="E433" s="10">
        <v>9</v>
      </c>
      <c r="F433" s="20">
        <v>5.444</v>
      </c>
      <c r="G433" s="21">
        <v>7.2165750000000001E-2</v>
      </c>
      <c r="H433" s="21">
        <v>0</v>
      </c>
      <c r="I433" s="21">
        <v>1.961626375</v>
      </c>
      <c r="J433" s="21">
        <v>0.20802087499999997</v>
      </c>
      <c r="K433" s="21">
        <v>0</v>
      </c>
    </row>
    <row r="434" spans="1:11">
      <c r="A434" s="10">
        <v>13</v>
      </c>
      <c r="B434" s="16">
        <v>40798</v>
      </c>
      <c r="C434" s="10">
        <v>2011</v>
      </c>
      <c r="D434" s="4" t="s">
        <v>26</v>
      </c>
      <c r="E434" s="10">
        <v>9</v>
      </c>
      <c r="F434" s="20">
        <v>7.492</v>
      </c>
      <c r="G434" s="21">
        <v>7.4966000000000005E-2</v>
      </c>
      <c r="H434" s="21">
        <v>0</v>
      </c>
      <c r="I434" s="21">
        <v>2.0250244999999998</v>
      </c>
      <c r="J434" s="21">
        <v>1.1851122499999998</v>
      </c>
      <c r="K434" s="21">
        <v>1.8296875000000004E-2</v>
      </c>
    </row>
    <row r="435" spans="1:11">
      <c r="A435" s="10">
        <v>11</v>
      </c>
      <c r="B435" s="16">
        <v>40829</v>
      </c>
      <c r="C435" s="10">
        <v>2011</v>
      </c>
      <c r="D435" s="4" t="s">
        <v>22</v>
      </c>
      <c r="E435" s="10">
        <v>10</v>
      </c>
      <c r="F435" s="22">
        <v>4.2300000000000004</v>
      </c>
      <c r="G435" s="21">
        <v>0.21483774999999997</v>
      </c>
      <c r="H435" s="21">
        <v>0</v>
      </c>
      <c r="I435" s="21">
        <v>1.3820714999999997</v>
      </c>
      <c r="J435" s="21">
        <v>0.11098650000000002</v>
      </c>
      <c r="K435" s="21">
        <v>0</v>
      </c>
    </row>
    <row r="436" spans="1:11">
      <c r="A436" s="10">
        <v>12</v>
      </c>
      <c r="B436" s="16">
        <v>40829</v>
      </c>
      <c r="C436" s="10">
        <v>2011</v>
      </c>
      <c r="D436" s="4" t="s">
        <v>22</v>
      </c>
      <c r="E436" s="10">
        <v>10</v>
      </c>
      <c r="F436" s="22">
        <v>4.702</v>
      </c>
      <c r="G436" s="21">
        <v>0.22009462499999996</v>
      </c>
      <c r="H436" s="21">
        <v>0</v>
      </c>
      <c r="I436" s="21">
        <v>1.6734541249999999</v>
      </c>
      <c r="J436" s="21">
        <v>0.12009349999999999</v>
      </c>
      <c r="K436" s="21">
        <v>0</v>
      </c>
    </row>
    <row r="437" spans="1:11">
      <c r="A437" s="10">
        <v>13</v>
      </c>
      <c r="B437" s="16">
        <v>40829</v>
      </c>
      <c r="C437" s="10">
        <v>2011</v>
      </c>
      <c r="D437" s="4" t="s">
        <v>22</v>
      </c>
      <c r="E437" s="10">
        <v>10</v>
      </c>
      <c r="F437" s="22">
        <v>2.5640000000000001</v>
      </c>
      <c r="G437" s="21">
        <v>0.10417475</v>
      </c>
      <c r="H437" s="21">
        <v>0</v>
      </c>
      <c r="I437" s="21">
        <v>0.92259524999999998</v>
      </c>
      <c r="J437" s="21">
        <v>8.9766499999999985E-2</v>
      </c>
      <c r="K437" s="21">
        <v>0</v>
      </c>
    </row>
    <row r="438" spans="1:11">
      <c r="A438" s="10">
        <v>11</v>
      </c>
      <c r="B438" s="23">
        <v>40877</v>
      </c>
      <c r="C438" s="10">
        <v>2011</v>
      </c>
      <c r="D438" s="4" t="s">
        <v>23</v>
      </c>
      <c r="E438" s="10">
        <v>11</v>
      </c>
      <c r="F438" s="22">
        <v>5.2469999999999999</v>
      </c>
      <c r="G438" s="21">
        <v>7.938824999999998E-2</v>
      </c>
      <c r="H438" s="21">
        <v>0</v>
      </c>
      <c r="I438" s="21">
        <v>2.2046882499999998</v>
      </c>
      <c r="J438" s="21">
        <v>3.3162749999999998E-2</v>
      </c>
      <c r="K438" s="21">
        <v>0</v>
      </c>
    </row>
    <row r="439" spans="1:11">
      <c r="A439" s="10">
        <v>12</v>
      </c>
      <c r="B439" s="23">
        <v>40877</v>
      </c>
      <c r="C439" s="10">
        <v>2011</v>
      </c>
      <c r="D439" s="4" t="s">
        <v>23</v>
      </c>
      <c r="E439" s="10">
        <v>11</v>
      </c>
      <c r="F439" s="22">
        <v>3.9009999999999998</v>
      </c>
      <c r="G439" s="21">
        <v>5.4116624999999995E-2</v>
      </c>
      <c r="H439" s="21">
        <v>2.0942624999999996E-2</v>
      </c>
      <c r="I439" s="21">
        <v>1.5061991250000002</v>
      </c>
      <c r="J439" s="21">
        <v>3.0106250000000005E-2</v>
      </c>
      <c r="K439" s="21">
        <v>0</v>
      </c>
    </row>
    <row r="440" spans="1:11">
      <c r="A440" s="10">
        <v>13</v>
      </c>
      <c r="B440" s="23">
        <v>40877</v>
      </c>
      <c r="C440" s="10">
        <v>2011</v>
      </c>
      <c r="D440" s="4" t="s">
        <v>23</v>
      </c>
      <c r="E440" s="10">
        <v>11</v>
      </c>
      <c r="F440" s="22">
        <v>4.9690000000000003</v>
      </c>
      <c r="G440" s="21">
        <v>0.12483712499999999</v>
      </c>
      <c r="H440" s="21">
        <v>0</v>
      </c>
      <c r="I440" s="21">
        <v>1.7289521249999997</v>
      </c>
      <c r="J440" s="21">
        <v>2.864425E-2</v>
      </c>
      <c r="K440" s="21">
        <v>0</v>
      </c>
    </row>
    <row r="441" spans="1:11">
      <c r="A441" s="10">
        <v>11</v>
      </c>
      <c r="B441" s="23">
        <v>40891</v>
      </c>
      <c r="C441" s="10">
        <v>2011</v>
      </c>
      <c r="D441" s="4" t="s">
        <v>24</v>
      </c>
      <c r="E441" s="10">
        <v>12</v>
      </c>
      <c r="F441" s="22">
        <v>5.8280000000000003</v>
      </c>
      <c r="G441" s="21">
        <v>0.20053412499999995</v>
      </c>
      <c r="H441" s="21">
        <v>0</v>
      </c>
      <c r="I441" s="21">
        <v>2.1014538750000002</v>
      </c>
      <c r="J441" s="21">
        <v>3.2710375E-2</v>
      </c>
      <c r="K441" s="21">
        <v>0</v>
      </c>
    </row>
    <row r="442" spans="1:11">
      <c r="A442" s="10">
        <v>12</v>
      </c>
      <c r="B442" s="23">
        <v>40891</v>
      </c>
      <c r="C442" s="10">
        <v>2011</v>
      </c>
      <c r="D442" s="4" t="s">
        <v>24</v>
      </c>
      <c r="E442" s="10">
        <v>12</v>
      </c>
      <c r="F442" s="22">
        <v>3.7679999999999998</v>
      </c>
      <c r="G442" s="21">
        <v>0.10218200000000001</v>
      </c>
      <c r="H442" s="21">
        <v>0</v>
      </c>
      <c r="I442" s="21">
        <v>1.266158125</v>
      </c>
      <c r="J442" s="21">
        <v>2.3183499999999999E-2</v>
      </c>
      <c r="K442" s="21">
        <v>0</v>
      </c>
    </row>
    <row r="443" spans="1:11">
      <c r="A443" s="10">
        <v>13</v>
      </c>
      <c r="B443" s="23">
        <v>40891</v>
      </c>
      <c r="C443" s="10">
        <v>2011</v>
      </c>
      <c r="D443" s="4" t="s">
        <v>24</v>
      </c>
      <c r="E443" s="10">
        <v>12</v>
      </c>
      <c r="F443" s="22">
        <v>2.89</v>
      </c>
      <c r="G443" s="21">
        <v>4.8685375000000003E-2</v>
      </c>
      <c r="H443" s="21">
        <v>0</v>
      </c>
      <c r="I443" s="21">
        <v>0.91535650000000013</v>
      </c>
      <c r="J443" s="21">
        <v>2.5758625000000004E-2</v>
      </c>
      <c r="K443" s="21">
        <v>0</v>
      </c>
    </row>
    <row r="444" spans="1:11">
      <c r="A444" s="10">
        <v>11</v>
      </c>
      <c r="B444" s="16">
        <v>40919</v>
      </c>
      <c r="C444" s="10">
        <v>2012</v>
      </c>
      <c r="D444" s="4" t="s">
        <v>25</v>
      </c>
      <c r="E444" s="10">
        <v>1</v>
      </c>
      <c r="F444" s="24">
        <v>3.1659999999999999</v>
      </c>
      <c r="G444" s="21">
        <v>0.14568062500000001</v>
      </c>
      <c r="H444" s="21">
        <v>0</v>
      </c>
      <c r="I444" s="21">
        <v>1.3702737499999997</v>
      </c>
      <c r="J444" s="21">
        <v>2.054775E-2</v>
      </c>
      <c r="K444" s="21">
        <v>0</v>
      </c>
    </row>
    <row r="445" spans="1:11">
      <c r="A445" s="10">
        <v>12</v>
      </c>
      <c r="B445" s="16">
        <v>40919</v>
      </c>
      <c r="C445" s="10">
        <v>2012</v>
      </c>
      <c r="D445" s="4" t="s">
        <v>25</v>
      </c>
      <c r="E445" s="10">
        <v>1</v>
      </c>
      <c r="F445" s="24">
        <v>1.8680000000000001</v>
      </c>
      <c r="G445" s="21">
        <v>0.10425999999999998</v>
      </c>
      <c r="H445" s="21">
        <v>0</v>
      </c>
      <c r="I445" s="21">
        <v>0.67076824999999995</v>
      </c>
      <c r="J445" s="21">
        <v>1.578075E-2</v>
      </c>
      <c r="K445" s="21">
        <v>0</v>
      </c>
    </row>
    <row r="446" spans="1:11">
      <c r="A446" s="10">
        <v>13</v>
      </c>
      <c r="B446" s="16">
        <v>40919</v>
      </c>
      <c r="C446" s="10">
        <v>2012</v>
      </c>
      <c r="D446" s="4" t="s">
        <v>25</v>
      </c>
      <c r="E446" s="10">
        <v>1</v>
      </c>
      <c r="F446" s="24">
        <v>1.752</v>
      </c>
      <c r="G446" s="21">
        <v>0.10891674999999999</v>
      </c>
      <c r="H446" s="21">
        <v>0</v>
      </c>
      <c r="I446" s="21">
        <v>0.61970674999999997</v>
      </c>
      <c r="J446" s="21">
        <v>1.5032E-2</v>
      </c>
      <c r="K446" s="21">
        <v>0</v>
      </c>
    </row>
    <row r="447" spans="1:11">
      <c r="A447" s="10">
        <v>11</v>
      </c>
      <c r="B447" s="16">
        <v>40960</v>
      </c>
      <c r="C447" s="10">
        <v>2012</v>
      </c>
      <c r="D447" s="4" t="s">
        <v>14</v>
      </c>
      <c r="E447" s="10">
        <v>2</v>
      </c>
      <c r="F447" s="24">
        <v>10.074</v>
      </c>
      <c r="G447" s="21">
        <v>0.26395262499999994</v>
      </c>
      <c r="H447" s="21">
        <v>0</v>
      </c>
      <c r="I447" s="21">
        <v>6.1832762499999996</v>
      </c>
      <c r="J447" s="21">
        <v>4.4061125E-2</v>
      </c>
      <c r="K447" s="21">
        <v>0</v>
      </c>
    </row>
    <row r="448" spans="1:11">
      <c r="A448" s="10">
        <v>12</v>
      </c>
      <c r="B448" s="16">
        <v>40960</v>
      </c>
      <c r="C448" s="10">
        <v>2012</v>
      </c>
      <c r="D448" s="4" t="s">
        <v>14</v>
      </c>
      <c r="E448" s="10">
        <v>2</v>
      </c>
      <c r="F448" s="24">
        <v>3.7719999999999998</v>
      </c>
      <c r="G448" s="21">
        <v>0.20643375</v>
      </c>
      <c r="H448" s="21">
        <v>0</v>
      </c>
      <c r="I448" s="21">
        <v>1.9703310000000001</v>
      </c>
      <c r="J448" s="21">
        <v>2.9816999999999996E-2</v>
      </c>
      <c r="K448" s="21">
        <v>0</v>
      </c>
    </row>
    <row r="449" spans="1:11">
      <c r="A449" s="10">
        <v>13</v>
      </c>
      <c r="B449" s="16">
        <v>40960</v>
      </c>
      <c r="C449" s="10">
        <v>2012</v>
      </c>
      <c r="D449" s="4" t="s">
        <v>14</v>
      </c>
      <c r="E449" s="10">
        <v>2</v>
      </c>
      <c r="F449" s="24">
        <v>2.944</v>
      </c>
      <c r="G449" s="21">
        <v>0.20164462499999999</v>
      </c>
      <c r="H449" s="21">
        <v>0</v>
      </c>
      <c r="I449" s="21">
        <v>1.5229422499999998</v>
      </c>
      <c r="J449" s="21">
        <v>2.7293874999999999E-2</v>
      </c>
      <c r="K449" s="21">
        <v>0</v>
      </c>
    </row>
    <row r="450" spans="1:11">
      <c r="A450" s="10">
        <v>11</v>
      </c>
      <c r="B450" s="16">
        <v>40982</v>
      </c>
      <c r="C450" s="10">
        <v>2012</v>
      </c>
      <c r="D450" s="4" t="s">
        <v>15</v>
      </c>
      <c r="E450" s="10">
        <v>3</v>
      </c>
      <c r="F450" s="24">
        <v>4.5389999999999997</v>
      </c>
      <c r="G450" s="21">
        <v>0.10550762500000001</v>
      </c>
      <c r="H450" s="21">
        <v>0</v>
      </c>
      <c r="I450" s="21">
        <v>2.8869761249999999</v>
      </c>
      <c r="J450" s="21">
        <v>3.5856374999999996E-2</v>
      </c>
      <c r="K450" s="21">
        <v>0</v>
      </c>
    </row>
    <row r="451" spans="1:11">
      <c r="A451" s="10">
        <v>12</v>
      </c>
      <c r="B451" s="16">
        <v>40982</v>
      </c>
      <c r="C451" s="10">
        <v>2012</v>
      </c>
      <c r="D451" s="4" t="s">
        <v>15</v>
      </c>
      <c r="E451" s="10">
        <v>3</v>
      </c>
      <c r="F451" s="24">
        <v>4.1820000000000004</v>
      </c>
      <c r="G451" s="21">
        <v>8.6993874999999984E-2</v>
      </c>
      <c r="H451" s="21">
        <v>0</v>
      </c>
      <c r="I451" s="21">
        <v>2.6406029999999996</v>
      </c>
      <c r="J451" s="21">
        <v>3.7710750000000001E-2</v>
      </c>
      <c r="K451" s="21">
        <v>0</v>
      </c>
    </row>
    <row r="452" spans="1:11">
      <c r="A452" s="10">
        <v>13</v>
      </c>
      <c r="B452" s="16">
        <v>40982</v>
      </c>
      <c r="C452" s="10">
        <v>2012</v>
      </c>
      <c r="D452" s="4" t="s">
        <v>15</v>
      </c>
      <c r="E452" s="10">
        <v>3</v>
      </c>
      <c r="F452" s="24">
        <v>4.2619999999999996</v>
      </c>
      <c r="G452" s="21">
        <v>7.7480624999999997E-2</v>
      </c>
      <c r="H452" s="21">
        <v>2.7018875000000001E-2</v>
      </c>
      <c r="I452" s="21">
        <v>2.8146895000000001</v>
      </c>
      <c r="J452" s="21">
        <v>5.1222999999999984E-2</v>
      </c>
      <c r="K452" s="21">
        <v>0</v>
      </c>
    </row>
    <row r="453" spans="1:11">
      <c r="A453" s="10">
        <v>11</v>
      </c>
      <c r="B453" s="16">
        <v>41016</v>
      </c>
      <c r="C453" s="10">
        <v>2012</v>
      </c>
      <c r="D453" s="4" t="s">
        <v>16</v>
      </c>
      <c r="E453" s="10">
        <v>4</v>
      </c>
      <c r="F453" s="20">
        <v>2.2309999999999999</v>
      </c>
      <c r="G453" s="21">
        <v>2.6335625000000001E-2</v>
      </c>
      <c r="H453" s="21">
        <v>0</v>
      </c>
      <c r="I453" s="21">
        <v>0.96337487499999985</v>
      </c>
      <c r="J453" s="21">
        <v>2.6317E-2</v>
      </c>
      <c r="K453" s="21">
        <v>0</v>
      </c>
    </row>
    <row r="454" spans="1:11">
      <c r="A454" s="10">
        <v>12</v>
      </c>
      <c r="B454" s="16">
        <v>41016</v>
      </c>
      <c r="C454" s="10">
        <v>2012</v>
      </c>
      <c r="D454" s="4" t="s">
        <v>16</v>
      </c>
      <c r="E454" s="10">
        <v>4</v>
      </c>
      <c r="F454" s="20">
        <v>3.3519999999999999</v>
      </c>
      <c r="G454" s="21">
        <v>3.5134625000000003E-2</v>
      </c>
      <c r="H454" s="21">
        <v>3.5607999999999994E-2</v>
      </c>
      <c r="I454" s="21">
        <v>1.5031683749999998</v>
      </c>
      <c r="J454" s="21">
        <v>2.3852499999999999E-2</v>
      </c>
      <c r="K454" s="21">
        <v>0</v>
      </c>
    </row>
    <row r="455" spans="1:11">
      <c r="A455" s="10">
        <v>13</v>
      </c>
      <c r="B455" s="16">
        <v>41016</v>
      </c>
      <c r="C455" s="10">
        <v>2012</v>
      </c>
      <c r="D455" s="4" t="s">
        <v>16</v>
      </c>
      <c r="E455" s="10">
        <v>4</v>
      </c>
      <c r="F455" s="20">
        <v>3.3849999999999998</v>
      </c>
      <c r="G455" s="21">
        <v>3.8184875E-2</v>
      </c>
      <c r="H455" s="21">
        <v>0</v>
      </c>
      <c r="I455" s="21">
        <v>1.4835867499999997</v>
      </c>
      <c r="J455" s="21">
        <v>3.0394250000000001E-2</v>
      </c>
      <c r="K455" s="21">
        <v>0</v>
      </c>
    </row>
    <row r="456" spans="1:11">
      <c r="A456" s="10">
        <v>11</v>
      </c>
      <c r="B456" s="16">
        <v>41051</v>
      </c>
      <c r="C456" s="10">
        <v>2012</v>
      </c>
      <c r="D456" s="4" t="s">
        <v>17</v>
      </c>
      <c r="E456" s="10">
        <v>5</v>
      </c>
      <c r="F456" s="20">
        <v>4.1159999999999997</v>
      </c>
      <c r="G456" s="21">
        <v>0.245240875</v>
      </c>
      <c r="H456" s="21">
        <v>0</v>
      </c>
      <c r="I456" s="21">
        <v>1.948039125</v>
      </c>
      <c r="J456" s="21">
        <v>4.5687499999999999E-2</v>
      </c>
      <c r="K456" s="21">
        <v>0</v>
      </c>
    </row>
    <row r="457" spans="1:11">
      <c r="A457" s="10">
        <v>12</v>
      </c>
      <c r="B457" s="16">
        <v>41051</v>
      </c>
      <c r="C457" s="10">
        <v>2012</v>
      </c>
      <c r="D457" s="4" t="s">
        <v>17</v>
      </c>
      <c r="E457" s="10">
        <v>5</v>
      </c>
      <c r="F457" s="20">
        <v>3.0649999999999999</v>
      </c>
      <c r="G457" s="21">
        <v>3.5334249999999998E-2</v>
      </c>
      <c r="H457" s="21">
        <v>0</v>
      </c>
      <c r="I457" s="21">
        <v>1.2835183749999999</v>
      </c>
      <c r="J457" s="21">
        <v>2.8921624999999999E-2</v>
      </c>
      <c r="K457" s="21">
        <v>0</v>
      </c>
    </row>
    <row r="458" spans="1:11">
      <c r="A458" s="10">
        <v>13</v>
      </c>
      <c r="B458" s="16">
        <v>41051</v>
      </c>
      <c r="C458" s="10">
        <v>2012</v>
      </c>
      <c r="D458" s="4" t="s">
        <v>17</v>
      </c>
      <c r="E458" s="10">
        <v>5</v>
      </c>
      <c r="F458" s="20">
        <v>3.484</v>
      </c>
      <c r="G458" s="21">
        <v>0</v>
      </c>
      <c r="H458" s="21">
        <v>0</v>
      </c>
      <c r="I458" s="21">
        <v>1.579865375</v>
      </c>
      <c r="J458" s="21">
        <v>4.0535249999999995E-2</v>
      </c>
      <c r="K458" s="21">
        <v>0</v>
      </c>
    </row>
    <row r="459" spans="1:11">
      <c r="A459" s="10">
        <v>11</v>
      </c>
      <c r="B459" s="16">
        <v>41080</v>
      </c>
      <c r="C459" s="10">
        <v>2012</v>
      </c>
      <c r="D459" s="4" t="s">
        <v>18</v>
      </c>
      <c r="E459" s="10">
        <v>6</v>
      </c>
      <c r="F459" s="20">
        <v>6.0650000000000004</v>
      </c>
      <c r="G459" s="21">
        <v>0.17775512499999999</v>
      </c>
      <c r="H459" s="21">
        <v>9.1619499999999993E-2</v>
      </c>
      <c r="I459" s="21">
        <v>2.9487294999999993</v>
      </c>
      <c r="J459" s="21">
        <v>7.1689875E-2</v>
      </c>
      <c r="K459" s="21">
        <v>0</v>
      </c>
    </row>
    <row r="460" spans="1:11">
      <c r="A460" s="10">
        <v>12</v>
      </c>
      <c r="B460" s="16">
        <v>41080</v>
      </c>
      <c r="C460" s="10">
        <v>2012</v>
      </c>
      <c r="D460" s="4" t="s">
        <v>18</v>
      </c>
      <c r="E460" s="10">
        <v>6</v>
      </c>
      <c r="F460" s="20">
        <v>7.391</v>
      </c>
      <c r="G460" s="21">
        <v>0.17740075</v>
      </c>
      <c r="H460" s="21">
        <v>0.14106712499999996</v>
      </c>
      <c r="I460" s="21">
        <v>3.4595098750000002</v>
      </c>
      <c r="J460" s="21">
        <v>8.343062499999998E-2</v>
      </c>
      <c r="K460" s="21">
        <v>0</v>
      </c>
    </row>
    <row r="461" spans="1:11">
      <c r="A461" s="10">
        <v>13</v>
      </c>
      <c r="B461" s="16">
        <v>41080</v>
      </c>
      <c r="C461" s="10">
        <v>2012</v>
      </c>
      <c r="D461" s="4" t="s">
        <v>18</v>
      </c>
      <c r="E461" s="10">
        <v>6</v>
      </c>
      <c r="F461" s="20">
        <v>3.9510000000000001</v>
      </c>
      <c r="G461" s="21">
        <v>4.9295499999999999E-2</v>
      </c>
      <c r="H461" s="21">
        <v>9.9630499999999983E-2</v>
      </c>
      <c r="I461" s="21">
        <v>1.9691268749999999</v>
      </c>
      <c r="J461" s="21">
        <v>7.5459249999999992E-2</v>
      </c>
      <c r="K461" s="21">
        <v>0</v>
      </c>
    </row>
    <row r="462" spans="1:11">
      <c r="A462" s="10">
        <v>11</v>
      </c>
      <c r="B462" s="16">
        <v>41106</v>
      </c>
      <c r="C462" s="10">
        <v>2012</v>
      </c>
      <c r="D462" s="4" t="s">
        <v>19</v>
      </c>
      <c r="E462" s="10">
        <v>7</v>
      </c>
      <c r="F462" s="20">
        <v>11.896000000000001</v>
      </c>
      <c r="G462" s="21">
        <v>0.21758912499999999</v>
      </c>
      <c r="H462" s="21">
        <v>0</v>
      </c>
      <c r="I462" s="21">
        <v>5.6289861250000008</v>
      </c>
      <c r="J462" s="21">
        <v>0.19622737500000001</v>
      </c>
      <c r="K462" s="21">
        <v>0</v>
      </c>
    </row>
    <row r="463" spans="1:11">
      <c r="A463" s="10">
        <v>12</v>
      </c>
      <c r="B463" s="16">
        <v>41106</v>
      </c>
      <c r="C463" s="10">
        <v>2012</v>
      </c>
      <c r="D463" s="4" t="s">
        <v>19</v>
      </c>
      <c r="E463" s="10">
        <v>7</v>
      </c>
      <c r="F463" s="20">
        <v>14.032999999999999</v>
      </c>
      <c r="G463" s="21">
        <v>0.228720375</v>
      </c>
      <c r="H463" s="21">
        <v>0</v>
      </c>
      <c r="I463" s="21">
        <v>6.0719256249999995</v>
      </c>
      <c r="J463" s="21">
        <v>0.24178537499999997</v>
      </c>
      <c r="K463" s="21">
        <v>0</v>
      </c>
    </row>
    <row r="464" spans="1:11">
      <c r="A464" s="10">
        <v>13</v>
      </c>
      <c r="B464" s="16">
        <v>41106</v>
      </c>
      <c r="C464" s="10">
        <v>2012</v>
      </c>
      <c r="D464" s="4" t="s">
        <v>19</v>
      </c>
      <c r="E464" s="10">
        <v>7</v>
      </c>
      <c r="F464" s="20">
        <v>17.782</v>
      </c>
      <c r="G464" s="21">
        <v>0.55870212500000005</v>
      </c>
      <c r="H464" s="21">
        <v>0</v>
      </c>
      <c r="I464" s="21">
        <v>7.5874634999999993</v>
      </c>
      <c r="J464" s="21">
        <v>0.5912488749999999</v>
      </c>
      <c r="K464" s="21">
        <v>0</v>
      </c>
    </row>
    <row r="465" spans="1:11">
      <c r="A465" s="10">
        <v>11</v>
      </c>
      <c r="B465" s="16">
        <v>41137</v>
      </c>
      <c r="C465" s="10">
        <v>2012</v>
      </c>
      <c r="D465" s="4" t="s">
        <v>20</v>
      </c>
      <c r="E465" s="10">
        <v>8</v>
      </c>
      <c r="F465" s="20">
        <v>7.7460000000000004</v>
      </c>
      <c r="G465" s="21">
        <v>0.10947012499999999</v>
      </c>
      <c r="H465" s="21">
        <v>0</v>
      </c>
      <c r="I465" s="21">
        <v>3.8873463749999995</v>
      </c>
      <c r="J465" s="21">
        <v>0.28584049999999994</v>
      </c>
      <c r="K465" s="21">
        <v>0</v>
      </c>
    </row>
    <row r="466" spans="1:11">
      <c r="A466" s="10">
        <v>12</v>
      </c>
      <c r="B466" s="16">
        <v>41137</v>
      </c>
      <c r="C466" s="10">
        <v>2012</v>
      </c>
      <c r="D466" s="4" t="s">
        <v>20</v>
      </c>
      <c r="E466" s="10">
        <v>8</v>
      </c>
      <c r="F466" s="20">
        <v>9.8290000000000006</v>
      </c>
      <c r="G466" s="21">
        <v>7.978399999999998E-2</v>
      </c>
      <c r="H466" s="21">
        <v>0</v>
      </c>
      <c r="I466" s="21">
        <v>4.8998348749999998</v>
      </c>
      <c r="J466" s="21">
        <v>0.28289587500000002</v>
      </c>
      <c r="K466" s="21">
        <v>0</v>
      </c>
    </row>
    <row r="467" spans="1:11">
      <c r="A467" s="10">
        <v>13</v>
      </c>
      <c r="B467" s="16">
        <v>41137</v>
      </c>
      <c r="C467" s="10">
        <v>2012</v>
      </c>
      <c r="D467" s="4" t="s">
        <v>20</v>
      </c>
      <c r="E467" s="10">
        <v>8</v>
      </c>
      <c r="F467" s="20">
        <v>11.077</v>
      </c>
      <c r="G467" s="21">
        <v>0.201011625</v>
      </c>
      <c r="H467" s="21">
        <v>3.976387499999999E-2</v>
      </c>
      <c r="I467" s="21">
        <v>4.7550923749999994</v>
      </c>
      <c r="J467" s="21">
        <v>0.90864149999999988</v>
      </c>
      <c r="K467" s="21">
        <v>1.3249124999999999E-2</v>
      </c>
    </row>
    <row r="468" spans="1:11">
      <c r="A468" s="10">
        <v>11</v>
      </c>
      <c r="B468" s="16">
        <v>41163</v>
      </c>
      <c r="C468" s="10">
        <v>2012</v>
      </c>
      <c r="D468" s="4" t="s">
        <v>26</v>
      </c>
      <c r="E468" s="10">
        <v>9</v>
      </c>
      <c r="F468" s="20">
        <v>17.579999999999998</v>
      </c>
      <c r="G468" s="21">
        <v>6.2420887499999989</v>
      </c>
      <c r="H468" s="21">
        <v>0</v>
      </c>
      <c r="I468" s="21">
        <v>2.6363088750000006</v>
      </c>
      <c r="J468" s="21">
        <v>0.23478850000000001</v>
      </c>
      <c r="K468" s="21">
        <v>0</v>
      </c>
    </row>
    <row r="469" spans="1:11">
      <c r="A469" s="10">
        <v>12</v>
      </c>
      <c r="B469" s="16">
        <v>41163</v>
      </c>
      <c r="C469" s="10">
        <v>2012</v>
      </c>
      <c r="D469" s="4" t="s">
        <v>26</v>
      </c>
      <c r="E469" s="10">
        <v>9</v>
      </c>
      <c r="F469" s="20">
        <v>11.577999999999999</v>
      </c>
      <c r="G469" s="21">
        <v>0.26427774999999998</v>
      </c>
      <c r="H469" s="21">
        <v>0</v>
      </c>
      <c r="I469" s="21">
        <v>5.1235724999999999</v>
      </c>
      <c r="J469" s="21">
        <v>0.15051662499999999</v>
      </c>
      <c r="K469" s="21">
        <v>0</v>
      </c>
    </row>
    <row r="470" spans="1:11">
      <c r="A470" s="10">
        <v>13</v>
      </c>
      <c r="B470" s="16">
        <v>41163</v>
      </c>
      <c r="C470" s="10">
        <v>2012</v>
      </c>
      <c r="D470" s="4" t="s">
        <v>26</v>
      </c>
      <c r="E470" s="10">
        <v>9</v>
      </c>
      <c r="F470" s="20">
        <v>11.763</v>
      </c>
      <c r="G470" s="21">
        <v>0.33641437499999993</v>
      </c>
      <c r="H470" s="21">
        <v>0</v>
      </c>
      <c r="I470" s="21">
        <v>5.2359986249999997</v>
      </c>
      <c r="J470" s="21">
        <v>0.24326074999999997</v>
      </c>
      <c r="K470" s="21">
        <v>0</v>
      </c>
    </row>
    <row r="471" spans="1:11">
      <c r="A471" s="10">
        <v>11</v>
      </c>
      <c r="B471" s="16">
        <v>41199</v>
      </c>
      <c r="C471" s="10">
        <v>2012</v>
      </c>
      <c r="D471" s="4" t="s">
        <v>22</v>
      </c>
      <c r="E471" s="10">
        <v>10</v>
      </c>
      <c r="F471" s="20">
        <v>4.9379999999999997</v>
      </c>
      <c r="G471" s="21">
        <v>0.12928187499999999</v>
      </c>
      <c r="H471" s="21">
        <v>0</v>
      </c>
      <c r="I471" s="21">
        <v>2.2856633749999999</v>
      </c>
      <c r="J471" s="21">
        <v>7.5927499999999981E-2</v>
      </c>
      <c r="K471" s="21">
        <v>0</v>
      </c>
    </row>
    <row r="472" spans="1:11">
      <c r="A472" s="10">
        <v>12</v>
      </c>
      <c r="B472" s="16">
        <v>41199</v>
      </c>
      <c r="C472" s="10">
        <v>2012</v>
      </c>
      <c r="D472" s="4" t="s">
        <v>22</v>
      </c>
      <c r="E472" s="10">
        <v>10</v>
      </c>
      <c r="F472" s="20">
        <v>7.0069999999999997</v>
      </c>
      <c r="G472" s="21">
        <v>0.13850662499999999</v>
      </c>
      <c r="H472" s="21">
        <v>0</v>
      </c>
      <c r="I472" s="21">
        <v>3.1131591249999992</v>
      </c>
      <c r="J472" s="21">
        <v>8.6302749999999998E-2</v>
      </c>
      <c r="K472" s="21">
        <v>0</v>
      </c>
    </row>
    <row r="473" spans="1:11">
      <c r="A473" s="10">
        <v>13</v>
      </c>
      <c r="B473" s="16">
        <v>41199</v>
      </c>
      <c r="C473" s="10">
        <v>2012</v>
      </c>
      <c r="D473" s="4" t="s">
        <v>22</v>
      </c>
      <c r="E473" s="10">
        <v>10</v>
      </c>
      <c r="F473" s="20">
        <v>3.952</v>
      </c>
      <c r="G473" s="21">
        <v>0.15555174999999999</v>
      </c>
      <c r="H473" s="21">
        <v>0</v>
      </c>
      <c r="I473" s="21">
        <v>1.3673358750000002</v>
      </c>
      <c r="J473" s="21">
        <v>7.9515374999999999E-2</v>
      </c>
      <c r="K473" s="21">
        <v>0</v>
      </c>
    </row>
    <row r="474" spans="1:11">
      <c r="A474" s="10">
        <v>11</v>
      </c>
      <c r="B474" s="16">
        <v>41225</v>
      </c>
      <c r="C474" s="10">
        <v>2012</v>
      </c>
      <c r="D474" s="4" t="s">
        <v>23</v>
      </c>
      <c r="E474" s="10">
        <v>11</v>
      </c>
      <c r="F474" s="20">
        <v>3.0910000000000002</v>
      </c>
      <c r="G474" s="21">
        <v>0</v>
      </c>
      <c r="H474" s="21">
        <v>0</v>
      </c>
      <c r="I474" s="21">
        <v>1.0666119999999999</v>
      </c>
      <c r="J474" s="21">
        <v>2.2144E-2</v>
      </c>
      <c r="K474" s="21">
        <v>0</v>
      </c>
    </row>
    <row r="475" spans="1:11">
      <c r="A475" s="10">
        <v>12</v>
      </c>
      <c r="B475" s="16">
        <v>41225</v>
      </c>
      <c r="C475" s="10">
        <v>2012</v>
      </c>
      <c r="D475" s="4" t="s">
        <v>23</v>
      </c>
      <c r="E475" s="10">
        <v>11</v>
      </c>
      <c r="F475" s="20">
        <v>2.972</v>
      </c>
      <c r="G475" s="21">
        <v>0</v>
      </c>
      <c r="H475" s="21">
        <v>0</v>
      </c>
      <c r="I475" s="21">
        <v>1.0841155</v>
      </c>
      <c r="J475" s="21">
        <v>1.803975E-2</v>
      </c>
      <c r="K475" s="21">
        <v>0</v>
      </c>
    </row>
    <row r="476" spans="1:11">
      <c r="A476" s="10">
        <v>13</v>
      </c>
      <c r="B476" s="16">
        <v>41225</v>
      </c>
      <c r="C476" s="10">
        <v>2012</v>
      </c>
      <c r="D476" s="4" t="s">
        <v>23</v>
      </c>
      <c r="E476" s="10">
        <v>11</v>
      </c>
      <c r="F476" s="20">
        <v>3.5569999999999999</v>
      </c>
      <c r="G476" s="21">
        <v>0</v>
      </c>
      <c r="H476" s="21">
        <v>0</v>
      </c>
      <c r="I476" s="21">
        <v>0.98464987500000001</v>
      </c>
      <c r="J476" s="21">
        <v>2.2598875000000001E-2</v>
      </c>
      <c r="K476" s="21">
        <v>0</v>
      </c>
    </row>
    <row r="477" spans="1:11">
      <c r="A477" s="10">
        <v>11</v>
      </c>
      <c r="B477" s="16">
        <v>41255</v>
      </c>
      <c r="C477" s="10">
        <v>2012</v>
      </c>
      <c r="D477" s="4" t="s">
        <v>24</v>
      </c>
      <c r="E477" s="10">
        <v>12</v>
      </c>
      <c r="F477" s="20">
        <v>4.9489999999999998</v>
      </c>
      <c r="G477" s="21">
        <v>0</v>
      </c>
      <c r="H477" s="21">
        <v>0</v>
      </c>
      <c r="I477" s="21">
        <v>2.3572837500000001</v>
      </c>
      <c r="J477" s="21">
        <v>2.8817625000000003E-2</v>
      </c>
      <c r="K477" s="21">
        <v>0</v>
      </c>
    </row>
    <row r="478" spans="1:11">
      <c r="A478" s="10">
        <v>12</v>
      </c>
      <c r="B478" s="16">
        <v>41255</v>
      </c>
      <c r="C478" s="10">
        <v>2012</v>
      </c>
      <c r="D478" s="4" t="s">
        <v>24</v>
      </c>
      <c r="E478" s="10">
        <v>12</v>
      </c>
      <c r="F478" s="20">
        <v>3.1360000000000001</v>
      </c>
      <c r="G478" s="21">
        <v>2.6516999999999999E-2</v>
      </c>
      <c r="H478" s="21">
        <v>9.1177499999999991E-3</v>
      </c>
      <c r="I478" s="21">
        <v>1.3751918750000003</v>
      </c>
      <c r="J478" s="21">
        <v>1.0439250000000001E-2</v>
      </c>
      <c r="K478" s="21">
        <v>0</v>
      </c>
    </row>
    <row r="479" spans="1:11">
      <c r="A479" s="10">
        <v>13</v>
      </c>
      <c r="B479" s="16">
        <v>41255</v>
      </c>
      <c r="C479" s="10">
        <v>2012</v>
      </c>
      <c r="D479" s="4" t="s">
        <v>24</v>
      </c>
      <c r="E479" s="10">
        <v>12</v>
      </c>
      <c r="F479" s="20">
        <v>3.4969999999999999</v>
      </c>
      <c r="G479" s="21">
        <v>4.8518999999999993E-2</v>
      </c>
      <c r="H479" s="21">
        <v>0</v>
      </c>
      <c r="I479" s="21">
        <v>1.4116056250000002</v>
      </c>
      <c r="J479" s="21">
        <v>0</v>
      </c>
      <c r="K479" s="21">
        <v>0</v>
      </c>
    </row>
    <row r="480" spans="1:11">
      <c r="A480" s="10">
        <v>11</v>
      </c>
      <c r="B480" s="16">
        <v>41297</v>
      </c>
      <c r="C480" s="10">
        <v>2013</v>
      </c>
      <c r="D480" s="4" t="s">
        <v>25</v>
      </c>
      <c r="E480" s="10">
        <v>1</v>
      </c>
      <c r="F480" s="20">
        <v>4.6619999999999999</v>
      </c>
      <c r="G480" s="21">
        <v>8.4186874999999994E-2</v>
      </c>
      <c r="H480" s="21">
        <v>0</v>
      </c>
      <c r="I480" s="21">
        <v>2.0398047500000001</v>
      </c>
      <c r="J480" s="21">
        <v>2.4773999999999997E-2</v>
      </c>
      <c r="K480" s="21">
        <v>0</v>
      </c>
    </row>
    <row r="481" spans="1:11">
      <c r="A481" s="10">
        <v>12</v>
      </c>
      <c r="B481" s="16">
        <v>41297</v>
      </c>
      <c r="C481" s="10">
        <v>2013</v>
      </c>
      <c r="D481" s="4" t="s">
        <v>25</v>
      </c>
      <c r="E481" s="10">
        <v>1</v>
      </c>
      <c r="F481" s="20">
        <v>2.7789999999999999</v>
      </c>
      <c r="G481" s="21">
        <v>9.9780375000000018E-2</v>
      </c>
      <c r="H481" s="21">
        <v>0</v>
      </c>
      <c r="I481" s="21">
        <v>1.0251213749999997</v>
      </c>
      <c r="J481" s="21">
        <v>0</v>
      </c>
      <c r="K481" s="21">
        <v>0</v>
      </c>
    </row>
    <row r="482" spans="1:11">
      <c r="A482" s="10">
        <v>13</v>
      </c>
      <c r="B482" s="16">
        <v>41297</v>
      </c>
      <c r="C482" s="10">
        <v>2013</v>
      </c>
      <c r="D482" s="4" t="s">
        <v>25</v>
      </c>
      <c r="E482" s="10">
        <v>1</v>
      </c>
      <c r="F482" s="20">
        <v>5.9459999999999997</v>
      </c>
      <c r="G482" s="21">
        <v>0.25616124999999995</v>
      </c>
      <c r="H482" s="21">
        <v>0</v>
      </c>
      <c r="I482" s="21">
        <v>2.3527458749999997</v>
      </c>
      <c r="J482" s="21">
        <v>0</v>
      </c>
      <c r="K482" s="21">
        <v>0</v>
      </c>
    </row>
    <row r="483" spans="1:11">
      <c r="A483" s="10">
        <v>11</v>
      </c>
      <c r="B483" s="16">
        <v>41319</v>
      </c>
      <c r="C483" s="10">
        <v>2013</v>
      </c>
      <c r="D483" s="4" t="s">
        <v>14</v>
      </c>
      <c r="E483" s="10">
        <v>2</v>
      </c>
      <c r="F483" s="25">
        <v>7.484</v>
      </c>
      <c r="G483" s="21">
        <v>0.6740044999999999</v>
      </c>
      <c r="H483" s="21">
        <v>0</v>
      </c>
      <c r="I483" s="21">
        <v>3.0978424999999996</v>
      </c>
      <c r="J483" s="21">
        <v>2.0886375000000002E-2</v>
      </c>
      <c r="K483" s="21">
        <v>0</v>
      </c>
    </row>
    <row r="484" spans="1:11">
      <c r="A484" s="10">
        <v>12</v>
      </c>
      <c r="B484" s="16">
        <v>41319</v>
      </c>
      <c r="C484" s="10">
        <v>2013</v>
      </c>
      <c r="D484" s="4" t="s">
        <v>14</v>
      </c>
      <c r="E484" s="10">
        <v>2</v>
      </c>
      <c r="F484" s="25">
        <v>4.5819999999999999</v>
      </c>
      <c r="G484" s="21">
        <v>0.32861562499999997</v>
      </c>
      <c r="H484" s="21">
        <v>0</v>
      </c>
      <c r="I484" s="21">
        <v>1.9233933750000001</v>
      </c>
      <c r="J484" s="21">
        <v>1.8578500000000001E-2</v>
      </c>
      <c r="K484" s="21">
        <v>0</v>
      </c>
    </row>
    <row r="485" spans="1:11">
      <c r="A485" s="10">
        <v>13</v>
      </c>
      <c r="B485" s="16">
        <v>41319</v>
      </c>
      <c r="C485" s="10">
        <v>2013</v>
      </c>
      <c r="D485" s="4" t="s">
        <v>14</v>
      </c>
      <c r="E485" s="10">
        <v>2</v>
      </c>
      <c r="F485" s="25">
        <v>1.8879999999999999</v>
      </c>
      <c r="G485" s="21">
        <v>7.4541499999999997E-2</v>
      </c>
      <c r="H485" s="21">
        <v>0</v>
      </c>
      <c r="I485" s="21">
        <v>0.71894349999999985</v>
      </c>
      <c r="J485" s="21">
        <v>0</v>
      </c>
      <c r="K485" s="21">
        <v>0</v>
      </c>
    </row>
    <row r="486" spans="1:11">
      <c r="A486" s="10">
        <v>11</v>
      </c>
      <c r="B486" s="16">
        <v>41346</v>
      </c>
      <c r="C486" s="10">
        <v>2013</v>
      </c>
      <c r="D486" s="4" t="s">
        <v>15</v>
      </c>
      <c r="E486" s="10">
        <v>3</v>
      </c>
      <c r="F486" s="25">
        <v>13.848000000000001</v>
      </c>
      <c r="G486" s="21">
        <v>0.30542249999999999</v>
      </c>
      <c r="H486" s="21">
        <v>0</v>
      </c>
      <c r="I486" s="21">
        <v>7.2858632500000002</v>
      </c>
      <c r="J486" s="21">
        <v>6.5586999999999993E-2</v>
      </c>
      <c r="K486" s="21">
        <v>0</v>
      </c>
    </row>
    <row r="487" spans="1:11">
      <c r="A487" s="10">
        <v>12</v>
      </c>
      <c r="B487" s="16">
        <v>41346</v>
      </c>
      <c r="C487" s="10">
        <v>2013</v>
      </c>
      <c r="D487" s="4" t="s">
        <v>15</v>
      </c>
      <c r="E487" s="10">
        <v>3</v>
      </c>
      <c r="F487" s="25">
        <v>9.6890000000000001</v>
      </c>
      <c r="G487" s="21">
        <v>0.1077465</v>
      </c>
      <c r="H487" s="21">
        <v>0</v>
      </c>
      <c r="I487" s="21">
        <v>5.6795802499999999</v>
      </c>
      <c r="J487" s="21">
        <v>3.9624749999999993E-2</v>
      </c>
      <c r="K487" s="21">
        <v>0</v>
      </c>
    </row>
    <row r="488" spans="1:11">
      <c r="A488" s="10">
        <v>13</v>
      </c>
      <c r="B488" s="16">
        <v>41346</v>
      </c>
      <c r="C488" s="10">
        <v>2013</v>
      </c>
      <c r="D488" s="4" t="s">
        <v>15</v>
      </c>
      <c r="E488" s="10">
        <v>3</v>
      </c>
      <c r="F488" s="25">
        <v>5.9370000000000003</v>
      </c>
      <c r="G488" s="21">
        <v>6.590625E-2</v>
      </c>
      <c r="H488" s="21">
        <v>0</v>
      </c>
      <c r="I488" s="21">
        <v>3.3197887499999994</v>
      </c>
      <c r="J488" s="21">
        <v>4.4920000000000002E-2</v>
      </c>
      <c r="K488" s="21">
        <v>0</v>
      </c>
    </row>
    <row r="489" spans="1:11">
      <c r="A489" s="10">
        <v>11</v>
      </c>
      <c r="B489" s="16">
        <v>41380</v>
      </c>
      <c r="C489" s="10">
        <v>2013</v>
      </c>
      <c r="D489" s="4" t="s">
        <v>16</v>
      </c>
      <c r="E489" s="10">
        <v>4</v>
      </c>
      <c r="F489" s="26">
        <v>1.5489999999999999</v>
      </c>
      <c r="G489" s="21">
        <v>0</v>
      </c>
      <c r="H489" s="21">
        <v>0</v>
      </c>
      <c r="I489" s="21">
        <v>0.6352351249999999</v>
      </c>
      <c r="J489" s="21">
        <v>1.0700749999999998E-2</v>
      </c>
      <c r="K489" s="21">
        <v>0</v>
      </c>
    </row>
    <row r="490" spans="1:11">
      <c r="A490" s="10">
        <v>12</v>
      </c>
      <c r="B490" s="16">
        <v>41380</v>
      </c>
      <c r="C490" s="10">
        <v>2013</v>
      </c>
      <c r="D490" s="4" t="s">
        <v>16</v>
      </c>
      <c r="E490" s="10">
        <v>4</v>
      </c>
      <c r="F490" s="26">
        <v>2.6190000000000002</v>
      </c>
      <c r="G490" s="21">
        <v>0</v>
      </c>
      <c r="H490" s="21">
        <v>0</v>
      </c>
      <c r="I490" s="21">
        <v>1.34654775</v>
      </c>
      <c r="J490" s="21">
        <v>1.6683124999999997E-2</v>
      </c>
      <c r="K490" s="21">
        <v>0</v>
      </c>
    </row>
    <row r="491" spans="1:11">
      <c r="A491" s="10">
        <v>13</v>
      </c>
      <c r="B491" s="16">
        <v>41380</v>
      </c>
      <c r="C491" s="10">
        <v>2013</v>
      </c>
      <c r="D491" s="4" t="s">
        <v>16</v>
      </c>
      <c r="E491" s="10">
        <v>4</v>
      </c>
      <c r="F491" s="26">
        <v>2.4119999999999999</v>
      </c>
      <c r="G491" s="21">
        <v>0</v>
      </c>
      <c r="H491" s="21">
        <v>0</v>
      </c>
      <c r="I491" s="21">
        <v>1.3297477499999999</v>
      </c>
      <c r="J491" s="21">
        <v>3.545874999999999E-2</v>
      </c>
      <c r="K491" s="21">
        <v>0</v>
      </c>
    </row>
    <row r="492" spans="1:11">
      <c r="A492" s="10">
        <v>11</v>
      </c>
      <c r="B492" s="16">
        <v>41407</v>
      </c>
      <c r="C492" s="10">
        <v>2013</v>
      </c>
      <c r="D492" s="4" t="s">
        <v>17</v>
      </c>
      <c r="E492" s="10">
        <v>5</v>
      </c>
      <c r="F492" s="26">
        <v>2.3940000000000001</v>
      </c>
      <c r="G492" s="21">
        <v>3.300575E-2</v>
      </c>
      <c r="H492" s="21">
        <v>0</v>
      </c>
      <c r="I492" s="21">
        <v>1.0136084999999997</v>
      </c>
      <c r="J492" s="21">
        <v>2.2493249999999999E-2</v>
      </c>
      <c r="K492" s="21">
        <v>0</v>
      </c>
    </row>
    <row r="493" spans="1:11">
      <c r="A493" s="10">
        <v>12</v>
      </c>
      <c r="B493" s="16">
        <v>41407</v>
      </c>
      <c r="C493" s="10">
        <v>2013</v>
      </c>
      <c r="D493" s="4" t="s">
        <v>17</v>
      </c>
      <c r="E493" s="10">
        <v>5</v>
      </c>
      <c r="F493" s="26">
        <v>2.3199999999999998</v>
      </c>
      <c r="G493" s="21">
        <v>3.9878375000000001E-2</v>
      </c>
      <c r="H493" s="21">
        <v>0</v>
      </c>
      <c r="I493" s="21">
        <v>0.73509674999999974</v>
      </c>
      <c r="J493" s="21">
        <v>1.4611874999999998E-2</v>
      </c>
      <c r="K493" s="21">
        <v>0</v>
      </c>
    </row>
    <row r="494" spans="1:11">
      <c r="A494" s="10">
        <v>13</v>
      </c>
      <c r="B494" s="16">
        <v>41407</v>
      </c>
      <c r="C494" s="10">
        <v>2013</v>
      </c>
      <c r="D494" s="4" t="s">
        <v>17</v>
      </c>
      <c r="E494" s="10">
        <v>5</v>
      </c>
      <c r="F494" s="26">
        <v>5.3440000000000003</v>
      </c>
      <c r="G494" s="21">
        <v>4.5995374999999998E-2</v>
      </c>
      <c r="H494" s="21">
        <v>0</v>
      </c>
      <c r="I494" s="21">
        <v>1.8850132499999999</v>
      </c>
      <c r="J494" s="21">
        <v>2.3553624999999998E-2</v>
      </c>
      <c r="K494" s="21">
        <v>0</v>
      </c>
    </row>
    <row r="495" spans="1:11">
      <c r="A495" s="10">
        <v>11</v>
      </c>
      <c r="B495" s="16">
        <v>41437</v>
      </c>
      <c r="C495" s="10">
        <v>2013</v>
      </c>
      <c r="D495" s="4" t="s">
        <v>18</v>
      </c>
      <c r="E495" s="10">
        <v>6</v>
      </c>
      <c r="F495" s="26">
        <v>5.2050000000000001</v>
      </c>
      <c r="G495" s="21">
        <v>8.9013375000000006E-2</v>
      </c>
      <c r="H495" s="21">
        <v>0</v>
      </c>
      <c r="I495" s="21">
        <v>2.2578070000000001</v>
      </c>
      <c r="J495" s="21">
        <v>5.219675E-2</v>
      </c>
      <c r="K495" s="21">
        <v>0</v>
      </c>
    </row>
    <row r="496" spans="1:11">
      <c r="A496" s="10">
        <v>12</v>
      </c>
      <c r="B496" s="16">
        <v>41437</v>
      </c>
      <c r="C496" s="10">
        <v>2013</v>
      </c>
      <c r="D496" s="4" t="s">
        <v>18</v>
      </c>
      <c r="E496" s="10">
        <v>6</v>
      </c>
      <c r="F496" s="26">
        <v>8.9550000000000001</v>
      </c>
      <c r="G496" s="21">
        <v>0.10504349999999998</v>
      </c>
      <c r="H496" s="21">
        <v>0</v>
      </c>
      <c r="I496" s="21">
        <v>3.8635747499999993</v>
      </c>
      <c r="J496" s="21">
        <v>7.2931124999999999E-2</v>
      </c>
      <c r="K496" s="21">
        <v>0</v>
      </c>
    </row>
    <row r="497" spans="1:11">
      <c r="A497" s="10">
        <v>13</v>
      </c>
      <c r="B497" s="16">
        <v>41437</v>
      </c>
      <c r="C497" s="10">
        <v>2013</v>
      </c>
      <c r="D497" s="4" t="s">
        <v>18</v>
      </c>
      <c r="E497" s="10">
        <v>6</v>
      </c>
      <c r="F497" s="26">
        <v>9.2710000000000008</v>
      </c>
      <c r="G497" s="21">
        <v>0.128155875</v>
      </c>
      <c r="H497" s="21">
        <v>0</v>
      </c>
      <c r="I497" s="21">
        <v>4.2085555000000001</v>
      </c>
      <c r="J497" s="21">
        <v>8.0669999999999992E-2</v>
      </c>
      <c r="K497" s="21">
        <v>0</v>
      </c>
    </row>
    <row r="498" spans="1:11">
      <c r="A498" s="10">
        <v>11</v>
      </c>
      <c r="B498" s="16">
        <v>41470</v>
      </c>
      <c r="C498" s="10">
        <v>2013</v>
      </c>
      <c r="D498" s="4" t="s">
        <v>19</v>
      </c>
      <c r="E498" s="10">
        <v>7</v>
      </c>
      <c r="F498" s="26">
        <v>8.0090000000000003</v>
      </c>
      <c r="G498" s="21">
        <v>0.26799774999999998</v>
      </c>
      <c r="H498" s="21">
        <v>0</v>
      </c>
      <c r="I498" s="21">
        <v>3.1410287500000003</v>
      </c>
      <c r="J498" s="21">
        <v>8.5765249999999987E-2</v>
      </c>
      <c r="K498" s="21">
        <v>0</v>
      </c>
    </row>
    <row r="499" spans="1:11">
      <c r="A499" s="10">
        <v>12</v>
      </c>
      <c r="B499" s="16">
        <v>41470</v>
      </c>
      <c r="C499" s="10">
        <v>2013</v>
      </c>
      <c r="D499" s="4" t="s">
        <v>19</v>
      </c>
      <c r="E499" s="10">
        <v>7</v>
      </c>
      <c r="F499" s="26">
        <v>14.608000000000001</v>
      </c>
      <c r="G499" s="21">
        <v>0.30088987499999997</v>
      </c>
      <c r="H499" s="21">
        <v>0</v>
      </c>
      <c r="I499" s="21">
        <v>6.78425425</v>
      </c>
      <c r="J499" s="21">
        <v>0.10199137499999998</v>
      </c>
      <c r="K499" s="21">
        <v>0</v>
      </c>
    </row>
    <row r="500" spans="1:11">
      <c r="A500" s="10">
        <v>13</v>
      </c>
      <c r="B500" s="16">
        <v>41470</v>
      </c>
      <c r="C500" s="10">
        <v>2013</v>
      </c>
      <c r="D500" s="4" t="s">
        <v>19</v>
      </c>
      <c r="E500" s="10">
        <v>7</v>
      </c>
      <c r="F500" s="26">
        <v>14.583</v>
      </c>
      <c r="G500" s="21">
        <v>0.38650437499999996</v>
      </c>
      <c r="H500" s="21">
        <v>0</v>
      </c>
      <c r="I500" s="21">
        <v>7.0651188749999978</v>
      </c>
      <c r="J500" s="21">
        <v>0.116158125</v>
      </c>
      <c r="K500" s="21">
        <v>0</v>
      </c>
    </row>
    <row r="501" spans="1:11">
      <c r="A501" s="10">
        <v>11</v>
      </c>
      <c r="B501" s="16">
        <v>41498</v>
      </c>
      <c r="C501" s="10">
        <v>2013</v>
      </c>
      <c r="D501" s="4" t="s">
        <v>20</v>
      </c>
      <c r="E501" s="10">
        <v>8</v>
      </c>
      <c r="F501" s="26">
        <v>7.4829999999999997</v>
      </c>
      <c r="G501" s="21">
        <v>0.28127637500000002</v>
      </c>
      <c r="H501" s="21">
        <v>0</v>
      </c>
      <c r="I501" s="21">
        <v>3.2057807500000002</v>
      </c>
      <c r="J501" s="21">
        <v>0.16374674999999997</v>
      </c>
      <c r="K501" s="21">
        <v>0</v>
      </c>
    </row>
    <row r="502" spans="1:11">
      <c r="A502" s="10">
        <v>12</v>
      </c>
      <c r="B502" s="16">
        <v>41498</v>
      </c>
      <c r="C502" s="10">
        <v>2013</v>
      </c>
      <c r="D502" s="4" t="s">
        <v>20</v>
      </c>
      <c r="E502" s="10">
        <v>8</v>
      </c>
      <c r="F502" s="26">
        <v>11.888</v>
      </c>
      <c r="G502" s="21">
        <v>0.32197499999999996</v>
      </c>
      <c r="H502" s="21">
        <v>0</v>
      </c>
      <c r="I502" s="21">
        <v>5.0694468749999997</v>
      </c>
      <c r="J502" s="21">
        <v>0.27216425</v>
      </c>
      <c r="K502" s="21">
        <v>0</v>
      </c>
    </row>
    <row r="503" spans="1:11">
      <c r="A503" s="10">
        <v>13</v>
      </c>
      <c r="B503" s="16">
        <v>41498</v>
      </c>
      <c r="C503" s="10">
        <v>2013</v>
      </c>
      <c r="D503" s="4" t="s">
        <v>20</v>
      </c>
      <c r="E503" s="10">
        <v>8</v>
      </c>
      <c r="F503" s="26">
        <v>14.917999999999999</v>
      </c>
      <c r="G503" s="21">
        <v>0.90310837500000007</v>
      </c>
      <c r="H503" s="21">
        <v>0</v>
      </c>
      <c r="I503" s="21">
        <v>4.9213251250000001</v>
      </c>
      <c r="J503" s="21">
        <v>0.67615862500000012</v>
      </c>
      <c r="K503" s="21">
        <v>0</v>
      </c>
    </row>
    <row r="504" spans="1:11">
      <c r="A504" s="10">
        <v>11</v>
      </c>
      <c r="B504" s="16">
        <v>41535</v>
      </c>
      <c r="C504" s="10">
        <v>2013</v>
      </c>
      <c r="D504" s="4" t="s">
        <v>26</v>
      </c>
      <c r="E504" s="10">
        <v>9</v>
      </c>
      <c r="F504" s="26">
        <v>8.3040000000000003</v>
      </c>
      <c r="G504" s="21">
        <v>0.20773874999999997</v>
      </c>
      <c r="H504" s="21">
        <v>0.17777499999999996</v>
      </c>
      <c r="I504" s="21">
        <v>4.7984283750000003</v>
      </c>
      <c r="J504" s="21">
        <v>0.136539875</v>
      </c>
      <c r="K504" s="21">
        <v>0</v>
      </c>
    </row>
    <row r="505" spans="1:11">
      <c r="A505" s="10">
        <v>12</v>
      </c>
      <c r="B505" s="16">
        <v>41535</v>
      </c>
      <c r="C505" s="10">
        <v>2013</v>
      </c>
      <c r="D505" s="4" t="s">
        <v>26</v>
      </c>
      <c r="E505" s="10">
        <v>9</v>
      </c>
      <c r="F505" s="26">
        <v>8.327</v>
      </c>
      <c r="G505" s="21">
        <v>6.4568000000000014E-2</v>
      </c>
      <c r="H505" s="21">
        <v>0.30158425</v>
      </c>
      <c r="I505" s="21">
        <v>4.704803375</v>
      </c>
      <c r="J505" s="21">
        <v>0.25178099999999998</v>
      </c>
      <c r="K505" s="21">
        <v>0</v>
      </c>
    </row>
    <row r="506" spans="1:11">
      <c r="A506" s="10">
        <v>13</v>
      </c>
      <c r="B506" s="16">
        <v>41535</v>
      </c>
      <c r="C506" s="10">
        <v>2013</v>
      </c>
      <c r="D506" s="4" t="s">
        <v>26</v>
      </c>
      <c r="E506" s="10">
        <v>9</v>
      </c>
      <c r="F506" s="26">
        <v>10.843999999999999</v>
      </c>
      <c r="G506" s="21">
        <v>6.9035374999999996E-2</v>
      </c>
      <c r="H506" s="21">
        <v>0.63232975000000002</v>
      </c>
      <c r="I506" s="21">
        <v>6.1010731249999992</v>
      </c>
      <c r="J506" s="21">
        <v>0.45869712499999993</v>
      </c>
      <c r="K506" s="21">
        <v>0</v>
      </c>
    </row>
    <row r="507" spans="1:11">
      <c r="A507" s="10">
        <v>11</v>
      </c>
      <c r="B507" s="16">
        <v>406810</v>
      </c>
      <c r="C507" s="10">
        <v>2013</v>
      </c>
      <c r="D507" s="4" t="s">
        <v>22</v>
      </c>
      <c r="E507" s="10">
        <v>10</v>
      </c>
      <c r="F507" s="20">
        <v>4.2169999999999996</v>
      </c>
      <c r="G507" s="21">
        <v>8.8088374999999997E-2</v>
      </c>
      <c r="H507" s="21">
        <v>0</v>
      </c>
      <c r="I507" s="21">
        <v>1.5455151249999999</v>
      </c>
      <c r="J507" s="21">
        <v>3.3778749999999996E-2</v>
      </c>
      <c r="K507" s="21">
        <v>0</v>
      </c>
    </row>
    <row r="508" spans="1:11">
      <c r="A508" s="10">
        <v>12</v>
      </c>
      <c r="B508" s="16">
        <v>406810</v>
      </c>
      <c r="C508" s="10">
        <v>2013</v>
      </c>
      <c r="D508" s="4" t="s">
        <v>22</v>
      </c>
      <c r="E508" s="10">
        <v>10</v>
      </c>
      <c r="F508" s="20">
        <v>3.31</v>
      </c>
      <c r="G508" s="21">
        <v>7.1377874999999993E-2</v>
      </c>
      <c r="H508" s="21">
        <v>0</v>
      </c>
      <c r="I508" s="21">
        <v>1.049712</v>
      </c>
      <c r="J508" s="21">
        <v>3.5026250000000002E-2</v>
      </c>
      <c r="K508" s="21">
        <v>0</v>
      </c>
    </row>
    <row r="509" spans="1:11">
      <c r="A509" s="10">
        <v>13</v>
      </c>
      <c r="B509" s="16">
        <v>406810</v>
      </c>
      <c r="C509" s="10">
        <v>2013</v>
      </c>
      <c r="D509" s="4" t="s">
        <v>22</v>
      </c>
      <c r="E509" s="10">
        <v>10</v>
      </c>
      <c r="F509" s="20">
        <v>2.3879999999999999</v>
      </c>
      <c r="G509" s="21">
        <v>0</v>
      </c>
      <c r="H509" s="21">
        <v>0</v>
      </c>
      <c r="I509" s="21">
        <v>0.87238512499999987</v>
      </c>
      <c r="J509" s="21">
        <v>3.3435125000000003E-2</v>
      </c>
      <c r="K509" s="21">
        <v>0</v>
      </c>
    </row>
    <row r="510" spans="1:11">
      <c r="A510" s="10">
        <v>11</v>
      </c>
      <c r="B510" s="16">
        <v>41599</v>
      </c>
      <c r="C510" s="10">
        <v>2013</v>
      </c>
      <c r="D510" s="4" t="s">
        <v>23</v>
      </c>
      <c r="E510" s="10">
        <v>11</v>
      </c>
      <c r="F510" s="20">
        <v>7.8630000000000004</v>
      </c>
      <c r="G510" s="21">
        <v>0.18172362499999997</v>
      </c>
      <c r="H510" s="21">
        <v>7.3660875000000001E-2</v>
      </c>
      <c r="I510" s="21">
        <v>3.8870957499999994</v>
      </c>
      <c r="J510" s="21">
        <v>4.8633875E-2</v>
      </c>
      <c r="K510" s="21">
        <v>3.0991375000000002E-2</v>
      </c>
    </row>
    <row r="511" spans="1:11">
      <c r="A511" s="10">
        <v>12</v>
      </c>
      <c r="B511" s="16">
        <v>41599</v>
      </c>
      <c r="C511" s="10">
        <v>2013</v>
      </c>
      <c r="D511" s="4" t="s">
        <v>23</v>
      </c>
      <c r="E511" s="10">
        <v>11</v>
      </c>
      <c r="F511" s="20">
        <v>2.5579999999999998</v>
      </c>
      <c r="G511" s="21">
        <v>4.4638500000000005E-2</v>
      </c>
      <c r="H511" s="21">
        <v>0</v>
      </c>
      <c r="I511" s="21">
        <v>1.1724973750000001</v>
      </c>
      <c r="J511" s="21">
        <v>1.4688375E-2</v>
      </c>
      <c r="K511" s="21">
        <v>0</v>
      </c>
    </row>
    <row r="512" spans="1:11">
      <c r="A512" s="10">
        <v>13</v>
      </c>
      <c r="B512" s="16">
        <v>41599</v>
      </c>
      <c r="C512" s="10">
        <v>2013</v>
      </c>
      <c r="D512" s="4" t="s">
        <v>23</v>
      </c>
      <c r="E512" s="10">
        <v>11</v>
      </c>
      <c r="F512" s="20">
        <v>3.8180000000000001</v>
      </c>
      <c r="G512" s="21">
        <v>7.666187499999999E-2</v>
      </c>
      <c r="H512" s="21">
        <v>0</v>
      </c>
      <c r="I512" s="21">
        <v>1.7299306250000002</v>
      </c>
      <c r="J512" s="21">
        <v>2.4298750000000001E-2</v>
      </c>
      <c r="K512" s="21">
        <v>0</v>
      </c>
    </row>
    <row r="513" spans="1:11">
      <c r="A513" s="10">
        <v>11</v>
      </c>
      <c r="B513" s="16">
        <v>41627</v>
      </c>
      <c r="C513" s="10">
        <v>2013</v>
      </c>
      <c r="D513" s="4" t="s">
        <v>24</v>
      </c>
      <c r="E513" s="10">
        <v>12</v>
      </c>
      <c r="F513" s="20">
        <v>6.5869999999999997</v>
      </c>
      <c r="G513" s="21">
        <v>8.2325874999999993E-2</v>
      </c>
      <c r="H513" s="21">
        <v>0</v>
      </c>
      <c r="I513" s="21">
        <v>3.2153261249999998</v>
      </c>
      <c r="J513" s="21">
        <v>2.8375124999999998E-2</v>
      </c>
      <c r="K513" s="21">
        <v>0</v>
      </c>
    </row>
    <row r="514" spans="1:11">
      <c r="A514" s="10">
        <v>12</v>
      </c>
      <c r="B514" s="16">
        <v>41627</v>
      </c>
      <c r="C514" s="10">
        <v>2013</v>
      </c>
      <c r="D514" s="4" t="s">
        <v>24</v>
      </c>
      <c r="E514" s="10">
        <v>12</v>
      </c>
      <c r="F514" s="20">
        <v>4.4809999999999999</v>
      </c>
      <c r="G514" s="21">
        <v>5.9084125000000001E-2</v>
      </c>
      <c r="H514" s="21">
        <v>0</v>
      </c>
      <c r="I514" s="21">
        <v>2.131277125</v>
      </c>
      <c r="J514" s="21">
        <v>1.9444374999999996E-2</v>
      </c>
      <c r="K514" s="21">
        <v>0</v>
      </c>
    </row>
    <row r="515" spans="1:11">
      <c r="A515" s="10">
        <v>13</v>
      </c>
      <c r="B515" s="16">
        <v>41627</v>
      </c>
      <c r="C515" s="10">
        <v>2013</v>
      </c>
      <c r="D515" s="4" t="s">
        <v>24</v>
      </c>
      <c r="E515" s="10">
        <v>12</v>
      </c>
      <c r="F515" s="20">
        <v>4.6399999999999997</v>
      </c>
      <c r="G515" s="21">
        <v>6.2109125000000001E-2</v>
      </c>
      <c r="H515" s="21">
        <v>0</v>
      </c>
      <c r="I515" s="21">
        <v>2.1413150000000005</v>
      </c>
      <c r="J515" s="21">
        <v>1.6792125000000001E-2</v>
      </c>
      <c r="K515" s="21">
        <v>0</v>
      </c>
    </row>
    <row r="516" spans="1:11">
      <c r="A516" s="10">
        <v>11</v>
      </c>
      <c r="B516" s="16">
        <v>41655</v>
      </c>
      <c r="C516" s="10">
        <v>2014</v>
      </c>
      <c r="D516" s="4" t="s">
        <v>25</v>
      </c>
      <c r="E516" s="10">
        <v>1</v>
      </c>
      <c r="F516" s="20">
        <v>8.5459999999999994</v>
      </c>
      <c r="G516" s="21">
        <v>9.3754875000000001E-2</v>
      </c>
      <c r="H516" s="21">
        <v>0</v>
      </c>
      <c r="I516" s="21">
        <v>4.4235742499999997</v>
      </c>
      <c r="J516" s="21">
        <v>3.2430124999999997E-2</v>
      </c>
      <c r="K516" s="21">
        <v>0</v>
      </c>
    </row>
    <row r="517" spans="1:11">
      <c r="A517" s="10">
        <v>12</v>
      </c>
      <c r="B517" s="16">
        <v>41655</v>
      </c>
      <c r="C517" s="10">
        <v>2014</v>
      </c>
      <c r="D517" s="4" t="s">
        <v>25</v>
      </c>
      <c r="E517" s="10">
        <v>1</v>
      </c>
      <c r="F517" s="20">
        <v>5.734</v>
      </c>
      <c r="G517" s="21">
        <v>8.9193750000000002E-2</v>
      </c>
      <c r="H517" s="21">
        <v>0</v>
      </c>
      <c r="I517" s="21">
        <v>2.7374125</v>
      </c>
      <c r="J517" s="21">
        <v>1.7586124999999998E-2</v>
      </c>
      <c r="K517" s="21">
        <v>0</v>
      </c>
    </row>
    <row r="518" spans="1:11">
      <c r="A518" s="10">
        <v>13</v>
      </c>
      <c r="B518" s="16">
        <v>41655</v>
      </c>
      <c r="C518" s="10">
        <v>2014</v>
      </c>
      <c r="D518" s="4" t="s">
        <v>25</v>
      </c>
      <c r="E518" s="10">
        <v>1</v>
      </c>
      <c r="F518" s="20">
        <v>5.601</v>
      </c>
      <c r="G518" s="21">
        <v>8.9579624999999996E-2</v>
      </c>
      <c r="H518" s="21">
        <v>0</v>
      </c>
      <c r="I518" s="21">
        <v>2.6772556249999995</v>
      </c>
      <c r="J518" s="21">
        <v>1.6049750000000002E-2</v>
      </c>
      <c r="K518" s="21">
        <v>0</v>
      </c>
    </row>
    <row r="519" spans="1:11">
      <c r="A519" s="10">
        <v>11</v>
      </c>
      <c r="B519" s="16">
        <v>41690</v>
      </c>
      <c r="C519" s="10">
        <v>2014</v>
      </c>
      <c r="D519" s="4" t="s">
        <v>14</v>
      </c>
      <c r="E519" s="10">
        <v>2</v>
      </c>
      <c r="F519" s="20">
        <v>10.32</v>
      </c>
      <c r="G519" s="21">
        <v>0.39623962499999998</v>
      </c>
      <c r="H519" s="21">
        <v>0</v>
      </c>
      <c r="I519" s="21">
        <v>4.833359999999999</v>
      </c>
      <c r="J519" s="21">
        <v>2.6980750000000005E-2</v>
      </c>
      <c r="K519" s="21">
        <v>0</v>
      </c>
    </row>
    <row r="520" spans="1:11">
      <c r="A520" s="10">
        <v>12</v>
      </c>
      <c r="B520" s="16">
        <v>41690</v>
      </c>
      <c r="C520" s="10">
        <v>2014</v>
      </c>
      <c r="D520" s="4" t="s">
        <v>14</v>
      </c>
      <c r="E520" s="10">
        <v>2</v>
      </c>
      <c r="F520" s="20">
        <v>11.166</v>
      </c>
      <c r="G520" s="21">
        <v>0.62290074999999989</v>
      </c>
      <c r="H520" s="21">
        <v>0</v>
      </c>
      <c r="I520" s="21">
        <v>5.0635822499999996</v>
      </c>
      <c r="J520" s="21">
        <v>2.6610249999999995E-2</v>
      </c>
      <c r="K520" s="21">
        <v>0</v>
      </c>
    </row>
    <row r="521" spans="1:11">
      <c r="A521" s="10">
        <v>13</v>
      </c>
      <c r="B521" s="16">
        <v>41690</v>
      </c>
      <c r="C521" s="10">
        <v>2014</v>
      </c>
      <c r="D521" s="4" t="s">
        <v>14</v>
      </c>
      <c r="E521" s="10">
        <v>2</v>
      </c>
      <c r="F521" s="20">
        <v>8.5</v>
      </c>
      <c r="G521" s="21">
        <v>0.18424799999999997</v>
      </c>
      <c r="H521" s="21">
        <v>0</v>
      </c>
      <c r="I521" s="21">
        <v>4.0199695000000002</v>
      </c>
      <c r="J521" s="21">
        <v>2.3735124999999999E-2</v>
      </c>
      <c r="K521" s="21">
        <v>0</v>
      </c>
    </row>
    <row r="522" spans="1:11">
      <c r="A522" s="10">
        <v>11</v>
      </c>
      <c r="B522" s="16">
        <v>41718</v>
      </c>
      <c r="C522" s="10">
        <v>2014</v>
      </c>
      <c r="D522" s="4" t="s">
        <v>15</v>
      </c>
      <c r="E522" s="10">
        <v>3</v>
      </c>
      <c r="F522" s="20">
        <v>6.4219999999999997</v>
      </c>
      <c r="G522" s="21">
        <v>7.2317624999999996E-2</v>
      </c>
      <c r="H522" s="21">
        <v>0</v>
      </c>
      <c r="I522" s="21">
        <v>3.1939376249999998</v>
      </c>
      <c r="J522" s="21">
        <v>4.5117625000000001E-2</v>
      </c>
      <c r="K522" s="21">
        <v>0</v>
      </c>
    </row>
    <row r="523" spans="1:11">
      <c r="A523" s="10">
        <v>12</v>
      </c>
      <c r="B523" s="16">
        <v>41718</v>
      </c>
      <c r="C523" s="10">
        <v>2014</v>
      </c>
      <c r="D523" s="4" t="s">
        <v>15</v>
      </c>
      <c r="E523" s="10">
        <v>3</v>
      </c>
      <c r="F523" s="20">
        <v>3.379</v>
      </c>
      <c r="G523" s="21">
        <v>5.9186374999999999E-2</v>
      </c>
      <c r="H523" s="21">
        <v>0</v>
      </c>
      <c r="I523" s="21">
        <v>1.6805686249999998</v>
      </c>
      <c r="J523" s="21">
        <v>5.9036000000000005E-2</v>
      </c>
      <c r="K523" s="21">
        <v>0</v>
      </c>
    </row>
    <row r="524" spans="1:11">
      <c r="A524" s="10">
        <v>13</v>
      </c>
      <c r="B524" s="16">
        <v>41718</v>
      </c>
      <c r="C524" s="10">
        <v>2014</v>
      </c>
      <c r="D524" s="4" t="s">
        <v>15</v>
      </c>
      <c r="E524" s="10">
        <v>3</v>
      </c>
      <c r="F524" s="20">
        <v>2.87</v>
      </c>
      <c r="G524" s="21">
        <v>0</v>
      </c>
      <c r="H524" s="21">
        <v>0</v>
      </c>
      <c r="I524" s="21">
        <v>1.5003813749999997</v>
      </c>
      <c r="J524" s="21">
        <v>6.1497749999999983E-2</v>
      </c>
      <c r="K524" s="21">
        <v>0</v>
      </c>
    </row>
    <row r="525" spans="1:11">
      <c r="A525" s="10">
        <v>11</v>
      </c>
      <c r="B525" s="16">
        <v>41750</v>
      </c>
      <c r="C525" s="10">
        <v>2014</v>
      </c>
      <c r="D525" s="4" t="s">
        <v>16</v>
      </c>
      <c r="E525" s="10">
        <v>4</v>
      </c>
      <c r="F525" s="27">
        <v>3.4980000000000002</v>
      </c>
      <c r="G525" s="21">
        <v>2.7999875E-2</v>
      </c>
      <c r="H525" s="21">
        <v>0</v>
      </c>
      <c r="I525" s="21">
        <v>1.7591699999999997</v>
      </c>
      <c r="J525" s="21">
        <v>3.5640375000000002E-2</v>
      </c>
      <c r="K525" s="21">
        <v>0</v>
      </c>
    </row>
    <row r="526" spans="1:11">
      <c r="A526" s="10">
        <v>12</v>
      </c>
      <c r="B526" s="16">
        <v>41750</v>
      </c>
      <c r="C526" s="10">
        <v>2014</v>
      </c>
      <c r="D526" s="4" t="s">
        <v>16</v>
      </c>
      <c r="E526" s="10">
        <v>4</v>
      </c>
      <c r="F526" s="27">
        <v>3.8290000000000002</v>
      </c>
      <c r="G526" s="21">
        <v>3.2552999999999999E-2</v>
      </c>
      <c r="H526" s="21">
        <v>0</v>
      </c>
      <c r="I526" s="21">
        <v>1.9747496250000001</v>
      </c>
      <c r="J526" s="21">
        <v>3.619012499999999E-2</v>
      </c>
      <c r="K526" s="21">
        <v>0</v>
      </c>
    </row>
    <row r="527" spans="1:11">
      <c r="A527" s="10">
        <v>13</v>
      </c>
      <c r="B527" s="16">
        <v>41750</v>
      </c>
      <c r="C527" s="10">
        <v>2014</v>
      </c>
      <c r="D527" s="4" t="s">
        <v>16</v>
      </c>
      <c r="E527" s="10">
        <v>4</v>
      </c>
      <c r="F527" s="27">
        <v>2.5150000000000001</v>
      </c>
      <c r="G527" s="21">
        <v>0</v>
      </c>
      <c r="H527" s="21">
        <v>0</v>
      </c>
      <c r="I527" s="21">
        <v>1.2305446250000001</v>
      </c>
      <c r="J527" s="21">
        <v>2.3395375E-2</v>
      </c>
      <c r="K527" s="21">
        <v>0</v>
      </c>
    </row>
    <row r="528" spans="1:11">
      <c r="A528" s="10">
        <v>11</v>
      </c>
      <c r="B528" s="16">
        <v>41406</v>
      </c>
      <c r="C528" s="10">
        <v>2014</v>
      </c>
      <c r="D528" s="4" t="s">
        <v>17</v>
      </c>
      <c r="E528" s="10">
        <v>5</v>
      </c>
      <c r="F528" s="27">
        <v>3.577</v>
      </c>
      <c r="G528" s="21">
        <v>8.7122124999999995E-2</v>
      </c>
      <c r="H528" s="21">
        <v>0</v>
      </c>
      <c r="I528" s="21">
        <v>1.1995</v>
      </c>
      <c r="J528" s="21">
        <v>2.1689750000000001E-2</v>
      </c>
      <c r="K528" s="21">
        <v>0</v>
      </c>
    </row>
    <row r="529" spans="1:11">
      <c r="A529" s="10">
        <v>12</v>
      </c>
      <c r="B529" s="16">
        <v>41406</v>
      </c>
      <c r="C529" s="10">
        <v>2014</v>
      </c>
      <c r="D529" s="4" t="s">
        <v>17</v>
      </c>
      <c r="E529" s="10">
        <v>5</v>
      </c>
      <c r="F529" s="27">
        <v>3.3809999999999998</v>
      </c>
      <c r="G529" s="21">
        <v>7.0245749999999996E-2</v>
      </c>
      <c r="H529" s="21">
        <v>0</v>
      </c>
      <c r="I529" s="21">
        <v>1.3057062499999998</v>
      </c>
      <c r="J529" s="21">
        <v>2.0095249999999995E-2</v>
      </c>
      <c r="K529" s="21">
        <v>0</v>
      </c>
    </row>
    <row r="530" spans="1:11">
      <c r="A530" s="10">
        <v>13</v>
      </c>
      <c r="B530" s="16">
        <v>41406</v>
      </c>
      <c r="C530" s="10">
        <v>2014</v>
      </c>
      <c r="D530" s="4" t="s">
        <v>17</v>
      </c>
      <c r="E530" s="10">
        <v>5</v>
      </c>
      <c r="F530" s="27">
        <v>4.5170000000000003</v>
      </c>
      <c r="G530" s="21">
        <v>7.8030000000000002E-2</v>
      </c>
      <c r="H530" s="21">
        <v>0</v>
      </c>
      <c r="I530" s="21">
        <v>1.8011958749999994</v>
      </c>
      <c r="J530" s="21">
        <v>2.4426249999999993E-2</v>
      </c>
      <c r="K530" s="21">
        <v>0</v>
      </c>
    </row>
    <row r="531" spans="1:11">
      <c r="A531" s="10">
        <v>11</v>
      </c>
      <c r="B531" s="16">
        <v>41807</v>
      </c>
      <c r="C531" s="10">
        <v>2014</v>
      </c>
      <c r="D531" s="4" t="s">
        <v>18</v>
      </c>
      <c r="E531" s="10">
        <v>6</v>
      </c>
      <c r="F531" s="27">
        <v>6.2009999999999996</v>
      </c>
      <c r="G531" s="21">
        <v>0.17851162500000001</v>
      </c>
      <c r="H531" s="21">
        <v>0</v>
      </c>
      <c r="I531" s="21">
        <v>2.9713708749999994</v>
      </c>
      <c r="J531" s="21">
        <v>4.5144124999999993E-2</v>
      </c>
      <c r="K531" s="21">
        <v>0</v>
      </c>
    </row>
    <row r="532" spans="1:11">
      <c r="A532" s="10">
        <v>12</v>
      </c>
      <c r="B532" s="16">
        <v>41807</v>
      </c>
      <c r="C532" s="10">
        <v>2014</v>
      </c>
      <c r="D532" s="4" t="s">
        <v>18</v>
      </c>
      <c r="E532" s="10">
        <v>6</v>
      </c>
      <c r="F532" s="27">
        <v>8.0289999999999999</v>
      </c>
      <c r="G532" s="21">
        <v>0.16368337499999999</v>
      </c>
      <c r="H532" s="21">
        <v>0</v>
      </c>
      <c r="I532" s="21">
        <v>3.9428227499999999</v>
      </c>
      <c r="J532" s="21">
        <v>8.5293250000000001E-2</v>
      </c>
      <c r="K532" s="21">
        <v>0</v>
      </c>
    </row>
    <row r="533" spans="1:11">
      <c r="A533" s="10">
        <v>13</v>
      </c>
      <c r="B533" s="16">
        <v>41807</v>
      </c>
      <c r="C533" s="10">
        <v>2014</v>
      </c>
      <c r="D533" s="4" t="s">
        <v>18</v>
      </c>
      <c r="E533" s="10">
        <v>6</v>
      </c>
      <c r="F533" s="27">
        <v>4.383</v>
      </c>
      <c r="G533" s="21">
        <v>7.9969124999999974E-2</v>
      </c>
      <c r="H533" s="21">
        <v>7.668562499999998E-2</v>
      </c>
      <c r="I533" s="21">
        <v>2.1556138749999998</v>
      </c>
      <c r="J533" s="21">
        <v>0.13002312499999999</v>
      </c>
      <c r="K533" s="21">
        <v>0</v>
      </c>
    </row>
    <row r="534" spans="1:11">
      <c r="A534" s="10">
        <v>11</v>
      </c>
      <c r="B534" s="16">
        <v>41837</v>
      </c>
      <c r="C534" s="10">
        <v>2014</v>
      </c>
      <c r="D534" s="4" t="s">
        <v>19</v>
      </c>
      <c r="E534" s="10">
        <v>7</v>
      </c>
      <c r="F534" s="27">
        <v>9.3789999999999996</v>
      </c>
      <c r="G534" s="21">
        <v>0.19356124999999996</v>
      </c>
      <c r="H534" s="21">
        <v>0</v>
      </c>
      <c r="I534" s="21">
        <v>4.1510508749999993</v>
      </c>
      <c r="J534" s="21">
        <v>9.5732250000000019E-2</v>
      </c>
      <c r="K534" s="21">
        <v>0</v>
      </c>
    </row>
    <row r="535" spans="1:11">
      <c r="A535" s="10">
        <v>12</v>
      </c>
      <c r="B535" s="16">
        <v>41837</v>
      </c>
      <c r="C535" s="10">
        <v>2014</v>
      </c>
      <c r="D535" s="4" t="s">
        <v>19</v>
      </c>
      <c r="E535" s="10">
        <v>7</v>
      </c>
      <c r="F535" s="27">
        <v>11.09</v>
      </c>
      <c r="G535" s="21">
        <v>0.16732699999999998</v>
      </c>
      <c r="H535" s="21">
        <v>0</v>
      </c>
      <c r="I535" s="21">
        <v>5.15921875</v>
      </c>
      <c r="J535" s="21">
        <v>0.12853674999999998</v>
      </c>
      <c r="K535" s="21">
        <v>0</v>
      </c>
    </row>
    <row r="536" spans="1:11">
      <c r="A536" s="10">
        <v>13</v>
      </c>
      <c r="B536" s="16">
        <v>41837</v>
      </c>
      <c r="C536" s="10">
        <v>2014</v>
      </c>
      <c r="D536" s="4" t="s">
        <v>19</v>
      </c>
      <c r="E536" s="10">
        <v>7</v>
      </c>
      <c r="F536" s="27">
        <v>8.7759999999999998</v>
      </c>
      <c r="G536" s="21">
        <v>0.295799125</v>
      </c>
      <c r="H536" s="21">
        <v>0</v>
      </c>
      <c r="I536" s="21">
        <v>2.8376308750000003</v>
      </c>
      <c r="J536" s="21">
        <v>0.17665549999999997</v>
      </c>
      <c r="K536" s="21">
        <v>0</v>
      </c>
    </row>
    <row r="537" spans="1:11">
      <c r="A537" s="10">
        <v>11</v>
      </c>
      <c r="B537" s="16">
        <v>41862</v>
      </c>
      <c r="C537" s="10">
        <v>2014</v>
      </c>
      <c r="D537" s="4" t="s">
        <v>20</v>
      </c>
      <c r="E537" s="10">
        <v>8</v>
      </c>
      <c r="F537" s="27">
        <v>5.7380000000000004</v>
      </c>
      <c r="G537" s="21">
        <v>0.15042475</v>
      </c>
      <c r="H537" s="21">
        <v>0</v>
      </c>
      <c r="I537" s="21">
        <v>2.8587988750000002</v>
      </c>
      <c r="J537" s="21">
        <v>0.146220875</v>
      </c>
      <c r="K537" s="21">
        <v>0</v>
      </c>
    </row>
    <row r="538" spans="1:11">
      <c r="A538" s="10">
        <v>12</v>
      </c>
      <c r="B538" s="16">
        <v>41862</v>
      </c>
      <c r="C538" s="10">
        <v>2014</v>
      </c>
      <c r="D538" s="4" t="s">
        <v>20</v>
      </c>
      <c r="E538" s="10">
        <v>8</v>
      </c>
      <c r="F538" s="27">
        <v>7.4029999999999996</v>
      </c>
      <c r="G538" s="21">
        <v>0.176650375</v>
      </c>
      <c r="H538" s="21">
        <v>0</v>
      </c>
      <c r="I538" s="21">
        <v>3.3742909999999999</v>
      </c>
      <c r="J538" s="21">
        <v>0.243008</v>
      </c>
      <c r="K538" s="21">
        <v>0</v>
      </c>
    </row>
    <row r="539" spans="1:11">
      <c r="A539" s="10">
        <v>13</v>
      </c>
      <c r="B539" s="16">
        <v>41862</v>
      </c>
      <c r="C539" s="10">
        <v>2014</v>
      </c>
      <c r="D539" s="4" t="s">
        <v>20</v>
      </c>
      <c r="E539" s="10">
        <v>8</v>
      </c>
      <c r="F539" s="27">
        <v>5.2350000000000003</v>
      </c>
      <c r="G539" s="21">
        <v>0.13140399999999997</v>
      </c>
      <c r="H539" s="21">
        <v>0</v>
      </c>
      <c r="I539" s="21">
        <v>2.3071638750000001</v>
      </c>
      <c r="J539" s="21">
        <v>0.114432125</v>
      </c>
      <c r="K539" s="21">
        <v>0</v>
      </c>
    </row>
    <row r="540" spans="1:11">
      <c r="A540" s="10">
        <v>11</v>
      </c>
      <c r="B540" s="16">
        <v>41897</v>
      </c>
      <c r="C540" s="10">
        <v>2014</v>
      </c>
      <c r="D540" s="4" t="s">
        <v>26</v>
      </c>
      <c r="E540" s="10">
        <v>9</v>
      </c>
      <c r="F540" s="27">
        <v>4.7690000000000001</v>
      </c>
      <c r="G540" s="21">
        <v>3.8092124999999998E-2</v>
      </c>
      <c r="H540" s="21">
        <v>0</v>
      </c>
      <c r="I540" s="21">
        <v>2.2261366250000001</v>
      </c>
      <c r="J540" s="21">
        <v>3.3811749999999995E-2</v>
      </c>
      <c r="K540" s="21">
        <v>0</v>
      </c>
    </row>
    <row r="541" spans="1:11">
      <c r="A541" s="10">
        <v>12</v>
      </c>
      <c r="B541" s="16">
        <v>41897</v>
      </c>
      <c r="C541" s="10">
        <v>2014</v>
      </c>
      <c r="D541" s="4" t="s">
        <v>26</v>
      </c>
      <c r="E541" s="10">
        <v>9</v>
      </c>
      <c r="F541" s="27">
        <v>3.3559999999999999</v>
      </c>
      <c r="G541" s="21">
        <v>0</v>
      </c>
      <c r="H541" s="21">
        <v>0</v>
      </c>
      <c r="I541" s="21">
        <v>1.540848</v>
      </c>
      <c r="J541" s="21">
        <v>3.4215250000000003E-2</v>
      </c>
      <c r="K541" s="21">
        <v>0</v>
      </c>
    </row>
    <row r="542" spans="1:11">
      <c r="A542" s="10">
        <v>13</v>
      </c>
      <c r="B542" s="16">
        <v>41897</v>
      </c>
      <c r="C542" s="10">
        <v>2014</v>
      </c>
      <c r="D542" s="4" t="s">
        <v>26</v>
      </c>
      <c r="E542" s="10">
        <v>9</v>
      </c>
      <c r="F542" s="27">
        <v>6.6619999999999999</v>
      </c>
      <c r="G542" s="21">
        <v>8.597299999999998E-2</v>
      </c>
      <c r="H542" s="21">
        <v>0</v>
      </c>
      <c r="I542" s="21">
        <v>2.8658138750000002</v>
      </c>
      <c r="J542" s="21">
        <v>7.3014999999999997E-2</v>
      </c>
      <c r="K542" s="21">
        <v>0</v>
      </c>
    </row>
    <row r="543" spans="1:11">
      <c r="A543" s="10">
        <v>11</v>
      </c>
      <c r="B543" s="16">
        <v>41928</v>
      </c>
      <c r="C543" s="10">
        <v>2014</v>
      </c>
      <c r="D543" s="4" t="s">
        <v>22</v>
      </c>
      <c r="E543" s="10">
        <v>10</v>
      </c>
      <c r="F543" s="20">
        <v>2.2810000000000001</v>
      </c>
      <c r="G543" s="21">
        <v>4.6055249999999992E-2</v>
      </c>
      <c r="H543" s="21">
        <v>0</v>
      </c>
      <c r="I543" s="21">
        <v>0.85716899999999996</v>
      </c>
      <c r="J543" s="21">
        <v>3.9878375000000001E-2</v>
      </c>
      <c r="K543" s="21">
        <v>0</v>
      </c>
    </row>
    <row r="544" spans="1:11">
      <c r="A544" s="10">
        <v>12</v>
      </c>
      <c r="B544" s="16">
        <v>41928</v>
      </c>
      <c r="C544" s="10">
        <v>2014</v>
      </c>
      <c r="D544" s="4" t="s">
        <v>22</v>
      </c>
      <c r="E544" s="10">
        <v>10</v>
      </c>
      <c r="F544" s="20">
        <v>3.64</v>
      </c>
      <c r="G544" s="21">
        <v>9.3949499999999991E-2</v>
      </c>
      <c r="H544" s="21">
        <v>4.5113999999999994E-2</v>
      </c>
      <c r="I544" s="21">
        <v>1.5055590000000003</v>
      </c>
      <c r="J544" s="21">
        <v>6.1661374999999997E-2</v>
      </c>
      <c r="K544" s="21">
        <v>0</v>
      </c>
    </row>
    <row r="545" spans="1:11">
      <c r="A545" s="10">
        <v>13</v>
      </c>
      <c r="B545" s="16">
        <v>41928</v>
      </c>
      <c r="C545" s="10">
        <v>2014</v>
      </c>
      <c r="D545" s="4" t="s">
        <v>22</v>
      </c>
      <c r="E545" s="10">
        <v>10</v>
      </c>
      <c r="F545" s="20">
        <v>6.1680000000000001</v>
      </c>
      <c r="G545" s="21">
        <v>0.19410250000000001</v>
      </c>
      <c r="H545" s="21">
        <v>0</v>
      </c>
      <c r="I545" s="21">
        <v>2.3508469999999995</v>
      </c>
      <c r="J545" s="21">
        <v>0.15976374999999998</v>
      </c>
      <c r="K545" s="21">
        <v>0</v>
      </c>
    </row>
    <row r="546" spans="1:11">
      <c r="A546" s="10">
        <v>11</v>
      </c>
      <c r="B546" s="16">
        <v>41955</v>
      </c>
      <c r="C546" s="10">
        <v>2014</v>
      </c>
      <c r="D546" s="4" t="s">
        <v>23</v>
      </c>
      <c r="E546" s="10">
        <v>11</v>
      </c>
      <c r="F546" s="20">
        <v>6.0449999999999999</v>
      </c>
      <c r="G546" s="21">
        <v>0.14972750000000001</v>
      </c>
      <c r="H546" s="21">
        <v>0</v>
      </c>
      <c r="I546" s="21">
        <v>2.5083254999999998</v>
      </c>
      <c r="J546" s="21">
        <v>3.8491875000000002E-2</v>
      </c>
      <c r="K546" s="21">
        <v>0</v>
      </c>
    </row>
    <row r="547" spans="1:11">
      <c r="A547" s="10">
        <v>12</v>
      </c>
      <c r="B547" s="16">
        <v>41955</v>
      </c>
      <c r="C547" s="10">
        <v>2014</v>
      </c>
      <c r="D547" s="4" t="s">
        <v>23</v>
      </c>
      <c r="E547" s="10">
        <v>11</v>
      </c>
      <c r="F547" s="20">
        <v>4.6319999999999997</v>
      </c>
      <c r="G547" s="21">
        <v>8.1879999999999994E-2</v>
      </c>
      <c r="H547" s="21">
        <v>0</v>
      </c>
      <c r="I547" s="21">
        <v>1.8809811250000001</v>
      </c>
      <c r="J547" s="21">
        <v>2.6362750000000001E-2</v>
      </c>
      <c r="K547" s="21">
        <v>0</v>
      </c>
    </row>
    <row r="548" spans="1:11">
      <c r="A548" s="10">
        <v>13</v>
      </c>
      <c r="B548" s="16">
        <v>41955</v>
      </c>
      <c r="C548" s="10">
        <v>2014</v>
      </c>
      <c r="D548" s="4" t="s">
        <v>23</v>
      </c>
      <c r="E548" s="10">
        <v>11</v>
      </c>
      <c r="F548" s="20">
        <v>5.8710000000000004</v>
      </c>
      <c r="G548" s="21">
        <v>0.10663075</v>
      </c>
      <c r="H548" s="21">
        <v>0</v>
      </c>
      <c r="I548" s="21">
        <v>2.325377375</v>
      </c>
      <c r="J548" s="21">
        <v>4.6631499999999992E-2</v>
      </c>
      <c r="K548" s="21">
        <v>0</v>
      </c>
    </row>
  </sheetData>
  <autoFilter ref="L1:L548" xr:uid="{00000000-0009-0000-0000-000001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7"/>
  <sheetViews>
    <sheetView topLeftCell="C548" workbookViewId="0">
      <selection activeCell="S551" sqref="S551:V567"/>
    </sheetView>
  </sheetViews>
  <sheetFormatPr defaultColWidth="8.85546875" defaultRowHeight="15"/>
  <cols>
    <col min="2" max="2" width="21.85546875" customWidth="1"/>
  </cols>
  <sheetData>
    <row r="1" spans="1:18" ht="25.5">
      <c r="A1" s="29" t="s">
        <v>30</v>
      </c>
      <c r="B1" s="30" t="s">
        <v>31</v>
      </c>
      <c r="C1" s="31" t="s">
        <v>32</v>
      </c>
      <c r="D1" s="32" t="s">
        <v>33</v>
      </c>
      <c r="E1" s="31" t="s">
        <v>34</v>
      </c>
      <c r="F1" s="33" t="s">
        <v>35</v>
      </c>
      <c r="G1" s="33" t="s">
        <v>36</v>
      </c>
      <c r="H1" s="33" t="s">
        <v>37</v>
      </c>
      <c r="I1" s="33" t="s">
        <v>38</v>
      </c>
      <c r="J1" s="33" t="s">
        <v>39</v>
      </c>
      <c r="K1" s="33" t="s">
        <v>40</v>
      </c>
      <c r="L1" s="35" t="s">
        <v>42</v>
      </c>
      <c r="M1" s="33" t="s">
        <v>35</v>
      </c>
      <c r="N1" s="33" t="s">
        <v>36</v>
      </c>
      <c r="O1" s="33" t="s">
        <v>37</v>
      </c>
      <c r="P1" s="33" t="s">
        <v>38</v>
      </c>
      <c r="Q1" s="33" t="s">
        <v>39</v>
      </c>
      <c r="R1" s="33" t="s">
        <v>40</v>
      </c>
    </row>
    <row r="2" spans="1:18">
      <c r="A2" s="37">
        <v>11</v>
      </c>
      <c r="B2" s="42">
        <v>36446</v>
      </c>
      <c r="C2" s="39">
        <v>1999</v>
      </c>
      <c r="D2" s="43" t="s">
        <v>0</v>
      </c>
      <c r="E2" s="41">
        <v>10</v>
      </c>
      <c r="F2" s="45">
        <v>4.106693605813688</v>
      </c>
      <c r="G2" s="45">
        <v>0.11788707516666667</v>
      </c>
      <c r="H2" s="40">
        <v>0</v>
      </c>
      <c r="I2" s="45">
        <v>1.2921542806666668</v>
      </c>
      <c r="J2" s="40">
        <v>2.10353325E-2</v>
      </c>
      <c r="K2" s="40" t="s">
        <v>1</v>
      </c>
      <c r="L2" s="35" t="s">
        <v>44</v>
      </c>
      <c r="M2" s="21">
        <f>AVERAGE(F2:F10)</f>
        <v>3.9287711602470887</v>
      </c>
      <c r="N2" s="21">
        <f>AVERAGE(G2:G10)</f>
        <v>7.1782097351851856E-2</v>
      </c>
      <c r="O2" s="21">
        <f>AVERAGE(H2:H10)</f>
        <v>4.3678458888888891E-3</v>
      </c>
      <c r="P2" s="21">
        <f>AVERAGE(I2:I10)</f>
        <v>1.3122566430925926</v>
      </c>
      <c r="Q2" s="21">
        <f>AVERAGE(J2:J10)</f>
        <v>1.1721318320370371E-2</v>
      </c>
    </row>
    <row r="3" spans="1:18">
      <c r="A3" s="1">
        <v>12</v>
      </c>
      <c r="B3" s="2">
        <v>36446</v>
      </c>
      <c r="C3" s="3">
        <v>1999</v>
      </c>
      <c r="D3" s="4" t="s">
        <v>0</v>
      </c>
      <c r="E3" s="5">
        <v>10</v>
      </c>
      <c r="F3" s="44">
        <v>3.7245782451451728</v>
      </c>
      <c r="G3" s="44">
        <v>0.10253528183333334</v>
      </c>
      <c r="H3" s="38">
        <v>0</v>
      </c>
      <c r="I3" s="44">
        <v>1.1449540233333331</v>
      </c>
      <c r="J3" s="44">
        <v>2.0341964833333333E-2</v>
      </c>
      <c r="K3" s="44" t="s">
        <v>1</v>
      </c>
    </row>
    <row r="4" spans="1:18">
      <c r="A4" s="1">
        <v>13</v>
      </c>
      <c r="B4" s="2">
        <v>36446</v>
      </c>
      <c r="C4" s="3">
        <v>1999</v>
      </c>
      <c r="D4" s="4" t="s">
        <v>0</v>
      </c>
      <c r="E4" s="5">
        <v>10</v>
      </c>
      <c r="F4" s="44">
        <v>5.1995828949343252</v>
      </c>
      <c r="G4" s="44">
        <v>0.23786033366666665</v>
      </c>
      <c r="H4" s="38">
        <v>0</v>
      </c>
      <c r="I4" s="44">
        <v>1.3668172096666666</v>
      </c>
      <c r="J4" s="44">
        <v>3.895134916666667E-2</v>
      </c>
      <c r="K4" s="44" t="s">
        <v>1</v>
      </c>
    </row>
    <row r="5" spans="1:18">
      <c r="A5" s="1">
        <v>11</v>
      </c>
      <c r="B5" s="2">
        <v>36473</v>
      </c>
      <c r="C5" s="3">
        <v>1999</v>
      </c>
      <c r="D5" s="4" t="s">
        <v>2</v>
      </c>
      <c r="E5" s="3">
        <v>11</v>
      </c>
      <c r="F5" s="44">
        <v>4.7836223356911507</v>
      </c>
      <c r="G5" s="44">
        <v>4.010556416666667E-2</v>
      </c>
      <c r="H5" s="38">
        <v>1.8425821166666669E-2</v>
      </c>
      <c r="I5" s="44">
        <v>1.9281980323333334</v>
      </c>
      <c r="J5" s="44">
        <v>1.1880551999999999E-2</v>
      </c>
      <c r="K5" s="44" t="s">
        <v>1</v>
      </c>
    </row>
    <row r="6" spans="1:18">
      <c r="A6" s="1">
        <v>12</v>
      </c>
      <c r="B6" s="2">
        <v>36473</v>
      </c>
      <c r="C6" s="3">
        <v>1999</v>
      </c>
      <c r="D6" s="4" t="s">
        <v>2</v>
      </c>
      <c r="E6" s="3">
        <v>11</v>
      </c>
      <c r="F6" s="44">
        <v>3.3702580536149149</v>
      </c>
      <c r="G6" s="44">
        <v>3.0830854333333338E-2</v>
      </c>
      <c r="H6" s="38">
        <v>0</v>
      </c>
      <c r="I6" s="44">
        <v>1.1784671433333331</v>
      </c>
      <c r="J6" s="44">
        <v>7.1761561666666661E-3</v>
      </c>
      <c r="K6" s="44" t="s">
        <v>1</v>
      </c>
    </row>
    <row r="7" spans="1:18">
      <c r="A7" s="1">
        <v>13</v>
      </c>
      <c r="B7" s="2">
        <v>36473</v>
      </c>
      <c r="C7" s="3">
        <v>1999</v>
      </c>
      <c r="D7" s="4" t="s">
        <v>2</v>
      </c>
      <c r="E7" s="3">
        <v>11</v>
      </c>
      <c r="F7" s="44">
        <v>3.7752817717032925</v>
      </c>
      <c r="G7" s="44">
        <v>3.4932039166666665E-2</v>
      </c>
      <c r="H7" s="38">
        <v>0</v>
      </c>
      <c r="I7" s="44">
        <v>1.3183590496666668</v>
      </c>
      <c r="J7" s="44">
        <v>0</v>
      </c>
      <c r="K7" s="44" t="s">
        <v>1</v>
      </c>
    </row>
    <row r="8" spans="1:18">
      <c r="A8" s="1">
        <v>11</v>
      </c>
      <c r="B8" s="2">
        <v>36502</v>
      </c>
      <c r="C8" s="3">
        <v>1999</v>
      </c>
      <c r="D8" s="4" t="s">
        <v>3</v>
      </c>
      <c r="E8" s="3">
        <v>12</v>
      </c>
      <c r="F8" s="44">
        <v>5.1131924566321469</v>
      </c>
      <c r="G8" s="44">
        <v>4.9641518666666669E-2</v>
      </c>
      <c r="H8" s="38">
        <v>2.0884791833333333E-2</v>
      </c>
      <c r="I8" s="44">
        <v>1.9067034250000001</v>
      </c>
      <c r="J8" s="44">
        <v>6.1065102166666663E-3</v>
      </c>
      <c r="K8" s="44" t="s">
        <v>1</v>
      </c>
    </row>
    <row r="9" spans="1:18">
      <c r="A9" s="1">
        <v>12</v>
      </c>
      <c r="B9" s="2">
        <v>36502</v>
      </c>
      <c r="C9" s="3">
        <v>1999</v>
      </c>
      <c r="D9" s="4" t="s">
        <v>3</v>
      </c>
      <c r="E9" s="3">
        <v>12</v>
      </c>
      <c r="F9" s="44">
        <v>2.454749919437222</v>
      </c>
      <c r="G9" s="44">
        <v>1.9097802833333333E-2</v>
      </c>
      <c r="H9" s="38">
        <v>0</v>
      </c>
      <c r="I9" s="44">
        <v>0.78655296833333344</v>
      </c>
      <c r="J9" s="44">
        <v>0</v>
      </c>
      <c r="K9" s="44" t="s">
        <v>1</v>
      </c>
    </row>
    <row r="10" spans="1:18" ht="25.5">
      <c r="A10" s="1">
        <v>13</v>
      </c>
      <c r="B10" s="2">
        <v>36502</v>
      </c>
      <c r="C10" s="3">
        <v>1999</v>
      </c>
      <c r="D10" s="4" t="s">
        <v>3</v>
      </c>
      <c r="E10" s="3">
        <v>12</v>
      </c>
      <c r="F10" s="44">
        <v>2.8309811592518894</v>
      </c>
      <c r="G10" s="44">
        <v>1.3148406333333333E-2</v>
      </c>
      <c r="H10" s="38">
        <v>0</v>
      </c>
      <c r="I10" s="44">
        <v>0.88810365550000003</v>
      </c>
      <c r="J10" s="44">
        <v>0</v>
      </c>
      <c r="K10" s="44" t="s">
        <v>1</v>
      </c>
      <c r="L10" s="35" t="s">
        <v>42</v>
      </c>
      <c r="M10" s="33" t="s">
        <v>35</v>
      </c>
      <c r="N10" s="33" t="s">
        <v>36</v>
      </c>
      <c r="O10" s="33" t="s">
        <v>37</v>
      </c>
      <c r="P10" s="33" t="s">
        <v>38</v>
      </c>
      <c r="Q10" s="33" t="s">
        <v>39</v>
      </c>
      <c r="R10" s="33" t="s">
        <v>40</v>
      </c>
    </row>
    <row r="11" spans="1:18">
      <c r="A11" s="37">
        <v>11</v>
      </c>
      <c r="B11" s="42">
        <v>36531</v>
      </c>
      <c r="C11" s="41">
        <v>2000</v>
      </c>
      <c r="D11" s="43" t="s">
        <v>4</v>
      </c>
      <c r="E11" s="39">
        <v>1</v>
      </c>
      <c r="F11" s="45">
        <v>4.7393735604971265</v>
      </c>
      <c r="G11" s="45">
        <v>7.5945145499999991E-2</v>
      </c>
      <c r="H11" s="40">
        <v>0</v>
      </c>
      <c r="I11" s="45">
        <v>1.7825228903333334</v>
      </c>
      <c r="J11" s="45">
        <v>9.7984571666666648E-3</v>
      </c>
      <c r="K11" s="45" t="s">
        <v>1</v>
      </c>
      <c r="L11" s="35" t="s">
        <v>45</v>
      </c>
      <c r="M11" s="21">
        <f>AVERAGE(F11:F46)</f>
        <v>3.9871379854805511</v>
      </c>
      <c r="N11" s="21">
        <f>AVERAGE(G11:G46)</f>
        <v>7.1402100097222213E-2</v>
      </c>
      <c r="O11" s="21">
        <f>AVERAGE(H11:H46)</f>
        <v>1.9063180305555556E-2</v>
      </c>
      <c r="P11" s="21">
        <f>AVERAGE(I11:I46)</f>
        <v>1.3892418635925925</v>
      </c>
      <c r="Q11" s="21">
        <f>AVERAGE(J11:J46)</f>
        <v>2.5443052069444441E-2</v>
      </c>
      <c r="R11" s="21"/>
    </row>
    <row r="12" spans="1:18">
      <c r="A12" s="1">
        <v>12</v>
      </c>
      <c r="B12" s="2">
        <v>36531</v>
      </c>
      <c r="C12" s="5">
        <v>2000</v>
      </c>
      <c r="D12" s="4" t="s">
        <v>4</v>
      </c>
      <c r="E12" s="3">
        <v>1</v>
      </c>
      <c r="F12" s="44">
        <v>2.3404211518927891</v>
      </c>
      <c r="G12" s="44">
        <v>4.11249635E-2</v>
      </c>
      <c r="H12" s="38">
        <v>0</v>
      </c>
      <c r="I12" s="44">
        <v>0.80302553483333339</v>
      </c>
      <c r="J12" s="44">
        <v>0</v>
      </c>
      <c r="K12" s="44" t="s">
        <v>1</v>
      </c>
    </row>
    <row r="13" spans="1:18">
      <c r="A13" s="1">
        <v>13</v>
      </c>
      <c r="B13" s="2">
        <v>36531</v>
      </c>
      <c r="C13" s="5">
        <v>2000</v>
      </c>
      <c r="D13" s="4" t="s">
        <v>4</v>
      </c>
      <c r="E13" s="3">
        <v>1</v>
      </c>
      <c r="F13" s="44">
        <v>3.0815296131146908</v>
      </c>
      <c r="G13" s="44">
        <v>5.9161433666666666E-2</v>
      </c>
      <c r="H13" s="38">
        <v>0</v>
      </c>
      <c r="I13" s="44">
        <v>1.0579135275</v>
      </c>
      <c r="J13" s="44">
        <v>6.8825180000000007E-3</v>
      </c>
      <c r="K13" s="44" t="s">
        <v>1</v>
      </c>
    </row>
    <row r="14" spans="1:18">
      <c r="A14" s="1">
        <v>11</v>
      </c>
      <c r="B14" s="2">
        <v>36578</v>
      </c>
      <c r="C14" s="5">
        <v>2000</v>
      </c>
      <c r="D14" s="4" t="s">
        <v>5</v>
      </c>
      <c r="E14" s="5">
        <v>2</v>
      </c>
      <c r="F14" s="44">
        <v>5.5682736079439543</v>
      </c>
      <c r="G14" s="44">
        <v>6.5432039499999997E-2</v>
      </c>
      <c r="H14" s="38">
        <v>0</v>
      </c>
      <c r="I14" s="44">
        <v>2.1888015383333332</v>
      </c>
      <c r="J14" s="44">
        <v>1.2084138333333333E-2</v>
      </c>
      <c r="K14" s="44" t="s">
        <v>1</v>
      </c>
    </row>
    <row r="15" spans="1:18">
      <c r="A15" s="1">
        <v>12</v>
      </c>
      <c r="B15" s="2">
        <v>36578</v>
      </c>
      <c r="C15" s="5">
        <v>2000</v>
      </c>
      <c r="D15" s="4" t="s">
        <v>5</v>
      </c>
      <c r="E15" s="5">
        <v>2</v>
      </c>
      <c r="F15" s="44">
        <v>5.0114112869710041</v>
      </c>
      <c r="G15" s="44">
        <v>6.7189780000000005E-2</v>
      </c>
      <c r="H15" s="38">
        <v>1.2289716500000001E-2</v>
      </c>
      <c r="I15" s="44">
        <v>1.9253816848333332</v>
      </c>
      <c r="J15" s="44">
        <v>1.2229018000000001E-2</v>
      </c>
      <c r="K15" s="44" t="s">
        <v>1</v>
      </c>
    </row>
    <row r="16" spans="1:18">
      <c r="A16" s="1">
        <v>13</v>
      </c>
      <c r="B16" s="2">
        <v>36578</v>
      </c>
      <c r="C16" s="5">
        <v>2000</v>
      </c>
      <c r="D16" s="4" t="s">
        <v>5</v>
      </c>
      <c r="E16" s="5">
        <v>2</v>
      </c>
      <c r="F16" s="44">
        <v>4.3300952374035937</v>
      </c>
      <c r="G16" s="44">
        <v>4.3239661500000005E-2</v>
      </c>
      <c r="H16" s="38">
        <v>0</v>
      </c>
      <c r="I16" s="44">
        <v>1.7433120786666665</v>
      </c>
      <c r="J16" s="44">
        <v>1.1932339666666666E-2</v>
      </c>
      <c r="K16" s="44" t="s">
        <v>1</v>
      </c>
    </row>
    <row r="17" spans="1:11">
      <c r="A17" s="1">
        <v>11</v>
      </c>
      <c r="B17" s="2">
        <v>36599</v>
      </c>
      <c r="C17" s="5">
        <v>2000</v>
      </c>
      <c r="D17" s="4" t="s">
        <v>6</v>
      </c>
      <c r="E17" s="5">
        <v>3</v>
      </c>
      <c r="F17" s="44">
        <v>2.7330777372704516</v>
      </c>
      <c r="G17" s="44">
        <v>6.8348397999999991E-2</v>
      </c>
      <c r="H17" s="38">
        <v>1.7073785666666664E-2</v>
      </c>
      <c r="I17" s="44">
        <v>0.96764343116666651</v>
      </c>
      <c r="J17" s="44">
        <v>9.6989703333333326E-3</v>
      </c>
      <c r="K17" s="44" t="s">
        <v>1</v>
      </c>
    </row>
    <row r="18" spans="1:11">
      <c r="A18" s="1">
        <v>12</v>
      </c>
      <c r="B18" s="2">
        <v>36599</v>
      </c>
      <c r="C18" s="5">
        <v>2000</v>
      </c>
      <c r="D18" s="4" t="s">
        <v>6</v>
      </c>
      <c r="E18" s="5">
        <v>3</v>
      </c>
      <c r="F18" s="44">
        <v>1.8864065296518471</v>
      </c>
      <c r="G18" s="44">
        <v>5.0338660333333334E-2</v>
      </c>
      <c r="H18" s="38">
        <v>0</v>
      </c>
      <c r="I18" s="44">
        <v>0.51953324300000003</v>
      </c>
      <c r="J18" s="44">
        <v>1.47075925E-2</v>
      </c>
      <c r="K18" s="44" t="s">
        <v>1</v>
      </c>
    </row>
    <row r="19" spans="1:11">
      <c r="A19" s="1">
        <v>13</v>
      </c>
      <c r="B19" s="2">
        <v>36599</v>
      </c>
      <c r="C19" s="5">
        <v>2000</v>
      </c>
      <c r="D19" s="4" t="s">
        <v>6</v>
      </c>
      <c r="E19" s="5">
        <v>3</v>
      </c>
      <c r="F19" s="44">
        <v>2.8021033817968788</v>
      </c>
      <c r="G19" s="44">
        <v>7.0593403833333318E-2</v>
      </c>
      <c r="H19" s="38">
        <v>0</v>
      </c>
      <c r="I19" s="44">
        <v>0.87974718083333325</v>
      </c>
      <c r="J19" s="44">
        <v>1.0958542833333333E-2</v>
      </c>
      <c r="K19" s="44" t="s">
        <v>1</v>
      </c>
    </row>
    <row r="20" spans="1:11">
      <c r="A20" s="1">
        <v>11</v>
      </c>
      <c r="B20" s="2">
        <v>36626</v>
      </c>
      <c r="C20" s="5">
        <v>2000</v>
      </c>
      <c r="D20" s="10" t="s">
        <v>7</v>
      </c>
      <c r="E20" s="5">
        <v>4</v>
      </c>
      <c r="F20" s="44">
        <v>4.4064646511447769</v>
      </c>
      <c r="G20" s="44">
        <v>7.1973744333333339E-2</v>
      </c>
      <c r="H20" s="38">
        <v>0</v>
      </c>
      <c r="I20" s="44">
        <v>1.6410688625000001</v>
      </c>
      <c r="J20" s="44">
        <v>6.4108728333333335E-3</v>
      </c>
      <c r="K20" s="44" t="s">
        <v>1</v>
      </c>
    </row>
    <row r="21" spans="1:11">
      <c r="A21" s="1">
        <v>12</v>
      </c>
      <c r="B21" s="2">
        <v>36626</v>
      </c>
      <c r="C21" s="5">
        <v>2000</v>
      </c>
      <c r="D21" s="10" t="s">
        <v>7</v>
      </c>
      <c r="E21" s="5">
        <v>4</v>
      </c>
      <c r="F21" s="44">
        <v>1.5442306758268094</v>
      </c>
      <c r="G21" s="44">
        <v>2.3379825166666666E-2</v>
      </c>
      <c r="H21" s="38">
        <v>0</v>
      </c>
      <c r="I21" s="44">
        <v>0.54958927416666681</v>
      </c>
      <c r="J21" s="44">
        <v>0</v>
      </c>
      <c r="K21" s="44" t="s">
        <v>1</v>
      </c>
    </row>
    <row r="22" spans="1:11">
      <c r="A22" s="1">
        <v>13</v>
      </c>
      <c r="B22" s="2">
        <v>36626</v>
      </c>
      <c r="C22" s="5">
        <v>2000</v>
      </c>
      <c r="D22" s="10" t="s">
        <v>7</v>
      </c>
      <c r="E22" s="5">
        <v>4</v>
      </c>
      <c r="F22" s="44">
        <v>3.8972157484737124</v>
      </c>
      <c r="G22" s="44">
        <v>3.6587462333333334E-2</v>
      </c>
      <c r="H22" s="38">
        <v>0</v>
      </c>
      <c r="I22" s="44">
        <v>1.3872797328333331</v>
      </c>
      <c r="J22" s="44">
        <v>0</v>
      </c>
      <c r="K22" s="44" t="s">
        <v>1</v>
      </c>
    </row>
    <row r="23" spans="1:11">
      <c r="A23" s="1">
        <v>11</v>
      </c>
      <c r="B23" s="2">
        <v>36663</v>
      </c>
      <c r="C23" s="5">
        <v>2000</v>
      </c>
      <c r="D23" s="10" t="s">
        <v>8</v>
      </c>
      <c r="E23" s="5">
        <v>5</v>
      </c>
      <c r="F23" s="44">
        <v>1.3313097890552754</v>
      </c>
      <c r="G23" s="44">
        <v>0.2075917005</v>
      </c>
      <c r="H23" s="38">
        <v>0</v>
      </c>
      <c r="I23" s="44">
        <v>0.323530553</v>
      </c>
      <c r="J23" s="44">
        <v>1.3288883000000003E-2</v>
      </c>
      <c r="K23" s="44" t="s">
        <v>1</v>
      </c>
    </row>
    <row r="24" spans="1:11">
      <c r="A24" s="1">
        <v>12</v>
      </c>
      <c r="B24" s="2">
        <v>36663</v>
      </c>
      <c r="C24" s="5">
        <v>2000</v>
      </c>
      <c r="D24" s="10" t="s">
        <v>8</v>
      </c>
      <c r="E24" s="5">
        <v>5</v>
      </c>
      <c r="F24" s="44">
        <v>1.4326409834565501</v>
      </c>
      <c r="G24" s="44">
        <v>0.16471748799999997</v>
      </c>
      <c r="H24" s="38">
        <v>0</v>
      </c>
      <c r="I24" s="44">
        <v>0.36833579549999995</v>
      </c>
      <c r="J24" s="44">
        <v>1.0015567000000001E-2</v>
      </c>
      <c r="K24" s="44" t="s">
        <v>1</v>
      </c>
    </row>
    <row r="25" spans="1:11">
      <c r="A25" s="1">
        <v>13</v>
      </c>
      <c r="B25" s="2">
        <v>36663</v>
      </c>
      <c r="C25" s="5">
        <v>2000</v>
      </c>
      <c r="D25" s="10" t="s">
        <v>8</v>
      </c>
      <c r="E25" s="5">
        <v>5</v>
      </c>
      <c r="F25" s="44">
        <v>2.1475948154173143</v>
      </c>
      <c r="G25" s="44">
        <v>0.11549991533333333</v>
      </c>
      <c r="H25" s="38">
        <v>0</v>
      </c>
      <c r="I25" s="44">
        <v>0.6636139748333334</v>
      </c>
      <c r="J25" s="44">
        <v>1.0418756E-2</v>
      </c>
      <c r="K25" s="44" t="s">
        <v>1</v>
      </c>
    </row>
    <row r="26" spans="1:11">
      <c r="A26" s="1">
        <v>11</v>
      </c>
      <c r="B26" s="2">
        <v>36692</v>
      </c>
      <c r="C26" s="5">
        <v>2000</v>
      </c>
      <c r="D26" s="10" t="s">
        <v>9</v>
      </c>
      <c r="E26" s="5">
        <v>6</v>
      </c>
      <c r="F26" s="44">
        <v>2.7638883740746656</v>
      </c>
      <c r="G26" s="44">
        <v>5.3150709666666664E-2</v>
      </c>
      <c r="H26" s="38">
        <v>0</v>
      </c>
      <c r="I26" s="44">
        <v>0.87136449783333336</v>
      </c>
      <c r="J26" s="44">
        <v>4.95749495E-2</v>
      </c>
      <c r="K26" s="44" t="s">
        <v>1</v>
      </c>
    </row>
    <row r="27" spans="1:11">
      <c r="A27" s="1">
        <v>12</v>
      </c>
      <c r="B27" s="2">
        <v>36692</v>
      </c>
      <c r="C27" s="5">
        <v>2000</v>
      </c>
      <c r="D27" s="10" t="s">
        <v>9</v>
      </c>
      <c r="E27" s="5">
        <v>6</v>
      </c>
      <c r="F27" s="44">
        <v>2.2124676901625291</v>
      </c>
      <c r="G27" s="44">
        <v>7.0160232500000003E-2</v>
      </c>
      <c r="H27" s="38">
        <v>2.0004715999999999E-2</v>
      </c>
      <c r="I27" s="44">
        <v>0.54223427233333343</v>
      </c>
      <c r="J27" s="44">
        <v>2.6379945499999998E-2</v>
      </c>
      <c r="K27" s="44" t="s">
        <v>1</v>
      </c>
    </row>
    <row r="28" spans="1:11">
      <c r="A28" s="1">
        <v>13</v>
      </c>
      <c r="B28" s="2">
        <v>36692</v>
      </c>
      <c r="C28" s="5">
        <v>2000</v>
      </c>
      <c r="D28" s="10" t="s">
        <v>9</v>
      </c>
      <c r="E28" s="5">
        <v>6</v>
      </c>
      <c r="F28" s="44">
        <v>6.2336130081773158</v>
      </c>
      <c r="G28" s="44">
        <v>7.4122618000000001E-2</v>
      </c>
      <c r="H28" s="38">
        <v>0.19263754</v>
      </c>
      <c r="I28" s="44">
        <v>2.6135140796666665</v>
      </c>
      <c r="J28" s="44">
        <v>9.4161195166666656E-2</v>
      </c>
      <c r="K28" s="44" t="s">
        <v>1</v>
      </c>
    </row>
    <row r="29" spans="1:11">
      <c r="A29" s="1">
        <v>11</v>
      </c>
      <c r="B29" s="2">
        <v>36719</v>
      </c>
      <c r="C29" s="5">
        <v>2000</v>
      </c>
      <c r="D29" s="10" t="s">
        <v>10</v>
      </c>
      <c r="E29" s="5">
        <v>7</v>
      </c>
      <c r="F29" s="44">
        <v>8.3445983651178679</v>
      </c>
      <c r="G29" s="44">
        <v>0.2156364008333333</v>
      </c>
      <c r="H29" s="38">
        <v>2.8658078666666666E-2</v>
      </c>
      <c r="I29" s="44">
        <v>3.0263751078333332</v>
      </c>
      <c r="J29" s="44">
        <v>2.6214413666666669E-2</v>
      </c>
      <c r="K29" s="44" t="s">
        <v>1</v>
      </c>
    </row>
    <row r="30" spans="1:11">
      <c r="A30" s="1">
        <v>12</v>
      </c>
      <c r="B30" s="2">
        <v>36719</v>
      </c>
      <c r="C30" s="5">
        <v>2000</v>
      </c>
      <c r="D30" s="10" t="s">
        <v>10</v>
      </c>
      <c r="E30" s="5">
        <v>7</v>
      </c>
      <c r="F30" s="44">
        <v>8.1836473064242039</v>
      </c>
      <c r="G30" s="44">
        <v>0.11616078466666668</v>
      </c>
      <c r="H30" s="38">
        <v>6.1780065499999995E-2</v>
      </c>
      <c r="I30" s="44">
        <v>3.0311425084999994</v>
      </c>
      <c r="J30" s="44">
        <v>3.3271269500000006E-2</v>
      </c>
      <c r="K30" s="44" t="s">
        <v>1</v>
      </c>
    </row>
    <row r="31" spans="1:11">
      <c r="A31" s="1">
        <v>13</v>
      </c>
      <c r="B31" s="2">
        <v>36719</v>
      </c>
      <c r="C31" s="5">
        <v>2000</v>
      </c>
      <c r="D31" s="10" t="s">
        <v>10</v>
      </c>
      <c r="E31" s="5">
        <v>7</v>
      </c>
      <c r="F31" s="44">
        <v>10.88529023980014</v>
      </c>
      <c r="G31" s="44">
        <v>0.27073449450000003</v>
      </c>
      <c r="H31" s="38">
        <v>0.22492274716666669</v>
      </c>
      <c r="I31" s="44">
        <v>4.1097812715000002</v>
      </c>
      <c r="J31" s="44">
        <v>5.327001E-2</v>
      </c>
      <c r="K31" s="44" t="s">
        <v>1</v>
      </c>
    </row>
    <row r="32" spans="1:11">
      <c r="A32" s="1">
        <v>11</v>
      </c>
      <c r="B32" s="2">
        <v>36755</v>
      </c>
      <c r="C32" s="5">
        <v>2000</v>
      </c>
      <c r="D32" s="10" t="s">
        <v>11</v>
      </c>
      <c r="E32" s="5">
        <v>8</v>
      </c>
      <c r="F32" s="44">
        <v>2.3004537499939484</v>
      </c>
      <c r="G32" s="44">
        <v>0</v>
      </c>
      <c r="H32" s="38">
        <v>0</v>
      </c>
      <c r="I32" s="44">
        <v>0.57614418649999988</v>
      </c>
      <c r="J32" s="44">
        <v>4.9131714166666667E-2</v>
      </c>
      <c r="K32" s="44" t="s">
        <v>1</v>
      </c>
    </row>
    <row r="33" spans="1:18">
      <c r="A33" s="1">
        <v>12</v>
      </c>
      <c r="B33" s="2">
        <v>36755</v>
      </c>
      <c r="C33" s="5">
        <v>2000</v>
      </c>
      <c r="D33" s="10" t="s">
        <v>11</v>
      </c>
      <c r="E33" s="5">
        <v>8</v>
      </c>
      <c r="F33" s="44">
        <v>5.1062291686637913</v>
      </c>
      <c r="G33" s="44">
        <v>2.8334458166666666E-2</v>
      </c>
      <c r="H33" s="38">
        <v>0</v>
      </c>
      <c r="I33" s="44">
        <v>1.760925756</v>
      </c>
      <c r="J33" s="44">
        <v>4.3510970166666663E-2</v>
      </c>
      <c r="K33" s="44" t="s">
        <v>1</v>
      </c>
    </row>
    <row r="34" spans="1:18">
      <c r="A34" s="1">
        <v>13</v>
      </c>
      <c r="B34" s="2">
        <v>36755</v>
      </c>
      <c r="C34" s="5">
        <v>2000</v>
      </c>
      <c r="D34" s="10" t="s">
        <v>11</v>
      </c>
      <c r="E34" s="5">
        <v>8</v>
      </c>
      <c r="F34" s="44">
        <v>3.1531346366686517</v>
      </c>
      <c r="G34" s="44">
        <v>0</v>
      </c>
      <c r="H34" s="38">
        <v>0</v>
      </c>
      <c r="I34" s="44">
        <v>0.8618736216666667</v>
      </c>
      <c r="J34" s="44">
        <v>4.8509213833333335E-2</v>
      </c>
      <c r="K34" s="44" t="s">
        <v>1</v>
      </c>
    </row>
    <row r="35" spans="1:18">
      <c r="A35" s="1">
        <v>11</v>
      </c>
      <c r="B35" s="2">
        <v>36783</v>
      </c>
      <c r="C35" s="5">
        <v>2000</v>
      </c>
      <c r="D35" s="10" t="s">
        <v>12</v>
      </c>
      <c r="E35" s="5">
        <v>9</v>
      </c>
      <c r="F35" s="44">
        <v>6.4921774521053308</v>
      </c>
      <c r="G35" s="44">
        <v>5.1736023666666672E-2</v>
      </c>
      <c r="H35" s="38">
        <v>3.7777829666666665E-2</v>
      </c>
      <c r="I35" s="44">
        <v>2.5259510186666665</v>
      </c>
      <c r="J35" s="44">
        <v>0.10645119900000001</v>
      </c>
      <c r="K35" s="44" t="s">
        <v>1</v>
      </c>
    </row>
    <row r="36" spans="1:18">
      <c r="A36" s="1">
        <v>12</v>
      </c>
      <c r="B36" s="2">
        <v>36783</v>
      </c>
      <c r="C36" s="5">
        <v>2000</v>
      </c>
      <c r="D36" s="10" t="s">
        <v>12</v>
      </c>
      <c r="E36" s="5">
        <v>9</v>
      </c>
      <c r="F36" s="44">
        <v>5.079659737493162</v>
      </c>
      <c r="G36" s="44">
        <v>3.1726026166666664E-2</v>
      </c>
      <c r="H36" s="38">
        <v>1.2722887833333332E-2</v>
      </c>
      <c r="I36" s="44">
        <v>1.8800452518333333</v>
      </c>
      <c r="J36" s="44">
        <v>7.8495006666666672E-2</v>
      </c>
      <c r="K36" s="44" t="s">
        <v>1</v>
      </c>
    </row>
    <row r="37" spans="1:18">
      <c r="A37" s="1">
        <v>13</v>
      </c>
      <c r="B37" s="2">
        <v>36783</v>
      </c>
      <c r="C37" s="5">
        <v>2000</v>
      </c>
      <c r="D37" s="10" t="s">
        <v>12</v>
      </c>
      <c r="E37" s="5">
        <v>9</v>
      </c>
      <c r="F37" s="44">
        <v>7.3300044057768936</v>
      </c>
      <c r="G37" s="44">
        <v>8.0284092333333335E-2</v>
      </c>
      <c r="H37" s="38">
        <v>0</v>
      </c>
      <c r="I37" s="44">
        <v>2.3694259121666668</v>
      </c>
      <c r="J37" s="44">
        <v>0.12728297233333336</v>
      </c>
      <c r="K37" s="44" t="s">
        <v>1</v>
      </c>
    </row>
    <row r="38" spans="1:18">
      <c r="A38" s="1">
        <v>11</v>
      </c>
      <c r="B38" s="2">
        <v>36815</v>
      </c>
      <c r="C38" s="5">
        <v>2000</v>
      </c>
      <c r="D38" s="10" t="s">
        <v>0</v>
      </c>
      <c r="E38" s="5">
        <v>10</v>
      </c>
      <c r="F38" s="46">
        <v>5.6084029273355034</v>
      </c>
      <c r="G38" s="46">
        <v>0</v>
      </c>
      <c r="H38" s="46">
        <v>0</v>
      </c>
      <c r="I38" s="46">
        <v>1.9166889048333331</v>
      </c>
      <c r="J38" s="46">
        <v>0</v>
      </c>
      <c r="K38" s="46" t="s">
        <v>1</v>
      </c>
    </row>
    <row r="39" spans="1:18">
      <c r="A39" s="1">
        <v>12</v>
      </c>
      <c r="B39" s="2">
        <v>36815</v>
      </c>
      <c r="C39" s="5">
        <v>2000</v>
      </c>
      <c r="D39" s="10" t="s">
        <v>0</v>
      </c>
      <c r="E39" s="5">
        <v>10</v>
      </c>
      <c r="F39" s="46">
        <v>2.3146530410208395</v>
      </c>
      <c r="G39" s="46">
        <v>2.0375616333333336E-2</v>
      </c>
      <c r="H39" s="46">
        <v>0</v>
      </c>
      <c r="I39" s="46">
        <v>0.62774420149999999</v>
      </c>
      <c r="J39" s="46">
        <v>0</v>
      </c>
      <c r="K39" s="46" t="s">
        <v>1</v>
      </c>
    </row>
    <row r="40" spans="1:18">
      <c r="A40" s="1">
        <v>13</v>
      </c>
      <c r="B40" s="2">
        <v>36815</v>
      </c>
      <c r="C40" s="5">
        <v>2000</v>
      </c>
      <c r="D40" s="10" t="s">
        <v>0</v>
      </c>
      <c r="E40" s="5">
        <v>10</v>
      </c>
      <c r="F40" s="46">
        <v>4.0722246682320078</v>
      </c>
      <c r="G40" s="46">
        <v>4.0948948333333332E-2</v>
      </c>
      <c r="H40" s="46">
        <v>0</v>
      </c>
      <c r="I40" s="46">
        <v>1.0858327408333333</v>
      </c>
      <c r="J40" s="46">
        <v>1.3631373499999998E-2</v>
      </c>
      <c r="K40" s="46" t="s">
        <v>1</v>
      </c>
    </row>
    <row r="41" spans="1:18">
      <c r="A41" s="1">
        <v>11</v>
      </c>
      <c r="B41" s="2">
        <v>36846</v>
      </c>
      <c r="C41" s="5">
        <v>2000</v>
      </c>
      <c r="D41" s="10" t="s">
        <v>2</v>
      </c>
      <c r="E41" s="5">
        <v>11</v>
      </c>
      <c r="F41" s="46">
        <v>0.96272445572216203</v>
      </c>
      <c r="G41" s="46">
        <v>4.1106722499999998E-2</v>
      </c>
      <c r="H41" s="46">
        <v>0</v>
      </c>
      <c r="I41" s="46">
        <v>0.25774857983333332</v>
      </c>
      <c r="J41" s="46">
        <v>0</v>
      </c>
      <c r="K41" s="46" t="s">
        <v>1</v>
      </c>
    </row>
    <row r="42" spans="1:18">
      <c r="A42" s="1">
        <v>12</v>
      </c>
      <c r="B42" s="2">
        <v>36846</v>
      </c>
      <c r="C42" s="5">
        <v>2000</v>
      </c>
      <c r="D42" s="10" t="s">
        <v>2</v>
      </c>
      <c r="E42" s="5">
        <v>11</v>
      </c>
      <c r="F42" s="46">
        <v>1.1964349732257411</v>
      </c>
      <c r="G42" s="46">
        <v>5.8946105999999998E-2</v>
      </c>
      <c r="H42" s="46">
        <v>1.4805611666666668E-2</v>
      </c>
      <c r="I42" s="46">
        <v>0.34267091816666673</v>
      </c>
      <c r="J42" s="46">
        <v>0</v>
      </c>
      <c r="K42" s="46" t="s">
        <v>1</v>
      </c>
    </row>
    <row r="43" spans="1:18">
      <c r="A43" s="1">
        <v>13</v>
      </c>
      <c r="B43" s="2">
        <v>36846</v>
      </c>
      <c r="C43" s="5">
        <v>2000</v>
      </c>
      <c r="D43" s="10" t="s">
        <v>2</v>
      </c>
      <c r="E43" s="5">
        <v>11</v>
      </c>
      <c r="F43" s="46">
        <v>1.2792640717183579</v>
      </c>
      <c r="G43" s="46">
        <v>5.4019673166666671E-2</v>
      </c>
      <c r="H43" s="46">
        <v>0</v>
      </c>
      <c r="I43" s="46">
        <v>0.37003870816666662</v>
      </c>
      <c r="J43" s="46">
        <v>0</v>
      </c>
      <c r="K43" s="46" t="s">
        <v>1</v>
      </c>
    </row>
    <row r="44" spans="1:18">
      <c r="A44" s="1">
        <v>11</v>
      </c>
      <c r="B44" s="2">
        <v>36873</v>
      </c>
      <c r="C44" s="5">
        <v>2000</v>
      </c>
      <c r="D44" s="10" t="s">
        <v>3</v>
      </c>
      <c r="E44" s="5">
        <v>12</v>
      </c>
      <c r="F44" s="46">
        <v>5.0366794861125577</v>
      </c>
      <c r="G44" s="46">
        <v>6.8993931999999994E-2</v>
      </c>
      <c r="H44" s="46">
        <v>6.3601512333333332E-2</v>
      </c>
      <c r="I44" s="46">
        <v>1.8358230706666665</v>
      </c>
      <c r="J44" s="46">
        <v>1.9002820666666666E-2</v>
      </c>
      <c r="K44" s="46" t="s">
        <v>1</v>
      </c>
    </row>
    <row r="45" spans="1:18">
      <c r="A45" s="1">
        <v>12</v>
      </c>
      <c r="B45" s="2">
        <v>36873</v>
      </c>
      <c r="C45" s="5">
        <v>2000</v>
      </c>
      <c r="D45" s="10" t="s">
        <v>3</v>
      </c>
      <c r="E45" s="5">
        <v>12</v>
      </c>
      <c r="F45" s="46">
        <v>3.6710169965770558</v>
      </c>
      <c r="G45" s="46">
        <v>6.3657106333333338E-2</v>
      </c>
      <c r="H45" s="46">
        <v>0</v>
      </c>
      <c r="I45" s="46">
        <v>1.2523043001666665</v>
      </c>
      <c r="J45" s="46">
        <v>9.8851543333333333E-3</v>
      </c>
      <c r="K45" s="46" t="s">
        <v>1</v>
      </c>
    </row>
    <row r="46" spans="1:18" ht="25.5">
      <c r="A46" s="1">
        <v>13</v>
      </c>
      <c r="B46" s="2">
        <v>36873</v>
      </c>
      <c r="C46" s="5">
        <v>2000</v>
      </c>
      <c r="D46" s="10" t="s">
        <v>3</v>
      </c>
      <c r="E46" s="5">
        <v>12</v>
      </c>
      <c r="F46" s="46">
        <v>4.0582539529803396</v>
      </c>
      <c r="G46" s="46">
        <v>6.9258036833333342E-2</v>
      </c>
      <c r="H46" s="46">
        <v>0</v>
      </c>
      <c r="I46" s="46">
        <v>1.3537788783333335</v>
      </c>
      <c r="J46" s="46">
        <v>8.7520108333333339E-3</v>
      </c>
      <c r="K46" s="46" t="s">
        <v>1</v>
      </c>
      <c r="L46" s="35" t="s">
        <v>42</v>
      </c>
      <c r="M46" s="33" t="s">
        <v>35</v>
      </c>
      <c r="N46" s="33" t="s">
        <v>36</v>
      </c>
      <c r="O46" s="33" t="s">
        <v>37</v>
      </c>
      <c r="P46" s="33" t="s">
        <v>38</v>
      </c>
      <c r="Q46" s="33" t="s">
        <v>39</v>
      </c>
      <c r="R46" s="33" t="s">
        <v>40</v>
      </c>
    </row>
    <row r="47" spans="1:18">
      <c r="A47" s="37">
        <v>11</v>
      </c>
      <c r="B47" s="42">
        <v>36902</v>
      </c>
      <c r="C47" s="41">
        <v>2001</v>
      </c>
      <c r="D47" s="47" t="s">
        <v>4</v>
      </c>
      <c r="E47" s="41">
        <v>1</v>
      </c>
      <c r="F47" s="48">
        <v>3.125475490778856</v>
      </c>
      <c r="G47" s="48">
        <v>7.3836632666666666E-2</v>
      </c>
      <c r="H47" s="48">
        <v>2.2087963999999998E-2</v>
      </c>
      <c r="I47" s="48">
        <v>0.97154480366666673</v>
      </c>
      <c r="J47" s="48">
        <v>0</v>
      </c>
      <c r="K47" s="48" t="s">
        <v>1</v>
      </c>
      <c r="L47" s="35" t="s">
        <v>46</v>
      </c>
      <c r="M47" s="21">
        <f>AVERAGE(F47:F82)</f>
        <v>3.3319496364052026</v>
      </c>
      <c r="N47" s="21">
        <f>AVERAGE(G47:G82)</f>
        <v>4.9285349181098011E-2</v>
      </c>
      <c r="O47" s="21">
        <f>AVERAGE(H47:H82)</f>
        <v>1.5473024945314131E-2</v>
      </c>
      <c r="P47" s="21">
        <f>AVERAGE(I47:I82)</f>
        <v>1.0108783897340365</v>
      </c>
      <c r="Q47" s="21">
        <f>AVERAGE(J47:J82)</f>
        <v>3.322501316322686E-2</v>
      </c>
      <c r="R47" s="21"/>
    </row>
    <row r="48" spans="1:18">
      <c r="A48" s="1">
        <v>12</v>
      </c>
      <c r="B48" s="2">
        <v>36902</v>
      </c>
      <c r="C48" s="5">
        <v>2001</v>
      </c>
      <c r="D48" s="10" t="s">
        <v>4</v>
      </c>
      <c r="E48" s="5">
        <v>1</v>
      </c>
      <c r="F48" s="46">
        <v>3.2308198186483583</v>
      </c>
      <c r="G48" s="46">
        <v>8.3747051833333336E-2</v>
      </c>
      <c r="H48" s="46">
        <v>0</v>
      </c>
      <c r="I48" s="46">
        <v>0.94213643283333337</v>
      </c>
      <c r="J48" s="46">
        <v>0</v>
      </c>
      <c r="K48" s="46" t="s">
        <v>1</v>
      </c>
    </row>
    <row r="49" spans="1:11">
      <c r="A49" s="1">
        <v>13</v>
      </c>
      <c r="B49" s="2">
        <v>36902</v>
      </c>
      <c r="C49" s="5">
        <v>2001</v>
      </c>
      <c r="D49" s="10" t="s">
        <v>4</v>
      </c>
      <c r="E49" s="5">
        <v>1</v>
      </c>
      <c r="F49" s="46">
        <v>3.0209073137566689</v>
      </c>
      <c r="G49" s="46">
        <v>9.0034116499999997E-2</v>
      </c>
      <c r="H49" s="46">
        <v>0</v>
      </c>
      <c r="I49" s="46">
        <v>0.91825393183333315</v>
      </c>
      <c r="J49" s="46">
        <v>0</v>
      </c>
      <c r="K49" s="46" t="s">
        <v>1</v>
      </c>
    </row>
    <row r="50" spans="1:11">
      <c r="A50" s="5">
        <v>11</v>
      </c>
      <c r="B50" s="2">
        <v>36929</v>
      </c>
      <c r="C50" s="5">
        <v>2001</v>
      </c>
      <c r="D50" s="4" t="s">
        <v>5</v>
      </c>
      <c r="E50" s="5">
        <v>2</v>
      </c>
      <c r="F50" s="46">
        <v>3.8806967496891618</v>
      </c>
      <c r="G50" s="46">
        <v>5.7277893166666677E-2</v>
      </c>
      <c r="H50" s="46">
        <v>0</v>
      </c>
      <c r="I50" s="46">
        <v>1.5608120268333334</v>
      </c>
      <c r="J50" s="46">
        <v>1.5925126833333331E-2</v>
      </c>
      <c r="K50" s="46" t="s">
        <v>1</v>
      </c>
    </row>
    <row r="51" spans="1:11">
      <c r="A51" s="5">
        <v>12</v>
      </c>
      <c r="B51" s="2">
        <v>36929</v>
      </c>
      <c r="C51" s="5">
        <v>2001</v>
      </c>
      <c r="D51" s="4" t="s">
        <v>5</v>
      </c>
      <c r="E51" s="5">
        <v>2</v>
      </c>
      <c r="F51" s="46">
        <v>3.7602562722602824</v>
      </c>
      <c r="G51" s="46">
        <v>5.0864085000000003E-2</v>
      </c>
      <c r="H51" s="46">
        <v>0</v>
      </c>
      <c r="I51" s="46">
        <v>1.4864522758333334</v>
      </c>
      <c r="J51" s="46">
        <v>1.3872699833333335E-2</v>
      </c>
      <c r="K51" s="46" t="s">
        <v>1</v>
      </c>
    </row>
    <row r="52" spans="1:11">
      <c r="A52" s="5">
        <v>13</v>
      </c>
      <c r="B52" s="2">
        <v>36929</v>
      </c>
      <c r="C52" s="5">
        <v>2001</v>
      </c>
      <c r="D52" s="4" t="s">
        <v>5</v>
      </c>
      <c r="E52" s="5">
        <v>2</v>
      </c>
      <c r="F52" s="46">
        <v>1.8625191553600533</v>
      </c>
      <c r="G52" s="46">
        <v>0</v>
      </c>
      <c r="H52" s="46">
        <v>0</v>
      </c>
      <c r="I52" s="46">
        <v>0.76332420800000012</v>
      </c>
      <c r="J52" s="46">
        <v>7.8549520000000001E-3</v>
      </c>
      <c r="K52" s="46" t="s">
        <v>1</v>
      </c>
    </row>
    <row r="53" spans="1:11">
      <c r="A53" s="1">
        <v>11</v>
      </c>
      <c r="B53" s="2">
        <v>36962</v>
      </c>
      <c r="C53" s="5">
        <v>2001</v>
      </c>
      <c r="D53" s="4" t="s">
        <v>6</v>
      </c>
      <c r="E53" s="5">
        <v>3</v>
      </c>
      <c r="F53" s="46">
        <v>3.2236465770558715</v>
      </c>
      <c r="G53" s="46">
        <v>4.0268370333333338E-2</v>
      </c>
      <c r="H53" s="46">
        <v>0</v>
      </c>
      <c r="I53" s="46">
        <v>1.1456036754999999</v>
      </c>
      <c r="J53" s="46">
        <v>1.9648177833333332E-2</v>
      </c>
      <c r="K53" s="46" t="s">
        <v>1</v>
      </c>
    </row>
    <row r="54" spans="1:11">
      <c r="A54" s="1">
        <v>12</v>
      </c>
      <c r="B54" s="2">
        <v>36962</v>
      </c>
      <c r="C54" s="5">
        <v>2001</v>
      </c>
      <c r="D54" s="4" t="s">
        <v>6</v>
      </c>
      <c r="E54" s="5">
        <v>3</v>
      </c>
      <c r="F54" s="46">
        <v>3.1171388018704831</v>
      </c>
      <c r="G54" s="46">
        <v>0</v>
      </c>
      <c r="H54" s="46">
        <v>0</v>
      </c>
      <c r="I54" s="46">
        <v>1.1268791841666668</v>
      </c>
      <c r="J54" s="46">
        <v>1.9920010666666665E-2</v>
      </c>
      <c r="K54" s="46" t="s">
        <v>1</v>
      </c>
    </row>
    <row r="55" spans="1:11">
      <c r="A55" s="1">
        <v>13</v>
      </c>
      <c r="B55" s="2">
        <v>36962</v>
      </c>
      <c r="C55" s="5">
        <v>2001</v>
      </c>
      <c r="D55" s="4" t="s">
        <v>6</v>
      </c>
      <c r="E55" s="5">
        <v>3</v>
      </c>
      <c r="F55" s="46">
        <v>3.3878468817028526</v>
      </c>
      <c r="G55" s="46">
        <v>3.3778872500000001E-2</v>
      </c>
      <c r="H55" s="46">
        <v>0</v>
      </c>
      <c r="I55" s="46">
        <v>1.21835413</v>
      </c>
      <c r="J55" s="46">
        <v>2.5159475833333333E-2</v>
      </c>
      <c r="K55" s="46" t="s">
        <v>1</v>
      </c>
    </row>
    <row r="56" spans="1:11">
      <c r="A56" s="1">
        <v>11</v>
      </c>
      <c r="B56" s="2">
        <v>36998</v>
      </c>
      <c r="C56" s="5">
        <v>2001</v>
      </c>
      <c r="D56" s="10" t="s">
        <v>7</v>
      </c>
      <c r="E56" s="5">
        <v>4</v>
      </c>
      <c r="F56" s="46">
        <v>0.77254101365710126</v>
      </c>
      <c r="G56" s="46">
        <v>0</v>
      </c>
      <c r="H56" s="46">
        <v>0</v>
      </c>
      <c r="I56" s="46">
        <v>0.20908421266666669</v>
      </c>
      <c r="J56" s="46">
        <v>0</v>
      </c>
      <c r="K56" s="46" t="s">
        <v>1</v>
      </c>
    </row>
    <row r="57" spans="1:11">
      <c r="A57" s="1">
        <v>12</v>
      </c>
      <c r="B57" s="2">
        <v>36998</v>
      </c>
      <c r="C57" s="5">
        <v>2001</v>
      </c>
      <c r="D57" s="10" t="s">
        <v>7</v>
      </c>
      <c r="E57" s="5">
        <v>4</v>
      </c>
      <c r="F57" s="46">
        <v>0.80760552104540972</v>
      </c>
      <c r="G57" s="46">
        <v>0</v>
      </c>
      <c r="H57" s="46">
        <v>0</v>
      </c>
      <c r="I57" s="46">
        <v>0.18882286466666667</v>
      </c>
      <c r="J57" s="46">
        <v>0</v>
      </c>
      <c r="K57" s="46" t="s">
        <v>1</v>
      </c>
    </row>
    <row r="58" spans="1:11">
      <c r="A58" s="1">
        <v>13</v>
      </c>
      <c r="B58" s="2">
        <v>36998</v>
      </c>
      <c r="C58" s="5">
        <v>2001</v>
      </c>
      <c r="D58" s="10" t="s">
        <v>7</v>
      </c>
      <c r="E58" s="5">
        <v>4</v>
      </c>
      <c r="F58" s="46">
        <v>1.5445543631392016</v>
      </c>
      <c r="G58" s="46">
        <v>4.1020444666666663E-2</v>
      </c>
      <c r="H58" s="46">
        <v>0</v>
      </c>
      <c r="I58" s="46">
        <v>0.37802931449999994</v>
      </c>
      <c r="J58" s="46">
        <v>0</v>
      </c>
      <c r="K58" s="46" t="s">
        <v>1</v>
      </c>
    </row>
    <row r="59" spans="1:11">
      <c r="A59" s="1">
        <v>11</v>
      </c>
      <c r="B59" s="2">
        <v>37025</v>
      </c>
      <c r="C59" s="5">
        <v>2001</v>
      </c>
      <c r="D59" s="10" t="s">
        <v>8</v>
      </c>
      <c r="E59" s="5">
        <v>5</v>
      </c>
      <c r="F59" s="46">
        <v>0.56353446468819501</v>
      </c>
      <c r="G59" s="46">
        <v>0</v>
      </c>
      <c r="H59" s="46">
        <v>0</v>
      </c>
      <c r="I59" s="46">
        <v>0.10816000949999999</v>
      </c>
      <c r="J59" s="46">
        <v>0</v>
      </c>
      <c r="K59" s="46" t="s">
        <v>1</v>
      </c>
    </row>
    <row r="60" spans="1:11">
      <c r="A60" s="1">
        <v>12</v>
      </c>
      <c r="B60" s="2">
        <v>37025</v>
      </c>
      <c r="C60" s="5">
        <v>2001</v>
      </c>
      <c r="D60" s="10" t="s">
        <v>8</v>
      </c>
      <c r="E60" s="5">
        <v>5</v>
      </c>
      <c r="F60" s="46">
        <v>1.0840554346049249</v>
      </c>
      <c r="G60" s="46">
        <v>0</v>
      </c>
      <c r="H60" s="46">
        <v>0</v>
      </c>
      <c r="I60" s="46">
        <v>0.22260456766666667</v>
      </c>
      <c r="J60" s="46">
        <v>0</v>
      </c>
      <c r="K60" s="46" t="s">
        <v>1</v>
      </c>
    </row>
    <row r="61" spans="1:11">
      <c r="A61" s="1">
        <v>13</v>
      </c>
      <c r="B61" s="2">
        <v>37025</v>
      </c>
      <c r="C61" s="5">
        <v>2001</v>
      </c>
      <c r="D61" s="10" t="s">
        <v>8</v>
      </c>
      <c r="E61" s="5">
        <v>5</v>
      </c>
      <c r="F61" s="46">
        <v>1.5084099124201851</v>
      </c>
      <c r="G61" s="46">
        <v>0</v>
      </c>
      <c r="H61" s="46">
        <v>0</v>
      </c>
      <c r="I61" s="46">
        <v>0.3732998635</v>
      </c>
      <c r="J61" s="46">
        <v>0</v>
      </c>
      <c r="K61" s="46" t="s">
        <v>1</v>
      </c>
    </row>
    <row r="62" spans="1:11">
      <c r="A62" s="1">
        <v>11</v>
      </c>
      <c r="B62" s="2">
        <v>37054</v>
      </c>
      <c r="C62" s="5">
        <v>2001</v>
      </c>
      <c r="D62" s="10" t="s">
        <v>9</v>
      </c>
      <c r="E62" s="5">
        <v>6</v>
      </c>
      <c r="F62" s="46">
        <v>1.7758276859708828</v>
      </c>
      <c r="G62" s="46">
        <v>2.9967342166666668E-2</v>
      </c>
      <c r="H62" s="46">
        <v>0</v>
      </c>
      <c r="I62" s="46">
        <v>0.33227973333333333</v>
      </c>
      <c r="J62" s="46">
        <v>2.1784576333333333E-2</v>
      </c>
      <c r="K62" s="46" t="s">
        <v>1</v>
      </c>
    </row>
    <row r="63" spans="1:11">
      <c r="A63" s="1">
        <v>12</v>
      </c>
      <c r="B63" s="2">
        <v>37054</v>
      </c>
      <c r="C63" s="5">
        <v>2001</v>
      </c>
      <c r="D63" s="10" t="s">
        <v>9</v>
      </c>
      <c r="E63" s="5">
        <v>6</v>
      </c>
      <c r="F63" s="46">
        <v>1.9143922671679721</v>
      </c>
      <c r="G63" s="46">
        <v>4.5995834666666673E-2</v>
      </c>
      <c r="H63" s="46">
        <v>0</v>
      </c>
      <c r="I63" s="46">
        <v>0.39249862083333331</v>
      </c>
      <c r="J63" s="46">
        <v>2.0474054833333331E-2</v>
      </c>
      <c r="K63" s="46" t="s">
        <v>1</v>
      </c>
    </row>
    <row r="64" spans="1:11">
      <c r="A64" s="1">
        <v>13</v>
      </c>
      <c r="B64" s="2">
        <v>37054</v>
      </c>
      <c r="C64" s="5">
        <v>2001</v>
      </c>
      <c r="D64" s="10" t="s">
        <v>9</v>
      </c>
      <c r="E64" s="5">
        <v>6</v>
      </c>
      <c r="F64" s="46">
        <v>2.5548083213208304</v>
      </c>
      <c r="G64" s="46">
        <v>8.805025050000001E-2</v>
      </c>
      <c r="H64" s="46">
        <v>0</v>
      </c>
      <c r="I64" s="46">
        <v>0.44492461766666663</v>
      </c>
      <c r="J64" s="46">
        <v>2.7031799166666665E-2</v>
      </c>
      <c r="K64" s="46" t="s">
        <v>1</v>
      </c>
    </row>
    <row r="65" spans="1:11">
      <c r="A65" s="1">
        <v>11</v>
      </c>
      <c r="B65" s="2">
        <v>37090</v>
      </c>
      <c r="C65" s="5">
        <v>2001</v>
      </c>
      <c r="D65" s="10" t="s">
        <v>10</v>
      </c>
      <c r="E65" s="5">
        <v>7</v>
      </c>
      <c r="F65" s="46">
        <v>6.5884677022187228</v>
      </c>
      <c r="G65" s="46">
        <v>0.21351866266666669</v>
      </c>
      <c r="H65" s="46">
        <v>6.0692314833333337E-2</v>
      </c>
      <c r="I65" s="46">
        <v>2.0578257070000001</v>
      </c>
      <c r="J65" s="46">
        <v>8.7279515833333349E-2</v>
      </c>
      <c r="K65" s="46" t="s">
        <v>1</v>
      </c>
    </row>
    <row r="66" spans="1:11">
      <c r="A66" s="1">
        <v>12</v>
      </c>
      <c r="B66" s="2">
        <v>37090</v>
      </c>
      <c r="C66" s="5">
        <v>2001</v>
      </c>
      <c r="D66" s="10" t="s">
        <v>10</v>
      </c>
      <c r="E66" s="5">
        <v>7</v>
      </c>
      <c r="F66" s="46">
        <v>5.7848786293858021</v>
      </c>
      <c r="G66" s="46">
        <v>0.15766367233333334</v>
      </c>
      <c r="H66" s="46">
        <v>3.8277166000000001E-2</v>
      </c>
      <c r="I66" s="46">
        <v>1.6313453611666668</v>
      </c>
      <c r="J66" s="46">
        <v>7.176659366666667E-2</v>
      </c>
      <c r="K66" s="46" t="s">
        <v>1</v>
      </c>
    </row>
    <row r="67" spans="1:11">
      <c r="A67" s="1">
        <v>13</v>
      </c>
      <c r="B67" s="2">
        <v>37090</v>
      </c>
      <c r="C67" s="5">
        <v>2001</v>
      </c>
      <c r="D67" s="10" t="s">
        <v>10</v>
      </c>
      <c r="E67" s="5">
        <v>7</v>
      </c>
      <c r="F67" s="46">
        <v>7.3443080746310807</v>
      </c>
      <c r="G67" s="46">
        <v>0.26227088016666672</v>
      </c>
      <c r="H67" s="46">
        <v>5.3596356166666664E-2</v>
      </c>
      <c r="I67" s="46">
        <v>2.0939522171666671</v>
      </c>
      <c r="J67" s="46">
        <v>9.8025561500000011E-2</v>
      </c>
      <c r="K67" s="46" t="s">
        <v>1</v>
      </c>
    </row>
    <row r="68" spans="1:11">
      <c r="A68" s="1">
        <v>11</v>
      </c>
      <c r="B68" s="2">
        <v>37117</v>
      </c>
      <c r="C68" s="5">
        <v>2001</v>
      </c>
      <c r="D68" s="10" t="s">
        <v>11</v>
      </c>
      <c r="E68" s="5">
        <v>8</v>
      </c>
      <c r="F68" s="46">
        <v>2.7299850378703443</v>
      </c>
      <c r="G68" s="46">
        <v>0</v>
      </c>
      <c r="H68" s="46">
        <v>1.5954165666666666E-2</v>
      </c>
      <c r="I68" s="46">
        <v>0.78053459149999993</v>
      </c>
      <c r="J68" s="46">
        <v>6.6547885499999987E-2</v>
      </c>
      <c r="K68" s="46" t="s">
        <v>1</v>
      </c>
    </row>
    <row r="69" spans="1:11">
      <c r="A69" s="1">
        <v>12</v>
      </c>
      <c r="B69" s="2">
        <v>37117</v>
      </c>
      <c r="C69" s="5">
        <v>2001</v>
      </c>
      <c r="D69" s="10" t="s">
        <v>11</v>
      </c>
      <c r="E69" s="5">
        <v>8</v>
      </c>
      <c r="F69" s="46">
        <v>4.7959886049645082</v>
      </c>
      <c r="G69" s="46">
        <v>5.2747625499999992E-2</v>
      </c>
      <c r="H69" s="46">
        <v>2.7598213666666663E-2</v>
      </c>
      <c r="I69" s="46">
        <v>1.3567874901666668</v>
      </c>
      <c r="J69" s="46">
        <v>0.10584476533333335</v>
      </c>
      <c r="K69" s="46" t="s">
        <v>1</v>
      </c>
    </row>
    <row r="70" spans="1:11">
      <c r="A70" s="1">
        <v>13</v>
      </c>
      <c r="B70" s="2">
        <v>37117</v>
      </c>
      <c r="C70" s="5">
        <v>2001</v>
      </c>
      <c r="D70" s="10" t="s">
        <v>11</v>
      </c>
      <c r="E70" s="5">
        <v>8</v>
      </c>
      <c r="F70" s="46">
        <v>8.0558754442149265</v>
      </c>
      <c r="G70" s="46">
        <v>0.14380198</v>
      </c>
      <c r="H70" s="46">
        <v>0</v>
      </c>
      <c r="I70" s="46">
        <v>1.5364394300000002</v>
      </c>
      <c r="J70" s="46">
        <v>0.16346976166666669</v>
      </c>
      <c r="K70" s="46" t="s">
        <v>1</v>
      </c>
    </row>
    <row r="71" spans="1:11">
      <c r="A71" s="1">
        <v>11</v>
      </c>
      <c r="B71" s="2">
        <v>37145</v>
      </c>
      <c r="C71" s="5">
        <v>2001</v>
      </c>
      <c r="D71" s="10" t="s">
        <v>12</v>
      </c>
      <c r="E71" s="5">
        <v>9</v>
      </c>
      <c r="F71" s="46">
        <v>3.7815516579730826</v>
      </c>
      <c r="G71" s="46">
        <v>0</v>
      </c>
      <c r="H71" s="46">
        <v>1.9176322999999999E-2</v>
      </c>
      <c r="I71" s="46">
        <v>1.1698955506666666</v>
      </c>
      <c r="J71" s="46">
        <v>5.1231735500000007E-2</v>
      </c>
      <c r="K71" s="46" t="s">
        <v>1</v>
      </c>
    </row>
    <row r="72" spans="1:11">
      <c r="A72" s="1">
        <v>12</v>
      </c>
      <c r="B72" s="2">
        <v>37145</v>
      </c>
      <c r="C72" s="5">
        <v>2001</v>
      </c>
      <c r="D72" s="10" t="s">
        <v>12</v>
      </c>
      <c r="E72" s="5">
        <v>9</v>
      </c>
      <c r="F72" s="46">
        <v>6.7455954062702794</v>
      </c>
      <c r="G72" s="46">
        <v>4.7763743999999997E-2</v>
      </c>
      <c r="H72" s="46">
        <v>2.0248139000000002E-2</v>
      </c>
      <c r="I72" s="46">
        <v>2.1877742765000003</v>
      </c>
      <c r="J72" s="46">
        <v>0.10258748883333334</v>
      </c>
      <c r="K72" s="46" t="s">
        <v>1</v>
      </c>
    </row>
    <row r="73" spans="1:11">
      <c r="A73" s="1">
        <v>13</v>
      </c>
      <c r="B73" s="2">
        <v>37145</v>
      </c>
      <c r="C73" s="5">
        <v>2001</v>
      </c>
      <c r="D73" s="10" t="s">
        <v>12</v>
      </c>
      <c r="E73" s="5">
        <v>9</v>
      </c>
      <c r="F73" s="46">
        <v>7.185663900818831</v>
      </c>
      <c r="G73" s="46">
        <v>0</v>
      </c>
      <c r="H73" s="46">
        <v>0</v>
      </c>
      <c r="I73" s="46">
        <v>2.1598375560000003</v>
      </c>
      <c r="J73" s="46">
        <v>0.15274017483333333</v>
      </c>
      <c r="K73" s="46" t="s">
        <v>1</v>
      </c>
    </row>
    <row r="74" spans="1:11">
      <c r="A74" s="1">
        <v>11</v>
      </c>
      <c r="B74" s="2">
        <v>37182</v>
      </c>
      <c r="C74" s="5">
        <v>2001</v>
      </c>
      <c r="D74" s="10" t="s">
        <v>0</v>
      </c>
      <c r="E74" s="5">
        <v>10</v>
      </c>
      <c r="F74" s="21">
        <v>4.1587500147854275</v>
      </c>
      <c r="G74" s="21">
        <v>3.3443029441022933E-2</v>
      </c>
      <c r="H74" s="21">
        <v>0</v>
      </c>
      <c r="I74" s="21">
        <v>1.3325842017073919</v>
      </c>
      <c r="J74" s="21">
        <v>2.0210610840586684E-2</v>
      </c>
      <c r="K74" s="21" t="s">
        <v>13</v>
      </c>
    </row>
    <row r="75" spans="1:11">
      <c r="A75" s="1">
        <v>12</v>
      </c>
      <c r="B75" s="2">
        <v>37182</v>
      </c>
      <c r="C75" s="5">
        <v>2001</v>
      </c>
      <c r="D75" s="10" t="s">
        <v>0</v>
      </c>
      <c r="E75" s="5">
        <v>10</v>
      </c>
      <c r="F75" s="21">
        <v>1.5564200893718469</v>
      </c>
      <c r="G75" s="21">
        <v>1.0104152725620883E-2</v>
      </c>
      <c r="H75" s="21">
        <v>0</v>
      </c>
      <c r="I75" s="21">
        <v>0.39431631216342117</v>
      </c>
      <c r="J75" s="21">
        <v>9.3934403919215589E-3</v>
      </c>
      <c r="K75" s="21" t="s">
        <v>13</v>
      </c>
    </row>
    <row r="76" spans="1:11">
      <c r="A76" s="1">
        <v>13</v>
      </c>
      <c r="B76" s="2">
        <v>37182</v>
      </c>
      <c r="C76" s="5">
        <v>2001</v>
      </c>
      <c r="D76" s="10" t="s">
        <v>0</v>
      </c>
      <c r="E76" s="5">
        <v>10</v>
      </c>
      <c r="F76" s="21">
        <v>1.9834794637689166</v>
      </c>
      <c r="G76" s="21">
        <v>1.61961440741391E-2</v>
      </c>
      <c r="H76" s="21">
        <v>0</v>
      </c>
      <c r="I76" s="21">
        <v>0.5097206300717777</v>
      </c>
      <c r="J76" s="21">
        <v>1.2260733703165289E-2</v>
      </c>
      <c r="K76" s="21" t="s">
        <v>13</v>
      </c>
    </row>
    <row r="77" spans="1:11">
      <c r="A77" s="1">
        <v>11</v>
      </c>
      <c r="B77" s="2">
        <v>37202</v>
      </c>
      <c r="C77" s="5">
        <v>2001</v>
      </c>
      <c r="D77" s="10" t="s">
        <v>2</v>
      </c>
      <c r="E77" s="5">
        <v>11</v>
      </c>
      <c r="F77" s="21">
        <v>3.4182511491427841</v>
      </c>
      <c r="G77" s="21">
        <v>2.5199563487208358E-2</v>
      </c>
      <c r="H77" s="21">
        <v>1.5633345651921628E-2</v>
      </c>
      <c r="I77" s="21">
        <v>1.1567086406303624</v>
      </c>
      <c r="J77" s="21">
        <v>2.0982329927399283E-2</v>
      </c>
      <c r="K77" s="21" t="s">
        <v>13</v>
      </c>
    </row>
    <row r="78" spans="1:11">
      <c r="A78" s="1">
        <v>12</v>
      </c>
      <c r="B78" s="2">
        <v>37202</v>
      </c>
      <c r="C78" s="5">
        <v>2001</v>
      </c>
      <c r="D78" s="10" t="s">
        <v>2</v>
      </c>
      <c r="E78" s="5">
        <v>11</v>
      </c>
      <c r="F78" s="21">
        <v>1.1800202851212065</v>
      </c>
      <c r="G78" s="21">
        <v>0</v>
      </c>
      <c r="H78" s="21">
        <v>0</v>
      </c>
      <c r="I78" s="21">
        <v>0.30963517509876115</v>
      </c>
      <c r="J78" s="21">
        <v>7.7892262103749846E-3</v>
      </c>
      <c r="K78" s="21" t="s">
        <v>13</v>
      </c>
    </row>
    <row r="79" spans="1:11">
      <c r="A79" s="1">
        <v>13</v>
      </c>
      <c r="B79" s="2">
        <v>37202</v>
      </c>
      <c r="C79" s="5">
        <v>2001</v>
      </c>
      <c r="D79" s="10" t="s">
        <v>2</v>
      </c>
      <c r="E79" s="5">
        <v>11</v>
      </c>
      <c r="F79" s="21">
        <v>2.4412516046793691</v>
      </c>
      <c r="G79" s="21">
        <v>0</v>
      </c>
      <c r="H79" s="21">
        <v>0</v>
      </c>
      <c r="I79" s="21">
        <v>0.77477510703508978</v>
      </c>
      <c r="J79" s="21">
        <v>1.1283591621568818E-2</v>
      </c>
      <c r="K79" s="21" t="s">
        <v>13</v>
      </c>
    </row>
    <row r="80" spans="1:11">
      <c r="A80" s="1">
        <v>11</v>
      </c>
      <c r="B80" s="2">
        <v>37230</v>
      </c>
      <c r="C80" s="5">
        <v>2001</v>
      </c>
      <c r="D80" s="10" t="s">
        <v>3</v>
      </c>
      <c r="E80" s="5">
        <v>12</v>
      </c>
      <c r="F80" s="21">
        <v>4.8078685793676872</v>
      </c>
      <c r="G80" s="21">
        <v>7.5779909931389E-2</v>
      </c>
      <c r="H80" s="21">
        <v>0.12744717450832838</v>
      </c>
      <c r="I80" s="21">
        <v>1.8897231850241201</v>
      </c>
      <c r="J80" s="21">
        <v>1.9231491404322256E-2</v>
      </c>
      <c r="K80" s="21" t="s">
        <v>13</v>
      </c>
    </row>
    <row r="81" spans="1:18">
      <c r="A81" s="1">
        <v>12</v>
      </c>
      <c r="B81" s="2">
        <v>37230</v>
      </c>
      <c r="C81" s="5">
        <v>2001</v>
      </c>
      <c r="D81" s="10" t="s">
        <v>3</v>
      </c>
      <c r="E81" s="5">
        <v>12</v>
      </c>
      <c r="F81" s="21">
        <v>1.5722200842333052</v>
      </c>
      <c r="G81" s="21">
        <v>2.3645964289928881E-2</v>
      </c>
      <c r="H81" s="21">
        <v>2.8387595358926612E-2</v>
      </c>
      <c r="I81" s="21">
        <v>0.5204328406837393</v>
      </c>
      <c r="J81" s="21">
        <v>5.548161677260929E-3</v>
      </c>
      <c r="K81" s="21" t="s">
        <v>13</v>
      </c>
    </row>
    <row r="82" spans="1:18" ht="25.5">
      <c r="A82" s="1">
        <v>13</v>
      </c>
      <c r="B82" s="2">
        <v>37230</v>
      </c>
      <c r="C82" s="5">
        <v>2001</v>
      </c>
      <c r="D82" s="10" t="s">
        <v>3</v>
      </c>
      <c r="E82" s="5">
        <v>12</v>
      </c>
      <c r="F82" s="21">
        <v>4.6845751366318886</v>
      </c>
      <c r="G82" s="21">
        <v>7.7296347903552678E-2</v>
      </c>
      <c r="H82" s="21">
        <v>0.12793014017879878</v>
      </c>
      <c r="I82" s="21">
        <v>1.7462692848439871</v>
      </c>
      <c r="J82" s="21">
        <v>1.8236532099566997E-2</v>
      </c>
      <c r="K82" s="21" t="s">
        <v>13</v>
      </c>
      <c r="L82" s="35" t="s">
        <v>42</v>
      </c>
      <c r="M82" s="33" t="s">
        <v>35</v>
      </c>
      <c r="N82" s="33" t="s">
        <v>36</v>
      </c>
      <c r="O82" s="33" t="s">
        <v>37</v>
      </c>
      <c r="P82" s="33" t="s">
        <v>38</v>
      </c>
      <c r="Q82" s="33" t="s">
        <v>39</v>
      </c>
      <c r="R82" s="33" t="s">
        <v>40</v>
      </c>
    </row>
    <row r="83" spans="1:18">
      <c r="A83" s="37">
        <v>11</v>
      </c>
      <c r="B83" s="42">
        <v>37272</v>
      </c>
      <c r="C83" s="41">
        <v>2002</v>
      </c>
      <c r="D83" s="47" t="s">
        <v>4</v>
      </c>
      <c r="E83" s="41">
        <v>1</v>
      </c>
      <c r="F83" s="49">
        <v>4.9591191429106054</v>
      </c>
      <c r="G83" s="49">
        <v>4.4310323344016037E-2</v>
      </c>
      <c r="H83" s="49">
        <v>4.0012212780907976E-2</v>
      </c>
      <c r="I83" s="49">
        <v>1.9585632053718476</v>
      </c>
      <c r="J83" s="49">
        <v>1.5420953373766123E-2</v>
      </c>
      <c r="K83" s="49" t="s">
        <v>13</v>
      </c>
      <c r="L83" s="35" t="s">
        <v>47</v>
      </c>
      <c r="M83" s="21">
        <f>AVERAGE(F83:F118)</f>
        <v>4.1527296347413749</v>
      </c>
      <c r="N83" s="21">
        <f>AVERAGE(G83:G118)</f>
        <v>5.4265831559686464E-2</v>
      </c>
      <c r="O83" s="21">
        <f>AVERAGE(H83:H118)</f>
        <v>1.2774794165843326E-2</v>
      </c>
      <c r="P83" s="21">
        <f>AVERAGE(I83:I118)</f>
        <v>0.89834248587826404</v>
      </c>
      <c r="Q83" s="21">
        <f>AVERAGE(J83:J118)</f>
        <v>1.4705678640623472E-2</v>
      </c>
      <c r="R83" s="21"/>
    </row>
    <row r="84" spans="1:18">
      <c r="A84" s="1">
        <v>12</v>
      </c>
      <c r="B84" s="2">
        <v>37272</v>
      </c>
      <c r="C84" s="5">
        <v>2002</v>
      </c>
      <c r="D84" s="10" t="s">
        <v>4</v>
      </c>
      <c r="E84" s="5">
        <v>1</v>
      </c>
      <c r="F84" s="21">
        <v>3.8013884466187902</v>
      </c>
      <c r="G84" s="21">
        <v>3.3479539425757099E-2</v>
      </c>
      <c r="H84" s="21">
        <v>1.920073739531605E-2</v>
      </c>
      <c r="I84" s="21">
        <v>1.2792768724814469</v>
      </c>
      <c r="J84" s="21">
        <v>5.1673498518995577E-3</v>
      </c>
      <c r="K84" s="21" t="s">
        <v>13</v>
      </c>
    </row>
    <row r="85" spans="1:18">
      <c r="A85" s="1">
        <v>13</v>
      </c>
      <c r="B85" s="2">
        <v>37272</v>
      </c>
      <c r="C85" s="5">
        <v>2002</v>
      </c>
      <c r="D85" s="10" t="s">
        <v>4</v>
      </c>
      <c r="E85" s="5">
        <v>1</v>
      </c>
      <c r="F85" s="21">
        <v>3.7012716024785215</v>
      </c>
      <c r="G85" s="21">
        <v>3.8412575356423583E-2</v>
      </c>
      <c r="H85" s="21">
        <v>1.8448080229036889E-2</v>
      </c>
      <c r="I85" s="21">
        <v>1.3638228325273567</v>
      </c>
      <c r="J85" s="21">
        <v>8.3201479236301792E-3</v>
      </c>
      <c r="K85" s="21" t="s">
        <v>13</v>
      </c>
    </row>
    <row r="86" spans="1:18">
      <c r="A86" s="1">
        <v>11</v>
      </c>
      <c r="B86" s="2">
        <v>37301</v>
      </c>
      <c r="C86" s="5">
        <v>2002</v>
      </c>
      <c r="D86" s="4" t="s">
        <v>5</v>
      </c>
      <c r="E86" s="5">
        <v>2</v>
      </c>
      <c r="F86" s="21">
        <v>4.2633391078909577</v>
      </c>
      <c r="G86" s="21">
        <v>0.17087124187603972</v>
      </c>
      <c r="H86" s="21">
        <v>2.9611332725921664E-2</v>
      </c>
      <c r="I86" s="21">
        <v>1.5082205516400069</v>
      </c>
      <c r="J86" s="21">
        <v>1.8908416499635577E-2</v>
      </c>
      <c r="K86" s="21" t="s">
        <v>13</v>
      </c>
    </row>
    <row r="87" spans="1:18">
      <c r="A87" s="1">
        <v>12</v>
      </c>
      <c r="B87" s="2">
        <v>37301</v>
      </c>
      <c r="C87" s="5">
        <v>2002</v>
      </c>
      <c r="D87" s="4" t="s">
        <v>5</v>
      </c>
      <c r="E87" s="5">
        <v>2</v>
      </c>
      <c r="F87" s="21">
        <v>1.9945291234132325</v>
      </c>
      <c r="G87" s="21">
        <v>6.8273084804675574E-2</v>
      </c>
      <c r="H87" s="21">
        <v>1.01412986230793E-2</v>
      </c>
      <c r="I87" s="21">
        <v>0.58763743902436449</v>
      </c>
      <c r="J87" s="21">
        <v>1.1300629295788232E-2</v>
      </c>
      <c r="K87" s="21" t="s">
        <v>13</v>
      </c>
    </row>
    <row r="88" spans="1:18">
      <c r="A88" s="1">
        <v>13</v>
      </c>
      <c r="B88" s="2">
        <v>37301</v>
      </c>
      <c r="C88" s="5">
        <v>2002</v>
      </c>
      <c r="D88" s="4" t="s">
        <v>5</v>
      </c>
      <c r="E88" s="5">
        <v>2</v>
      </c>
      <c r="F88" s="21">
        <v>2.2163407192601272</v>
      </c>
      <c r="G88" s="21">
        <v>7.5895842533716867E-2</v>
      </c>
      <c r="H88" s="21">
        <v>1.0468099733325567E-2</v>
      </c>
      <c r="I88" s="21">
        <v>0.70432828186368412</v>
      </c>
      <c r="J88" s="21">
        <v>6.752415424031862E-3</v>
      </c>
      <c r="K88" s="21" t="s">
        <v>13</v>
      </c>
    </row>
    <row r="89" spans="1:18">
      <c r="A89" s="1">
        <v>11</v>
      </c>
      <c r="B89" s="13">
        <v>37336</v>
      </c>
      <c r="C89" s="5">
        <v>2002</v>
      </c>
      <c r="D89" s="4" t="s">
        <v>6</v>
      </c>
      <c r="E89" s="5">
        <v>3</v>
      </c>
      <c r="F89" s="46">
        <v>2.3653736059281316</v>
      </c>
      <c r="G89" s="46">
        <v>6.3570084334456226E-2</v>
      </c>
      <c r="H89" s="46">
        <v>4.4272253462644955E-2</v>
      </c>
      <c r="I89" s="46">
        <v>0.91186617875395659</v>
      </c>
      <c r="J89" s="46">
        <v>1.3728401146138793E-2</v>
      </c>
      <c r="K89" s="46" t="s">
        <v>13</v>
      </c>
    </row>
    <row r="90" spans="1:18">
      <c r="A90" s="1">
        <v>12</v>
      </c>
      <c r="B90" s="13">
        <v>37336</v>
      </c>
      <c r="C90" s="5">
        <v>2002</v>
      </c>
      <c r="D90" s="4" t="s">
        <v>6</v>
      </c>
      <c r="E90" s="5">
        <v>3</v>
      </c>
      <c r="F90" s="46">
        <v>3.04964324848922</v>
      </c>
      <c r="G90" s="46">
        <v>8.5547067923888845E-2</v>
      </c>
      <c r="H90" s="46">
        <v>2.2462544403207881E-2</v>
      </c>
      <c r="I90" s="46">
        <v>1.0819195974645863</v>
      </c>
      <c r="J90" s="46">
        <v>1.5273507075767148E-2</v>
      </c>
      <c r="K90" s="46" t="s">
        <v>13</v>
      </c>
    </row>
    <row r="91" spans="1:18">
      <c r="A91" s="1">
        <v>13</v>
      </c>
      <c r="B91" s="13">
        <v>37336</v>
      </c>
      <c r="C91" s="5">
        <v>2002</v>
      </c>
      <c r="D91" s="4" t="s">
        <v>6</v>
      </c>
      <c r="E91" s="5">
        <v>3</v>
      </c>
      <c r="F91" s="46">
        <v>2.2489579192201825</v>
      </c>
      <c r="G91" s="46">
        <v>2.9727932977307473E-2</v>
      </c>
      <c r="H91" s="46">
        <v>8.5967295313819428E-3</v>
      </c>
      <c r="I91" s="46">
        <v>0.85468181629743678</v>
      </c>
      <c r="J91" s="46">
        <v>1.7291749888675708E-2</v>
      </c>
      <c r="K91" s="46" t="s">
        <v>13</v>
      </c>
    </row>
    <row r="92" spans="1:18">
      <c r="A92" s="1">
        <v>11</v>
      </c>
      <c r="B92" s="13">
        <v>37363</v>
      </c>
      <c r="C92" s="5">
        <v>2002</v>
      </c>
      <c r="D92" s="10" t="s">
        <v>7</v>
      </c>
      <c r="E92" s="5">
        <v>4</v>
      </c>
      <c r="F92" s="46">
        <v>1.8468308678027694</v>
      </c>
      <c r="G92" s="46">
        <v>3.0889788608073277E-2</v>
      </c>
      <c r="H92" s="46">
        <v>0</v>
      </c>
      <c r="I92" s="46">
        <v>0.54598767028307849</v>
      </c>
      <c r="J92" s="46">
        <v>1.6874717009786641E-2</v>
      </c>
      <c r="K92" s="46" t="s">
        <v>13</v>
      </c>
    </row>
    <row r="93" spans="1:18">
      <c r="A93" s="1">
        <v>12</v>
      </c>
      <c r="B93" s="13">
        <v>37363</v>
      </c>
      <c r="C93" s="5">
        <v>2002</v>
      </c>
      <c r="D93" s="10" t="s">
        <v>7</v>
      </c>
      <c r="E93" s="5">
        <v>4</v>
      </c>
      <c r="F93" s="46">
        <v>2.5389168074917996</v>
      </c>
      <c r="G93" s="46">
        <v>3.4684631730133336E-2</v>
      </c>
      <c r="H93" s="46">
        <v>0</v>
      </c>
      <c r="I93" s="46">
        <v>0.81808405524525241</v>
      </c>
      <c r="J93" s="46">
        <v>1.2713299044310051E-2</v>
      </c>
      <c r="K93" s="46" t="s">
        <v>13</v>
      </c>
    </row>
    <row r="94" spans="1:18">
      <c r="A94" s="1">
        <v>13</v>
      </c>
      <c r="B94" s="13">
        <v>37363</v>
      </c>
      <c r="C94" s="5">
        <v>2002</v>
      </c>
      <c r="D94" s="10" t="s">
        <v>7</v>
      </c>
      <c r="E94" s="5">
        <v>4</v>
      </c>
      <c r="F94" s="46">
        <v>2.1392321583524088</v>
      </c>
      <c r="G94" s="46">
        <v>0</v>
      </c>
      <c r="H94" s="46">
        <v>0</v>
      </c>
      <c r="I94" s="46">
        <v>0.64310829258166435</v>
      </c>
      <c r="J94" s="46">
        <v>1.8316802245219713E-2</v>
      </c>
      <c r="K94" s="46" t="s">
        <v>13</v>
      </c>
    </row>
    <row r="95" spans="1:18">
      <c r="A95" s="1">
        <v>11</v>
      </c>
      <c r="B95" s="13">
        <v>37392</v>
      </c>
      <c r="C95" s="5">
        <v>2002</v>
      </c>
      <c r="D95" s="10" t="s">
        <v>8</v>
      </c>
      <c r="E95" s="5">
        <v>5</v>
      </c>
      <c r="F95" s="46">
        <v>3.1846477905693367</v>
      </c>
      <c r="G95" s="46"/>
      <c r="H95" s="46">
        <v>0</v>
      </c>
      <c r="I95" s="46"/>
      <c r="J95" s="46"/>
      <c r="K95" s="46" t="s">
        <v>13</v>
      </c>
    </row>
    <row r="96" spans="1:18">
      <c r="A96" s="1">
        <v>12</v>
      </c>
      <c r="B96" s="13">
        <v>37392</v>
      </c>
      <c r="C96" s="5">
        <v>2002</v>
      </c>
      <c r="D96" s="10" t="s">
        <v>8</v>
      </c>
      <c r="E96" s="5">
        <v>5</v>
      </c>
      <c r="F96" s="46">
        <v>3.1559811950131778</v>
      </c>
      <c r="G96" s="46"/>
      <c r="H96" s="46">
        <v>0</v>
      </c>
      <c r="I96" s="46"/>
      <c r="J96" s="46"/>
      <c r="K96" s="46" t="s">
        <v>13</v>
      </c>
    </row>
    <row r="97" spans="1:11">
      <c r="A97" s="1">
        <v>13</v>
      </c>
      <c r="B97" s="13">
        <v>37392</v>
      </c>
      <c r="C97" s="5">
        <v>2002</v>
      </c>
      <c r="D97" s="10" t="s">
        <v>8</v>
      </c>
      <c r="E97" s="5">
        <v>5</v>
      </c>
      <c r="F97" s="46">
        <v>4.007809908242117</v>
      </c>
      <c r="G97" s="46"/>
      <c r="H97" s="46">
        <v>0</v>
      </c>
      <c r="I97" s="46"/>
      <c r="J97" s="46"/>
      <c r="K97" s="46" t="s">
        <v>13</v>
      </c>
    </row>
    <row r="98" spans="1:11">
      <c r="A98" s="1">
        <v>11</v>
      </c>
      <c r="B98" s="13">
        <v>37420</v>
      </c>
      <c r="C98" s="5">
        <v>2002</v>
      </c>
      <c r="D98" s="10" t="s">
        <v>9</v>
      </c>
      <c r="E98" s="5">
        <v>6</v>
      </c>
      <c r="F98" s="46">
        <v>5.6136567215606314</v>
      </c>
      <c r="G98" s="46"/>
      <c r="H98" s="46">
        <v>6.6396537304238556E-2</v>
      </c>
      <c r="I98" s="46"/>
      <c r="J98" s="46"/>
      <c r="K98" s="46" t="s">
        <v>13</v>
      </c>
    </row>
    <row r="99" spans="1:11">
      <c r="A99" s="1">
        <v>12</v>
      </c>
      <c r="B99" s="13">
        <v>37420</v>
      </c>
      <c r="C99" s="5">
        <v>2002</v>
      </c>
      <c r="D99" s="10" t="s">
        <v>9</v>
      </c>
      <c r="E99" s="5">
        <v>6</v>
      </c>
      <c r="F99" s="46">
        <v>5.7318857572664292</v>
      </c>
      <c r="G99" s="46"/>
      <c r="H99" s="46">
        <v>6.1979478963799364E-2</v>
      </c>
      <c r="I99" s="46"/>
      <c r="J99" s="46"/>
      <c r="K99" s="46" t="s">
        <v>13</v>
      </c>
    </row>
    <row r="100" spans="1:11">
      <c r="A100" s="1">
        <v>13</v>
      </c>
      <c r="B100" s="13">
        <v>37420</v>
      </c>
      <c r="C100" s="5">
        <v>2002</v>
      </c>
      <c r="D100" s="10" t="s">
        <v>9</v>
      </c>
      <c r="E100" s="5">
        <v>6</v>
      </c>
      <c r="F100" s="46">
        <v>7.9933765886263464</v>
      </c>
      <c r="G100" s="46"/>
      <c r="H100" s="46">
        <v>6.8415155217588564E-2</v>
      </c>
      <c r="I100" s="46"/>
      <c r="J100" s="46"/>
      <c r="K100" s="46" t="s">
        <v>13</v>
      </c>
    </row>
    <row r="101" spans="1:11">
      <c r="A101" s="1">
        <v>11</v>
      </c>
      <c r="B101" s="13">
        <v>37453</v>
      </c>
      <c r="C101" s="5">
        <v>2002</v>
      </c>
      <c r="D101" s="10" t="s">
        <v>10</v>
      </c>
      <c r="E101" s="5">
        <v>7</v>
      </c>
      <c r="F101" s="46">
        <v>7.8352628075604649</v>
      </c>
      <c r="G101" s="46"/>
      <c r="H101" s="46">
        <v>2.6123136294288644E-2</v>
      </c>
      <c r="I101" s="46"/>
      <c r="J101" s="46"/>
      <c r="K101" s="46" t="s">
        <v>13</v>
      </c>
    </row>
    <row r="102" spans="1:11">
      <c r="A102" s="1">
        <v>12</v>
      </c>
      <c r="B102" s="13">
        <v>37453</v>
      </c>
      <c r="C102" s="5">
        <v>2002</v>
      </c>
      <c r="D102" s="10" t="s">
        <v>10</v>
      </c>
      <c r="E102" s="5">
        <v>7</v>
      </c>
      <c r="F102" s="46">
        <v>6.7690574409260895</v>
      </c>
      <c r="G102" s="46"/>
      <c r="H102" s="46">
        <v>0</v>
      </c>
      <c r="I102" s="46"/>
      <c r="J102" s="46"/>
      <c r="K102" s="46" t="s">
        <v>13</v>
      </c>
    </row>
    <row r="103" spans="1:11">
      <c r="A103" s="1">
        <v>13</v>
      </c>
      <c r="B103" s="13">
        <v>37453</v>
      </c>
      <c r="C103" s="5">
        <v>2002</v>
      </c>
      <c r="D103" s="10" t="s">
        <v>10</v>
      </c>
      <c r="E103" s="5">
        <v>7</v>
      </c>
      <c r="F103" s="46">
        <v>7.136531931146477</v>
      </c>
      <c r="G103" s="46"/>
      <c r="H103" s="46">
        <v>0</v>
      </c>
      <c r="I103" s="46"/>
      <c r="J103" s="46"/>
      <c r="K103" s="46" t="s">
        <v>13</v>
      </c>
    </row>
    <row r="104" spans="1:11">
      <c r="A104" s="1">
        <v>11</v>
      </c>
      <c r="B104" s="13">
        <v>37481</v>
      </c>
      <c r="C104" s="5">
        <v>2002</v>
      </c>
      <c r="D104" s="10" t="s">
        <v>11</v>
      </c>
      <c r="E104" s="5">
        <v>8</v>
      </c>
      <c r="F104" s="46">
        <v>9.0493772456427095</v>
      </c>
      <c r="G104" s="46"/>
      <c r="H104" s="46">
        <v>2.4440125564759305E-2</v>
      </c>
      <c r="I104" s="46"/>
      <c r="J104" s="46"/>
      <c r="K104" s="46" t="s">
        <v>13</v>
      </c>
    </row>
    <row r="105" spans="1:11">
      <c r="A105" s="1">
        <v>12</v>
      </c>
      <c r="B105" s="13">
        <v>37481</v>
      </c>
      <c r="C105" s="5">
        <v>2002</v>
      </c>
      <c r="D105" s="10" t="s">
        <v>11</v>
      </c>
      <c r="E105" s="5">
        <v>8</v>
      </c>
      <c r="F105" s="46">
        <v>6.3998824331066571</v>
      </c>
      <c r="G105" s="46"/>
      <c r="H105" s="46">
        <v>0</v>
      </c>
      <c r="I105" s="46"/>
      <c r="J105" s="46"/>
      <c r="K105" s="46" t="s">
        <v>13</v>
      </c>
    </row>
    <row r="106" spans="1:11">
      <c r="A106" s="1">
        <v>13</v>
      </c>
      <c r="B106" s="13">
        <v>37481</v>
      </c>
      <c r="C106" s="5">
        <v>2002</v>
      </c>
      <c r="D106" s="10" t="s">
        <v>11</v>
      </c>
      <c r="E106" s="5">
        <v>8</v>
      </c>
      <c r="F106" s="46">
        <v>8.0232315251566746</v>
      </c>
      <c r="G106" s="46"/>
      <c r="H106" s="46">
        <v>0</v>
      </c>
      <c r="I106" s="46"/>
      <c r="J106" s="46"/>
      <c r="K106" s="46" t="s">
        <v>13</v>
      </c>
    </row>
    <row r="107" spans="1:11">
      <c r="A107" s="1">
        <v>11</v>
      </c>
      <c r="B107" s="13">
        <v>37518</v>
      </c>
      <c r="C107" s="5">
        <v>2002</v>
      </c>
      <c r="D107" s="10" t="s">
        <v>12</v>
      </c>
      <c r="E107" s="5">
        <v>9</v>
      </c>
      <c r="F107" s="46">
        <v>5.3303392258580082</v>
      </c>
      <c r="G107" s="46"/>
      <c r="H107" s="46">
        <v>0</v>
      </c>
      <c r="I107" s="46"/>
      <c r="J107" s="46"/>
      <c r="K107" s="46" t="s">
        <v>13</v>
      </c>
    </row>
    <row r="108" spans="1:11">
      <c r="A108" s="1">
        <v>12</v>
      </c>
      <c r="B108" s="13">
        <v>37518</v>
      </c>
      <c r="C108" s="5">
        <v>2002</v>
      </c>
      <c r="D108" s="10" t="s">
        <v>12</v>
      </c>
      <c r="E108" s="5">
        <v>9</v>
      </c>
      <c r="F108" s="46">
        <v>5.5906034676997107</v>
      </c>
      <c r="G108" s="46"/>
      <c r="H108" s="46">
        <v>9.3248677408630451E-3</v>
      </c>
      <c r="I108" s="46"/>
      <c r="J108" s="46"/>
      <c r="K108" s="46" t="s">
        <v>13</v>
      </c>
    </row>
    <row r="109" spans="1:11">
      <c r="A109" s="1">
        <v>13</v>
      </c>
      <c r="B109" s="13">
        <v>37518</v>
      </c>
      <c r="C109" s="5">
        <v>2002</v>
      </c>
      <c r="D109" s="10" t="s">
        <v>12</v>
      </c>
      <c r="E109" s="5">
        <v>9</v>
      </c>
      <c r="F109" s="46">
        <v>5.2380315895402019</v>
      </c>
      <c r="G109" s="46"/>
      <c r="H109" s="46">
        <v>0</v>
      </c>
      <c r="I109" s="46"/>
      <c r="J109" s="46"/>
      <c r="K109" s="46" t="s">
        <v>13</v>
      </c>
    </row>
    <row r="110" spans="1:11">
      <c r="A110" s="1">
        <v>11</v>
      </c>
      <c r="B110" s="13">
        <v>37546</v>
      </c>
      <c r="C110" s="5">
        <v>2002</v>
      </c>
      <c r="D110" s="10" t="s">
        <v>0</v>
      </c>
      <c r="E110" s="5">
        <v>10</v>
      </c>
      <c r="F110" s="50">
        <v>2.6166408250405646</v>
      </c>
      <c r="G110" s="50">
        <v>1.5379279243088486E-2</v>
      </c>
      <c r="H110" s="50">
        <v>0</v>
      </c>
      <c r="I110" s="50">
        <v>0.81941654429271582</v>
      </c>
      <c r="J110" s="50">
        <v>2.4065684090239289E-2</v>
      </c>
      <c r="K110" s="50">
        <v>0</v>
      </c>
    </row>
    <row r="111" spans="1:11">
      <c r="A111" s="1">
        <v>12</v>
      </c>
      <c r="B111" s="13">
        <v>37546</v>
      </c>
      <c r="C111" s="5">
        <v>2002</v>
      </c>
      <c r="D111" s="10" t="s">
        <v>0</v>
      </c>
      <c r="E111" s="5">
        <v>10</v>
      </c>
      <c r="F111" s="50">
        <v>1.7856278872824622</v>
      </c>
      <c r="G111" s="50">
        <v>0</v>
      </c>
      <c r="H111" s="50">
        <v>0</v>
      </c>
      <c r="I111" s="50">
        <v>0.57349036171031242</v>
      </c>
      <c r="J111" s="50">
        <v>1.8738156482626792E-2</v>
      </c>
      <c r="K111" s="50">
        <v>0</v>
      </c>
    </row>
    <row r="112" spans="1:11">
      <c r="A112" s="1">
        <v>13</v>
      </c>
      <c r="B112" s="13">
        <v>37546</v>
      </c>
      <c r="C112" s="5">
        <v>2002</v>
      </c>
      <c r="D112" s="10" t="s">
        <v>0</v>
      </c>
      <c r="E112" s="5">
        <v>10</v>
      </c>
      <c r="F112" s="50">
        <v>6.1642929285936283</v>
      </c>
      <c r="G112" s="50">
        <v>0.11464457654148681</v>
      </c>
      <c r="H112" s="50">
        <v>0</v>
      </c>
      <c r="I112" s="50">
        <v>1.7437779962787312</v>
      </c>
      <c r="J112" s="50">
        <v>3.5890277107961881E-2</v>
      </c>
      <c r="K112" s="50">
        <v>0</v>
      </c>
    </row>
    <row r="113" spans="1:18">
      <c r="A113" s="1">
        <v>11</v>
      </c>
      <c r="B113" s="13">
        <v>37574</v>
      </c>
      <c r="C113" s="5">
        <v>2002</v>
      </c>
      <c r="D113" s="10" t="s">
        <v>2</v>
      </c>
      <c r="E113" s="5">
        <v>11</v>
      </c>
      <c r="F113" s="50">
        <v>1.2757848084848946</v>
      </c>
      <c r="G113" s="50">
        <v>0</v>
      </c>
      <c r="H113" s="50">
        <v>0</v>
      </c>
      <c r="I113" s="50">
        <v>0.39018306191170027</v>
      </c>
      <c r="J113" s="50">
        <v>7.0203385539314034E-3</v>
      </c>
      <c r="K113" s="50">
        <v>0</v>
      </c>
    </row>
    <row r="114" spans="1:18">
      <c r="A114" s="1">
        <v>12</v>
      </c>
      <c r="B114" s="13">
        <v>37574</v>
      </c>
      <c r="C114" s="5">
        <v>2002</v>
      </c>
      <c r="D114" s="10" t="s">
        <v>2</v>
      </c>
      <c r="E114" s="5">
        <v>11</v>
      </c>
      <c r="F114" s="50">
        <v>0.8751535788144692</v>
      </c>
      <c r="G114" s="50">
        <v>0</v>
      </c>
      <c r="H114" s="50">
        <v>0</v>
      </c>
      <c r="I114" s="50">
        <v>0.23672737169167038</v>
      </c>
      <c r="J114" s="50">
        <v>9.778128253999499E-3</v>
      </c>
      <c r="K114" s="50">
        <v>0</v>
      </c>
    </row>
    <row r="115" spans="1:18">
      <c r="A115" s="1">
        <v>13</v>
      </c>
      <c r="B115" s="13">
        <v>37574</v>
      </c>
      <c r="C115" s="5">
        <v>2002</v>
      </c>
      <c r="D115" s="10" t="s">
        <v>2</v>
      </c>
      <c r="E115" s="5">
        <v>11</v>
      </c>
      <c r="F115" s="50">
        <v>2.7665530049533538</v>
      </c>
      <c r="G115" s="50">
        <v>3.0343499546855546E-2</v>
      </c>
      <c r="H115" s="50">
        <v>0</v>
      </c>
      <c r="I115" s="50">
        <v>0.58870512354623661</v>
      </c>
      <c r="J115" s="50">
        <v>7.1090984747071142E-3</v>
      </c>
      <c r="K115" s="50">
        <v>0</v>
      </c>
    </row>
    <row r="116" spans="1:18">
      <c r="A116" s="1">
        <v>11</v>
      </c>
      <c r="B116" s="13">
        <v>37608</v>
      </c>
      <c r="C116" s="5">
        <v>2002</v>
      </c>
      <c r="D116" s="10" t="s">
        <v>3</v>
      </c>
      <c r="E116" s="5">
        <v>12</v>
      </c>
      <c r="F116" s="50">
        <v>3.6969123378621527</v>
      </c>
      <c r="G116" s="50">
        <v>6.0968783219610918E-2</v>
      </c>
      <c r="H116" s="50">
        <v>0</v>
      </c>
      <c r="I116" s="50">
        <v>1.2738907255563263</v>
      </c>
      <c r="J116" s="50">
        <v>1.9809355685359936E-2</v>
      </c>
      <c r="K116" s="50">
        <v>0</v>
      </c>
    </row>
    <row r="117" spans="1:18">
      <c r="A117" s="1">
        <v>12</v>
      </c>
      <c r="B117" s="13">
        <v>37608</v>
      </c>
      <c r="C117" s="5">
        <v>2002</v>
      </c>
      <c r="D117" s="10" t="s">
        <v>3</v>
      </c>
      <c r="E117" s="5">
        <v>12</v>
      </c>
      <c r="F117" s="50">
        <v>2.2912272988173004</v>
      </c>
      <c r="G117" s="50">
        <v>9.9642614517490638E-2</v>
      </c>
      <c r="H117" s="50">
        <v>0</v>
      </c>
      <c r="I117" s="50">
        <v>0.60883252675219535</v>
      </c>
      <c r="J117" s="50">
        <v>1.1251156926795881E-2</v>
      </c>
      <c r="K117" s="50">
        <v>0</v>
      </c>
    </row>
    <row r="118" spans="1:18" ht="25.5">
      <c r="A118" s="1">
        <v>13</v>
      </c>
      <c r="B118" s="13">
        <v>37608</v>
      </c>
      <c r="C118" s="5">
        <v>2002</v>
      </c>
      <c r="D118" s="10" t="s">
        <v>3</v>
      </c>
      <c r="E118" s="5">
        <v>12</v>
      </c>
      <c r="F118" s="50">
        <v>1.8414558030688872</v>
      </c>
      <c r="G118" s="50">
        <v>0.14294159677039506</v>
      </c>
      <c r="H118" s="50">
        <v>0</v>
      </c>
      <c r="I118" s="50">
        <v>0.37267169816897089</v>
      </c>
      <c r="J118" s="50">
        <v>1.508866709882156E-2</v>
      </c>
      <c r="K118" s="50">
        <v>0</v>
      </c>
      <c r="L118" s="35" t="s">
        <v>42</v>
      </c>
      <c r="M118" s="33" t="s">
        <v>35</v>
      </c>
      <c r="N118" s="33" t="s">
        <v>36</v>
      </c>
      <c r="O118" s="33" t="s">
        <v>37</v>
      </c>
      <c r="P118" s="33" t="s">
        <v>38</v>
      </c>
      <c r="Q118" s="33" t="s">
        <v>39</v>
      </c>
      <c r="R118" s="33" t="s">
        <v>40</v>
      </c>
    </row>
    <row r="119" spans="1:18">
      <c r="A119" s="37">
        <v>11</v>
      </c>
      <c r="B119" s="51">
        <v>37636</v>
      </c>
      <c r="C119" s="41">
        <v>2003</v>
      </c>
      <c r="D119" s="47" t="s">
        <v>4</v>
      </c>
      <c r="E119" s="41">
        <v>1</v>
      </c>
      <c r="F119" s="52">
        <v>5.3202170742900545</v>
      </c>
      <c r="G119" s="52">
        <v>9.8206937393222699E-2</v>
      </c>
      <c r="H119" s="52">
        <v>0</v>
      </c>
      <c r="I119" s="52">
        <v>1.6657109833679171</v>
      </c>
      <c r="J119" s="52">
        <v>1.9661543632823034E-2</v>
      </c>
      <c r="K119" s="52">
        <v>0</v>
      </c>
      <c r="L119" s="35" t="s">
        <v>48</v>
      </c>
      <c r="M119" s="21">
        <f>AVERAGE(F119:F154)</f>
        <v>5.236635510795498</v>
      </c>
      <c r="N119" s="21">
        <f>AVERAGE(G119:G154)</f>
        <v>0.14409674810562445</v>
      </c>
      <c r="O119" s="21">
        <f>AVERAGE(H119:H154)</f>
        <v>5.0329396791657316E-3</v>
      </c>
      <c r="P119" s="21">
        <f>AVERAGE(I119:I154)</f>
        <v>1.6520382221323746</v>
      </c>
      <c r="Q119" s="21">
        <f t="shared" ref="Q119:R119" si="0">AVERAGE(J119:J154)</f>
        <v>4.9113131045941158E-2</v>
      </c>
      <c r="R119" s="21">
        <f t="shared" si="0"/>
        <v>0</v>
      </c>
    </row>
    <row r="120" spans="1:18">
      <c r="A120" s="1">
        <v>12</v>
      </c>
      <c r="B120" s="13">
        <v>37636</v>
      </c>
      <c r="C120" s="5">
        <v>2003</v>
      </c>
      <c r="D120" s="10" t="s">
        <v>4</v>
      </c>
      <c r="E120" s="5">
        <v>1</v>
      </c>
      <c r="F120" s="50">
        <v>4.6355852855706683</v>
      </c>
      <c r="G120" s="50">
        <v>0.10285365088630945</v>
      </c>
      <c r="H120" s="50">
        <v>0</v>
      </c>
      <c r="I120" s="50">
        <v>1.4458444057395419</v>
      </c>
      <c r="J120" s="50">
        <v>2.024114019018974E-2</v>
      </c>
      <c r="K120" s="50">
        <v>0</v>
      </c>
    </row>
    <row r="121" spans="1:18">
      <c r="A121" s="1">
        <v>13</v>
      </c>
      <c r="B121" s="13">
        <v>37636</v>
      </c>
      <c r="C121" s="5">
        <v>2003</v>
      </c>
      <c r="D121" s="10" t="s">
        <v>4</v>
      </c>
      <c r="E121" s="5">
        <v>1</v>
      </c>
      <c r="F121" s="50">
        <v>3.3775114300288349</v>
      </c>
      <c r="G121" s="50">
        <v>8.3449139377884549E-2</v>
      </c>
      <c r="H121" s="50">
        <v>0</v>
      </c>
      <c r="I121" s="50">
        <v>0.96685599484949558</v>
      </c>
      <c r="J121" s="50">
        <v>2.1411969489907031E-2</v>
      </c>
      <c r="K121" s="50">
        <v>0</v>
      </c>
    </row>
    <row r="122" spans="1:18">
      <c r="A122" s="1">
        <v>11</v>
      </c>
      <c r="B122" s="13">
        <v>37663</v>
      </c>
      <c r="C122" s="5">
        <v>2003</v>
      </c>
      <c r="D122" s="4" t="s">
        <v>5</v>
      </c>
      <c r="E122" s="5">
        <v>2</v>
      </c>
      <c r="F122" s="50">
        <v>3.3368064315505848</v>
      </c>
      <c r="G122" s="50">
        <v>0.25652151735635281</v>
      </c>
      <c r="H122" s="50">
        <v>0</v>
      </c>
      <c r="I122" s="50">
        <v>1.0271200350006593</v>
      </c>
      <c r="J122" s="50">
        <v>2.4915708282294474E-2</v>
      </c>
      <c r="K122" s="50">
        <v>0</v>
      </c>
    </row>
    <row r="123" spans="1:18">
      <c r="A123" s="1">
        <v>12</v>
      </c>
      <c r="B123" s="13">
        <v>37663</v>
      </c>
      <c r="C123" s="5">
        <v>2003</v>
      </c>
      <c r="D123" s="4" t="s">
        <v>5</v>
      </c>
      <c r="E123" s="5">
        <v>2</v>
      </c>
      <c r="F123" s="50">
        <v>4.0076498065935011</v>
      </c>
      <c r="G123" s="50">
        <v>0.28875078145329386</v>
      </c>
      <c r="H123" s="50">
        <v>0</v>
      </c>
      <c r="I123" s="50">
        <v>1.3627323480610576</v>
      </c>
      <c r="J123" s="50">
        <v>3.0754029368429383E-2</v>
      </c>
      <c r="K123" s="50">
        <v>0</v>
      </c>
    </row>
    <row r="124" spans="1:18">
      <c r="A124" s="1">
        <v>13</v>
      </c>
      <c r="B124" s="13">
        <v>37663</v>
      </c>
      <c r="C124" s="5">
        <v>2003</v>
      </c>
      <c r="D124" s="4" t="s">
        <v>5</v>
      </c>
      <c r="E124" s="5">
        <v>2</v>
      </c>
      <c r="F124" s="50">
        <v>4.1914962166262475</v>
      </c>
      <c r="G124" s="50">
        <v>0.3761945174595796</v>
      </c>
      <c r="H124" s="50">
        <v>0</v>
      </c>
      <c r="I124" s="50">
        <v>1.3655291128877431</v>
      </c>
      <c r="J124" s="50">
        <v>3.0161946502775615E-2</v>
      </c>
      <c r="K124" s="50">
        <v>0</v>
      </c>
    </row>
    <row r="125" spans="1:18">
      <c r="A125" s="1">
        <v>11</v>
      </c>
      <c r="B125" s="13">
        <v>37691</v>
      </c>
      <c r="C125" s="5">
        <v>2003</v>
      </c>
      <c r="D125" s="4" t="s">
        <v>6</v>
      </c>
      <c r="E125" s="5">
        <v>3</v>
      </c>
      <c r="F125" s="50">
        <v>5.0204351351137921</v>
      </c>
      <c r="G125" s="50">
        <v>0.1956049098120021</v>
      </c>
      <c r="H125" s="50">
        <v>2.2807955042198055E-2</v>
      </c>
      <c r="I125" s="50">
        <v>1.6609138533444763</v>
      </c>
      <c r="J125" s="50">
        <v>3.9297493581565861E-2</v>
      </c>
      <c r="K125" s="50">
        <v>0</v>
      </c>
    </row>
    <row r="126" spans="1:18">
      <c r="A126" s="1">
        <v>12</v>
      </c>
      <c r="B126" s="13">
        <v>37691</v>
      </c>
      <c r="C126" s="5">
        <v>2003</v>
      </c>
      <c r="D126" s="4" t="s">
        <v>6</v>
      </c>
      <c r="E126" s="5">
        <v>3</v>
      </c>
      <c r="F126" s="50">
        <v>4.9045491572184394</v>
      </c>
      <c r="G126" s="50">
        <v>0.347082297142004</v>
      </c>
      <c r="H126" s="50">
        <v>0</v>
      </c>
      <c r="I126" s="50">
        <v>1.4844363923564432</v>
      </c>
      <c r="J126" s="50">
        <v>3.7384948327449229E-2</v>
      </c>
      <c r="K126" s="50">
        <v>0</v>
      </c>
    </row>
    <row r="127" spans="1:18">
      <c r="A127" s="1">
        <v>13</v>
      </c>
      <c r="B127" s="13">
        <v>37691</v>
      </c>
      <c r="C127" s="5">
        <v>2003</v>
      </c>
      <c r="D127" s="4" t="s">
        <v>6</v>
      </c>
      <c r="E127" s="5">
        <v>3</v>
      </c>
      <c r="F127" s="50">
        <v>6.9685076649625985</v>
      </c>
      <c r="G127" s="50">
        <v>0.56171819115534394</v>
      </c>
      <c r="H127" s="50">
        <v>0</v>
      </c>
      <c r="I127" s="50">
        <v>2.0654738625235027</v>
      </c>
      <c r="J127" s="50">
        <v>5.1379796073410249E-2</v>
      </c>
      <c r="K127" s="50">
        <v>0</v>
      </c>
    </row>
    <row r="128" spans="1:18">
      <c r="A128" s="1">
        <v>11</v>
      </c>
      <c r="B128" s="13">
        <v>37727</v>
      </c>
      <c r="C128" s="5">
        <v>2003</v>
      </c>
      <c r="D128" s="4" t="s">
        <v>7</v>
      </c>
      <c r="E128" s="5">
        <v>4</v>
      </c>
      <c r="F128" s="50">
        <v>11.254232607769834</v>
      </c>
      <c r="G128" s="50">
        <v>0.10128559581150011</v>
      </c>
      <c r="H128" s="50">
        <v>0</v>
      </c>
      <c r="I128" s="50">
        <v>5.0591511409989343</v>
      </c>
      <c r="J128" s="50">
        <v>3.6542256227410197E-2</v>
      </c>
      <c r="K128" s="50">
        <v>0</v>
      </c>
    </row>
    <row r="129" spans="1:11">
      <c r="A129" s="1">
        <v>12</v>
      </c>
      <c r="B129" s="13">
        <v>37727</v>
      </c>
      <c r="C129" s="5">
        <v>2003</v>
      </c>
      <c r="D129" s="4" t="s">
        <v>7</v>
      </c>
      <c r="E129" s="5">
        <v>4</v>
      </c>
      <c r="F129" s="50">
        <v>10.079919344752577</v>
      </c>
      <c r="G129" s="50">
        <v>8.9537009450891797E-2</v>
      </c>
      <c r="H129" s="50">
        <v>0</v>
      </c>
      <c r="I129" s="50">
        <v>4.6054073495921974</v>
      </c>
      <c r="J129" s="50">
        <v>3.1120217994200824E-2</v>
      </c>
      <c r="K129" s="50">
        <v>0</v>
      </c>
    </row>
    <row r="130" spans="1:11">
      <c r="A130" s="1">
        <v>13</v>
      </c>
      <c r="B130" s="13">
        <v>37727</v>
      </c>
      <c r="C130" s="5">
        <v>2003</v>
      </c>
      <c r="D130" s="4" t="s">
        <v>7</v>
      </c>
      <c r="E130" s="5">
        <v>4</v>
      </c>
      <c r="F130" s="50">
        <v>8.438081157946268</v>
      </c>
      <c r="G130" s="50">
        <v>0</v>
      </c>
      <c r="H130" s="50">
        <v>0</v>
      </c>
      <c r="I130" s="50">
        <v>3.9518842199722251</v>
      </c>
      <c r="J130" s="50">
        <v>5.07740699040439E-2</v>
      </c>
      <c r="K130" s="50">
        <v>0</v>
      </c>
    </row>
    <row r="131" spans="1:11">
      <c r="A131" s="1">
        <v>11</v>
      </c>
      <c r="B131" s="13">
        <v>37756</v>
      </c>
      <c r="C131" s="5">
        <v>2003</v>
      </c>
      <c r="D131" s="4" t="s">
        <v>8</v>
      </c>
      <c r="E131" s="5">
        <v>5</v>
      </c>
      <c r="F131" s="50">
        <v>5.484311063249673</v>
      </c>
      <c r="G131" s="50">
        <v>0.15267109649441435</v>
      </c>
      <c r="H131" s="50">
        <v>0</v>
      </c>
      <c r="I131" s="50">
        <v>1.8030158003863914</v>
      </c>
      <c r="J131" s="50">
        <v>1.4615482509872945E-2</v>
      </c>
      <c r="K131" s="50">
        <v>0</v>
      </c>
    </row>
    <row r="132" spans="1:11">
      <c r="A132" s="1">
        <v>12</v>
      </c>
      <c r="B132" s="13">
        <v>37756</v>
      </c>
      <c r="C132" s="5">
        <v>2003</v>
      </c>
      <c r="D132" s="4" t="s">
        <v>8</v>
      </c>
      <c r="E132" s="5">
        <v>5</v>
      </c>
      <c r="F132" s="50">
        <v>2.9480197528948007</v>
      </c>
      <c r="G132" s="50">
        <v>4.8196814404201441E-2</v>
      </c>
      <c r="H132" s="50">
        <v>0</v>
      </c>
      <c r="I132" s="50">
        <v>0.9972345029165488</v>
      </c>
      <c r="J132" s="50">
        <v>1.0558607053162868E-2</v>
      </c>
      <c r="K132" s="50">
        <v>0</v>
      </c>
    </row>
    <row r="133" spans="1:11">
      <c r="A133" s="1">
        <v>13</v>
      </c>
      <c r="B133" s="13">
        <v>37756</v>
      </c>
      <c r="C133" s="5">
        <v>2003</v>
      </c>
      <c r="D133" s="4" t="s">
        <v>8</v>
      </c>
      <c r="E133" s="5">
        <v>5</v>
      </c>
      <c r="F133" s="50">
        <v>3.2661056665483179</v>
      </c>
      <c r="G133" s="50">
        <v>4.1319719643609955E-2</v>
      </c>
      <c r="H133" s="50">
        <v>0</v>
      </c>
      <c r="I133" s="50">
        <v>0.95029265021341924</v>
      </c>
      <c r="J133" s="50">
        <v>1.1741001767732781E-2</v>
      </c>
      <c r="K133" s="50">
        <v>0</v>
      </c>
    </row>
    <row r="134" spans="1:11">
      <c r="A134" s="1">
        <v>11</v>
      </c>
      <c r="B134" s="13">
        <v>37790</v>
      </c>
      <c r="C134" s="5">
        <v>2003</v>
      </c>
      <c r="D134" s="4" t="s">
        <v>9</v>
      </c>
      <c r="E134" s="5">
        <v>6</v>
      </c>
      <c r="F134" s="50">
        <v>3.2426267869058725</v>
      </c>
      <c r="G134" s="50">
        <v>3.5852234675977465E-2</v>
      </c>
      <c r="H134" s="50">
        <v>6.1029871841645059E-2</v>
      </c>
      <c r="I134" s="50">
        <v>1.3607660496659861</v>
      </c>
      <c r="J134" s="50">
        <v>2.4567000643532459E-2</v>
      </c>
      <c r="K134" s="50">
        <v>0</v>
      </c>
    </row>
    <row r="135" spans="1:11">
      <c r="A135" s="1">
        <v>12</v>
      </c>
      <c r="B135" s="13">
        <v>37790</v>
      </c>
      <c r="C135" s="5">
        <v>2003</v>
      </c>
      <c r="D135" s="4" t="s">
        <v>9</v>
      </c>
      <c r="E135" s="5">
        <v>6</v>
      </c>
      <c r="F135" s="50">
        <v>3.5286733265654591</v>
      </c>
      <c r="G135" s="50">
        <v>2.7921891431596704E-2</v>
      </c>
      <c r="H135" s="50">
        <v>0</v>
      </c>
      <c r="I135" s="50">
        <v>1.2506459356053581</v>
      </c>
      <c r="J135" s="50">
        <v>2.4312217254127928E-2</v>
      </c>
      <c r="K135" s="50">
        <v>0</v>
      </c>
    </row>
    <row r="136" spans="1:11">
      <c r="A136" s="1">
        <v>13</v>
      </c>
      <c r="B136" s="13">
        <v>37790</v>
      </c>
      <c r="C136" s="5">
        <v>2003</v>
      </c>
      <c r="D136" s="4" t="s">
        <v>9</v>
      </c>
      <c r="E136" s="5">
        <v>6</v>
      </c>
      <c r="F136" s="50">
        <v>2.8322365351529468</v>
      </c>
      <c r="G136" s="50">
        <v>5.9789702601109045E-2</v>
      </c>
      <c r="H136" s="50">
        <v>0</v>
      </c>
      <c r="I136" s="50">
        <v>1.0065106129702024</v>
      </c>
      <c r="J136" s="50">
        <v>3.1536014447632141E-2</v>
      </c>
      <c r="K136" s="50">
        <v>0</v>
      </c>
    </row>
    <row r="137" spans="1:11">
      <c r="A137" s="1">
        <v>11</v>
      </c>
      <c r="B137" s="13">
        <v>37818</v>
      </c>
      <c r="C137" s="5">
        <v>2003</v>
      </c>
      <c r="D137" s="10" t="s">
        <v>10</v>
      </c>
      <c r="E137" s="5">
        <v>7</v>
      </c>
      <c r="F137" s="50">
        <v>6.5051406992595178</v>
      </c>
      <c r="G137" s="50">
        <v>0.18176155444381639</v>
      </c>
      <c r="H137" s="50">
        <v>4.8255559293576916E-2</v>
      </c>
      <c r="I137" s="50">
        <v>1.5236835904141635</v>
      </c>
      <c r="J137" s="50">
        <v>0.14489569947508035</v>
      </c>
      <c r="K137" s="50">
        <v>0</v>
      </c>
    </row>
    <row r="138" spans="1:11">
      <c r="A138" s="1">
        <v>12</v>
      </c>
      <c r="B138" s="13">
        <v>37818</v>
      </c>
      <c r="C138" s="5">
        <v>2003</v>
      </c>
      <c r="D138" s="10" t="s">
        <v>10</v>
      </c>
      <c r="E138" s="5">
        <v>7</v>
      </c>
      <c r="F138" s="50">
        <v>6.0535765478145125</v>
      </c>
      <c r="G138" s="50">
        <v>0.12641502347927966</v>
      </c>
      <c r="H138" s="50">
        <v>0</v>
      </c>
      <c r="I138" s="50">
        <v>1.4262158378112171</v>
      </c>
      <c r="J138" s="50">
        <v>0.15003230225962186</v>
      </c>
      <c r="K138" s="50">
        <v>0</v>
      </c>
    </row>
    <row r="139" spans="1:11">
      <c r="A139" s="1">
        <v>13</v>
      </c>
      <c r="B139" s="13">
        <v>37818</v>
      </c>
      <c r="C139" s="5">
        <v>2003</v>
      </c>
      <c r="D139" s="10" t="s">
        <v>10</v>
      </c>
      <c r="E139" s="5">
        <v>7</v>
      </c>
      <c r="F139" s="50">
        <v>6.58335560767273</v>
      </c>
      <c r="G139" s="50">
        <v>0.16889182974400288</v>
      </c>
      <c r="H139" s="50">
        <v>4.9092442272546312E-2</v>
      </c>
      <c r="I139" s="50">
        <v>1.5345801116252418</v>
      </c>
      <c r="J139" s="50">
        <v>0.17411166722348972</v>
      </c>
      <c r="K139" s="50">
        <v>0</v>
      </c>
    </row>
    <row r="140" spans="1:11">
      <c r="A140" s="1">
        <v>11</v>
      </c>
      <c r="B140" s="13">
        <v>37846</v>
      </c>
      <c r="C140" s="5">
        <v>2003</v>
      </c>
      <c r="D140" s="10" t="s">
        <v>11</v>
      </c>
      <c r="E140" s="5">
        <v>8</v>
      </c>
      <c r="F140" s="50">
        <v>4.5407838560447962</v>
      </c>
      <c r="G140" s="50">
        <v>0.13128955567799624</v>
      </c>
      <c r="H140" s="50">
        <v>0</v>
      </c>
      <c r="I140" s="50">
        <v>1.3295078169763914</v>
      </c>
      <c r="J140" s="50">
        <v>4.9228154826732692E-2</v>
      </c>
      <c r="K140" s="50">
        <v>0</v>
      </c>
    </row>
    <row r="141" spans="1:11">
      <c r="A141" s="1">
        <v>12</v>
      </c>
      <c r="B141" s="13">
        <v>37846</v>
      </c>
      <c r="C141" s="5">
        <v>2003</v>
      </c>
      <c r="D141" s="10" t="s">
        <v>11</v>
      </c>
      <c r="E141" s="5">
        <v>8</v>
      </c>
      <c r="F141" s="50">
        <v>3.7189576159817936</v>
      </c>
      <c r="G141" s="50">
        <v>4.7577285699421712E-2</v>
      </c>
      <c r="H141" s="50">
        <v>0</v>
      </c>
      <c r="I141" s="50">
        <v>1.0467911152771305</v>
      </c>
      <c r="J141" s="50">
        <v>4.3439947379466243E-2</v>
      </c>
      <c r="K141" s="50">
        <v>0</v>
      </c>
    </row>
    <row r="142" spans="1:11">
      <c r="A142" s="1">
        <v>13</v>
      </c>
      <c r="B142" s="13">
        <v>37846</v>
      </c>
      <c r="C142" s="5">
        <v>2003</v>
      </c>
      <c r="D142" s="10" t="s">
        <v>11</v>
      </c>
      <c r="E142" s="5">
        <v>8</v>
      </c>
      <c r="F142" s="50">
        <v>10.711076709545047</v>
      </c>
      <c r="G142" s="50">
        <v>0.19422818224362742</v>
      </c>
      <c r="H142" s="50">
        <v>0</v>
      </c>
      <c r="I142" s="50">
        <v>3.5803623952044212</v>
      </c>
      <c r="J142" s="50">
        <v>0.15122868772861633</v>
      </c>
      <c r="K142" s="50">
        <v>0</v>
      </c>
    </row>
    <row r="143" spans="1:11">
      <c r="A143" s="1">
        <v>11</v>
      </c>
      <c r="B143" s="13">
        <v>37886</v>
      </c>
      <c r="C143" s="5">
        <v>2003</v>
      </c>
      <c r="D143" s="10" t="s">
        <v>12</v>
      </c>
      <c r="E143" s="5">
        <v>9</v>
      </c>
      <c r="F143" s="50">
        <v>4.2536354087212249</v>
      </c>
      <c r="G143" s="50">
        <v>6.7357800263588646E-2</v>
      </c>
      <c r="H143" s="50">
        <v>0</v>
      </c>
      <c r="I143" s="50">
        <v>1.0031016120243779</v>
      </c>
      <c r="J143" s="50">
        <v>7.8561217128649219E-2</v>
      </c>
      <c r="K143" s="50">
        <v>0</v>
      </c>
    </row>
    <row r="144" spans="1:11">
      <c r="A144" s="1">
        <v>12</v>
      </c>
      <c r="B144" s="13">
        <v>37886</v>
      </c>
      <c r="C144" s="5">
        <v>2003</v>
      </c>
      <c r="D144" s="10" t="s">
        <v>12</v>
      </c>
      <c r="E144" s="5">
        <v>9</v>
      </c>
      <c r="F144" s="50">
        <v>3.1023816465487308</v>
      </c>
      <c r="G144" s="50">
        <v>3.2899516300811581E-2</v>
      </c>
      <c r="H144" s="50">
        <v>0</v>
      </c>
      <c r="I144" s="50">
        <v>0.79147673709216049</v>
      </c>
      <c r="J144" s="50">
        <v>7.2287376548971313E-2</v>
      </c>
      <c r="K144" s="50">
        <v>0</v>
      </c>
    </row>
    <row r="145" spans="1:18">
      <c r="A145" s="1">
        <v>13</v>
      </c>
      <c r="B145" s="13">
        <v>37886</v>
      </c>
      <c r="C145" s="5">
        <v>2003</v>
      </c>
      <c r="D145" s="10" t="s">
        <v>12</v>
      </c>
      <c r="E145" s="5">
        <v>9</v>
      </c>
      <c r="F145" s="50">
        <v>13.142605853309073</v>
      </c>
      <c r="G145" s="50">
        <v>0.55280683036087264</v>
      </c>
      <c r="H145" s="50">
        <v>0</v>
      </c>
      <c r="I145" s="50">
        <v>3.9831909031615851</v>
      </c>
      <c r="J145" s="50">
        <v>0.11979716761760784</v>
      </c>
      <c r="K145" s="50">
        <v>0</v>
      </c>
    </row>
    <row r="146" spans="1:18">
      <c r="A146" s="1">
        <v>11</v>
      </c>
      <c r="B146" s="13">
        <v>37910</v>
      </c>
      <c r="C146" s="5">
        <v>2003</v>
      </c>
      <c r="D146" s="10" t="s">
        <v>0</v>
      </c>
      <c r="E146" s="5">
        <v>10</v>
      </c>
      <c r="F146" s="6">
        <v>3.8068</v>
      </c>
      <c r="G146" s="6">
        <v>5.1957383941687647E-2</v>
      </c>
      <c r="H146" s="6">
        <v>0</v>
      </c>
      <c r="I146" s="6">
        <v>0.93134827756924476</v>
      </c>
      <c r="J146" s="6">
        <v>3.6916700543619195E-2</v>
      </c>
      <c r="K146" s="6">
        <v>0</v>
      </c>
    </row>
    <row r="147" spans="1:18">
      <c r="A147" s="1">
        <v>12</v>
      </c>
      <c r="B147" s="13">
        <v>37910</v>
      </c>
      <c r="C147" s="5">
        <v>2003</v>
      </c>
      <c r="D147" s="10" t="s">
        <v>0</v>
      </c>
      <c r="E147" s="5">
        <v>10</v>
      </c>
      <c r="F147" s="6">
        <v>3.6869999999999998</v>
      </c>
      <c r="G147" s="6">
        <v>2.5649842033089995E-2</v>
      </c>
      <c r="H147" s="6">
        <v>0</v>
      </c>
      <c r="I147" s="6">
        <v>0.80979879140503963</v>
      </c>
      <c r="J147" s="6">
        <v>2.3725839338018338E-2</v>
      </c>
      <c r="K147" s="6">
        <v>0</v>
      </c>
    </row>
    <row r="148" spans="1:18">
      <c r="A148" s="1">
        <v>13</v>
      </c>
      <c r="B148" s="13">
        <v>37910</v>
      </c>
      <c r="C148" s="5">
        <v>2003</v>
      </c>
      <c r="D148" s="10" t="s">
        <v>0</v>
      </c>
      <c r="E148" s="5">
        <v>10</v>
      </c>
      <c r="F148" s="6">
        <v>3.1741999999999999</v>
      </c>
      <c r="G148" s="6">
        <v>7.0483787417965391E-2</v>
      </c>
      <c r="H148" s="6">
        <v>0</v>
      </c>
      <c r="I148" s="6">
        <v>0.61377676831994654</v>
      </c>
      <c r="J148" s="6">
        <v>4.017307436404341E-2</v>
      </c>
      <c r="K148" s="6">
        <v>0</v>
      </c>
    </row>
    <row r="149" spans="1:18">
      <c r="A149" s="1">
        <v>11</v>
      </c>
      <c r="B149" s="13">
        <v>37942</v>
      </c>
      <c r="C149" s="5">
        <v>2003</v>
      </c>
      <c r="D149" s="10" t="s">
        <v>2</v>
      </c>
      <c r="E149" s="5">
        <v>11</v>
      </c>
      <c r="F149" s="6">
        <v>4.8413000000000004</v>
      </c>
      <c r="G149" s="6">
        <v>0.11228905157681913</v>
      </c>
      <c r="H149" s="6">
        <v>0</v>
      </c>
      <c r="I149" s="6">
        <v>1.3173269554706923</v>
      </c>
      <c r="J149" s="6">
        <v>4.3447615135408457E-2</v>
      </c>
      <c r="K149" s="6">
        <v>0</v>
      </c>
    </row>
    <row r="150" spans="1:18">
      <c r="A150" s="1">
        <v>12</v>
      </c>
      <c r="B150" s="13">
        <v>37942</v>
      </c>
      <c r="C150" s="5">
        <v>2003</v>
      </c>
      <c r="D150" s="10" t="s">
        <v>2</v>
      </c>
      <c r="E150" s="5">
        <v>11</v>
      </c>
      <c r="F150" s="6">
        <v>3.2201</v>
      </c>
      <c r="G150" s="6">
        <v>6.7456715119782157E-2</v>
      </c>
      <c r="H150" s="6">
        <v>0</v>
      </c>
      <c r="I150" s="6">
        <v>0.79199886929580077</v>
      </c>
      <c r="J150" s="6">
        <v>3.4302199117123275E-2</v>
      </c>
      <c r="K150" s="6">
        <v>0</v>
      </c>
    </row>
    <row r="151" spans="1:18">
      <c r="A151" s="1">
        <v>13</v>
      </c>
      <c r="B151" s="13">
        <v>37942</v>
      </c>
      <c r="C151" s="5">
        <v>2003</v>
      </c>
      <c r="D151" s="10" t="s">
        <v>2</v>
      </c>
      <c r="E151" s="5">
        <v>11</v>
      </c>
      <c r="F151" s="6">
        <v>5.569</v>
      </c>
      <c r="G151" s="6">
        <v>6.3811667168690189E-2</v>
      </c>
      <c r="H151" s="6">
        <v>0</v>
      </c>
      <c r="I151" s="6">
        <v>1.334186781333782</v>
      </c>
      <c r="J151" s="6">
        <v>3.8601675026404297E-2</v>
      </c>
      <c r="K151" s="6">
        <v>0</v>
      </c>
    </row>
    <row r="152" spans="1:18">
      <c r="A152" s="1">
        <v>11</v>
      </c>
      <c r="B152" s="13">
        <v>37971</v>
      </c>
      <c r="C152" s="5">
        <v>2003</v>
      </c>
      <c r="D152" s="10" t="s">
        <v>3</v>
      </c>
      <c r="E152" s="5">
        <v>12</v>
      </c>
      <c r="F152" s="6">
        <v>3.92</v>
      </c>
      <c r="G152" s="6">
        <v>0.1694587067773953</v>
      </c>
      <c r="H152" s="6">
        <v>0</v>
      </c>
      <c r="I152" s="6">
        <v>0.92641531772651942</v>
      </c>
      <c r="J152" s="6">
        <v>2.0643451948078498E-2</v>
      </c>
      <c r="K152" s="6">
        <v>0</v>
      </c>
    </row>
    <row r="153" spans="1:18">
      <c r="A153" s="1">
        <v>12</v>
      </c>
      <c r="B153" s="13">
        <v>37971</v>
      </c>
      <c r="C153" s="5">
        <v>2003</v>
      </c>
      <c r="D153" s="10" t="s">
        <v>3</v>
      </c>
      <c r="E153" s="5">
        <v>12</v>
      </c>
      <c r="F153" s="6">
        <v>4.3407999999999998</v>
      </c>
      <c r="G153" s="6">
        <v>0.13682492368917237</v>
      </c>
      <c r="H153" s="6">
        <v>0</v>
      </c>
      <c r="I153" s="6">
        <v>1.1899397734898358</v>
      </c>
      <c r="J153" s="6">
        <v>1.9868902264510095E-2</v>
      </c>
      <c r="K153" s="6">
        <v>0</v>
      </c>
    </row>
    <row r="154" spans="1:18" ht="25.5">
      <c r="A154" s="1">
        <v>13</v>
      </c>
      <c r="B154" s="13">
        <v>37971</v>
      </c>
      <c r="C154" s="5">
        <v>2003</v>
      </c>
      <c r="D154" s="10" t="s">
        <v>3</v>
      </c>
      <c r="E154" s="5">
        <v>12</v>
      </c>
      <c r="F154" s="6">
        <v>4.5111999999999997</v>
      </c>
      <c r="G154" s="6">
        <v>0.11936726931516636</v>
      </c>
      <c r="H154" s="6">
        <v>0</v>
      </c>
      <c r="I154" s="6">
        <v>1.3101490921158321</v>
      </c>
      <c r="J154" s="6">
        <v>1.5835596477880087E-2</v>
      </c>
      <c r="K154" s="6">
        <v>0</v>
      </c>
      <c r="L154" s="35" t="s">
        <v>42</v>
      </c>
      <c r="M154" s="33" t="s">
        <v>35</v>
      </c>
      <c r="N154" s="33" t="s">
        <v>36</v>
      </c>
      <c r="O154" s="33" t="s">
        <v>37</v>
      </c>
      <c r="P154" s="33" t="s">
        <v>38</v>
      </c>
      <c r="Q154" s="33" t="s">
        <v>39</v>
      </c>
      <c r="R154" s="33" t="s">
        <v>40</v>
      </c>
    </row>
    <row r="155" spans="1:18">
      <c r="A155" s="37">
        <v>11</v>
      </c>
      <c r="B155" s="51">
        <v>37998</v>
      </c>
      <c r="C155" s="41">
        <v>2004</v>
      </c>
      <c r="D155" s="47" t="s">
        <v>4</v>
      </c>
      <c r="E155" s="41">
        <v>1</v>
      </c>
      <c r="F155" s="53">
        <v>11.2464</v>
      </c>
      <c r="G155" s="53">
        <v>4.9257430716762342E-2</v>
      </c>
      <c r="H155" s="53">
        <v>0</v>
      </c>
      <c r="I155" s="53">
        <v>3.6971911775045836</v>
      </c>
      <c r="J155" s="53">
        <v>1.5760368466281663E-2</v>
      </c>
      <c r="K155" s="53">
        <v>0</v>
      </c>
      <c r="L155" s="35" t="s">
        <v>49</v>
      </c>
      <c r="M155" s="21">
        <f>AVERAGE(F155:F190)</f>
        <v>7.0652124999999995</v>
      </c>
      <c r="N155" s="21">
        <f>AVERAGE(G155:G190)</f>
        <v>0.12099746549816598</v>
      </c>
      <c r="O155" s="21">
        <f>AVERAGE(H155:H190)</f>
        <v>6.9188516813171129E-4</v>
      </c>
      <c r="P155" s="21">
        <f>AVERAGE(I155:I190)</f>
        <v>2.085754499575879</v>
      </c>
      <c r="Q155" s="21">
        <f t="shared" ref="Q155:R155" si="1">AVERAGE(J155:J190)</f>
        <v>5.7671903198375167E-2</v>
      </c>
      <c r="R155" s="21">
        <f t="shared" si="1"/>
        <v>0</v>
      </c>
    </row>
    <row r="156" spans="1:18">
      <c r="A156" s="1">
        <v>12</v>
      </c>
      <c r="B156" s="13">
        <v>37998</v>
      </c>
      <c r="C156" s="5">
        <v>2004</v>
      </c>
      <c r="D156" s="10" t="s">
        <v>4</v>
      </c>
      <c r="E156" s="5">
        <v>1</v>
      </c>
      <c r="F156" s="6">
        <v>8.6221999999999994</v>
      </c>
      <c r="G156" s="6">
        <v>3.9365345337830961E-2</v>
      </c>
      <c r="H156" s="6">
        <v>0</v>
      </c>
      <c r="I156" s="6">
        <v>2.7540841760994961</v>
      </c>
      <c r="J156" s="6">
        <v>1.6129202502105075E-2</v>
      </c>
      <c r="K156" s="6">
        <v>0</v>
      </c>
    </row>
    <row r="157" spans="1:18">
      <c r="A157" s="1">
        <v>13</v>
      </c>
      <c r="B157" s="13">
        <v>37998</v>
      </c>
      <c r="C157" s="5">
        <v>2004</v>
      </c>
      <c r="D157" s="10" t="s">
        <v>4</v>
      </c>
      <c r="E157" s="5">
        <v>1</v>
      </c>
      <c r="F157" s="6">
        <v>8.8927999999999994</v>
      </c>
      <c r="G157" s="6">
        <v>3.8575275212569753E-2</v>
      </c>
      <c r="H157" s="6">
        <v>0</v>
      </c>
      <c r="I157" s="6">
        <v>2.7545533730197231</v>
      </c>
      <c r="J157" s="6">
        <v>1.4365564827511087E-2</v>
      </c>
      <c r="K157" s="6">
        <v>0</v>
      </c>
    </row>
    <row r="158" spans="1:18">
      <c r="A158" s="1">
        <v>11</v>
      </c>
      <c r="B158" s="13">
        <v>38026</v>
      </c>
      <c r="C158" s="5">
        <v>2004</v>
      </c>
      <c r="D158" s="4" t="s">
        <v>5</v>
      </c>
      <c r="E158" s="5">
        <v>2</v>
      </c>
      <c r="F158" s="6">
        <v>10.513199999999999</v>
      </c>
      <c r="G158" s="6">
        <v>0.33397054537147164</v>
      </c>
      <c r="H158" s="6">
        <v>0</v>
      </c>
      <c r="I158" s="6">
        <v>3.3928981313643551</v>
      </c>
      <c r="J158" s="6">
        <v>2.678906065631825E-2</v>
      </c>
      <c r="K158" s="6">
        <v>0</v>
      </c>
    </row>
    <row r="159" spans="1:18">
      <c r="A159" s="1">
        <v>12</v>
      </c>
      <c r="B159" s="13">
        <v>38026</v>
      </c>
      <c r="C159" s="5">
        <v>2004</v>
      </c>
      <c r="D159" s="4" t="s">
        <v>5</v>
      </c>
      <c r="E159" s="5">
        <v>2</v>
      </c>
      <c r="F159" s="6">
        <v>7.7442000000000002</v>
      </c>
      <c r="G159" s="6">
        <v>0.15392051521273245</v>
      </c>
      <c r="H159" s="6">
        <v>0</v>
      </c>
      <c r="I159" s="6">
        <v>2.4485607490234975</v>
      </c>
      <c r="J159" s="6">
        <v>2.4359852773418299E-2</v>
      </c>
      <c r="K159" s="6">
        <v>0</v>
      </c>
    </row>
    <row r="160" spans="1:18">
      <c r="A160" s="1">
        <v>13</v>
      </c>
      <c r="B160" s="13">
        <v>38026</v>
      </c>
      <c r="C160" s="5">
        <v>2004</v>
      </c>
      <c r="D160" s="4" t="s">
        <v>5</v>
      </c>
      <c r="E160" s="5">
        <v>2</v>
      </c>
      <c r="F160" s="6">
        <v>7.9497</v>
      </c>
      <c r="G160" s="6">
        <v>0.23408982207284412</v>
      </c>
      <c r="H160" s="6">
        <v>0</v>
      </c>
      <c r="I160" s="6">
        <v>2.5488635206380792</v>
      </c>
      <c r="J160" s="6">
        <v>2.2943820413453317E-2</v>
      </c>
      <c r="K160" s="6">
        <v>0</v>
      </c>
    </row>
    <row r="161" spans="1:11">
      <c r="A161" s="1">
        <v>11</v>
      </c>
      <c r="B161" s="13">
        <v>38061</v>
      </c>
      <c r="C161" s="5">
        <v>2004</v>
      </c>
      <c r="D161" s="4" t="s">
        <v>6</v>
      </c>
      <c r="E161" s="5">
        <v>3</v>
      </c>
      <c r="F161" s="6">
        <v>7.3631000000000002</v>
      </c>
      <c r="G161" s="6">
        <v>0.18406605091588557</v>
      </c>
      <c r="H161" s="6">
        <v>0</v>
      </c>
      <c r="I161" s="6">
        <v>3.0024074779196406</v>
      </c>
      <c r="J161" s="6">
        <v>5.68193513745609E-2</v>
      </c>
      <c r="K161" s="6">
        <v>0</v>
      </c>
    </row>
    <row r="162" spans="1:11">
      <c r="A162" s="1">
        <v>12</v>
      </c>
      <c r="B162" s="13">
        <v>38061</v>
      </c>
      <c r="C162" s="5">
        <v>2004</v>
      </c>
      <c r="D162" s="4" t="s">
        <v>6</v>
      </c>
      <c r="E162" s="5">
        <v>3</v>
      </c>
      <c r="F162" s="6">
        <v>7.0602999999999998</v>
      </c>
      <c r="G162" s="6">
        <v>0.25464506174903367</v>
      </c>
      <c r="H162" s="6">
        <v>0</v>
      </c>
      <c r="I162" s="6">
        <v>2.7913365965378549</v>
      </c>
      <c r="J162" s="6">
        <v>3.3875499731458363E-2</v>
      </c>
      <c r="K162" s="6">
        <v>0</v>
      </c>
    </row>
    <row r="163" spans="1:11">
      <c r="A163" s="1">
        <v>13</v>
      </c>
      <c r="B163" s="13">
        <v>38061</v>
      </c>
      <c r="C163" s="5">
        <v>2004</v>
      </c>
      <c r="D163" s="4" t="s">
        <v>6</v>
      </c>
      <c r="E163" s="5">
        <v>3</v>
      </c>
      <c r="F163" s="6">
        <v>5.5250000000000004</v>
      </c>
      <c r="G163" s="6">
        <v>0.34106172905722992</v>
      </c>
      <c r="H163" s="6">
        <v>0</v>
      </c>
      <c r="I163" s="6">
        <v>2.0877719480598564</v>
      </c>
      <c r="J163" s="6">
        <v>5.0367866786962569E-2</v>
      </c>
      <c r="K163" s="6">
        <v>0</v>
      </c>
    </row>
    <row r="164" spans="1:11">
      <c r="A164" s="1">
        <v>11</v>
      </c>
      <c r="B164" s="13">
        <v>38093</v>
      </c>
      <c r="C164" s="5">
        <v>2004</v>
      </c>
      <c r="D164" s="4" t="s">
        <v>7</v>
      </c>
      <c r="E164" s="5">
        <v>4</v>
      </c>
      <c r="F164" s="6">
        <v>2.2610000000000001</v>
      </c>
      <c r="G164" s="6">
        <v>6.5263731479753867E-2</v>
      </c>
      <c r="H164" s="6">
        <v>0</v>
      </c>
      <c r="I164" s="6">
        <v>0.63957856125469259</v>
      </c>
      <c r="J164" s="6">
        <v>2.4833100487574544E-2</v>
      </c>
      <c r="K164" s="6">
        <v>0</v>
      </c>
    </row>
    <row r="165" spans="1:11">
      <c r="A165" s="1">
        <v>12</v>
      </c>
      <c r="B165" s="13">
        <v>38093</v>
      </c>
      <c r="C165" s="5">
        <v>2004</v>
      </c>
      <c r="D165" s="4" t="s">
        <v>7</v>
      </c>
      <c r="E165" s="5">
        <v>4</v>
      </c>
      <c r="F165" s="6">
        <v>1.8019000000000001</v>
      </c>
      <c r="G165" s="6">
        <v>5.2192355365586224E-2</v>
      </c>
      <c r="H165" s="6">
        <v>0</v>
      </c>
      <c r="I165" s="6">
        <v>0.4072977558515376</v>
      </c>
      <c r="J165" s="6">
        <v>1.8351640154420257E-2</v>
      </c>
      <c r="K165" s="6">
        <v>0</v>
      </c>
    </row>
    <row r="166" spans="1:11">
      <c r="A166" s="1">
        <v>13</v>
      </c>
      <c r="B166" s="13">
        <v>38093</v>
      </c>
      <c r="C166" s="5">
        <v>2004</v>
      </c>
      <c r="D166" s="4" t="s">
        <v>7</v>
      </c>
      <c r="E166" s="5">
        <v>4</v>
      </c>
      <c r="F166" s="6">
        <v>3.4596</v>
      </c>
      <c r="G166" s="6">
        <v>4.0618298143635732E-2</v>
      </c>
      <c r="H166" s="6">
        <v>2.2832210548346471E-2</v>
      </c>
      <c r="I166" s="6">
        <v>1.1038725735418771</v>
      </c>
      <c r="J166" s="6">
        <v>3.2097076233406047E-2</v>
      </c>
      <c r="K166" s="6">
        <v>0</v>
      </c>
    </row>
    <row r="167" spans="1:11">
      <c r="A167" s="1">
        <v>11</v>
      </c>
      <c r="B167" s="13">
        <v>38117</v>
      </c>
      <c r="C167" s="5">
        <v>2004</v>
      </c>
      <c r="D167" s="4" t="s">
        <v>8</v>
      </c>
      <c r="E167" s="5">
        <v>5</v>
      </c>
      <c r="F167" s="6">
        <v>4.9371999999999998</v>
      </c>
      <c r="G167" s="6">
        <v>0.20867167585237326</v>
      </c>
      <c r="H167" s="6">
        <v>0</v>
      </c>
      <c r="I167" s="6">
        <v>1.6100857064739558</v>
      </c>
      <c r="J167" s="6">
        <v>1.6191275147653016E-2</v>
      </c>
      <c r="K167" s="6">
        <v>0</v>
      </c>
    </row>
    <row r="168" spans="1:11">
      <c r="A168" s="1">
        <v>12</v>
      </c>
      <c r="B168" s="13">
        <v>38117</v>
      </c>
      <c r="C168" s="5">
        <v>2004</v>
      </c>
      <c r="D168" s="4" t="s">
        <v>8</v>
      </c>
      <c r="E168" s="5">
        <v>5</v>
      </c>
      <c r="F168" s="6">
        <v>2.9653</v>
      </c>
      <c r="G168" s="6">
        <v>0.12655352138126949</v>
      </c>
      <c r="H168" s="6">
        <v>0</v>
      </c>
      <c r="I168" s="6">
        <v>0.84690802432131007</v>
      </c>
      <c r="J168" s="6">
        <v>1.2692177126340727E-2</v>
      </c>
      <c r="K168" s="6">
        <v>0</v>
      </c>
    </row>
    <row r="169" spans="1:11">
      <c r="A169" s="1">
        <v>13</v>
      </c>
      <c r="B169" s="13">
        <v>38117</v>
      </c>
      <c r="C169" s="5">
        <v>2004</v>
      </c>
      <c r="D169" s="4" t="s">
        <v>8</v>
      </c>
      <c r="E169" s="5">
        <v>5</v>
      </c>
      <c r="F169" s="6">
        <v>2.9287000000000001</v>
      </c>
      <c r="G169" s="6">
        <v>0.1810841132355917</v>
      </c>
      <c r="H169" s="6">
        <v>0</v>
      </c>
      <c r="I169" s="6">
        <v>0.85126551786532056</v>
      </c>
      <c r="J169" s="6">
        <v>1.0542508534415494E-2</v>
      </c>
      <c r="K169" s="6">
        <v>0</v>
      </c>
    </row>
    <row r="170" spans="1:11">
      <c r="A170" s="1">
        <v>11</v>
      </c>
      <c r="B170" s="13">
        <v>38160</v>
      </c>
      <c r="C170" s="5">
        <v>2004</v>
      </c>
      <c r="D170" s="4" t="s">
        <v>9</v>
      </c>
      <c r="E170" s="5">
        <v>6</v>
      </c>
      <c r="F170" s="6">
        <v>7.8769999999999998</v>
      </c>
      <c r="G170" s="6">
        <v>0.23024114308043489</v>
      </c>
      <c r="H170" s="6">
        <v>0</v>
      </c>
      <c r="I170" s="6">
        <v>2.1581524060972521</v>
      </c>
      <c r="J170" s="6">
        <v>7.8933593964726476E-2</v>
      </c>
      <c r="K170" s="6">
        <v>0</v>
      </c>
    </row>
    <row r="171" spans="1:11">
      <c r="A171" s="1">
        <v>12</v>
      </c>
      <c r="B171" s="13">
        <v>38160</v>
      </c>
      <c r="C171" s="5">
        <v>2004</v>
      </c>
      <c r="D171" s="4" t="s">
        <v>9</v>
      </c>
      <c r="E171" s="5">
        <v>6</v>
      </c>
      <c r="F171" s="6">
        <v>7.3765999999999998</v>
      </c>
      <c r="G171" s="6">
        <v>0.20919179113905606</v>
      </c>
      <c r="H171" s="6">
        <v>0</v>
      </c>
      <c r="I171" s="6">
        <v>1.7373711827316012</v>
      </c>
      <c r="J171" s="6">
        <v>8.9545748068955627E-2</v>
      </c>
      <c r="K171" s="6">
        <v>0</v>
      </c>
    </row>
    <row r="172" spans="1:11">
      <c r="A172" s="1">
        <v>13</v>
      </c>
      <c r="B172" s="13">
        <v>38160</v>
      </c>
      <c r="C172" s="5">
        <v>2004</v>
      </c>
      <c r="D172" s="4" t="s">
        <v>9</v>
      </c>
      <c r="E172" s="5">
        <v>6</v>
      </c>
      <c r="F172" s="6">
        <v>10.226000000000001</v>
      </c>
      <c r="G172" s="6">
        <v>0.25846215017468394</v>
      </c>
      <c r="H172" s="6">
        <v>0</v>
      </c>
      <c r="I172" s="6">
        <v>2.6309626752157644</v>
      </c>
      <c r="J172" s="6">
        <v>0.112320005607152</v>
      </c>
      <c r="K172" s="6">
        <v>0</v>
      </c>
    </row>
    <row r="173" spans="1:11">
      <c r="A173" s="1">
        <v>11</v>
      </c>
      <c r="B173" s="13">
        <v>38183</v>
      </c>
      <c r="C173" s="5">
        <v>2004</v>
      </c>
      <c r="D173" s="10" t="s">
        <v>10</v>
      </c>
      <c r="E173" s="5">
        <v>7</v>
      </c>
      <c r="F173" s="6">
        <v>14.6899</v>
      </c>
      <c r="G173" s="6">
        <v>0.18122687970976248</v>
      </c>
      <c r="H173" s="6">
        <v>0</v>
      </c>
      <c r="I173" s="6">
        <v>4.749554972316238</v>
      </c>
      <c r="J173" s="6">
        <v>0.14701362813420379</v>
      </c>
      <c r="K173" s="6">
        <v>0</v>
      </c>
    </row>
    <row r="174" spans="1:11">
      <c r="A174" s="1">
        <v>12</v>
      </c>
      <c r="B174" s="13">
        <v>38183</v>
      </c>
      <c r="C174" s="5">
        <v>2004</v>
      </c>
      <c r="D174" s="10" t="s">
        <v>10</v>
      </c>
      <c r="E174" s="5">
        <v>7</v>
      </c>
      <c r="F174" s="6">
        <v>8.7265999999999995</v>
      </c>
      <c r="G174" s="6">
        <v>7.5135736232372713E-2</v>
      </c>
      <c r="H174" s="6">
        <v>0</v>
      </c>
      <c r="I174" s="6">
        <v>2.8062664694408261</v>
      </c>
      <c r="J174" s="6">
        <v>6.4155481407246459E-2</v>
      </c>
      <c r="K174" s="6">
        <v>0</v>
      </c>
    </row>
    <row r="175" spans="1:11">
      <c r="A175" s="1">
        <v>13</v>
      </c>
      <c r="B175" s="13">
        <v>38183</v>
      </c>
      <c r="C175" s="5">
        <v>2004</v>
      </c>
      <c r="D175" s="10" t="s">
        <v>10</v>
      </c>
      <c r="E175" s="5">
        <v>7</v>
      </c>
      <c r="F175" s="6">
        <v>10.5932</v>
      </c>
      <c r="G175" s="6">
        <v>0.3133429785884394</v>
      </c>
      <c r="H175" s="6">
        <v>0</v>
      </c>
      <c r="I175" s="6">
        <v>2.7075589762777907</v>
      </c>
      <c r="J175" s="6">
        <v>7.8188488680549131E-2</v>
      </c>
      <c r="K175" s="6">
        <v>0</v>
      </c>
    </row>
    <row r="176" spans="1:11">
      <c r="A176" s="1">
        <v>11</v>
      </c>
      <c r="B176" s="13">
        <v>38218</v>
      </c>
      <c r="C176" s="5">
        <v>2004</v>
      </c>
      <c r="D176" s="10" t="s">
        <v>11</v>
      </c>
      <c r="E176" s="5">
        <v>8</v>
      </c>
      <c r="F176" s="6">
        <v>11.2111</v>
      </c>
      <c r="G176" s="6"/>
      <c r="H176" s="6"/>
      <c r="I176" s="6"/>
      <c r="J176" s="6"/>
      <c r="K176" s="6"/>
    </row>
    <row r="177" spans="1:18">
      <c r="A177" s="1">
        <v>12</v>
      </c>
      <c r="B177" s="13">
        <v>38218</v>
      </c>
      <c r="C177" s="5">
        <v>2004</v>
      </c>
      <c r="D177" s="10" t="s">
        <v>11</v>
      </c>
      <c r="E177" s="5">
        <v>8</v>
      </c>
      <c r="F177" s="6">
        <v>9.3885000000000005</v>
      </c>
      <c r="G177" s="6"/>
      <c r="H177" s="6"/>
      <c r="I177" s="6"/>
      <c r="J177" s="6"/>
      <c r="K177" s="6"/>
    </row>
    <row r="178" spans="1:18">
      <c r="A178" s="1">
        <v>13</v>
      </c>
      <c r="B178" s="13">
        <v>38218</v>
      </c>
      <c r="C178" s="5">
        <v>2004</v>
      </c>
      <c r="D178" s="10" t="s">
        <v>11</v>
      </c>
      <c r="E178" s="5">
        <v>8</v>
      </c>
      <c r="F178" s="6">
        <v>13.0357</v>
      </c>
      <c r="G178" s="6"/>
      <c r="H178" s="6"/>
      <c r="I178" s="6"/>
      <c r="J178" s="6"/>
      <c r="K178" s="6"/>
    </row>
    <row r="179" spans="1:18">
      <c r="A179" s="1">
        <v>11</v>
      </c>
      <c r="B179" s="13">
        <v>38246</v>
      </c>
      <c r="C179" s="5">
        <v>2004</v>
      </c>
      <c r="D179" s="10" t="s">
        <v>12</v>
      </c>
      <c r="E179" s="5">
        <v>9</v>
      </c>
      <c r="F179" s="6">
        <v>4.3521000000000001</v>
      </c>
      <c r="G179" s="6">
        <v>1.7273895707203366E-2</v>
      </c>
      <c r="H179" s="6">
        <v>0</v>
      </c>
      <c r="I179" s="6">
        <v>1.6145385057381063</v>
      </c>
      <c r="J179" s="6">
        <v>0.12219155621286505</v>
      </c>
      <c r="K179" s="6">
        <v>0</v>
      </c>
    </row>
    <row r="180" spans="1:18">
      <c r="A180" s="1">
        <v>12</v>
      </c>
      <c r="B180" s="13">
        <v>38246</v>
      </c>
      <c r="C180" s="5">
        <v>2004</v>
      </c>
      <c r="D180" s="10" t="s">
        <v>12</v>
      </c>
      <c r="E180" s="5">
        <v>9</v>
      </c>
      <c r="F180" s="6">
        <v>5.0631000000000004</v>
      </c>
      <c r="G180" s="6">
        <v>1.6024531170876152E-2</v>
      </c>
      <c r="H180" s="6">
        <v>0</v>
      </c>
      <c r="I180" s="6">
        <v>1.7783215857050327</v>
      </c>
      <c r="J180" s="6">
        <v>0.15231197598264903</v>
      </c>
      <c r="K180" s="6">
        <v>0</v>
      </c>
    </row>
    <row r="181" spans="1:18">
      <c r="A181" s="1">
        <v>13</v>
      </c>
      <c r="B181" s="13">
        <v>38246</v>
      </c>
      <c r="C181" s="5">
        <v>2004</v>
      </c>
      <c r="D181" s="10" t="s">
        <v>12</v>
      </c>
      <c r="E181" s="5">
        <v>9</v>
      </c>
      <c r="F181" s="6">
        <v>2.5247999999999999</v>
      </c>
      <c r="G181" s="6">
        <v>0</v>
      </c>
      <c r="H181" s="6">
        <v>0</v>
      </c>
      <c r="I181" s="6">
        <v>0.75210382550039512</v>
      </c>
      <c r="J181" s="6">
        <v>0.18195703333662638</v>
      </c>
      <c r="K181" s="6">
        <v>0</v>
      </c>
    </row>
    <row r="182" spans="1:18">
      <c r="A182" s="1">
        <v>11</v>
      </c>
      <c r="B182" s="13">
        <v>38274</v>
      </c>
      <c r="C182" s="5">
        <v>2004</v>
      </c>
      <c r="D182" s="10" t="s">
        <v>0</v>
      </c>
      <c r="E182" s="5">
        <v>10</v>
      </c>
      <c r="F182" s="19">
        <v>7.8294300000000003</v>
      </c>
      <c r="G182" s="10">
        <v>2.647261391745221E-2</v>
      </c>
      <c r="H182" s="10">
        <v>0</v>
      </c>
      <c r="I182" s="10">
        <v>2.1054986414099757</v>
      </c>
      <c r="J182" s="10">
        <v>0.12443921283058797</v>
      </c>
      <c r="K182" s="10">
        <v>0</v>
      </c>
    </row>
    <row r="183" spans="1:18">
      <c r="A183" s="1">
        <v>12</v>
      </c>
      <c r="B183" s="13">
        <v>38274</v>
      </c>
      <c r="C183" s="5">
        <v>2004</v>
      </c>
      <c r="D183" s="10" t="s">
        <v>0</v>
      </c>
      <c r="E183" s="5">
        <v>10</v>
      </c>
      <c r="F183" s="19">
        <v>4.15266</v>
      </c>
      <c r="G183" s="10">
        <v>1.5406273755327824E-2</v>
      </c>
      <c r="H183" s="10">
        <v>0</v>
      </c>
      <c r="I183" s="10">
        <v>1.0797877642108888</v>
      </c>
      <c r="J183" s="10">
        <v>8.1178926427704551E-2</v>
      </c>
      <c r="K183" s="10">
        <v>0</v>
      </c>
    </row>
    <row r="184" spans="1:18">
      <c r="A184" s="1">
        <v>13</v>
      </c>
      <c r="B184" s="13">
        <v>38274</v>
      </c>
      <c r="C184" s="5">
        <v>2004</v>
      </c>
      <c r="D184" s="10" t="s">
        <v>0</v>
      </c>
      <c r="E184" s="5">
        <v>10</v>
      </c>
      <c r="F184" s="19">
        <v>5.6451799999999999</v>
      </c>
      <c r="G184" s="10">
        <v>7.3496285453922311E-2</v>
      </c>
      <c r="H184" s="10">
        <v>0</v>
      </c>
      <c r="I184" s="10">
        <v>1.2105146050751232</v>
      </c>
      <c r="J184" s="10">
        <v>0.15122104067342917</v>
      </c>
      <c r="K184" s="10">
        <v>0</v>
      </c>
    </row>
    <row r="185" spans="1:18">
      <c r="A185" s="1">
        <v>11</v>
      </c>
      <c r="B185" s="13">
        <v>38309</v>
      </c>
      <c r="C185" s="5">
        <v>2004</v>
      </c>
      <c r="D185" s="10" t="s">
        <v>2</v>
      </c>
      <c r="E185" s="5">
        <v>11</v>
      </c>
      <c r="F185" s="19">
        <v>5.3161199999999997</v>
      </c>
      <c r="G185" s="10">
        <v>4.3714278544189432E-2</v>
      </c>
      <c r="H185" s="10">
        <v>0</v>
      </c>
      <c r="I185" s="10">
        <v>1.7220291323551182</v>
      </c>
      <c r="J185" s="10">
        <v>3.2650781158634123E-2</v>
      </c>
      <c r="K185" s="10">
        <v>0</v>
      </c>
    </row>
    <row r="186" spans="1:18">
      <c r="A186" s="1">
        <v>12</v>
      </c>
      <c r="B186" s="13">
        <v>38309</v>
      </c>
      <c r="C186" s="5">
        <v>2004</v>
      </c>
      <c r="D186" s="10" t="s">
        <v>2</v>
      </c>
      <c r="E186" s="5">
        <v>11</v>
      </c>
      <c r="F186" s="19">
        <v>3.90544</v>
      </c>
      <c r="G186" s="10">
        <v>3.8173183723446073E-2</v>
      </c>
      <c r="H186" s="10">
        <v>0</v>
      </c>
      <c r="I186" s="10">
        <v>1.1734586126559425</v>
      </c>
      <c r="J186" s="10">
        <v>2.3180553884585609E-2</v>
      </c>
      <c r="K186" s="10">
        <v>0</v>
      </c>
    </row>
    <row r="187" spans="1:18">
      <c r="A187" s="1">
        <v>13</v>
      </c>
      <c r="B187" s="13">
        <v>38309</v>
      </c>
      <c r="C187" s="5">
        <v>2004</v>
      </c>
      <c r="D187" s="10" t="s">
        <v>2</v>
      </c>
      <c r="E187" s="5">
        <v>11</v>
      </c>
      <c r="F187" s="19">
        <v>4.2647000000000004</v>
      </c>
      <c r="G187" s="10">
        <v>2.6062967438509905E-2</v>
      </c>
      <c r="H187" s="10">
        <v>0</v>
      </c>
      <c r="I187" s="10">
        <v>1.3395430218210533</v>
      </c>
      <c r="J187" s="10">
        <v>2.8183928706920439E-2</v>
      </c>
      <c r="K187" s="10">
        <v>0</v>
      </c>
    </row>
    <row r="188" spans="1:18">
      <c r="A188" s="1">
        <v>11</v>
      </c>
      <c r="B188" s="13">
        <v>38337</v>
      </c>
      <c r="C188" s="5">
        <v>2004</v>
      </c>
      <c r="D188" s="10" t="s">
        <v>3</v>
      </c>
      <c r="E188" s="5">
        <v>12</v>
      </c>
      <c r="F188" s="19">
        <v>10.83085</v>
      </c>
      <c r="G188" s="10">
        <v>7.1450037037066344E-2</v>
      </c>
      <c r="H188" s="10">
        <v>0</v>
      </c>
      <c r="I188" s="10">
        <v>3.7820720425288656</v>
      </c>
      <c r="J188" s="10">
        <v>2.6837301270379713E-2</v>
      </c>
      <c r="K188" s="10">
        <v>0</v>
      </c>
    </row>
    <row r="189" spans="1:18">
      <c r="A189" s="1">
        <v>12</v>
      </c>
      <c r="B189" s="13">
        <v>38337</v>
      </c>
      <c r="C189" s="5">
        <v>2004</v>
      </c>
      <c r="D189" s="10" t="s">
        <v>3</v>
      </c>
      <c r="E189" s="5">
        <v>12</v>
      </c>
      <c r="F189" s="19">
        <v>6.6114800000000002</v>
      </c>
      <c r="G189" s="10">
        <v>4.5992473272129256E-2</v>
      </c>
      <c r="H189" s="10">
        <v>0</v>
      </c>
      <c r="I189" s="10">
        <v>2.1406654628542259</v>
      </c>
      <c r="J189" s="10">
        <v>1.564341594757087E-2</v>
      </c>
      <c r="K189" s="10">
        <v>0</v>
      </c>
    </row>
    <row r="190" spans="1:18" ht="25.5">
      <c r="A190" s="1">
        <v>13</v>
      </c>
      <c r="B190" s="13">
        <v>38337</v>
      </c>
      <c r="C190" s="5">
        <v>2004</v>
      </c>
      <c r="D190" s="10" t="s">
        <v>3</v>
      </c>
      <c r="E190" s="5">
        <v>12</v>
      </c>
      <c r="F190" s="19">
        <v>7.4565900000000003</v>
      </c>
      <c r="G190" s="10">
        <v>4.7913671390033628E-2</v>
      </c>
      <c r="H190" s="10">
        <v>0</v>
      </c>
      <c r="I190" s="10">
        <v>2.4048233145940414</v>
      </c>
      <c r="J190" s="10">
        <v>1.7101768035714237E-2</v>
      </c>
      <c r="K190" s="10">
        <v>0</v>
      </c>
      <c r="L190" s="35" t="s">
        <v>42</v>
      </c>
      <c r="M190" s="33" t="s">
        <v>35</v>
      </c>
      <c r="N190" s="33" t="s">
        <v>36</v>
      </c>
      <c r="O190" s="33" t="s">
        <v>37</v>
      </c>
      <c r="P190" s="33" t="s">
        <v>38</v>
      </c>
      <c r="Q190" s="33" t="s">
        <v>39</v>
      </c>
      <c r="R190" s="33" t="s">
        <v>40</v>
      </c>
    </row>
    <row r="191" spans="1:18">
      <c r="A191" s="37">
        <v>11</v>
      </c>
      <c r="B191" s="54">
        <v>38364</v>
      </c>
      <c r="C191" s="41">
        <v>2005</v>
      </c>
      <c r="D191" s="47" t="s">
        <v>4</v>
      </c>
      <c r="E191" s="41">
        <v>1</v>
      </c>
      <c r="F191" s="55">
        <v>8.1826799999999995</v>
      </c>
      <c r="G191" s="47">
        <v>7.5478566565867031E-2</v>
      </c>
      <c r="H191" s="47">
        <v>0</v>
      </c>
      <c r="I191" s="47">
        <v>3.1746369142817854</v>
      </c>
      <c r="J191" s="47">
        <v>1.0398757685069536E-2</v>
      </c>
      <c r="K191" s="47">
        <v>0</v>
      </c>
      <c r="L191" s="35" t="s">
        <v>50</v>
      </c>
      <c r="M191" s="21">
        <f>AVERAGE(F191:F226)</f>
        <v>6.603800555555555</v>
      </c>
      <c r="N191" s="21">
        <f>AVERAGE(G191:G226)</f>
        <v>0.162287537378484</v>
      </c>
      <c r="O191" s="21">
        <f>AVERAGE(H191:H226)</f>
        <v>1.7987882100271149E-2</v>
      </c>
      <c r="P191" s="21">
        <f>AVERAGE(I191:I226)</f>
        <v>1.9786761463041331</v>
      </c>
      <c r="Q191" s="21">
        <f t="shared" ref="Q191:R191" si="2">AVERAGE(J191:J226)</f>
        <v>0.1080654425749128</v>
      </c>
      <c r="R191" s="21">
        <f t="shared" si="2"/>
        <v>2.5000000000000005E-5</v>
      </c>
    </row>
    <row r="192" spans="1:18">
      <c r="A192" s="1">
        <v>12</v>
      </c>
      <c r="B192" s="16">
        <v>38364</v>
      </c>
      <c r="C192" s="5">
        <v>2005</v>
      </c>
      <c r="D192" s="10" t="s">
        <v>4</v>
      </c>
      <c r="E192" s="5">
        <v>1</v>
      </c>
      <c r="F192" s="19">
        <v>6.3224999999999998</v>
      </c>
      <c r="G192" s="10">
        <v>7.2708783467580751E-2</v>
      </c>
      <c r="H192" s="10">
        <v>0</v>
      </c>
      <c r="I192" s="10">
        <v>2.3375118016277927</v>
      </c>
      <c r="J192" s="10">
        <v>1.3132349591770979E-2</v>
      </c>
      <c r="K192" s="10">
        <v>0</v>
      </c>
    </row>
    <row r="193" spans="1:11">
      <c r="A193" s="1">
        <v>13</v>
      </c>
      <c r="B193" s="16">
        <v>38364</v>
      </c>
      <c r="C193" s="5">
        <v>2005</v>
      </c>
      <c r="D193" s="10" t="s">
        <v>4</v>
      </c>
      <c r="E193" s="5">
        <v>1</v>
      </c>
      <c r="F193" s="19">
        <v>4.9944100000000002</v>
      </c>
      <c r="G193" s="10">
        <v>6.0740527535524697E-2</v>
      </c>
      <c r="H193" s="10">
        <v>0</v>
      </c>
      <c r="I193" s="10">
        <v>1.7581885025816095</v>
      </c>
      <c r="J193" s="10">
        <v>1.2074158907698099E-2</v>
      </c>
      <c r="K193" s="10">
        <v>0</v>
      </c>
    </row>
    <row r="194" spans="1:11">
      <c r="A194" s="1">
        <v>11</v>
      </c>
      <c r="B194" s="16">
        <v>38398</v>
      </c>
      <c r="C194" s="5">
        <v>2005</v>
      </c>
      <c r="D194" s="4" t="s">
        <v>5</v>
      </c>
      <c r="E194" s="5">
        <v>2</v>
      </c>
      <c r="F194" s="19">
        <v>8.4402000000000008</v>
      </c>
      <c r="G194" s="10">
        <v>0.35404087982700283</v>
      </c>
      <c r="H194" s="10">
        <v>0</v>
      </c>
      <c r="I194" s="10">
        <v>2.7355993098911542</v>
      </c>
      <c r="J194" s="10">
        <v>2.1226540369461769E-2</v>
      </c>
      <c r="K194" s="10">
        <v>0</v>
      </c>
    </row>
    <row r="195" spans="1:11">
      <c r="A195" s="1">
        <v>12</v>
      </c>
      <c r="B195" s="16">
        <v>38398</v>
      </c>
      <c r="C195" s="5">
        <v>2005</v>
      </c>
      <c r="D195" s="4" t="s">
        <v>5</v>
      </c>
      <c r="E195" s="5">
        <v>2</v>
      </c>
      <c r="F195" s="19">
        <v>8.54068</v>
      </c>
      <c r="G195" s="10">
        <v>0.35326072116846241</v>
      </c>
      <c r="H195" s="10">
        <v>0</v>
      </c>
      <c r="I195" s="10">
        <v>2.7438280949049449</v>
      </c>
      <c r="J195" s="10">
        <v>2.1351364075241727E-2</v>
      </c>
      <c r="K195" s="10">
        <v>0</v>
      </c>
    </row>
    <row r="196" spans="1:11">
      <c r="A196" s="1">
        <v>13</v>
      </c>
      <c r="B196" s="16">
        <v>38398</v>
      </c>
      <c r="C196" s="5">
        <v>2005</v>
      </c>
      <c r="D196" s="4" t="s">
        <v>5</v>
      </c>
      <c r="E196" s="5">
        <v>2</v>
      </c>
      <c r="F196" s="19">
        <v>3.43594</v>
      </c>
      <c r="G196" s="10">
        <v>7.9025243046809829E-2</v>
      </c>
      <c r="H196" s="10">
        <v>0</v>
      </c>
      <c r="I196" s="10">
        <v>1.232268201983129</v>
      </c>
      <c r="J196" s="10">
        <v>2.7756648456539388E-2</v>
      </c>
      <c r="K196" s="10">
        <v>0</v>
      </c>
    </row>
    <row r="197" spans="1:11">
      <c r="A197" s="1">
        <v>11</v>
      </c>
      <c r="B197" s="16">
        <v>38427</v>
      </c>
      <c r="C197" s="5">
        <v>2005</v>
      </c>
      <c r="D197" s="4" t="s">
        <v>6</v>
      </c>
      <c r="E197" s="5">
        <v>3</v>
      </c>
      <c r="F197" s="19">
        <v>2.9179499999999998</v>
      </c>
      <c r="G197" s="10">
        <v>0.76093816727360153</v>
      </c>
      <c r="H197" s="10">
        <v>0</v>
      </c>
      <c r="I197" s="10">
        <v>0.4423653351319396</v>
      </c>
      <c r="J197" s="10">
        <v>7.2049119931984276E-3</v>
      </c>
      <c r="K197" s="10">
        <v>0</v>
      </c>
    </row>
    <row r="198" spans="1:11">
      <c r="A198" s="1">
        <v>12</v>
      </c>
      <c r="B198" s="16">
        <v>38427</v>
      </c>
      <c r="C198" s="5">
        <v>2005</v>
      </c>
      <c r="D198" s="4" t="s">
        <v>6</v>
      </c>
      <c r="E198" s="5">
        <v>3</v>
      </c>
      <c r="F198" s="19">
        <v>2.10453</v>
      </c>
      <c r="G198" s="10">
        <v>0.49424851163647865</v>
      </c>
      <c r="H198" s="10">
        <v>0</v>
      </c>
      <c r="I198" s="10">
        <v>0.25741647014000679</v>
      </c>
      <c r="J198" s="10">
        <v>5.9410020510767955E-3</v>
      </c>
      <c r="K198" s="10">
        <v>0</v>
      </c>
    </row>
    <row r="199" spans="1:11">
      <c r="A199" s="1">
        <v>13</v>
      </c>
      <c r="B199" s="16">
        <v>38427</v>
      </c>
      <c r="C199" s="5">
        <v>2005</v>
      </c>
      <c r="D199" s="4" t="s">
        <v>6</v>
      </c>
      <c r="E199" s="5">
        <v>3</v>
      </c>
      <c r="F199" s="19">
        <v>0.86712999999999996</v>
      </c>
      <c r="G199" s="10">
        <v>0.17070164297739318</v>
      </c>
      <c r="H199" s="10">
        <v>0</v>
      </c>
      <c r="I199" s="10">
        <v>0.15478008602873131</v>
      </c>
      <c r="J199" s="10">
        <v>5.4907166253169055E-3</v>
      </c>
      <c r="K199" s="10">
        <v>0</v>
      </c>
    </row>
    <row r="200" spans="1:11">
      <c r="A200" s="1">
        <v>11</v>
      </c>
      <c r="B200" s="16">
        <v>38470</v>
      </c>
      <c r="C200" s="5">
        <v>2005</v>
      </c>
      <c r="D200" s="4" t="s">
        <v>7</v>
      </c>
      <c r="E200" s="5">
        <v>4</v>
      </c>
      <c r="F200" s="19">
        <v>5.6201699999999999</v>
      </c>
      <c r="G200" s="10">
        <v>6.3574632882968787E-2</v>
      </c>
      <c r="H200" s="10">
        <v>0</v>
      </c>
      <c r="I200" s="10">
        <v>1.8904466951684977</v>
      </c>
      <c r="J200" s="10">
        <v>1.7128703758354746E-2</v>
      </c>
      <c r="K200" s="10">
        <v>0</v>
      </c>
    </row>
    <row r="201" spans="1:11">
      <c r="A201" s="1">
        <v>12</v>
      </c>
      <c r="B201" s="16">
        <v>38470</v>
      </c>
      <c r="C201" s="5">
        <v>2005</v>
      </c>
      <c r="D201" s="4" t="s">
        <v>7</v>
      </c>
      <c r="E201" s="5">
        <v>4</v>
      </c>
      <c r="F201" s="19">
        <v>3.6750799999999999</v>
      </c>
      <c r="G201" s="10">
        <v>4.6892023323111313E-2</v>
      </c>
      <c r="H201" s="10">
        <v>0</v>
      </c>
      <c r="I201" s="10">
        <v>1.1962520814292867</v>
      </c>
      <c r="J201" s="10">
        <v>1.0267594122518098E-2</v>
      </c>
      <c r="K201" s="10">
        <v>0</v>
      </c>
    </row>
    <row r="202" spans="1:11">
      <c r="A202" s="1">
        <v>13</v>
      </c>
      <c r="B202" s="16">
        <v>38470</v>
      </c>
      <c r="C202" s="5">
        <v>2005</v>
      </c>
      <c r="D202" s="4" t="s">
        <v>7</v>
      </c>
      <c r="E202" s="5">
        <v>4</v>
      </c>
      <c r="F202" s="19">
        <v>4.2923299999999998</v>
      </c>
      <c r="G202" s="10">
        <v>4.7706651195047224E-2</v>
      </c>
      <c r="H202" s="10">
        <v>5.427872567048974E-2</v>
      </c>
      <c r="I202" s="10">
        <v>1.514283755131417</v>
      </c>
      <c r="J202" s="10">
        <v>2.4644356904985645E-2</v>
      </c>
      <c r="K202" s="10">
        <v>0</v>
      </c>
    </row>
    <row r="203" spans="1:11">
      <c r="A203" s="1">
        <v>11</v>
      </c>
      <c r="B203" s="16">
        <v>38488</v>
      </c>
      <c r="C203" s="5">
        <v>2005</v>
      </c>
      <c r="D203" s="4" t="s">
        <v>8</v>
      </c>
      <c r="E203" s="5">
        <v>5</v>
      </c>
      <c r="F203" s="19">
        <v>3.2892600000000001</v>
      </c>
      <c r="G203" s="10">
        <v>3.4772556754998817E-2</v>
      </c>
      <c r="H203" s="10">
        <v>0</v>
      </c>
      <c r="I203" s="10">
        <v>0.89012177908933021</v>
      </c>
      <c r="J203" s="10">
        <v>1.4431488922119555E-2</v>
      </c>
      <c r="K203" s="10">
        <v>0</v>
      </c>
    </row>
    <row r="204" spans="1:11">
      <c r="A204" s="1">
        <v>12</v>
      </c>
      <c r="B204" s="16">
        <v>38488</v>
      </c>
      <c r="C204" s="5">
        <v>2005</v>
      </c>
      <c r="D204" s="4" t="s">
        <v>8</v>
      </c>
      <c r="E204" s="5">
        <v>5</v>
      </c>
      <c r="F204" s="19">
        <v>1.8287899999999999</v>
      </c>
      <c r="G204" s="10">
        <v>3.1857814694829234E-2</v>
      </c>
      <c r="H204" s="10">
        <v>0</v>
      </c>
      <c r="I204" s="10">
        <v>0.43728732265410813</v>
      </c>
      <c r="J204" s="10">
        <v>7.422550666077765E-3</v>
      </c>
      <c r="K204" s="10">
        <v>0</v>
      </c>
    </row>
    <row r="205" spans="1:11">
      <c r="A205" s="1">
        <v>13</v>
      </c>
      <c r="B205" s="16">
        <v>38488</v>
      </c>
      <c r="C205" s="5">
        <v>2005</v>
      </c>
      <c r="D205" s="4" t="s">
        <v>8</v>
      </c>
      <c r="E205" s="5">
        <v>5</v>
      </c>
      <c r="F205" s="19">
        <v>1.7048399999999999</v>
      </c>
      <c r="G205" s="10">
        <v>3.2253084532680228E-2</v>
      </c>
      <c r="H205" s="10">
        <v>0</v>
      </c>
      <c r="I205" s="10">
        <v>0.34894387812072031</v>
      </c>
      <c r="J205" s="10">
        <v>1.4850519178791653E-2</v>
      </c>
      <c r="K205" s="10">
        <v>0</v>
      </c>
    </row>
    <row r="206" spans="1:11">
      <c r="A206" s="1">
        <v>11</v>
      </c>
      <c r="B206" s="16">
        <v>38525</v>
      </c>
      <c r="C206" s="5">
        <v>2005</v>
      </c>
      <c r="D206" s="4" t="s">
        <v>9</v>
      </c>
      <c r="E206" s="5">
        <v>6</v>
      </c>
      <c r="F206" s="19">
        <v>6.0249600000000001</v>
      </c>
      <c r="G206" s="10">
        <v>8.7379743602930618E-2</v>
      </c>
      <c r="H206" s="10">
        <v>0.14954562632813362</v>
      </c>
      <c r="I206" s="10">
        <v>2.3093637097973772</v>
      </c>
      <c r="J206" s="10">
        <v>5.2109325081626238E-2</v>
      </c>
      <c r="K206" s="10">
        <v>0</v>
      </c>
    </row>
    <row r="207" spans="1:11">
      <c r="A207" s="1">
        <v>12</v>
      </c>
      <c r="B207" s="16">
        <v>38525</v>
      </c>
      <c r="C207" s="5">
        <v>2005</v>
      </c>
      <c r="D207" s="4" t="s">
        <v>9</v>
      </c>
      <c r="E207" s="5">
        <v>6</v>
      </c>
      <c r="F207" s="19">
        <v>6.7552099999999999</v>
      </c>
      <c r="G207" s="10">
        <v>7.8043282531859132E-2</v>
      </c>
      <c r="H207" s="10">
        <v>0.12937845620708019</v>
      </c>
      <c r="I207" s="10">
        <v>2.4433574197972687</v>
      </c>
      <c r="J207" s="10">
        <v>4.4114828722937496E-2</v>
      </c>
      <c r="K207" s="10">
        <v>0</v>
      </c>
    </row>
    <row r="208" spans="1:11">
      <c r="A208" s="1">
        <v>13</v>
      </c>
      <c r="B208" s="16">
        <v>38525</v>
      </c>
      <c r="C208" s="5">
        <v>2005</v>
      </c>
      <c r="D208" s="4" t="s">
        <v>9</v>
      </c>
      <c r="E208" s="5">
        <v>6</v>
      </c>
      <c r="F208" s="19">
        <v>6.4130900000000004</v>
      </c>
      <c r="G208" s="10">
        <v>6.2236623460820858E-2</v>
      </c>
      <c r="H208" s="10">
        <v>0.1712906947359174</v>
      </c>
      <c r="I208" s="10">
        <v>2.4085294098155603</v>
      </c>
      <c r="J208" s="10">
        <v>5.95589985099296E-2</v>
      </c>
      <c r="K208" s="10">
        <v>0</v>
      </c>
    </row>
    <row r="209" spans="1:11">
      <c r="A209" s="1">
        <v>11</v>
      </c>
      <c r="B209" s="16">
        <v>38546</v>
      </c>
      <c r="C209" s="5">
        <v>2005</v>
      </c>
      <c r="D209" s="10" t="s">
        <v>10</v>
      </c>
      <c r="E209" s="5">
        <v>7</v>
      </c>
      <c r="F209" s="19">
        <v>11.095750000000001</v>
      </c>
      <c r="G209" s="10">
        <v>0.48372881875535212</v>
      </c>
      <c r="H209" s="10">
        <v>0</v>
      </c>
      <c r="I209" s="10">
        <v>2.8001459068051604</v>
      </c>
      <c r="J209" s="10">
        <v>0.32685472564041307</v>
      </c>
      <c r="K209" s="10">
        <v>0</v>
      </c>
    </row>
    <row r="210" spans="1:11">
      <c r="A210" s="1">
        <v>12</v>
      </c>
      <c r="B210" s="16">
        <v>38546</v>
      </c>
      <c r="C210" s="5">
        <v>2005</v>
      </c>
      <c r="D210" s="10" t="s">
        <v>10</v>
      </c>
      <c r="E210" s="5">
        <v>7</v>
      </c>
      <c r="F210" s="19">
        <v>16.865120000000001</v>
      </c>
      <c r="G210" s="10">
        <v>0.80734781315962179</v>
      </c>
      <c r="H210" s="10">
        <v>7.5418472587968757E-2</v>
      </c>
      <c r="I210" s="10">
        <v>3.9571620036493922</v>
      </c>
      <c r="J210" s="10">
        <v>0.55291589598329083</v>
      </c>
      <c r="K210" s="10">
        <v>0</v>
      </c>
    </row>
    <row r="211" spans="1:11">
      <c r="A211" s="1">
        <v>13</v>
      </c>
      <c r="B211" s="16">
        <v>38546</v>
      </c>
      <c r="C211" s="5">
        <v>2005</v>
      </c>
      <c r="D211" s="10" t="s">
        <v>10</v>
      </c>
      <c r="E211" s="5">
        <v>7</v>
      </c>
      <c r="F211" s="19">
        <v>17.255890000000001</v>
      </c>
      <c r="G211" s="10">
        <v>0.5862258115030704</v>
      </c>
      <c r="H211" s="10">
        <v>6.6751780080171713E-2</v>
      </c>
      <c r="I211" s="10">
        <v>3.6180434396005614</v>
      </c>
      <c r="J211" s="10">
        <v>0.912971669153674</v>
      </c>
      <c r="K211" s="10">
        <v>0</v>
      </c>
    </row>
    <row r="212" spans="1:11">
      <c r="A212" s="1">
        <v>11</v>
      </c>
      <c r="B212" s="16">
        <v>38587</v>
      </c>
      <c r="C212" s="5">
        <v>2005</v>
      </c>
      <c r="D212" s="10" t="s">
        <v>11</v>
      </c>
      <c r="E212" s="5">
        <v>8</v>
      </c>
      <c r="F212" s="19">
        <v>10.53126</v>
      </c>
      <c r="G212" s="10">
        <v>0.14075532547653286</v>
      </c>
      <c r="H212" s="10">
        <v>0</v>
      </c>
      <c r="I212" s="10">
        <v>3.8454101806555356</v>
      </c>
      <c r="J212" s="10">
        <v>9.8718647556600786E-2</v>
      </c>
      <c r="K212" s="10">
        <v>0</v>
      </c>
    </row>
    <row r="213" spans="1:11">
      <c r="A213" s="1">
        <v>12</v>
      </c>
      <c r="B213" s="16">
        <v>38587</v>
      </c>
      <c r="C213" s="5">
        <v>2005</v>
      </c>
      <c r="D213" s="10" t="s">
        <v>11</v>
      </c>
      <c r="E213" s="5">
        <v>8</v>
      </c>
      <c r="F213" s="19">
        <v>9.8003099999999996</v>
      </c>
      <c r="G213" s="10">
        <v>9.9714731176877111E-2</v>
      </c>
      <c r="H213" s="10">
        <v>0</v>
      </c>
      <c r="I213" s="10">
        <v>3.2607610348782901</v>
      </c>
      <c r="J213" s="10">
        <v>9.7426749226591336E-2</v>
      </c>
      <c r="K213" s="10">
        <v>0</v>
      </c>
    </row>
    <row r="214" spans="1:11">
      <c r="A214" s="1">
        <v>13</v>
      </c>
      <c r="B214" s="16">
        <v>38587</v>
      </c>
      <c r="C214" s="5">
        <v>2005</v>
      </c>
      <c r="D214" s="10" t="s">
        <v>11</v>
      </c>
      <c r="E214" s="5">
        <v>8</v>
      </c>
      <c r="F214" s="19">
        <v>11.50888</v>
      </c>
      <c r="G214" s="10">
        <v>0.24314447957205104</v>
      </c>
      <c r="H214" s="10">
        <v>0</v>
      </c>
      <c r="I214" s="10">
        <v>3.7986573666588286</v>
      </c>
      <c r="J214" s="10">
        <v>0.10057198766267536</v>
      </c>
      <c r="K214" s="10">
        <v>0</v>
      </c>
    </row>
    <row r="215" spans="1:11">
      <c r="A215" s="1">
        <v>11</v>
      </c>
      <c r="B215" s="16">
        <v>38609</v>
      </c>
      <c r="C215" s="5">
        <v>2005</v>
      </c>
      <c r="D215" s="10" t="s">
        <v>12</v>
      </c>
      <c r="E215" s="5">
        <v>9</v>
      </c>
      <c r="F215" s="19">
        <v>9.4169599999999996</v>
      </c>
      <c r="G215" s="10">
        <v>0.11106202592328614</v>
      </c>
      <c r="H215" s="10">
        <v>0</v>
      </c>
      <c r="I215" s="10">
        <v>3.0650845232158894</v>
      </c>
      <c r="J215" s="10">
        <v>0.3254667363547219</v>
      </c>
      <c r="K215" s="10">
        <v>0</v>
      </c>
    </row>
    <row r="216" spans="1:11">
      <c r="A216" s="1">
        <v>12</v>
      </c>
      <c r="B216" s="16">
        <v>38609</v>
      </c>
      <c r="C216" s="5">
        <v>2005</v>
      </c>
      <c r="D216" s="10" t="s">
        <v>12</v>
      </c>
      <c r="E216" s="5">
        <v>9</v>
      </c>
      <c r="F216" s="19">
        <v>7.8674499999999998</v>
      </c>
      <c r="G216" s="10">
        <v>8.872255946404739E-2</v>
      </c>
      <c r="H216" s="10">
        <v>0</v>
      </c>
      <c r="I216" s="10">
        <v>2.4405102499280402</v>
      </c>
      <c r="J216" s="10">
        <v>0.25393561641540929</v>
      </c>
      <c r="K216" s="10">
        <v>0</v>
      </c>
    </row>
    <row r="217" spans="1:11">
      <c r="A217" s="1">
        <v>13</v>
      </c>
      <c r="B217" s="16">
        <v>38609</v>
      </c>
      <c r="C217" s="5">
        <v>2005</v>
      </c>
      <c r="D217" s="10" t="s">
        <v>12</v>
      </c>
      <c r="E217" s="5">
        <v>9</v>
      </c>
      <c r="F217" s="19">
        <v>13.38785</v>
      </c>
      <c r="G217" s="10">
        <v>0.21709032411661716</v>
      </c>
      <c r="H217" s="10">
        <v>0</v>
      </c>
      <c r="I217" s="10">
        <v>3.4181857939824307</v>
      </c>
      <c r="J217" s="10">
        <v>0.55248908908077066</v>
      </c>
      <c r="K217" s="10">
        <v>0</v>
      </c>
    </row>
    <row r="218" spans="1:11">
      <c r="A218" s="1">
        <v>11</v>
      </c>
      <c r="B218" s="16">
        <v>38643</v>
      </c>
      <c r="C218" s="5">
        <v>2005</v>
      </c>
      <c r="D218" s="10" t="s">
        <v>0</v>
      </c>
      <c r="E218" s="5">
        <v>10</v>
      </c>
      <c r="F218" s="56">
        <v>5.6131000000000002</v>
      </c>
      <c r="G218" s="56">
        <v>1.26E-2</v>
      </c>
      <c r="H218" s="56">
        <v>1E-4</v>
      </c>
      <c r="I218" s="56">
        <v>1.8831</v>
      </c>
      <c r="J218" s="56">
        <v>6.8099999999999994E-2</v>
      </c>
      <c r="K218" s="56">
        <v>1E-4</v>
      </c>
    </row>
    <row r="219" spans="1:11">
      <c r="A219" s="1">
        <v>12</v>
      </c>
      <c r="B219" s="16">
        <v>38643</v>
      </c>
      <c r="C219" s="5">
        <v>2005</v>
      </c>
      <c r="D219" s="10" t="s">
        <v>0</v>
      </c>
      <c r="E219" s="5">
        <v>10</v>
      </c>
      <c r="F219" s="56">
        <v>5.6215000000000002</v>
      </c>
      <c r="G219" s="56">
        <v>1.03E-2</v>
      </c>
      <c r="H219" s="56">
        <v>1E-4</v>
      </c>
      <c r="I219" s="56">
        <v>1.7775000000000001</v>
      </c>
      <c r="J219" s="56">
        <v>6.2700000000000006E-2</v>
      </c>
      <c r="K219" s="56">
        <v>1E-4</v>
      </c>
    </row>
    <row r="220" spans="1:11">
      <c r="A220" s="1">
        <v>13</v>
      </c>
      <c r="B220" s="16">
        <v>38643</v>
      </c>
      <c r="C220" s="5">
        <v>2005</v>
      </c>
      <c r="D220" s="10" t="s">
        <v>0</v>
      </c>
      <c r="E220" s="5">
        <v>10</v>
      </c>
      <c r="F220" s="56">
        <v>6.0598000000000001</v>
      </c>
      <c r="G220" s="56">
        <v>1.1900000000000001E-2</v>
      </c>
      <c r="H220" s="56">
        <v>1E-4</v>
      </c>
      <c r="I220" s="56">
        <v>1.8792</v>
      </c>
      <c r="J220" s="56">
        <v>7.1400000000000005E-2</v>
      </c>
      <c r="K220" s="56">
        <v>1E-4</v>
      </c>
    </row>
    <row r="221" spans="1:11">
      <c r="A221" s="1">
        <v>11</v>
      </c>
      <c r="B221" s="16">
        <v>38670</v>
      </c>
      <c r="C221" s="5">
        <v>2005</v>
      </c>
      <c r="D221" s="10" t="s">
        <v>2</v>
      </c>
      <c r="E221" s="5">
        <v>11</v>
      </c>
      <c r="F221" s="56">
        <v>4.7024999999999997</v>
      </c>
      <c r="G221" s="56">
        <v>1.43E-2</v>
      </c>
      <c r="H221" s="56">
        <v>1E-4</v>
      </c>
      <c r="I221" s="56">
        <v>1.1791</v>
      </c>
      <c r="J221" s="56">
        <v>2.6499999999999999E-2</v>
      </c>
      <c r="K221" s="56">
        <v>1E-4</v>
      </c>
    </row>
    <row r="222" spans="1:11">
      <c r="A222" s="1">
        <v>12</v>
      </c>
      <c r="B222" s="16">
        <v>38670</v>
      </c>
      <c r="C222" s="5">
        <v>2005</v>
      </c>
      <c r="D222" s="10" t="s">
        <v>2</v>
      </c>
      <c r="E222" s="5">
        <v>11</v>
      </c>
      <c r="F222" s="56">
        <v>4.1001000000000003</v>
      </c>
      <c r="G222" s="56">
        <v>1.35E-2</v>
      </c>
      <c r="H222" s="56">
        <v>1E-4</v>
      </c>
      <c r="I222" s="56">
        <v>0.95930000000000004</v>
      </c>
      <c r="J222" s="56">
        <v>2.2700000000000001E-2</v>
      </c>
      <c r="K222" s="56">
        <v>1E-4</v>
      </c>
    </row>
    <row r="223" spans="1:11">
      <c r="A223" s="1">
        <v>13</v>
      </c>
      <c r="B223" s="16">
        <v>38670</v>
      </c>
      <c r="C223" s="5">
        <v>2005</v>
      </c>
      <c r="D223" s="10" t="s">
        <v>2</v>
      </c>
      <c r="E223" s="5">
        <v>11</v>
      </c>
      <c r="F223" s="56">
        <v>3.3422000000000001</v>
      </c>
      <c r="G223" s="56">
        <v>1.2800000000000001E-2</v>
      </c>
      <c r="H223" s="56">
        <v>1E-4</v>
      </c>
      <c r="I223" s="56">
        <v>0.76929999999999998</v>
      </c>
      <c r="J223" s="56">
        <v>2.8199999999999999E-2</v>
      </c>
      <c r="K223" s="56">
        <v>1E-4</v>
      </c>
    </row>
    <row r="224" spans="1:11">
      <c r="A224" s="1">
        <v>11</v>
      </c>
      <c r="B224" s="16">
        <v>38706</v>
      </c>
      <c r="C224" s="5">
        <v>2005</v>
      </c>
      <c r="D224" s="10" t="s">
        <v>3</v>
      </c>
      <c r="E224" s="5">
        <v>12</v>
      </c>
      <c r="F224" s="56">
        <v>4.9904000000000002</v>
      </c>
      <c r="G224" s="56">
        <v>2.7799999999999998E-2</v>
      </c>
      <c r="H224" s="56">
        <v>1E-4</v>
      </c>
      <c r="I224" s="56">
        <v>1.4658</v>
      </c>
      <c r="J224" s="56">
        <v>7.7000000000000002E-3</v>
      </c>
      <c r="K224" s="56">
        <v>1E-4</v>
      </c>
    </row>
    <row r="225" spans="1:18">
      <c r="A225" s="1">
        <v>12</v>
      </c>
      <c r="B225" s="16">
        <v>38706</v>
      </c>
      <c r="C225" s="5">
        <v>2005</v>
      </c>
      <c r="D225" s="10" t="s">
        <v>3</v>
      </c>
      <c r="E225" s="5">
        <v>12</v>
      </c>
      <c r="F225" s="56">
        <v>4.7717000000000001</v>
      </c>
      <c r="G225" s="56">
        <v>2.2499999999999999E-2</v>
      </c>
      <c r="H225" s="56">
        <v>1E-4</v>
      </c>
      <c r="I225" s="56">
        <v>1.3328</v>
      </c>
      <c r="J225" s="56">
        <v>6.1000000000000004E-3</v>
      </c>
      <c r="K225" s="56">
        <v>1E-4</v>
      </c>
    </row>
    <row r="226" spans="1:18" ht="25.5">
      <c r="A226" s="1">
        <v>13</v>
      </c>
      <c r="B226" s="16">
        <v>38706</v>
      </c>
      <c r="C226" s="5">
        <v>2005</v>
      </c>
      <c r="D226" s="10" t="s">
        <v>3</v>
      </c>
      <c r="E226" s="5">
        <v>12</v>
      </c>
      <c r="F226" s="56">
        <v>5.3963000000000001</v>
      </c>
      <c r="G226" s="56">
        <v>3.3000000000000002E-2</v>
      </c>
      <c r="H226" s="56">
        <v>1E-4</v>
      </c>
      <c r="I226" s="56">
        <v>1.5071000000000001</v>
      </c>
      <c r="J226" s="56">
        <v>6.4999999999999997E-3</v>
      </c>
      <c r="K226" s="56">
        <v>1E-4</v>
      </c>
      <c r="L226" s="35" t="s">
        <v>43</v>
      </c>
      <c r="M226" s="33" t="s">
        <v>35</v>
      </c>
      <c r="N226" s="33" t="s">
        <v>36</v>
      </c>
      <c r="O226" s="33" t="s">
        <v>37</v>
      </c>
      <c r="P226" s="33" t="s">
        <v>38</v>
      </c>
      <c r="Q226" s="33" t="s">
        <v>39</v>
      </c>
      <c r="R226" s="33" t="s">
        <v>40</v>
      </c>
    </row>
    <row r="227" spans="1:18">
      <c r="A227" s="41">
        <v>11</v>
      </c>
      <c r="B227" s="54">
        <v>38737</v>
      </c>
      <c r="C227" s="41">
        <v>2006</v>
      </c>
      <c r="D227" s="43" t="s">
        <v>4</v>
      </c>
      <c r="E227" s="41">
        <v>1</v>
      </c>
      <c r="F227" s="57">
        <v>3.8893</v>
      </c>
      <c r="G227" s="57">
        <v>0.21029999999999999</v>
      </c>
      <c r="H227" s="57">
        <v>2.8899999999999999E-2</v>
      </c>
      <c r="I227" s="57">
        <v>1.0504</v>
      </c>
      <c r="J227" s="57">
        <v>1.84E-2</v>
      </c>
      <c r="K227" s="57">
        <v>1E-4</v>
      </c>
      <c r="L227" s="35" t="s">
        <v>51</v>
      </c>
      <c r="M227" s="21">
        <f>AVERAGE(F227:F262)</f>
        <v>5.4295111111111112</v>
      </c>
      <c r="N227" s="21">
        <f>AVERAGE(G227:G262)</f>
        <v>7.6986111111111102E-2</v>
      </c>
      <c r="O227" s="21">
        <f>AVERAGE(H227:H262)</f>
        <v>0.1288638694444445</v>
      </c>
      <c r="P227" s="21">
        <f>AVERAGE(I227:I262)</f>
        <v>2.0087555555555552</v>
      </c>
      <c r="Q227" s="21">
        <f t="shared" ref="Q227:R227" si="3">AVERAGE(J227:J262)</f>
        <v>7.4911111111111081E-2</v>
      </c>
      <c r="R227" s="21">
        <f t="shared" si="3"/>
        <v>3.2497499999999992E-4</v>
      </c>
    </row>
    <row r="228" spans="1:18">
      <c r="A228" s="5">
        <v>12</v>
      </c>
      <c r="B228" s="16">
        <v>38740</v>
      </c>
      <c r="C228" s="5">
        <v>2006</v>
      </c>
      <c r="D228" s="4" t="s">
        <v>4</v>
      </c>
      <c r="E228" s="5">
        <v>1</v>
      </c>
      <c r="F228" s="56">
        <v>4.3521000000000001</v>
      </c>
      <c r="G228" s="56">
        <v>0.24990000000000001</v>
      </c>
      <c r="H228" s="56">
        <v>1E-4</v>
      </c>
      <c r="I228" s="56">
        <v>1.2266999999999999</v>
      </c>
      <c r="J228" s="56">
        <v>1.44E-2</v>
      </c>
      <c r="K228" s="56">
        <v>1E-4</v>
      </c>
    </row>
    <row r="229" spans="1:18">
      <c r="A229" s="5">
        <v>13</v>
      </c>
      <c r="B229" s="16">
        <v>38740</v>
      </c>
      <c r="C229" s="5">
        <v>2006</v>
      </c>
      <c r="D229" s="4" t="s">
        <v>4</v>
      </c>
      <c r="E229" s="5">
        <v>1</v>
      </c>
      <c r="F229" s="56">
        <v>4.3926999999999996</v>
      </c>
      <c r="G229" s="56">
        <v>0.19739999999999999</v>
      </c>
      <c r="H229" s="56">
        <v>1E-4</v>
      </c>
      <c r="I229" s="56">
        <v>1.3949</v>
      </c>
      <c r="J229" s="56">
        <v>1.84E-2</v>
      </c>
      <c r="K229" s="56">
        <v>1E-4</v>
      </c>
    </row>
    <row r="230" spans="1:18">
      <c r="A230" s="5">
        <v>11</v>
      </c>
      <c r="B230" s="16">
        <v>38763</v>
      </c>
      <c r="C230" s="10">
        <v>2006</v>
      </c>
      <c r="D230" s="4" t="s">
        <v>14</v>
      </c>
      <c r="E230" s="10">
        <v>2</v>
      </c>
      <c r="F230" s="56">
        <v>3.9405000000000001</v>
      </c>
      <c r="G230" s="56">
        <v>9.1600000000000001E-2</v>
      </c>
      <c r="H230" s="56">
        <v>1E-4</v>
      </c>
      <c r="I230" s="56">
        <v>1.4208000000000001</v>
      </c>
      <c r="J230" s="56">
        <v>2.1399999999999999E-2</v>
      </c>
      <c r="K230" s="56">
        <v>1E-4</v>
      </c>
    </row>
    <row r="231" spans="1:18">
      <c r="A231" s="5">
        <v>12</v>
      </c>
      <c r="B231" s="16">
        <v>38763</v>
      </c>
      <c r="C231" s="10">
        <v>2006</v>
      </c>
      <c r="D231" s="4" t="s">
        <v>14</v>
      </c>
      <c r="E231" s="10">
        <v>2</v>
      </c>
      <c r="F231" s="56">
        <v>3.2296999999999998</v>
      </c>
      <c r="G231" s="56">
        <v>6.8599999999999994E-2</v>
      </c>
      <c r="H231" s="56">
        <v>1E-4</v>
      </c>
      <c r="I231" s="56">
        <v>1.1432</v>
      </c>
      <c r="J231" s="56">
        <v>1.9800000000000002E-2</v>
      </c>
      <c r="K231" s="56">
        <v>1E-4</v>
      </c>
    </row>
    <row r="232" spans="1:18">
      <c r="A232" s="5">
        <v>13</v>
      </c>
      <c r="B232" s="16">
        <v>38763</v>
      </c>
      <c r="C232" s="10">
        <v>2006</v>
      </c>
      <c r="D232" s="4" t="s">
        <v>14</v>
      </c>
      <c r="E232" s="10">
        <v>2</v>
      </c>
      <c r="F232" s="56">
        <v>3.5844</v>
      </c>
      <c r="G232" s="56">
        <v>8.9800000000000005E-2</v>
      </c>
      <c r="H232" s="56">
        <v>1E-4</v>
      </c>
      <c r="I232" s="56">
        <v>1.2597</v>
      </c>
      <c r="J232" s="56">
        <v>1.8700000000000001E-2</v>
      </c>
      <c r="K232" s="56">
        <v>1E-4</v>
      </c>
    </row>
    <row r="233" spans="1:18">
      <c r="A233" s="5">
        <v>11</v>
      </c>
      <c r="B233" s="16">
        <v>38792</v>
      </c>
      <c r="C233" s="5">
        <v>2006</v>
      </c>
      <c r="D233" s="4" t="s">
        <v>15</v>
      </c>
      <c r="E233" s="10">
        <v>3</v>
      </c>
      <c r="F233" s="56">
        <v>4.5331999999999999</v>
      </c>
      <c r="G233" s="56">
        <v>3.85E-2</v>
      </c>
      <c r="H233" s="56">
        <v>1E-4</v>
      </c>
      <c r="I233" s="56">
        <v>1.8281000000000001</v>
      </c>
      <c r="J233" s="56">
        <v>2.07E-2</v>
      </c>
      <c r="K233" s="56">
        <v>1E-4</v>
      </c>
    </row>
    <row r="234" spans="1:18">
      <c r="A234" s="5">
        <v>12</v>
      </c>
      <c r="B234" s="16">
        <v>38792</v>
      </c>
      <c r="C234" s="5">
        <v>2006</v>
      </c>
      <c r="D234" s="4" t="s">
        <v>15</v>
      </c>
      <c r="E234" s="10">
        <v>3</v>
      </c>
      <c r="F234" s="56">
        <v>4.0243000000000002</v>
      </c>
      <c r="G234" s="56">
        <v>3.6299999999999999E-2</v>
      </c>
      <c r="H234" s="56">
        <v>1E-4</v>
      </c>
      <c r="I234" s="56">
        <v>1.5284</v>
      </c>
      <c r="J234" s="56">
        <v>1.8499999999999999E-2</v>
      </c>
      <c r="K234" s="56">
        <v>1E-4</v>
      </c>
    </row>
    <row r="235" spans="1:18">
      <c r="A235" s="5">
        <v>13</v>
      </c>
      <c r="B235" s="16">
        <v>38792</v>
      </c>
      <c r="C235" s="5">
        <v>2006</v>
      </c>
      <c r="D235" s="4" t="s">
        <v>15</v>
      </c>
      <c r="E235" s="10">
        <v>3</v>
      </c>
      <c r="F235" s="56">
        <v>4.0721999999999996</v>
      </c>
      <c r="G235" s="56">
        <v>3.0499999999999999E-2</v>
      </c>
      <c r="H235" s="56">
        <v>1E-4</v>
      </c>
      <c r="I235" s="56">
        <v>1.5130999999999999</v>
      </c>
      <c r="J235" s="56">
        <v>1.8100000000000002E-2</v>
      </c>
      <c r="K235" s="56">
        <v>1E-4</v>
      </c>
    </row>
    <row r="236" spans="1:18">
      <c r="A236" s="5">
        <v>11</v>
      </c>
      <c r="B236" s="2">
        <v>38826</v>
      </c>
      <c r="C236" s="5">
        <v>2006</v>
      </c>
      <c r="D236" s="4" t="s">
        <v>16</v>
      </c>
      <c r="E236" s="5">
        <v>4</v>
      </c>
      <c r="F236" s="56">
        <v>4.0330000000000004</v>
      </c>
      <c r="G236" s="56">
        <v>3.4599999999999999E-2</v>
      </c>
      <c r="H236" s="56">
        <v>1E-4</v>
      </c>
      <c r="I236" s="56">
        <v>1.4144000000000001</v>
      </c>
      <c r="J236" s="56">
        <v>3.7699999999999997E-2</v>
      </c>
      <c r="K236" s="56">
        <v>1E-4</v>
      </c>
    </row>
    <row r="237" spans="1:18">
      <c r="A237" s="5">
        <v>12</v>
      </c>
      <c r="B237" s="2">
        <v>38826</v>
      </c>
      <c r="C237" s="5">
        <v>2006</v>
      </c>
      <c r="D237" s="4" t="s">
        <v>16</v>
      </c>
      <c r="E237" s="5">
        <v>4</v>
      </c>
      <c r="F237" s="56">
        <v>3.0863999999999998</v>
      </c>
      <c r="G237" s="56">
        <v>2.5000000000000001E-2</v>
      </c>
      <c r="H237" s="56">
        <v>1.78E-2</v>
      </c>
      <c r="I237" s="56">
        <v>1.0446</v>
      </c>
      <c r="J237" s="56">
        <v>3.0700000000000002E-2</v>
      </c>
      <c r="K237" s="56">
        <v>1E-4</v>
      </c>
    </row>
    <row r="238" spans="1:18">
      <c r="A238" s="5">
        <v>13</v>
      </c>
      <c r="B238" s="2">
        <v>38826</v>
      </c>
      <c r="C238" s="5">
        <v>2006</v>
      </c>
      <c r="D238" s="4" t="s">
        <v>16</v>
      </c>
      <c r="E238" s="5">
        <v>4</v>
      </c>
      <c r="F238" s="56">
        <v>2.5145</v>
      </c>
      <c r="G238" s="56">
        <v>1.09E-2</v>
      </c>
      <c r="H238" s="56">
        <v>1E-4</v>
      </c>
      <c r="I238" s="56">
        <v>0.82099999999999995</v>
      </c>
      <c r="J238" s="56">
        <v>3.6299999999999999E-2</v>
      </c>
      <c r="K238" s="56">
        <v>1E-4</v>
      </c>
    </row>
    <row r="239" spans="1:18">
      <c r="A239" s="5">
        <v>11</v>
      </c>
      <c r="B239" s="2">
        <v>38853</v>
      </c>
      <c r="C239" s="5">
        <v>2006</v>
      </c>
      <c r="D239" s="4" t="s">
        <v>17</v>
      </c>
      <c r="E239" s="5">
        <v>5</v>
      </c>
      <c r="F239" s="56">
        <v>5.1134000000000004</v>
      </c>
      <c r="G239" s="56">
        <v>3.1800000000000002E-2</v>
      </c>
      <c r="H239" s="56">
        <v>1E-4</v>
      </c>
      <c r="I239" s="56">
        <v>1.8345</v>
      </c>
      <c r="J239" s="56">
        <v>3.5799999999999998E-2</v>
      </c>
      <c r="K239" s="56">
        <v>1E-4</v>
      </c>
    </row>
    <row r="240" spans="1:18">
      <c r="A240" s="5">
        <v>12</v>
      </c>
      <c r="B240" s="2">
        <v>38853</v>
      </c>
      <c r="C240" s="5">
        <v>2006</v>
      </c>
      <c r="D240" s="4" t="s">
        <v>17</v>
      </c>
      <c r="E240" s="5">
        <v>5</v>
      </c>
      <c r="F240" s="56">
        <v>4.5170000000000003</v>
      </c>
      <c r="G240" s="56">
        <v>1.54E-2</v>
      </c>
      <c r="H240" s="56">
        <v>1E-4</v>
      </c>
      <c r="I240" s="56">
        <v>1.5242</v>
      </c>
      <c r="J240" s="56">
        <v>2.8500000000000001E-2</v>
      </c>
      <c r="K240" s="56">
        <v>1E-4</v>
      </c>
    </row>
    <row r="241" spans="1:11">
      <c r="A241" s="5">
        <v>13</v>
      </c>
      <c r="B241" s="2">
        <v>38853</v>
      </c>
      <c r="C241" s="5">
        <v>2006</v>
      </c>
      <c r="D241" s="4" t="s">
        <v>17</v>
      </c>
      <c r="E241" s="5">
        <v>5</v>
      </c>
      <c r="F241" s="56">
        <v>5.2694000000000001</v>
      </c>
      <c r="G241" s="56">
        <v>3.7499999999999999E-2</v>
      </c>
      <c r="H241" s="56">
        <v>2.4E-2</v>
      </c>
      <c r="I241" s="56">
        <v>1.7713000000000001</v>
      </c>
      <c r="J241" s="56">
        <v>4.1599999999999998E-2</v>
      </c>
      <c r="K241" s="56">
        <v>1E-4</v>
      </c>
    </row>
    <row r="242" spans="1:11">
      <c r="A242" s="5">
        <v>11</v>
      </c>
      <c r="B242" s="2">
        <v>38884</v>
      </c>
      <c r="C242" s="5">
        <v>2006</v>
      </c>
      <c r="D242" s="4" t="s">
        <v>18</v>
      </c>
      <c r="E242" s="5">
        <v>6</v>
      </c>
      <c r="F242" s="56">
        <v>10.573600000000001</v>
      </c>
      <c r="G242" s="56">
        <v>0.23100000000000001</v>
      </c>
      <c r="H242" s="56">
        <v>0.53859999999999997</v>
      </c>
      <c r="I242" s="56">
        <v>4.6184000000000003</v>
      </c>
      <c r="J242" s="56">
        <v>9.3299999999999994E-2</v>
      </c>
      <c r="K242" s="56">
        <v>1E-4</v>
      </c>
    </row>
    <row r="243" spans="1:11">
      <c r="A243" s="5">
        <v>12</v>
      </c>
      <c r="B243" s="2">
        <v>38884</v>
      </c>
      <c r="C243" s="5">
        <v>2006</v>
      </c>
      <c r="D243" s="4" t="s">
        <v>18</v>
      </c>
      <c r="E243" s="5">
        <v>6</v>
      </c>
      <c r="F243" s="56">
        <v>9.7650000000000006</v>
      </c>
      <c r="G243" s="56">
        <v>0.19189999999999999</v>
      </c>
      <c r="H243" s="56">
        <v>0.49280000000000002</v>
      </c>
      <c r="I243" s="56">
        <v>4.1369999999999996</v>
      </c>
      <c r="J243" s="56">
        <v>0.11990000000000001</v>
      </c>
      <c r="K243" s="56">
        <v>1E-4</v>
      </c>
    </row>
    <row r="244" spans="1:11">
      <c r="A244" s="5">
        <v>13</v>
      </c>
      <c r="B244" s="2">
        <v>38884</v>
      </c>
      <c r="C244" s="5">
        <v>2006</v>
      </c>
      <c r="D244" s="4" t="s">
        <v>18</v>
      </c>
      <c r="E244" s="5">
        <v>6</v>
      </c>
      <c r="F244" s="56">
        <v>8.5838999999999999</v>
      </c>
      <c r="G244" s="56">
        <v>0.21729999999999999</v>
      </c>
      <c r="H244" s="56">
        <v>0.74660000000000004</v>
      </c>
      <c r="I244" s="56">
        <v>3.5573999999999999</v>
      </c>
      <c r="J244" s="56">
        <v>0.14630000000000001</v>
      </c>
      <c r="K244" s="56">
        <v>1E-4</v>
      </c>
    </row>
    <row r="245" spans="1:11">
      <c r="A245" s="5">
        <v>11</v>
      </c>
      <c r="B245" s="2">
        <v>38915</v>
      </c>
      <c r="C245" s="5">
        <v>2006</v>
      </c>
      <c r="D245" s="4" t="s">
        <v>19</v>
      </c>
      <c r="E245" s="5">
        <v>7</v>
      </c>
      <c r="F245" s="56">
        <v>12.3408</v>
      </c>
      <c r="G245" s="56">
        <v>0.1336</v>
      </c>
      <c r="H245" s="56">
        <v>0.81089999999999995</v>
      </c>
      <c r="I245" s="56">
        <v>5.5903</v>
      </c>
      <c r="J245" s="56">
        <v>0.21049999999999999</v>
      </c>
      <c r="K245" s="56">
        <v>1E-4</v>
      </c>
    </row>
    <row r="246" spans="1:11">
      <c r="A246" s="5">
        <v>12</v>
      </c>
      <c r="B246" s="2">
        <v>38915</v>
      </c>
      <c r="C246" s="5">
        <v>2006</v>
      </c>
      <c r="D246" s="4" t="s">
        <v>19</v>
      </c>
      <c r="E246" s="5">
        <v>7</v>
      </c>
      <c r="F246" s="56">
        <v>9.6376000000000008</v>
      </c>
      <c r="G246" s="56">
        <v>0.13039999999999999</v>
      </c>
      <c r="H246" s="56">
        <v>0.71330000000000005</v>
      </c>
      <c r="I246" s="56">
        <v>3.8073000000000001</v>
      </c>
      <c r="J246" s="56">
        <v>0.2397</v>
      </c>
      <c r="K246" s="56">
        <v>1E-4</v>
      </c>
    </row>
    <row r="247" spans="1:11">
      <c r="A247" s="5">
        <v>13</v>
      </c>
      <c r="B247" s="2">
        <v>38915</v>
      </c>
      <c r="C247" s="5">
        <v>2006</v>
      </c>
      <c r="D247" s="4" t="s">
        <v>19</v>
      </c>
      <c r="E247" s="5">
        <v>7</v>
      </c>
      <c r="F247" s="56">
        <v>6.1684000000000001</v>
      </c>
      <c r="G247" s="56">
        <v>4.8500000000000001E-2</v>
      </c>
      <c r="H247" s="56">
        <v>0.55840000000000001</v>
      </c>
      <c r="I247" s="56">
        <v>2.5912000000000002</v>
      </c>
      <c r="J247" s="56">
        <v>0.20100000000000001</v>
      </c>
      <c r="K247" s="56">
        <v>1E-4</v>
      </c>
    </row>
    <row r="248" spans="1:11">
      <c r="A248" s="5">
        <v>11</v>
      </c>
      <c r="B248" s="2">
        <v>38952</v>
      </c>
      <c r="C248" s="5">
        <v>2006</v>
      </c>
      <c r="D248" s="4" t="s">
        <v>20</v>
      </c>
      <c r="E248" s="5">
        <v>8</v>
      </c>
      <c r="F248" s="56">
        <v>9.0381</v>
      </c>
      <c r="G248" s="56">
        <v>8.2299999999999998E-2</v>
      </c>
      <c r="H248" s="56">
        <v>1E-4</v>
      </c>
      <c r="I248" s="56">
        <v>3.5531000000000001</v>
      </c>
      <c r="J248" s="56">
        <v>0.1663</v>
      </c>
      <c r="K248" s="56">
        <v>1E-4</v>
      </c>
    </row>
    <row r="249" spans="1:11">
      <c r="A249" s="5">
        <v>12</v>
      </c>
      <c r="B249" s="2">
        <v>38952</v>
      </c>
      <c r="C249" s="5">
        <v>2006</v>
      </c>
      <c r="D249" s="4" t="s">
        <v>20</v>
      </c>
      <c r="E249" s="5">
        <v>8</v>
      </c>
      <c r="F249" s="56">
        <v>10.0083</v>
      </c>
      <c r="G249" s="56">
        <v>3.9600000000000003E-2</v>
      </c>
      <c r="H249" s="56">
        <v>1E-4</v>
      </c>
      <c r="I249" s="56">
        <v>3.4281000000000001</v>
      </c>
      <c r="J249" s="56">
        <v>0.15720000000000001</v>
      </c>
      <c r="K249" s="56">
        <v>1E-4</v>
      </c>
    </row>
    <row r="250" spans="1:11">
      <c r="A250" s="5">
        <v>13</v>
      </c>
      <c r="B250" s="2">
        <v>38952</v>
      </c>
      <c r="C250" s="5">
        <v>2006</v>
      </c>
      <c r="D250" s="4" t="s">
        <v>20</v>
      </c>
      <c r="E250" s="5">
        <v>8</v>
      </c>
      <c r="F250" s="56">
        <v>10.6065</v>
      </c>
      <c r="G250" s="56">
        <v>6.5600000000000006E-2</v>
      </c>
      <c r="H250" s="56">
        <v>1E-4</v>
      </c>
      <c r="I250" s="56">
        <v>3.5815999999999999</v>
      </c>
      <c r="J250" s="56">
        <v>0.37640000000000001</v>
      </c>
      <c r="K250" s="56">
        <v>1E-4</v>
      </c>
    </row>
    <row r="251" spans="1:11">
      <c r="A251" s="5">
        <v>11</v>
      </c>
      <c r="B251" s="2">
        <v>38975</v>
      </c>
      <c r="C251" s="5">
        <v>2006</v>
      </c>
      <c r="D251" s="4" t="s">
        <v>21</v>
      </c>
      <c r="E251" s="5">
        <v>9</v>
      </c>
      <c r="F251" s="56">
        <v>3.3115000000000001</v>
      </c>
      <c r="G251" s="56">
        <v>6.3100000000000003E-2</v>
      </c>
      <c r="H251" s="56">
        <v>1E-4</v>
      </c>
      <c r="I251" s="56">
        <v>1.0286</v>
      </c>
      <c r="J251" s="56">
        <v>3.5099999999999999E-2</v>
      </c>
      <c r="K251" s="56">
        <v>1E-4</v>
      </c>
    </row>
    <row r="252" spans="1:11">
      <c r="A252" s="5">
        <v>12</v>
      </c>
      <c r="B252" s="2">
        <v>38975</v>
      </c>
      <c r="C252" s="5">
        <v>2006</v>
      </c>
      <c r="D252" s="4" t="s">
        <v>21</v>
      </c>
      <c r="E252" s="5">
        <v>9</v>
      </c>
      <c r="F252" s="56">
        <v>2.6202999999999999</v>
      </c>
      <c r="G252" s="56">
        <v>2.18E-2</v>
      </c>
      <c r="H252" s="56">
        <v>1E-4</v>
      </c>
      <c r="I252" s="56">
        <v>0.86040000000000005</v>
      </c>
      <c r="J252" s="56">
        <v>3.5499999999999997E-2</v>
      </c>
      <c r="K252" s="56">
        <v>1E-4</v>
      </c>
    </row>
    <row r="253" spans="1:11">
      <c r="A253" s="5">
        <v>13</v>
      </c>
      <c r="B253" s="2">
        <v>38975</v>
      </c>
      <c r="C253" s="5">
        <v>2006</v>
      </c>
      <c r="D253" s="4" t="s">
        <v>21</v>
      </c>
      <c r="E253" s="5">
        <v>9</v>
      </c>
      <c r="F253" s="56">
        <v>5.3052999999999999</v>
      </c>
      <c r="G253" s="56">
        <v>4.9299999999999997E-2</v>
      </c>
      <c r="H253" s="56">
        <v>1E-4</v>
      </c>
      <c r="I253" s="56">
        <v>1.7524999999999999</v>
      </c>
      <c r="J253" s="56">
        <v>7.46E-2</v>
      </c>
      <c r="K253" s="56">
        <v>1E-4</v>
      </c>
    </row>
    <row r="254" spans="1:11">
      <c r="A254" s="5">
        <v>11</v>
      </c>
      <c r="B254" s="2">
        <v>39006</v>
      </c>
      <c r="C254" s="5">
        <v>2006</v>
      </c>
      <c r="D254" s="4" t="s">
        <v>22</v>
      </c>
      <c r="E254" s="5">
        <v>10</v>
      </c>
      <c r="F254" s="25">
        <v>6.2370000000000001</v>
      </c>
      <c r="G254" s="25">
        <v>2.7E-2</v>
      </c>
      <c r="H254" s="25">
        <v>0.51800000000000002</v>
      </c>
      <c r="I254" s="25">
        <v>3.085</v>
      </c>
      <c r="J254" s="25">
        <v>0.19700000000000001</v>
      </c>
      <c r="K254" s="25">
        <v>9.9989999999999996E-4</v>
      </c>
    </row>
    <row r="255" spans="1:11">
      <c r="A255" s="5">
        <v>12</v>
      </c>
      <c r="B255" s="2">
        <v>39006</v>
      </c>
      <c r="C255" s="5">
        <v>2006</v>
      </c>
      <c r="D255" s="4" t="s">
        <v>22</v>
      </c>
      <c r="E255" s="5">
        <v>10</v>
      </c>
      <c r="F255" s="25">
        <v>2.2080000000000002</v>
      </c>
      <c r="G255" s="25">
        <v>2.9000000000000001E-2</v>
      </c>
      <c r="H255" s="25">
        <v>9.9989999999999996E-4</v>
      </c>
      <c r="I255" s="25">
        <v>0.502</v>
      </c>
      <c r="J255" s="25">
        <v>0.05</v>
      </c>
      <c r="K255" s="25">
        <v>9.9989999999999996E-4</v>
      </c>
    </row>
    <row r="256" spans="1:11">
      <c r="A256" s="5">
        <v>13</v>
      </c>
      <c r="B256" s="2">
        <v>39006</v>
      </c>
      <c r="C256" s="5">
        <v>2006</v>
      </c>
      <c r="D256" s="4" t="s">
        <v>22</v>
      </c>
      <c r="E256" s="5">
        <v>10</v>
      </c>
      <c r="F256" s="25">
        <v>5.6740000000000004</v>
      </c>
      <c r="G256" s="25">
        <v>3.3000000000000002E-2</v>
      </c>
      <c r="H256" s="25">
        <v>0.18099999999999999</v>
      </c>
      <c r="I256" s="25">
        <v>2.1389999999999998</v>
      </c>
      <c r="J256" s="25">
        <v>8.5000000000000006E-2</v>
      </c>
      <c r="K256" s="25">
        <v>9.9989999999999996E-4</v>
      </c>
    </row>
    <row r="257" spans="1:18">
      <c r="A257" s="5">
        <v>11</v>
      </c>
      <c r="B257" s="2">
        <v>39041</v>
      </c>
      <c r="C257" s="5">
        <v>2006</v>
      </c>
      <c r="D257" s="4" t="s">
        <v>23</v>
      </c>
      <c r="E257" s="5">
        <v>11</v>
      </c>
      <c r="F257" s="25">
        <v>4.78</v>
      </c>
      <c r="G257" s="25">
        <v>2.1000000000000001E-2</v>
      </c>
      <c r="H257" s="25">
        <v>9.9989999999999996E-4</v>
      </c>
      <c r="I257" s="25">
        <v>1.7350000000000001</v>
      </c>
      <c r="J257" s="25">
        <v>3.6999999999999998E-2</v>
      </c>
      <c r="K257" s="25">
        <v>9.9989999999999996E-4</v>
      </c>
    </row>
    <row r="258" spans="1:18">
      <c r="A258" s="5">
        <v>12</v>
      </c>
      <c r="B258" s="2">
        <v>39041</v>
      </c>
      <c r="C258" s="5">
        <v>2006</v>
      </c>
      <c r="D258" s="4" t="s">
        <v>23</v>
      </c>
      <c r="E258" s="5">
        <v>11</v>
      </c>
      <c r="F258" s="25">
        <v>3.375</v>
      </c>
      <c r="G258" s="25">
        <v>1.7999999999999999E-2</v>
      </c>
      <c r="H258" s="25">
        <v>9.9989999999999996E-4</v>
      </c>
      <c r="I258" s="25">
        <v>1.113</v>
      </c>
      <c r="J258" s="25">
        <v>2.5999999999999999E-2</v>
      </c>
      <c r="K258" s="25">
        <v>9.9989999999999996E-4</v>
      </c>
    </row>
    <row r="259" spans="1:18">
      <c r="A259" s="5">
        <v>13</v>
      </c>
      <c r="B259" s="2">
        <v>39041</v>
      </c>
      <c r="C259" s="5">
        <v>2006</v>
      </c>
      <c r="D259" s="4" t="s">
        <v>23</v>
      </c>
      <c r="E259" s="5">
        <v>11</v>
      </c>
      <c r="F259" s="25">
        <v>3.2229999999999999</v>
      </c>
      <c r="G259" s="25">
        <v>1.4999999999999999E-2</v>
      </c>
      <c r="H259" s="25">
        <v>9.9989999999999996E-4</v>
      </c>
      <c r="I259" s="25">
        <v>0.94899999999999995</v>
      </c>
      <c r="J259" s="25">
        <v>3.4000000000000002E-2</v>
      </c>
      <c r="K259" s="25">
        <v>9.9989999999999996E-4</v>
      </c>
    </row>
    <row r="260" spans="1:18">
      <c r="A260" s="5">
        <v>11</v>
      </c>
      <c r="B260" s="16">
        <v>39062</v>
      </c>
      <c r="C260" s="10">
        <v>2006</v>
      </c>
      <c r="D260" s="4" t="s">
        <v>24</v>
      </c>
      <c r="E260" s="10">
        <v>12</v>
      </c>
      <c r="F260" s="25">
        <v>2.6179999999999999</v>
      </c>
      <c r="G260" s="25">
        <v>7.3999999999999996E-2</v>
      </c>
      <c r="H260" s="25">
        <v>9.9989999999999996E-4</v>
      </c>
      <c r="I260" s="25">
        <v>0.71299999999999997</v>
      </c>
      <c r="J260" s="25">
        <v>1.2999999999999999E-2</v>
      </c>
      <c r="K260" s="25">
        <v>9.9989999999999996E-4</v>
      </c>
    </row>
    <row r="261" spans="1:18">
      <c r="A261" s="5">
        <v>12</v>
      </c>
      <c r="B261" s="16">
        <v>39062</v>
      </c>
      <c r="C261" s="10">
        <v>2006</v>
      </c>
      <c r="D261" s="4" t="s">
        <v>24</v>
      </c>
      <c r="E261" s="10">
        <v>12</v>
      </c>
      <c r="F261" s="25">
        <v>3.3340000000000001</v>
      </c>
      <c r="G261" s="25">
        <v>9.6000000000000002E-2</v>
      </c>
      <c r="H261" s="25">
        <v>9.9989999999999996E-4</v>
      </c>
      <c r="I261" s="25">
        <v>0.93300000000000005</v>
      </c>
      <c r="J261" s="25">
        <v>0.01</v>
      </c>
      <c r="K261" s="25">
        <v>9.9989999999999996E-4</v>
      </c>
    </row>
    <row r="262" spans="1:18" ht="25.5">
      <c r="A262" s="5">
        <v>13</v>
      </c>
      <c r="B262" s="16">
        <v>39062</v>
      </c>
      <c r="C262" s="10">
        <v>2006</v>
      </c>
      <c r="D262" s="4" t="s">
        <v>24</v>
      </c>
      <c r="E262" s="10">
        <v>12</v>
      </c>
      <c r="F262" s="25">
        <v>5.5019999999999998</v>
      </c>
      <c r="G262" s="25">
        <v>1.6E-2</v>
      </c>
      <c r="H262" s="25">
        <v>9.9989999999999996E-4</v>
      </c>
      <c r="I262" s="25">
        <v>1.865</v>
      </c>
      <c r="J262" s="25">
        <v>0.01</v>
      </c>
      <c r="K262" s="25">
        <v>9.9989999999999996E-4</v>
      </c>
      <c r="L262" s="35" t="s">
        <v>43</v>
      </c>
      <c r="M262" s="33" t="s">
        <v>35</v>
      </c>
      <c r="N262" s="33" t="s">
        <v>36</v>
      </c>
      <c r="O262" s="33" t="s">
        <v>37</v>
      </c>
      <c r="P262" s="33" t="s">
        <v>38</v>
      </c>
      <c r="Q262" s="33" t="s">
        <v>39</v>
      </c>
      <c r="R262" s="33" t="s">
        <v>40</v>
      </c>
    </row>
    <row r="263" spans="1:18">
      <c r="A263" s="47">
        <v>11</v>
      </c>
      <c r="B263" s="54">
        <v>39100</v>
      </c>
      <c r="C263" s="47">
        <v>2007</v>
      </c>
      <c r="D263" s="43" t="s">
        <v>25</v>
      </c>
      <c r="E263" s="47">
        <v>1</v>
      </c>
      <c r="F263" s="58">
        <v>2.6269999999999998</v>
      </c>
      <c r="G263" s="58">
        <v>8.6999999999999994E-2</v>
      </c>
      <c r="H263" s="58">
        <v>9.9989999999999996E-4</v>
      </c>
      <c r="I263" s="58">
        <v>0.76</v>
      </c>
      <c r="J263" s="58">
        <v>8.0000000000000002E-3</v>
      </c>
      <c r="K263" s="58">
        <v>9.9989999999999996E-4</v>
      </c>
      <c r="L263" s="35" t="s">
        <v>52</v>
      </c>
      <c r="M263" s="21">
        <f>AVERAGE(F263:F298)</f>
        <v>6.1185277777777776</v>
      </c>
      <c r="N263" s="21">
        <f>AVERAGE(G263:G298)</f>
        <v>6.6166641666666692E-2</v>
      </c>
      <c r="O263" s="21">
        <f>AVERAGE(H263:H298)</f>
        <v>5.2999930555555581E-2</v>
      </c>
      <c r="P263" s="21">
        <f>AVERAGE(I263:I298)</f>
        <v>2.1136666666666661</v>
      </c>
      <c r="Q263" s="21">
        <f t="shared" ref="Q263:R263" si="4">AVERAGE(J263:J298)</f>
        <v>8.3527777777777756E-2</v>
      </c>
      <c r="R263" s="21">
        <f t="shared" si="4"/>
        <v>9.999000000000004E-4</v>
      </c>
    </row>
    <row r="264" spans="1:18">
      <c r="A264" s="10">
        <v>12</v>
      </c>
      <c r="B264" s="16">
        <v>39100</v>
      </c>
      <c r="C264" s="10">
        <v>2007</v>
      </c>
      <c r="D264" s="4" t="s">
        <v>25</v>
      </c>
      <c r="E264" s="10">
        <v>1</v>
      </c>
      <c r="F264" s="25">
        <v>3.4929999999999999</v>
      </c>
      <c r="G264" s="25">
        <v>0.13500000000000001</v>
      </c>
      <c r="H264" s="25">
        <v>9.9989999999999996E-4</v>
      </c>
      <c r="I264" s="25">
        <v>1.113</v>
      </c>
      <c r="J264" s="25">
        <v>0.01</v>
      </c>
      <c r="K264" s="25">
        <v>9.9989999999999996E-4</v>
      </c>
    </row>
    <row r="265" spans="1:18">
      <c r="A265" s="10">
        <v>13</v>
      </c>
      <c r="B265" s="16">
        <v>39100</v>
      </c>
      <c r="C265" s="10">
        <v>2007</v>
      </c>
      <c r="D265" s="4" t="s">
        <v>25</v>
      </c>
      <c r="E265" s="10">
        <v>1</v>
      </c>
      <c r="F265" s="25">
        <v>4.4210000000000003</v>
      </c>
      <c r="G265" s="25">
        <v>0.13400000000000001</v>
      </c>
      <c r="H265" s="25">
        <v>9.9989999999999996E-4</v>
      </c>
      <c r="I265" s="25">
        <v>1.5</v>
      </c>
      <c r="J265" s="25">
        <v>0.01</v>
      </c>
      <c r="K265" s="25">
        <v>9.9989999999999996E-4</v>
      </c>
    </row>
    <row r="266" spans="1:18">
      <c r="A266" s="10">
        <v>11</v>
      </c>
      <c r="B266" s="16">
        <v>39135</v>
      </c>
      <c r="C266" s="10">
        <v>2007</v>
      </c>
      <c r="D266" s="4" t="s">
        <v>14</v>
      </c>
      <c r="E266" s="10">
        <v>2</v>
      </c>
      <c r="F266" s="25">
        <v>4.931</v>
      </c>
      <c r="G266" s="25">
        <v>5.8000000000000003E-2</v>
      </c>
      <c r="H266" s="25">
        <v>9.9989999999999996E-4</v>
      </c>
      <c r="I266" s="25">
        <v>1.8240000000000001</v>
      </c>
      <c r="J266" s="25">
        <v>1.4999999999999999E-2</v>
      </c>
      <c r="K266" s="25">
        <v>9.9989999999999996E-4</v>
      </c>
    </row>
    <row r="267" spans="1:18">
      <c r="A267" s="10">
        <v>12</v>
      </c>
      <c r="B267" s="16">
        <v>39135</v>
      </c>
      <c r="C267" s="10">
        <v>2007</v>
      </c>
      <c r="D267" s="4" t="s">
        <v>14</v>
      </c>
      <c r="E267" s="10">
        <v>2</v>
      </c>
      <c r="F267" s="25">
        <v>3.262</v>
      </c>
      <c r="G267" s="25">
        <v>3.9E-2</v>
      </c>
      <c r="H267" s="25">
        <v>9.9989999999999996E-4</v>
      </c>
      <c r="I267" s="25">
        <v>1.202</v>
      </c>
      <c r="J267" s="25">
        <v>1.2999999999999999E-2</v>
      </c>
      <c r="K267" s="25">
        <v>9.9989999999999996E-4</v>
      </c>
    </row>
    <row r="268" spans="1:18">
      <c r="A268" s="10">
        <v>13</v>
      </c>
      <c r="B268" s="16">
        <v>39135</v>
      </c>
      <c r="C268" s="10">
        <v>2007</v>
      </c>
      <c r="D268" s="4" t="s">
        <v>14</v>
      </c>
      <c r="E268" s="10">
        <v>2</v>
      </c>
      <c r="F268" s="25">
        <v>1.911</v>
      </c>
      <c r="G268" s="25">
        <v>2.3E-2</v>
      </c>
      <c r="H268" s="25">
        <v>9.9989999999999996E-4</v>
      </c>
      <c r="I268" s="25">
        <v>0.61699999999999999</v>
      </c>
      <c r="J268" s="25">
        <v>8.9999999999999993E-3</v>
      </c>
      <c r="K268" s="25">
        <v>9.9989999999999996E-4</v>
      </c>
    </row>
    <row r="269" spans="1:18">
      <c r="A269" s="10">
        <v>11</v>
      </c>
      <c r="B269" s="16">
        <v>39153</v>
      </c>
      <c r="C269" s="10">
        <v>2007</v>
      </c>
      <c r="D269" s="4" t="s">
        <v>15</v>
      </c>
      <c r="E269" s="10">
        <v>3</v>
      </c>
      <c r="F269" s="25">
        <v>3.69</v>
      </c>
      <c r="G269" s="10">
        <v>2.9000000000000001E-2</v>
      </c>
      <c r="H269" s="10">
        <v>9.9989999999999996E-4</v>
      </c>
      <c r="I269" s="25">
        <v>1.415</v>
      </c>
      <c r="J269" s="25">
        <v>0.02</v>
      </c>
      <c r="K269" s="25">
        <v>9.9989999999999996E-4</v>
      </c>
    </row>
    <row r="270" spans="1:18">
      <c r="A270" s="10">
        <v>12</v>
      </c>
      <c r="B270" s="16">
        <v>39153</v>
      </c>
      <c r="C270" s="10">
        <v>2007</v>
      </c>
      <c r="D270" s="4" t="s">
        <v>15</v>
      </c>
      <c r="E270" s="10">
        <v>3</v>
      </c>
      <c r="F270" s="25">
        <v>2.7309999999999999</v>
      </c>
      <c r="G270" s="10">
        <v>1.7000000000000001E-2</v>
      </c>
      <c r="H270" s="10">
        <v>0.01</v>
      </c>
      <c r="I270" s="25">
        <v>1.115</v>
      </c>
      <c r="J270" s="25">
        <v>4.2999999999999997E-2</v>
      </c>
      <c r="K270" s="25">
        <v>9.9989999999999996E-4</v>
      </c>
    </row>
    <row r="271" spans="1:18">
      <c r="A271" s="10">
        <v>13</v>
      </c>
      <c r="B271" s="16">
        <v>39153</v>
      </c>
      <c r="C271" s="10">
        <v>2007</v>
      </c>
      <c r="D271" s="4" t="s">
        <v>15</v>
      </c>
      <c r="E271" s="10">
        <v>3</v>
      </c>
      <c r="F271" s="25">
        <v>2.9929999999999999</v>
      </c>
      <c r="G271" s="10">
        <v>1.7999999999999999E-2</v>
      </c>
      <c r="H271" s="10">
        <v>1.2999999999999999E-2</v>
      </c>
      <c r="I271" s="25">
        <v>1.167</v>
      </c>
      <c r="J271" s="25">
        <v>2.5000000000000001E-2</v>
      </c>
      <c r="K271" s="25">
        <v>9.9989999999999996E-4</v>
      </c>
    </row>
    <row r="272" spans="1:18">
      <c r="A272" s="10">
        <v>11</v>
      </c>
      <c r="B272" s="16">
        <v>39191</v>
      </c>
      <c r="C272" s="10">
        <v>2007</v>
      </c>
      <c r="D272" s="4" t="s">
        <v>16</v>
      </c>
      <c r="E272" s="10">
        <v>4</v>
      </c>
      <c r="F272" s="25">
        <v>4.2329999999999997</v>
      </c>
      <c r="G272" s="10">
        <v>2.8000000000000001E-2</v>
      </c>
      <c r="H272" s="10">
        <v>9.9989999999999996E-4</v>
      </c>
      <c r="I272" s="25">
        <v>1.677</v>
      </c>
      <c r="J272" s="25">
        <v>2.1000000000000001E-2</v>
      </c>
      <c r="K272" s="25">
        <v>9.9989999999999996E-4</v>
      </c>
    </row>
    <row r="273" spans="1:11">
      <c r="A273" s="10">
        <v>12</v>
      </c>
      <c r="B273" s="16">
        <v>39191</v>
      </c>
      <c r="C273" s="10">
        <v>2007</v>
      </c>
      <c r="D273" s="4" t="s">
        <v>16</v>
      </c>
      <c r="E273" s="10">
        <v>4</v>
      </c>
      <c r="F273" s="25">
        <v>3.0619999999999998</v>
      </c>
      <c r="G273" s="10">
        <v>2.5000000000000001E-2</v>
      </c>
      <c r="H273" s="10">
        <v>9.9989999999999996E-4</v>
      </c>
      <c r="I273" s="25">
        <v>1.1659999999999999</v>
      </c>
      <c r="J273" s="25">
        <v>1.2999999999999999E-2</v>
      </c>
      <c r="K273" s="25">
        <v>9.9989999999999996E-4</v>
      </c>
    </row>
    <row r="274" spans="1:11">
      <c r="A274" s="10">
        <v>13</v>
      </c>
      <c r="B274" s="16">
        <v>39191</v>
      </c>
      <c r="C274" s="10">
        <v>2007</v>
      </c>
      <c r="D274" s="4" t="s">
        <v>16</v>
      </c>
      <c r="E274" s="10">
        <v>4</v>
      </c>
      <c r="F274" s="25">
        <v>2.7480000000000002</v>
      </c>
      <c r="G274" s="10">
        <v>2.9000000000000001E-2</v>
      </c>
      <c r="H274" s="10">
        <v>9.9989999999999996E-4</v>
      </c>
      <c r="I274" s="25">
        <v>1.0309999999999999</v>
      </c>
      <c r="J274" s="25">
        <v>8.9999999999999993E-3</v>
      </c>
      <c r="K274" s="25">
        <v>9.9989999999999996E-4</v>
      </c>
    </row>
    <row r="275" spans="1:11">
      <c r="A275" s="10">
        <v>11</v>
      </c>
      <c r="B275" s="16">
        <v>39216</v>
      </c>
      <c r="C275" s="10">
        <v>2007</v>
      </c>
      <c r="D275" s="4" t="s">
        <v>17</v>
      </c>
      <c r="E275" s="10">
        <v>5</v>
      </c>
      <c r="F275" s="25">
        <v>10.526999999999999</v>
      </c>
      <c r="G275" s="10">
        <v>0.10100000000000001</v>
      </c>
      <c r="H275" s="10">
        <v>0.59299999999999997</v>
      </c>
      <c r="I275" s="25">
        <v>4.7549999999999999</v>
      </c>
      <c r="J275" s="25">
        <v>0.06</v>
      </c>
      <c r="K275" s="25">
        <v>9.9989999999999996E-4</v>
      </c>
    </row>
    <row r="276" spans="1:11">
      <c r="A276" s="10">
        <v>12</v>
      </c>
      <c r="B276" s="16">
        <v>39216</v>
      </c>
      <c r="C276" s="10">
        <v>2007</v>
      </c>
      <c r="D276" s="4" t="s">
        <v>17</v>
      </c>
      <c r="E276" s="10">
        <v>5</v>
      </c>
      <c r="F276" s="25">
        <v>12.195</v>
      </c>
      <c r="G276" s="10">
        <v>0.11600000000000001</v>
      </c>
      <c r="H276" s="10">
        <v>0.61799999999999999</v>
      </c>
      <c r="I276" s="25">
        <v>5.7249999999999996</v>
      </c>
      <c r="J276" s="25">
        <v>0.05</v>
      </c>
      <c r="K276" s="25">
        <v>9.9989999999999996E-4</v>
      </c>
    </row>
    <row r="277" spans="1:11">
      <c r="A277" s="10">
        <v>13</v>
      </c>
      <c r="B277" s="16">
        <v>39216</v>
      </c>
      <c r="C277" s="10">
        <v>2007</v>
      </c>
      <c r="D277" s="4" t="s">
        <v>17</v>
      </c>
      <c r="E277" s="10">
        <v>5</v>
      </c>
      <c r="F277" s="25">
        <v>3.3740000000000001</v>
      </c>
      <c r="G277" s="10">
        <v>9.9989999999999996E-4</v>
      </c>
      <c r="H277" s="10">
        <v>6.5000000000000002E-2</v>
      </c>
      <c r="I277" s="25">
        <v>1.1000000000000001</v>
      </c>
      <c r="J277" s="25">
        <v>0.04</v>
      </c>
      <c r="K277" s="25">
        <v>9.9989999999999996E-4</v>
      </c>
    </row>
    <row r="278" spans="1:11">
      <c r="A278" s="10">
        <v>11</v>
      </c>
      <c r="B278" s="16">
        <v>39248</v>
      </c>
      <c r="C278" s="10">
        <v>2007</v>
      </c>
      <c r="D278" s="4" t="s">
        <v>18</v>
      </c>
      <c r="E278" s="10">
        <v>6</v>
      </c>
      <c r="F278" s="25">
        <v>2.7450000000000001</v>
      </c>
      <c r="G278">
        <v>0.04</v>
      </c>
      <c r="H278">
        <v>4.4999999999999998E-2</v>
      </c>
      <c r="I278" s="25">
        <v>0.95</v>
      </c>
      <c r="J278" s="25">
        <v>3.7999999999999999E-2</v>
      </c>
      <c r="K278" s="25">
        <v>9.9989999999999996E-4</v>
      </c>
    </row>
    <row r="279" spans="1:11">
      <c r="A279" s="10">
        <v>12</v>
      </c>
      <c r="B279" s="16">
        <v>39248</v>
      </c>
      <c r="C279" s="10">
        <v>2007</v>
      </c>
      <c r="D279" s="4" t="s">
        <v>18</v>
      </c>
      <c r="E279" s="10">
        <v>6</v>
      </c>
      <c r="F279" s="25">
        <v>3.7749999999999999</v>
      </c>
      <c r="G279">
        <v>8.4000000000000005E-2</v>
      </c>
      <c r="H279">
        <v>4.2000000000000003E-2</v>
      </c>
      <c r="I279" s="25">
        <v>1.1890000000000001</v>
      </c>
      <c r="J279" s="25">
        <v>4.5999999999999999E-2</v>
      </c>
      <c r="K279" s="25">
        <v>9.9989999999999996E-4</v>
      </c>
    </row>
    <row r="280" spans="1:11">
      <c r="A280" s="10">
        <v>13</v>
      </c>
      <c r="B280" s="16">
        <v>39248</v>
      </c>
      <c r="C280" s="10">
        <v>2007</v>
      </c>
      <c r="D280" s="4" t="s">
        <v>18</v>
      </c>
      <c r="E280" s="10">
        <v>6</v>
      </c>
      <c r="F280" s="25">
        <v>8.7929999999999993</v>
      </c>
      <c r="G280">
        <v>0.56299999999999994</v>
      </c>
      <c r="H280">
        <v>3.7999999999999999E-2</v>
      </c>
      <c r="I280" s="25">
        <v>1.966</v>
      </c>
      <c r="J280" s="25">
        <v>5.2999999999999999E-2</v>
      </c>
      <c r="K280" s="25">
        <v>9.9989999999999996E-4</v>
      </c>
    </row>
    <row r="281" spans="1:11">
      <c r="A281" s="10">
        <v>11</v>
      </c>
      <c r="B281" s="16">
        <v>39279</v>
      </c>
      <c r="C281" s="10">
        <v>2007</v>
      </c>
      <c r="D281" s="4" t="s">
        <v>19</v>
      </c>
      <c r="E281" s="10">
        <v>7</v>
      </c>
      <c r="F281" s="25">
        <v>8.2260000000000009</v>
      </c>
      <c r="G281">
        <v>0.155</v>
      </c>
      <c r="H281">
        <v>8.6999999999999994E-2</v>
      </c>
      <c r="I281" s="25">
        <v>2.726</v>
      </c>
      <c r="J281" s="25">
        <v>9.0999999999999998E-2</v>
      </c>
      <c r="K281" s="25">
        <v>9.9989999999999996E-4</v>
      </c>
    </row>
    <row r="282" spans="1:11">
      <c r="A282" s="10">
        <v>12</v>
      </c>
      <c r="B282" s="16">
        <v>39279</v>
      </c>
      <c r="C282" s="10">
        <v>2007</v>
      </c>
      <c r="D282" s="4" t="s">
        <v>19</v>
      </c>
      <c r="E282" s="10">
        <v>7</v>
      </c>
      <c r="F282" s="25">
        <v>8.6479999999999997</v>
      </c>
      <c r="G282">
        <v>0.109</v>
      </c>
      <c r="H282">
        <v>9.1999999999999998E-2</v>
      </c>
      <c r="I282" s="25">
        <v>2.5880000000000001</v>
      </c>
      <c r="J282" s="25">
        <v>0.107</v>
      </c>
      <c r="K282" s="25">
        <v>9.9989999999999996E-4</v>
      </c>
    </row>
    <row r="283" spans="1:11">
      <c r="A283" s="10">
        <v>13</v>
      </c>
      <c r="B283" s="16">
        <v>39279</v>
      </c>
      <c r="C283" s="10">
        <v>2007</v>
      </c>
      <c r="D283" s="4" t="s">
        <v>19</v>
      </c>
      <c r="E283" s="10">
        <v>7</v>
      </c>
      <c r="F283" s="25">
        <v>10.461</v>
      </c>
      <c r="G283">
        <v>0.20799999999999999</v>
      </c>
      <c r="H283">
        <v>0.28000000000000003</v>
      </c>
      <c r="I283" s="25">
        <v>2.7759999999999998</v>
      </c>
      <c r="J283" s="25">
        <v>0.27200000000000002</v>
      </c>
      <c r="K283" s="25">
        <v>9.9989999999999996E-4</v>
      </c>
    </row>
    <row r="284" spans="1:11">
      <c r="A284" s="10">
        <v>11</v>
      </c>
      <c r="B284" s="16">
        <v>39310</v>
      </c>
      <c r="C284" s="10">
        <v>2007</v>
      </c>
      <c r="D284" s="4" t="s">
        <v>20</v>
      </c>
      <c r="E284" s="10">
        <v>8</v>
      </c>
      <c r="F284" s="25">
        <v>13.513</v>
      </c>
      <c r="G284">
        <v>9.9989999999999996E-4</v>
      </c>
      <c r="H284">
        <v>9.9989999999999996E-4</v>
      </c>
      <c r="I284" s="25">
        <v>4.9569999999999999</v>
      </c>
      <c r="J284" s="25">
        <v>0.35499999999999998</v>
      </c>
      <c r="K284" s="25">
        <v>9.9989999999999996E-4</v>
      </c>
    </row>
    <row r="285" spans="1:11">
      <c r="A285" s="10">
        <v>12</v>
      </c>
      <c r="B285" s="16">
        <v>39308</v>
      </c>
      <c r="C285" s="10">
        <v>2007</v>
      </c>
      <c r="D285" s="4" t="s">
        <v>20</v>
      </c>
      <c r="E285" s="10">
        <v>8</v>
      </c>
      <c r="F285" s="25">
        <v>14.622999999999999</v>
      </c>
      <c r="G285">
        <v>9.8000000000000004E-2</v>
      </c>
      <c r="H285">
        <v>9.9989999999999996E-4</v>
      </c>
      <c r="I285" s="25">
        <v>5.1079999999999997</v>
      </c>
      <c r="J285" s="25">
        <v>0.27200000000000002</v>
      </c>
      <c r="K285" s="25">
        <v>9.9989999999999996E-4</v>
      </c>
    </row>
    <row r="286" spans="1:11">
      <c r="A286" s="10">
        <v>13</v>
      </c>
      <c r="B286" s="16">
        <v>39308</v>
      </c>
      <c r="C286" s="10">
        <v>2007</v>
      </c>
      <c r="D286" s="4" t="s">
        <v>20</v>
      </c>
      <c r="E286" s="10">
        <v>8</v>
      </c>
      <c r="F286" s="25">
        <v>17.204999999999998</v>
      </c>
      <c r="G286">
        <v>9.9989999999999996E-4</v>
      </c>
      <c r="H286">
        <v>9.9989999999999996E-4</v>
      </c>
      <c r="I286" s="25">
        <v>6.2489999999999997</v>
      </c>
      <c r="J286" s="25">
        <v>0.26600000000000001</v>
      </c>
      <c r="K286" s="25">
        <v>9.9989999999999996E-4</v>
      </c>
    </row>
    <row r="287" spans="1:11">
      <c r="A287" s="10">
        <v>11</v>
      </c>
      <c r="B287" s="16">
        <v>39335</v>
      </c>
      <c r="C287" s="10">
        <v>2007</v>
      </c>
      <c r="D287" s="4" t="s">
        <v>26</v>
      </c>
      <c r="E287" s="10">
        <v>9</v>
      </c>
      <c r="F287" s="25">
        <v>9.2560000000000002</v>
      </c>
      <c r="G287">
        <v>9.9989999999999996E-4</v>
      </c>
      <c r="H287">
        <v>9.9989999999999996E-4</v>
      </c>
      <c r="I287" s="25">
        <v>3.8109999999999999</v>
      </c>
      <c r="J287" s="25">
        <v>0.14699999999999999</v>
      </c>
      <c r="K287" s="25">
        <v>9.9989999999999996E-4</v>
      </c>
    </row>
    <row r="288" spans="1:11">
      <c r="A288" s="10">
        <v>12</v>
      </c>
      <c r="B288" s="16">
        <v>39335</v>
      </c>
      <c r="C288" s="10">
        <v>2007</v>
      </c>
      <c r="D288" s="4" t="s">
        <v>26</v>
      </c>
      <c r="E288" s="10">
        <v>9</v>
      </c>
      <c r="F288" s="25">
        <v>8.8049999999999997</v>
      </c>
      <c r="G288">
        <v>9.9989999999999996E-4</v>
      </c>
      <c r="H288">
        <v>9.9989999999999996E-4</v>
      </c>
      <c r="I288" s="25">
        <v>3.5310000000000001</v>
      </c>
      <c r="J288" s="25">
        <v>0.11</v>
      </c>
      <c r="K288" s="25">
        <v>9.9989999999999996E-4</v>
      </c>
    </row>
    <row r="289" spans="1:18">
      <c r="A289" s="10">
        <v>13</v>
      </c>
      <c r="B289" s="16">
        <v>39335</v>
      </c>
      <c r="C289" s="10">
        <v>2007</v>
      </c>
      <c r="D289" s="4" t="s">
        <v>26</v>
      </c>
      <c r="E289" s="10">
        <v>9</v>
      </c>
      <c r="F289" s="25">
        <v>9.2910000000000004</v>
      </c>
      <c r="G289">
        <v>9.9989999999999996E-4</v>
      </c>
      <c r="H289">
        <v>9.9989999999999996E-4</v>
      </c>
      <c r="I289" s="25">
        <v>2.9289999999999998</v>
      </c>
      <c r="J289" s="25">
        <v>0.46800000000000003</v>
      </c>
      <c r="K289" s="25">
        <v>9.9989999999999996E-4</v>
      </c>
    </row>
    <row r="290" spans="1:18">
      <c r="A290" s="10">
        <v>11</v>
      </c>
      <c r="B290" s="16">
        <v>39370</v>
      </c>
      <c r="C290" s="10">
        <v>2007</v>
      </c>
      <c r="D290" s="4" t="s">
        <v>22</v>
      </c>
      <c r="E290" s="10">
        <v>10</v>
      </c>
      <c r="F290" s="25">
        <v>6.5750000000000002</v>
      </c>
      <c r="G290" s="25">
        <v>0.03</v>
      </c>
      <c r="H290" s="25">
        <v>9.9989999999999996E-4</v>
      </c>
      <c r="I290" s="25">
        <v>1.9770000000000001</v>
      </c>
      <c r="J290" s="25">
        <v>0.126</v>
      </c>
      <c r="K290" s="25">
        <v>9.9989999999999996E-4</v>
      </c>
    </row>
    <row r="291" spans="1:18">
      <c r="A291" s="10">
        <v>12</v>
      </c>
      <c r="B291" s="16">
        <v>39370</v>
      </c>
      <c r="C291" s="10">
        <v>2007</v>
      </c>
      <c r="D291" s="4" t="s">
        <v>22</v>
      </c>
      <c r="E291" s="10">
        <v>10</v>
      </c>
      <c r="F291" s="25">
        <v>3.2440000000000002</v>
      </c>
      <c r="G291" s="25">
        <v>1.4999999999999999E-2</v>
      </c>
      <c r="H291" s="25">
        <v>9.9989999999999996E-4</v>
      </c>
      <c r="I291" s="25">
        <v>0.76800000000000002</v>
      </c>
      <c r="J291" s="25">
        <v>6.5000000000000002E-2</v>
      </c>
      <c r="K291" s="25">
        <v>9.9989999999999996E-4</v>
      </c>
    </row>
    <row r="292" spans="1:18">
      <c r="A292" s="10">
        <v>13</v>
      </c>
      <c r="B292" s="16">
        <v>39370</v>
      </c>
      <c r="C292" s="10">
        <v>2007</v>
      </c>
      <c r="D292" s="4" t="s">
        <v>22</v>
      </c>
      <c r="E292" s="10">
        <v>10</v>
      </c>
      <c r="F292" s="25">
        <v>4.617</v>
      </c>
      <c r="G292" s="25">
        <v>2.9000000000000001E-2</v>
      </c>
      <c r="H292" s="25">
        <v>9.9989999999999996E-4</v>
      </c>
      <c r="I292" s="25">
        <v>1.079</v>
      </c>
      <c r="J292" s="25">
        <v>0.18099999999999999</v>
      </c>
      <c r="K292" s="25">
        <v>9.9989999999999996E-4</v>
      </c>
    </row>
    <row r="293" spans="1:18">
      <c r="A293" s="10">
        <v>11</v>
      </c>
      <c r="B293" s="16">
        <v>39400</v>
      </c>
      <c r="C293" s="10">
        <v>2007</v>
      </c>
      <c r="D293" s="4" t="s">
        <v>23</v>
      </c>
      <c r="E293" s="10">
        <v>11</v>
      </c>
      <c r="F293" s="25">
        <v>2.919</v>
      </c>
      <c r="G293" s="25">
        <v>9.9989999999999996E-4</v>
      </c>
      <c r="H293" s="25">
        <v>9.9989999999999996E-4</v>
      </c>
      <c r="I293" s="25">
        <v>0.90700000000000003</v>
      </c>
      <c r="J293" s="25">
        <v>1.2999999999999999E-2</v>
      </c>
      <c r="K293" s="25">
        <v>9.9989999999999996E-4</v>
      </c>
    </row>
    <row r="294" spans="1:18">
      <c r="A294" s="10">
        <v>12</v>
      </c>
      <c r="B294" s="16">
        <v>39400</v>
      </c>
      <c r="C294" s="10">
        <v>2007</v>
      </c>
      <c r="D294" s="4" t="s">
        <v>23</v>
      </c>
      <c r="E294" s="10">
        <v>11</v>
      </c>
      <c r="F294" s="25">
        <v>1.5880000000000001</v>
      </c>
      <c r="G294" s="25">
        <v>9.9989999999999996E-4</v>
      </c>
      <c r="H294" s="25">
        <v>9.9989999999999996E-4</v>
      </c>
      <c r="I294" s="25">
        <v>0.45700000000000002</v>
      </c>
      <c r="J294" s="25">
        <v>7.0000000000000001E-3</v>
      </c>
      <c r="K294" s="25">
        <v>9.9989999999999996E-4</v>
      </c>
    </row>
    <row r="295" spans="1:18">
      <c r="A295" s="10">
        <v>13</v>
      </c>
      <c r="B295" s="16">
        <v>39400</v>
      </c>
      <c r="C295" s="10">
        <v>2007</v>
      </c>
      <c r="D295" s="4" t="s">
        <v>23</v>
      </c>
      <c r="E295" s="10">
        <v>11</v>
      </c>
      <c r="F295" s="25">
        <v>2.2069999999999999</v>
      </c>
      <c r="G295" s="25">
        <v>9.9989999999999996E-4</v>
      </c>
      <c r="H295" s="25">
        <v>9.9989999999999996E-4</v>
      </c>
      <c r="I295" s="25">
        <v>0.61099999999999999</v>
      </c>
      <c r="J295" s="25">
        <v>8.9999999999999993E-3</v>
      </c>
      <c r="K295" s="25">
        <v>9.9989999999999996E-4</v>
      </c>
    </row>
    <row r="296" spans="1:18">
      <c r="A296" s="10">
        <v>11</v>
      </c>
      <c r="B296" s="16">
        <v>39434</v>
      </c>
      <c r="C296" s="10">
        <v>2007</v>
      </c>
      <c r="D296" s="4" t="s">
        <v>24</v>
      </c>
      <c r="E296" s="10">
        <v>12</v>
      </c>
      <c r="F296" s="25">
        <v>6.556</v>
      </c>
      <c r="G296" s="25">
        <v>9.5000000000000001E-2</v>
      </c>
      <c r="H296" s="25">
        <v>9.9989999999999996E-4</v>
      </c>
      <c r="I296" s="25">
        <v>1.9359999999999999</v>
      </c>
      <c r="J296" s="25">
        <v>1.2999999999999999E-2</v>
      </c>
      <c r="K296" s="25">
        <v>9.9989999999999996E-4</v>
      </c>
    </row>
    <row r="297" spans="1:18">
      <c r="A297" s="10">
        <v>12</v>
      </c>
      <c r="B297" s="16">
        <v>39434</v>
      </c>
      <c r="C297" s="10">
        <v>2007</v>
      </c>
      <c r="D297" s="4" t="s">
        <v>24</v>
      </c>
      <c r="E297" s="10">
        <v>12</v>
      </c>
      <c r="F297" s="25">
        <v>5.6070000000000002</v>
      </c>
      <c r="G297" s="25">
        <v>5.2999999999999999E-2</v>
      </c>
      <c r="H297" s="25">
        <v>9.9989999999999996E-4</v>
      </c>
      <c r="I297" s="25">
        <v>1.7050000000000001</v>
      </c>
      <c r="J297" s="25">
        <v>1.4E-2</v>
      </c>
      <c r="K297" s="25">
        <v>9.9989999999999996E-4</v>
      </c>
    </row>
    <row r="298" spans="1:18" ht="25.5">
      <c r="A298" s="10">
        <v>13</v>
      </c>
      <c r="B298" s="16">
        <v>39434</v>
      </c>
      <c r="C298" s="10">
        <v>2007</v>
      </c>
      <c r="D298" s="4" t="s">
        <v>24</v>
      </c>
      <c r="E298" s="10">
        <v>12</v>
      </c>
      <c r="F298" s="25">
        <v>5.415</v>
      </c>
      <c r="G298" s="25">
        <v>5.5E-2</v>
      </c>
      <c r="H298" s="25">
        <v>9.9989999999999996E-4</v>
      </c>
      <c r="I298" s="25">
        <v>1.7050000000000001</v>
      </c>
      <c r="J298" s="25">
        <v>8.0000000000000002E-3</v>
      </c>
      <c r="K298" s="25">
        <v>9.9989999999999996E-4</v>
      </c>
      <c r="L298" s="35" t="s">
        <v>43</v>
      </c>
      <c r="M298" s="33" t="s">
        <v>35</v>
      </c>
      <c r="N298" s="33" t="s">
        <v>36</v>
      </c>
      <c r="O298" s="33" t="s">
        <v>37</v>
      </c>
      <c r="P298" s="33" t="s">
        <v>38</v>
      </c>
      <c r="Q298" s="33" t="s">
        <v>39</v>
      </c>
      <c r="R298" s="33" t="s">
        <v>40</v>
      </c>
    </row>
    <row r="299" spans="1:18">
      <c r="A299" s="47">
        <v>11</v>
      </c>
      <c r="B299" s="54">
        <v>39463</v>
      </c>
      <c r="C299" s="47">
        <v>2008</v>
      </c>
      <c r="D299" s="43" t="s">
        <v>25</v>
      </c>
      <c r="E299" s="47">
        <v>1</v>
      </c>
      <c r="F299" s="58">
        <v>3.371</v>
      </c>
      <c r="G299" s="58">
        <v>3.4000000000000002E-2</v>
      </c>
      <c r="H299" s="58">
        <v>9.9989999999999996E-4</v>
      </c>
      <c r="I299" s="58">
        <v>1.167</v>
      </c>
      <c r="J299" s="58">
        <v>0.01</v>
      </c>
      <c r="K299" s="58">
        <v>9.9989999999999996E-4</v>
      </c>
      <c r="L299" s="35" t="s">
        <v>53</v>
      </c>
      <c r="M299" s="21">
        <f>AVERAGE(F299:F334)</f>
        <v>5.0859166666666669</v>
      </c>
      <c r="N299" s="21">
        <f>AVERAGE(G299:G334)</f>
        <v>3.9138877777777768E-2</v>
      </c>
      <c r="O299" s="21">
        <f>AVERAGE(H299:H334)</f>
        <v>9.1027688888888916E-2</v>
      </c>
      <c r="P299" s="21">
        <f>AVERAGE(I299:I334)</f>
        <v>1.9842500000000003</v>
      </c>
      <c r="Q299" s="21">
        <f t="shared" ref="Q299:R299" si="5">AVERAGE(J299:J334)</f>
        <v>5.7944444444444437E-2</v>
      </c>
      <c r="R299" s="21">
        <f t="shared" si="5"/>
        <v>9.999000000000004E-4</v>
      </c>
    </row>
    <row r="300" spans="1:18">
      <c r="A300" s="10">
        <v>12</v>
      </c>
      <c r="B300" s="16">
        <v>39463</v>
      </c>
      <c r="C300" s="10">
        <v>2008</v>
      </c>
      <c r="D300" s="4" t="s">
        <v>25</v>
      </c>
      <c r="E300" s="10">
        <v>1</v>
      </c>
      <c r="F300" s="25">
        <v>1.7969999999999999</v>
      </c>
      <c r="G300" s="25">
        <v>3.2000000000000001E-2</v>
      </c>
      <c r="H300" s="25">
        <v>9.9989999999999996E-4</v>
      </c>
      <c r="I300" s="25">
        <v>0.57599999999999996</v>
      </c>
      <c r="J300" s="25">
        <v>8.9999999999999993E-3</v>
      </c>
      <c r="K300" s="25">
        <v>9.9989999999999996E-4</v>
      </c>
    </row>
    <row r="301" spans="1:18">
      <c r="A301" s="10">
        <v>13</v>
      </c>
      <c r="B301" s="16">
        <v>39463</v>
      </c>
      <c r="C301" s="10">
        <v>2008</v>
      </c>
      <c r="D301" s="4" t="s">
        <v>25</v>
      </c>
      <c r="E301" s="10">
        <v>1</v>
      </c>
      <c r="F301" s="25">
        <v>2.0569999999999999</v>
      </c>
      <c r="G301" s="25">
        <v>2.7E-2</v>
      </c>
      <c r="H301" s="25">
        <v>9.9989999999999996E-4</v>
      </c>
      <c r="I301" s="25">
        <v>0.69099999999999995</v>
      </c>
      <c r="J301" s="25">
        <v>1.0999999999999999E-2</v>
      </c>
      <c r="K301" s="25">
        <v>9.9989999999999996E-4</v>
      </c>
    </row>
    <row r="302" spans="1:18">
      <c r="A302" s="10">
        <v>11</v>
      </c>
      <c r="B302" s="16">
        <v>39493</v>
      </c>
      <c r="C302" s="10">
        <v>2008</v>
      </c>
      <c r="D302" s="4" t="s">
        <v>14</v>
      </c>
      <c r="E302" s="10">
        <v>2</v>
      </c>
      <c r="F302" s="25">
        <v>2.9140000000000001</v>
      </c>
      <c r="G302" s="25">
        <v>5.5E-2</v>
      </c>
      <c r="H302" s="25">
        <v>9.9989999999999996E-4</v>
      </c>
      <c r="I302" s="25">
        <v>0.92900000000000005</v>
      </c>
      <c r="J302" s="25">
        <v>0.01</v>
      </c>
      <c r="K302" s="25">
        <v>9.9989999999999996E-4</v>
      </c>
    </row>
    <row r="303" spans="1:18">
      <c r="A303" s="10">
        <v>12</v>
      </c>
      <c r="B303" s="16">
        <v>39493</v>
      </c>
      <c r="C303" s="10">
        <v>2008</v>
      </c>
      <c r="D303" s="4" t="s">
        <v>14</v>
      </c>
      <c r="E303" s="10">
        <v>2</v>
      </c>
      <c r="F303" s="25">
        <v>1.8939999999999999</v>
      </c>
      <c r="G303" s="25">
        <v>3.7999999999999999E-2</v>
      </c>
      <c r="H303" s="25">
        <v>9.9989999999999996E-4</v>
      </c>
      <c r="I303" s="25">
        <v>0.58699999999999997</v>
      </c>
      <c r="J303" s="25">
        <v>1.0999999999999999E-2</v>
      </c>
      <c r="K303" s="25">
        <v>9.9989999999999996E-4</v>
      </c>
    </row>
    <row r="304" spans="1:18">
      <c r="A304" s="10">
        <v>13</v>
      </c>
      <c r="B304" s="16">
        <v>39493</v>
      </c>
      <c r="C304" s="10">
        <v>2008</v>
      </c>
      <c r="D304" s="4" t="s">
        <v>14</v>
      </c>
      <c r="E304" s="10">
        <v>2</v>
      </c>
      <c r="F304" s="25">
        <v>2.54</v>
      </c>
      <c r="G304" s="25">
        <v>0.05</v>
      </c>
      <c r="H304" s="25">
        <v>9.9989999999999996E-4</v>
      </c>
      <c r="I304" s="25">
        <v>0.83299999999999996</v>
      </c>
      <c r="J304" s="25">
        <v>0.01</v>
      </c>
      <c r="K304" s="25">
        <v>9.9989999999999996E-4</v>
      </c>
    </row>
    <row r="305" spans="1:11">
      <c r="A305" s="10">
        <v>11</v>
      </c>
      <c r="B305" s="16">
        <v>39517</v>
      </c>
      <c r="C305" s="10">
        <v>2008</v>
      </c>
      <c r="D305" s="4" t="s">
        <v>15</v>
      </c>
      <c r="E305" s="10">
        <v>3</v>
      </c>
      <c r="F305" s="59">
        <v>1.5009999999999999</v>
      </c>
      <c r="G305" s="59">
        <v>2.5000000000000001E-2</v>
      </c>
      <c r="H305" s="59">
        <v>9.9989999999999996E-4</v>
      </c>
      <c r="I305" s="59">
        <v>0.52100000000000002</v>
      </c>
      <c r="J305" s="59">
        <v>1.0999999999999999E-2</v>
      </c>
      <c r="K305" s="59">
        <v>9.9989999999999996E-4</v>
      </c>
    </row>
    <row r="306" spans="1:11">
      <c r="A306" s="10">
        <v>12</v>
      </c>
      <c r="B306" s="16">
        <v>39517</v>
      </c>
      <c r="C306" s="10">
        <v>2008</v>
      </c>
      <c r="D306" s="4" t="s">
        <v>15</v>
      </c>
      <c r="E306" s="10">
        <v>3</v>
      </c>
      <c r="F306" s="59">
        <v>2.431</v>
      </c>
      <c r="G306" s="59">
        <v>5.0999999999999997E-2</v>
      </c>
      <c r="H306" s="59">
        <v>9.9989999999999996E-4</v>
      </c>
      <c r="I306" s="59">
        <v>0.77200000000000002</v>
      </c>
      <c r="J306" s="59">
        <v>1.6E-2</v>
      </c>
      <c r="K306" s="59">
        <v>9.9989999999999996E-4</v>
      </c>
    </row>
    <row r="307" spans="1:11">
      <c r="A307" s="10">
        <v>13</v>
      </c>
      <c r="B307" s="16">
        <v>39517</v>
      </c>
      <c r="C307" s="10">
        <v>2008</v>
      </c>
      <c r="D307" s="4" t="s">
        <v>15</v>
      </c>
      <c r="E307" s="10">
        <v>3</v>
      </c>
      <c r="F307" s="59">
        <v>3.1509999999999998</v>
      </c>
      <c r="G307" s="59">
        <v>6.0999999999999999E-2</v>
      </c>
      <c r="H307" s="59">
        <v>9.9989999999999996E-4</v>
      </c>
      <c r="I307" s="59">
        <v>1.016</v>
      </c>
      <c r="J307" s="59">
        <v>1.4999999999999999E-2</v>
      </c>
      <c r="K307" s="59">
        <v>9.9989999999999996E-4</v>
      </c>
    </row>
    <row r="308" spans="1:11">
      <c r="A308" s="10">
        <v>11</v>
      </c>
      <c r="B308" s="16">
        <v>39552</v>
      </c>
      <c r="C308" s="10">
        <v>2008</v>
      </c>
      <c r="D308" s="4" t="s">
        <v>16</v>
      </c>
      <c r="E308" s="10">
        <v>4</v>
      </c>
      <c r="F308" s="59">
        <v>1.153</v>
      </c>
      <c r="G308" s="59">
        <v>9.9989999999999996E-4</v>
      </c>
      <c r="H308" s="59">
        <v>9.9989999999999996E-4</v>
      </c>
      <c r="I308" s="59">
        <v>0.34699999999999998</v>
      </c>
      <c r="J308" s="59">
        <v>7.0000000000000001E-3</v>
      </c>
      <c r="K308" s="59">
        <v>9.9989999999999996E-4</v>
      </c>
    </row>
    <row r="309" spans="1:11">
      <c r="A309" s="10">
        <v>12</v>
      </c>
      <c r="B309" s="16">
        <v>39552</v>
      </c>
      <c r="C309" s="10">
        <v>2008</v>
      </c>
      <c r="D309" s="4" t="s">
        <v>16</v>
      </c>
      <c r="E309" s="10">
        <v>4</v>
      </c>
      <c r="F309" s="59">
        <v>1.347</v>
      </c>
      <c r="G309" s="59">
        <v>9.9989999999999996E-4</v>
      </c>
      <c r="H309" s="59">
        <v>9.9989999999999996E-4</v>
      </c>
      <c r="I309" s="59">
        <v>0.379</v>
      </c>
      <c r="J309" s="59">
        <v>8.9999999999999993E-3</v>
      </c>
      <c r="K309" s="59">
        <v>9.9989999999999996E-4</v>
      </c>
    </row>
    <row r="310" spans="1:11">
      <c r="A310" s="10">
        <v>13</v>
      </c>
      <c r="B310" s="16">
        <v>39552</v>
      </c>
      <c r="C310" s="10">
        <v>2008</v>
      </c>
      <c r="D310" s="4" t="s">
        <v>16</v>
      </c>
      <c r="E310" s="10">
        <v>4</v>
      </c>
      <c r="F310" s="59">
        <v>2.6349999999999998</v>
      </c>
      <c r="G310" s="59">
        <v>1.4999999999999999E-2</v>
      </c>
      <c r="H310" s="59">
        <v>9.9989999999999996E-4</v>
      </c>
      <c r="I310" s="59">
        <v>0.69</v>
      </c>
      <c r="J310" s="59">
        <v>5.0000000000000001E-3</v>
      </c>
      <c r="K310" s="59">
        <v>9.9989999999999996E-4</v>
      </c>
    </row>
    <row r="311" spans="1:11">
      <c r="A311" s="10">
        <v>11</v>
      </c>
      <c r="B311" s="16">
        <v>39583</v>
      </c>
      <c r="C311" s="10">
        <v>2008</v>
      </c>
      <c r="D311" s="4" t="s">
        <v>17</v>
      </c>
      <c r="E311" s="10">
        <v>5</v>
      </c>
      <c r="F311" s="59">
        <v>1.796</v>
      </c>
      <c r="G311" s="59">
        <v>9.9989999999999996E-4</v>
      </c>
      <c r="H311" s="59">
        <v>9.9989999999999996E-4</v>
      </c>
      <c r="I311" s="59">
        <v>0.54900000000000004</v>
      </c>
      <c r="J311" s="59">
        <v>2.1000000000000001E-2</v>
      </c>
      <c r="K311" s="59">
        <v>9.9989999999999996E-4</v>
      </c>
    </row>
    <row r="312" spans="1:11">
      <c r="A312" s="10">
        <v>12</v>
      </c>
      <c r="B312" s="16">
        <v>39583</v>
      </c>
      <c r="C312" s="10">
        <v>2008</v>
      </c>
      <c r="D312" s="4" t="s">
        <v>17</v>
      </c>
      <c r="E312" s="10">
        <v>5</v>
      </c>
      <c r="F312" s="59">
        <v>2.3330000000000002</v>
      </c>
      <c r="G312" s="59">
        <v>2.1000000000000001E-2</v>
      </c>
      <c r="H312" s="59">
        <v>9.9989999999999996E-4</v>
      </c>
      <c r="I312" s="59">
        <v>0.66700000000000004</v>
      </c>
      <c r="J312" s="59">
        <v>1.9E-2</v>
      </c>
      <c r="K312" s="59">
        <v>9.9989999999999996E-4</v>
      </c>
    </row>
    <row r="313" spans="1:11">
      <c r="A313" s="10">
        <v>13</v>
      </c>
      <c r="B313" s="16">
        <v>39583</v>
      </c>
      <c r="C313" s="10">
        <v>2008</v>
      </c>
      <c r="D313" s="4" t="s">
        <v>17</v>
      </c>
      <c r="E313" s="10">
        <v>5</v>
      </c>
      <c r="F313" s="59">
        <v>2.1070000000000002</v>
      </c>
      <c r="G313" s="59">
        <v>9.9989999999999996E-4</v>
      </c>
      <c r="H313" s="59">
        <v>9.9989999999999996E-4</v>
      </c>
      <c r="I313" s="59">
        <v>0.61199999999999999</v>
      </c>
      <c r="J313" s="59">
        <v>2.1000000000000001E-2</v>
      </c>
      <c r="K313" s="59">
        <v>9.9989999999999996E-4</v>
      </c>
    </row>
    <row r="314" spans="1:11">
      <c r="A314" s="10">
        <v>11</v>
      </c>
      <c r="B314" s="16">
        <v>39617</v>
      </c>
      <c r="C314" s="10">
        <v>2008</v>
      </c>
      <c r="D314" s="4" t="s">
        <v>18</v>
      </c>
      <c r="E314" s="10">
        <v>6</v>
      </c>
      <c r="F314" s="59">
        <v>2.1179999999999999</v>
      </c>
      <c r="G314" s="59">
        <v>1.2E-2</v>
      </c>
      <c r="H314" s="59">
        <v>9.9989999999999996E-4</v>
      </c>
      <c r="I314" s="59">
        <v>0.5</v>
      </c>
      <c r="J314" s="59">
        <v>4.1000000000000002E-2</v>
      </c>
      <c r="K314" s="59">
        <v>9.9989999999999996E-4</v>
      </c>
    </row>
    <row r="315" spans="1:11">
      <c r="A315" s="10">
        <v>12</v>
      </c>
      <c r="B315" s="16">
        <v>39617</v>
      </c>
      <c r="C315" s="10">
        <v>2008</v>
      </c>
      <c r="D315" s="4" t="s">
        <v>18</v>
      </c>
      <c r="E315" s="10">
        <v>6</v>
      </c>
      <c r="F315" s="59">
        <v>2.484</v>
      </c>
      <c r="G315" s="59">
        <v>1.4E-2</v>
      </c>
      <c r="H315" s="59">
        <v>9.9989999999999996E-4</v>
      </c>
      <c r="I315" s="59">
        <v>0.53400000000000003</v>
      </c>
      <c r="J315" s="59">
        <v>2.7E-2</v>
      </c>
      <c r="K315" s="59">
        <v>9.9989999999999996E-4</v>
      </c>
    </row>
    <row r="316" spans="1:11">
      <c r="A316" s="10">
        <v>13</v>
      </c>
      <c r="B316" s="16">
        <v>39617</v>
      </c>
      <c r="C316" s="10">
        <v>2008</v>
      </c>
      <c r="D316" s="4" t="s">
        <v>18</v>
      </c>
      <c r="E316" s="10">
        <v>6</v>
      </c>
      <c r="F316" s="59">
        <v>8.8379999999999992</v>
      </c>
      <c r="G316" s="59">
        <v>0.115</v>
      </c>
      <c r="H316" s="59">
        <v>9.9989999999999996E-4</v>
      </c>
      <c r="I316" s="59">
        <v>2.8860000000000001</v>
      </c>
      <c r="J316" s="59">
        <v>4.4999999999999998E-2</v>
      </c>
      <c r="K316" s="59">
        <v>9.9989999999999996E-4</v>
      </c>
    </row>
    <row r="317" spans="1:11">
      <c r="A317" s="10">
        <v>11</v>
      </c>
      <c r="B317" s="16">
        <v>39645</v>
      </c>
      <c r="C317" s="10">
        <v>2008</v>
      </c>
      <c r="D317" s="4" t="s">
        <v>19</v>
      </c>
      <c r="E317" s="10">
        <v>7</v>
      </c>
      <c r="F317" s="59">
        <v>1.85</v>
      </c>
      <c r="G317" s="59">
        <v>4.5999999999999999E-2</v>
      </c>
      <c r="H317" s="59">
        <v>9.9989999999999996E-4</v>
      </c>
      <c r="I317" s="59">
        <v>0.55400000000000005</v>
      </c>
      <c r="J317" s="59">
        <v>1.7000000000000001E-2</v>
      </c>
      <c r="K317" s="59">
        <v>9.9989999999999996E-4</v>
      </c>
    </row>
    <row r="318" spans="1:11">
      <c r="A318" s="10">
        <v>12</v>
      </c>
      <c r="B318" s="16">
        <v>39645</v>
      </c>
      <c r="C318" s="10">
        <v>2008</v>
      </c>
      <c r="D318" s="4" t="s">
        <v>19</v>
      </c>
      <c r="E318" s="10">
        <v>7</v>
      </c>
      <c r="F318" s="59">
        <v>3.04</v>
      </c>
      <c r="G318" s="59">
        <v>2.3E-2</v>
      </c>
      <c r="H318" s="59">
        <v>9.9989999999999996E-4</v>
      </c>
      <c r="I318" s="59">
        <v>0.94799999999999995</v>
      </c>
      <c r="J318" s="59">
        <v>2.1000000000000001E-2</v>
      </c>
      <c r="K318" s="59">
        <v>9.9989999999999996E-4</v>
      </c>
    </row>
    <row r="319" spans="1:11">
      <c r="A319" s="10">
        <v>13</v>
      </c>
      <c r="B319" s="16">
        <v>39645</v>
      </c>
      <c r="C319" s="10">
        <v>2008</v>
      </c>
      <c r="D319" s="4" t="s">
        <v>19</v>
      </c>
      <c r="E319" s="10">
        <v>7</v>
      </c>
      <c r="F319" s="59">
        <v>9.8940000000000001</v>
      </c>
      <c r="G319" s="59">
        <v>0.14399999999999999</v>
      </c>
      <c r="H319" s="59">
        <v>9.9989999999999996E-4</v>
      </c>
      <c r="I319" s="59">
        <v>3.76</v>
      </c>
      <c r="J319" s="59">
        <v>5.7000000000000002E-2</v>
      </c>
      <c r="K319" s="59">
        <v>9.9989999999999996E-4</v>
      </c>
    </row>
    <row r="320" spans="1:11">
      <c r="A320" s="10">
        <v>11</v>
      </c>
      <c r="B320" s="16">
        <v>39672</v>
      </c>
      <c r="C320" s="10">
        <v>2008</v>
      </c>
      <c r="D320" s="4" t="s">
        <v>20</v>
      </c>
      <c r="E320" s="10">
        <v>8</v>
      </c>
      <c r="F320" s="59">
        <v>5.2789999999999999</v>
      </c>
      <c r="G320" s="59">
        <v>6.3E-2</v>
      </c>
      <c r="H320" s="59">
        <v>9.9989999999999996E-4</v>
      </c>
      <c r="I320" s="59">
        <v>1.665</v>
      </c>
      <c r="J320" s="59">
        <v>3.2000000000000001E-2</v>
      </c>
      <c r="K320" s="59">
        <v>9.9989999999999996E-4</v>
      </c>
    </row>
    <row r="321" spans="1:18">
      <c r="A321" s="10">
        <v>12</v>
      </c>
      <c r="B321" s="16">
        <v>39672</v>
      </c>
      <c r="C321" s="10">
        <v>2008</v>
      </c>
      <c r="D321" s="4" t="s">
        <v>20</v>
      </c>
      <c r="E321" s="10">
        <v>8</v>
      </c>
      <c r="F321" s="59">
        <v>5.0039999999999996</v>
      </c>
      <c r="G321" s="59">
        <v>3.1E-2</v>
      </c>
      <c r="H321" s="59">
        <v>9.9989999999999996E-4</v>
      </c>
      <c r="I321" s="59">
        <v>1.6759999999999999</v>
      </c>
      <c r="J321" s="59">
        <v>3.3000000000000002E-2</v>
      </c>
      <c r="K321" s="59">
        <v>9.9989999999999996E-4</v>
      </c>
    </row>
    <row r="322" spans="1:18">
      <c r="A322" s="10">
        <v>13</v>
      </c>
      <c r="B322" s="16">
        <v>39672</v>
      </c>
      <c r="C322" s="10">
        <v>2008</v>
      </c>
      <c r="D322" s="4" t="s">
        <v>20</v>
      </c>
      <c r="E322" s="10">
        <v>8</v>
      </c>
      <c r="F322" s="59">
        <v>20.181999999999999</v>
      </c>
      <c r="G322" s="59">
        <v>0.14899999999999999</v>
      </c>
      <c r="H322" s="59">
        <v>4.2999999999999997E-2</v>
      </c>
      <c r="I322" s="59">
        <v>7.2619999999999996</v>
      </c>
      <c r="J322" s="59">
        <v>0.35899999999999999</v>
      </c>
      <c r="K322" s="59">
        <v>9.9989999999999996E-4</v>
      </c>
    </row>
    <row r="323" spans="1:18">
      <c r="A323" s="10">
        <v>11</v>
      </c>
      <c r="B323" s="16">
        <v>39709</v>
      </c>
      <c r="C323" s="10">
        <v>2008</v>
      </c>
      <c r="D323" s="4" t="s">
        <v>26</v>
      </c>
      <c r="E323" s="10">
        <v>9</v>
      </c>
      <c r="F323" s="25">
        <v>9.52</v>
      </c>
      <c r="G323" s="25">
        <v>4.4999999999999998E-2</v>
      </c>
      <c r="H323" s="25">
        <v>0.55400000000000005</v>
      </c>
      <c r="I323" s="25">
        <v>5.1310000000000002</v>
      </c>
      <c r="J323" s="25">
        <v>0.14299999999999999</v>
      </c>
      <c r="K323" s="25">
        <v>9.9989999999999996E-4</v>
      </c>
    </row>
    <row r="324" spans="1:18">
      <c r="A324" s="10">
        <v>12</v>
      </c>
      <c r="B324" s="16">
        <v>39709</v>
      </c>
      <c r="C324" s="10">
        <v>2008</v>
      </c>
      <c r="D324" s="4" t="s">
        <v>26</v>
      </c>
      <c r="E324" s="10">
        <v>9</v>
      </c>
      <c r="F324" s="25">
        <v>19.344999999999999</v>
      </c>
      <c r="G324" s="25">
        <v>5.3999999999999999E-2</v>
      </c>
      <c r="H324" s="25">
        <v>1.171</v>
      </c>
      <c r="I324" s="25">
        <v>10.523</v>
      </c>
      <c r="J324" s="25">
        <v>0.32700000000000001</v>
      </c>
      <c r="K324" s="25">
        <v>9.9989999999999996E-4</v>
      </c>
    </row>
    <row r="325" spans="1:18">
      <c r="A325" s="10">
        <v>13</v>
      </c>
      <c r="B325" s="16">
        <v>39709</v>
      </c>
      <c r="C325" s="10">
        <v>2008</v>
      </c>
      <c r="D325" s="4" t="s">
        <v>26</v>
      </c>
      <c r="E325" s="10">
        <v>9</v>
      </c>
      <c r="F325" s="25">
        <v>22.425999999999998</v>
      </c>
      <c r="G325" s="25">
        <v>4.3999999999999997E-2</v>
      </c>
      <c r="H325" s="25">
        <v>1.4770000000000001</v>
      </c>
      <c r="I325" s="25">
        <v>11.792</v>
      </c>
      <c r="J325" s="25">
        <v>0.50600000000000001</v>
      </c>
      <c r="K325" s="25">
        <v>9.9989999999999996E-4</v>
      </c>
    </row>
    <row r="326" spans="1:18">
      <c r="A326" s="10">
        <v>11</v>
      </c>
      <c r="B326" s="16">
        <v>39735</v>
      </c>
      <c r="C326" s="10">
        <v>2008</v>
      </c>
      <c r="D326" s="4" t="s">
        <v>22</v>
      </c>
      <c r="E326" s="10">
        <v>10</v>
      </c>
      <c r="F326" s="20">
        <v>8.7769999999999992</v>
      </c>
      <c r="G326" s="20">
        <v>2.9000000000000001E-2</v>
      </c>
      <c r="H326" s="20">
        <v>9.9989999999999996E-4</v>
      </c>
      <c r="I326" s="20">
        <v>3.379</v>
      </c>
      <c r="J326" s="25">
        <v>4.9000000000000002E-2</v>
      </c>
      <c r="K326" s="25">
        <v>9.9989999999999996E-4</v>
      </c>
    </row>
    <row r="327" spans="1:18">
      <c r="A327" s="10">
        <v>12</v>
      </c>
      <c r="B327" s="16">
        <v>39735</v>
      </c>
      <c r="C327" s="10">
        <v>2008</v>
      </c>
      <c r="D327" s="4" t="s">
        <v>22</v>
      </c>
      <c r="E327" s="10">
        <v>10</v>
      </c>
      <c r="F327" s="20">
        <v>5.4119999999999999</v>
      </c>
      <c r="G327" s="20">
        <v>1.7999999999999999E-2</v>
      </c>
      <c r="H327" s="20">
        <v>9.9989999999999996E-4</v>
      </c>
      <c r="I327" s="20">
        <v>2.0489999999999999</v>
      </c>
      <c r="J327" s="25">
        <v>4.9000000000000002E-2</v>
      </c>
      <c r="K327" s="25">
        <v>9.9989999999999996E-4</v>
      </c>
    </row>
    <row r="328" spans="1:18">
      <c r="A328" s="10">
        <v>13</v>
      </c>
      <c r="B328" s="16">
        <v>39735</v>
      </c>
      <c r="C328" s="10">
        <v>2008</v>
      </c>
      <c r="D328" s="4" t="s">
        <v>22</v>
      </c>
      <c r="E328" s="10">
        <v>10</v>
      </c>
      <c r="F328" s="20">
        <v>5.5890000000000004</v>
      </c>
      <c r="G328" s="20">
        <v>1.7000000000000001E-2</v>
      </c>
      <c r="H328" s="20">
        <v>9.9989999999999996E-4</v>
      </c>
      <c r="I328" s="20">
        <v>1.9059999999999999</v>
      </c>
      <c r="J328" s="25">
        <v>0.113</v>
      </c>
      <c r="K328" s="25">
        <v>9.9989999999999996E-4</v>
      </c>
    </row>
    <row r="329" spans="1:18">
      <c r="A329" s="10">
        <v>11</v>
      </c>
      <c r="B329" s="16">
        <v>39769</v>
      </c>
      <c r="C329" s="10">
        <v>2008</v>
      </c>
      <c r="D329" s="4" t="s">
        <v>23</v>
      </c>
      <c r="E329" s="10">
        <v>11</v>
      </c>
      <c r="F329" s="20">
        <v>2.835</v>
      </c>
      <c r="G329" s="20">
        <v>4.1000000000000002E-2</v>
      </c>
      <c r="H329" s="20">
        <v>9.9989999999999996E-4</v>
      </c>
      <c r="I329" s="20">
        <v>0.98</v>
      </c>
      <c r="J329" s="25">
        <v>0.02</v>
      </c>
      <c r="K329" s="25">
        <v>9.9989999999999996E-4</v>
      </c>
    </row>
    <row r="330" spans="1:18">
      <c r="A330" s="10">
        <v>12</v>
      </c>
      <c r="B330" s="16">
        <v>39769</v>
      </c>
      <c r="C330" s="10">
        <v>2008</v>
      </c>
      <c r="D330" s="4" t="s">
        <v>23</v>
      </c>
      <c r="E330" s="10">
        <v>11</v>
      </c>
      <c r="F330" s="20">
        <v>1.167</v>
      </c>
      <c r="G330" s="20">
        <v>1.2999999999999999E-2</v>
      </c>
      <c r="H330" s="20">
        <v>9.9989999999999996E-4</v>
      </c>
      <c r="I330" s="20">
        <v>0.34</v>
      </c>
      <c r="J330" s="25">
        <v>8.0000000000000002E-3</v>
      </c>
      <c r="K330" s="25">
        <v>9.9989999999999996E-4</v>
      </c>
    </row>
    <row r="331" spans="1:18">
      <c r="A331" s="10">
        <v>13</v>
      </c>
      <c r="B331" s="16">
        <v>39769</v>
      </c>
      <c r="C331" s="10">
        <v>2008</v>
      </c>
      <c r="D331" s="4" t="s">
        <v>23</v>
      </c>
      <c r="E331" s="10">
        <v>11</v>
      </c>
      <c r="F331" s="20">
        <v>2.2989999999999999</v>
      </c>
      <c r="G331" s="20">
        <v>3.5000000000000003E-2</v>
      </c>
      <c r="H331" s="20">
        <v>9.9989999999999996E-4</v>
      </c>
      <c r="I331" s="20">
        <v>0.68100000000000005</v>
      </c>
      <c r="J331" s="25">
        <v>1.2999999999999999E-2</v>
      </c>
      <c r="K331" s="25">
        <v>9.9989999999999996E-4</v>
      </c>
    </row>
    <row r="332" spans="1:18">
      <c r="A332" s="10">
        <v>11</v>
      </c>
      <c r="B332" s="16">
        <v>39797</v>
      </c>
      <c r="C332" s="10">
        <v>2008</v>
      </c>
      <c r="D332" s="4" t="s">
        <v>24</v>
      </c>
      <c r="E332" s="10">
        <v>12</v>
      </c>
      <c r="F332" s="20">
        <v>5.1849999999999996</v>
      </c>
      <c r="G332" s="20">
        <v>0.04</v>
      </c>
      <c r="H332" s="20">
        <v>9.9989999999999996E-4</v>
      </c>
      <c r="I332" s="20">
        <v>1.7110000000000001</v>
      </c>
      <c r="J332" s="25">
        <v>1.7000000000000001E-2</v>
      </c>
      <c r="K332" s="25">
        <v>9.9989999999999996E-4</v>
      </c>
    </row>
    <row r="333" spans="1:18">
      <c r="A333" s="10">
        <v>12</v>
      </c>
      <c r="B333" s="16">
        <v>39797</v>
      </c>
      <c r="C333" s="10">
        <v>2008</v>
      </c>
      <c r="D333" s="4" t="s">
        <v>24</v>
      </c>
      <c r="E333" s="10">
        <v>12</v>
      </c>
      <c r="F333" s="20">
        <v>4.3090000000000002</v>
      </c>
      <c r="G333" s="20">
        <v>2.8000000000000001E-2</v>
      </c>
      <c r="H333" s="20">
        <v>9.9989999999999996E-4</v>
      </c>
      <c r="I333" s="20">
        <v>1.3939999999999999</v>
      </c>
      <c r="J333" s="25">
        <v>1.2E-2</v>
      </c>
      <c r="K333" s="25">
        <v>9.9989999999999996E-4</v>
      </c>
    </row>
    <row r="334" spans="1:18" ht="25.5">
      <c r="A334" s="10">
        <v>13</v>
      </c>
      <c r="B334" s="16">
        <v>39797</v>
      </c>
      <c r="C334" s="10">
        <v>2008</v>
      </c>
      <c r="D334" s="4" t="s">
        <v>24</v>
      </c>
      <c r="E334" s="10">
        <v>12</v>
      </c>
      <c r="F334" s="20">
        <v>4.5129999999999999</v>
      </c>
      <c r="G334" s="20">
        <v>3.5000000000000003E-2</v>
      </c>
      <c r="H334" s="20">
        <v>9.9989999999999996E-4</v>
      </c>
      <c r="I334" s="20">
        <v>1.4259999999999999</v>
      </c>
      <c r="J334" s="25">
        <v>1.2E-2</v>
      </c>
      <c r="K334" s="25">
        <v>9.9989999999999996E-4</v>
      </c>
      <c r="L334" s="35" t="s">
        <v>43</v>
      </c>
      <c r="M334" s="33" t="s">
        <v>35</v>
      </c>
      <c r="N334" s="33" t="s">
        <v>36</v>
      </c>
      <c r="O334" s="33" t="s">
        <v>37</v>
      </c>
      <c r="P334" s="33" t="s">
        <v>38</v>
      </c>
      <c r="Q334" s="33" t="s">
        <v>39</v>
      </c>
      <c r="R334" s="33" t="s">
        <v>40</v>
      </c>
    </row>
    <row r="335" spans="1:18">
      <c r="A335" s="47">
        <v>11</v>
      </c>
      <c r="B335" s="54">
        <v>39826</v>
      </c>
      <c r="C335" s="47">
        <v>2009</v>
      </c>
      <c r="D335" s="43" t="s">
        <v>25</v>
      </c>
      <c r="E335" s="41">
        <v>1</v>
      </c>
      <c r="F335" s="60">
        <v>4.407</v>
      </c>
      <c r="G335" s="60">
        <v>6.3E-2</v>
      </c>
      <c r="H335" s="60">
        <v>9.9989999999999996E-4</v>
      </c>
      <c r="I335" s="60">
        <v>1.669</v>
      </c>
      <c r="J335" s="58">
        <v>1.6E-2</v>
      </c>
      <c r="K335" s="58">
        <v>9.9989999999999996E-4</v>
      </c>
      <c r="L335" s="35" t="s">
        <v>54</v>
      </c>
      <c r="M335" s="21">
        <f>AVERAGE(F335:F370)</f>
        <v>4.7653055555555532</v>
      </c>
      <c r="N335" s="21">
        <f>AVERAGE(G335:G370)</f>
        <v>5.1805550000000006E-2</v>
      </c>
      <c r="O335" s="21">
        <f>AVERAGE(H335:H370)</f>
        <v>1.4055522222222224E-2</v>
      </c>
      <c r="P335" s="21">
        <f>AVERAGE(I335:I370)</f>
        <v>1.5570555555555556</v>
      </c>
      <c r="Q335" s="21">
        <f t="shared" ref="Q335:R335" si="6">AVERAGE(J335:J370)</f>
        <v>5.8666666666666659E-2</v>
      </c>
      <c r="R335" s="21">
        <f t="shared" si="6"/>
        <v>9.999000000000004E-4</v>
      </c>
    </row>
    <row r="336" spans="1:18">
      <c r="A336" s="10">
        <v>12</v>
      </c>
      <c r="B336" s="16">
        <v>39826</v>
      </c>
      <c r="C336" s="10">
        <v>2009</v>
      </c>
      <c r="D336" s="4" t="s">
        <v>25</v>
      </c>
      <c r="E336" s="5">
        <v>1</v>
      </c>
      <c r="F336" s="20">
        <v>4.0830000000000002</v>
      </c>
      <c r="G336" s="20">
        <v>4.4999999999999998E-2</v>
      </c>
      <c r="H336" s="20">
        <v>9.9989999999999996E-4</v>
      </c>
      <c r="I336" s="20">
        <v>1.421</v>
      </c>
      <c r="J336" s="25">
        <v>1.2999999999999999E-2</v>
      </c>
      <c r="K336" s="25">
        <v>9.9989999999999996E-4</v>
      </c>
    </row>
    <row r="337" spans="1:11">
      <c r="A337" s="10">
        <v>13</v>
      </c>
      <c r="B337" s="16">
        <v>39826</v>
      </c>
      <c r="C337" s="10">
        <v>2009</v>
      </c>
      <c r="D337" s="4" t="s">
        <v>25</v>
      </c>
      <c r="E337" s="5">
        <v>1</v>
      </c>
      <c r="F337" s="20">
        <v>3.7650000000000001</v>
      </c>
      <c r="G337" s="20">
        <v>4.7E-2</v>
      </c>
      <c r="H337" s="20">
        <v>9.9989999999999996E-4</v>
      </c>
      <c r="I337" s="20">
        <v>1.268</v>
      </c>
      <c r="J337" s="25">
        <v>1.2E-2</v>
      </c>
      <c r="K337" s="25">
        <v>9.9989999999999996E-4</v>
      </c>
    </row>
    <row r="338" spans="1:11">
      <c r="A338" s="5">
        <v>11</v>
      </c>
      <c r="B338" s="16">
        <v>39861</v>
      </c>
      <c r="C338" s="10">
        <v>2009</v>
      </c>
      <c r="D338" s="4" t="s">
        <v>14</v>
      </c>
      <c r="E338" s="5">
        <v>2</v>
      </c>
      <c r="F338" s="20">
        <v>4.8280000000000003</v>
      </c>
      <c r="G338" s="20">
        <v>2.9000000000000001E-2</v>
      </c>
      <c r="H338" s="20">
        <v>1E-3</v>
      </c>
      <c r="I338" s="20">
        <v>2.37</v>
      </c>
      <c r="J338" s="25">
        <v>2.1000000000000001E-2</v>
      </c>
      <c r="K338" s="25">
        <v>9.9989999999999996E-4</v>
      </c>
    </row>
    <row r="339" spans="1:11">
      <c r="A339" s="5">
        <v>12</v>
      </c>
      <c r="B339" s="16">
        <v>39861</v>
      </c>
      <c r="C339" s="10">
        <v>2009</v>
      </c>
      <c r="D339" s="4" t="s">
        <v>14</v>
      </c>
      <c r="E339" s="5">
        <v>2</v>
      </c>
      <c r="F339" s="20">
        <v>3.97</v>
      </c>
      <c r="G339" s="20">
        <v>2.4E-2</v>
      </c>
      <c r="H339" s="20">
        <v>1E-3</v>
      </c>
      <c r="I339" s="20">
        <v>1.915</v>
      </c>
      <c r="J339" s="25">
        <v>1.9E-2</v>
      </c>
      <c r="K339" s="25">
        <v>9.9989999999999996E-4</v>
      </c>
    </row>
    <row r="340" spans="1:11">
      <c r="A340" s="5">
        <v>13</v>
      </c>
      <c r="B340" s="16">
        <v>39861</v>
      </c>
      <c r="C340" s="10">
        <v>2009</v>
      </c>
      <c r="D340" s="4" t="s">
        <v>14</v>
      </c>
      <c r="E340" s="5">
        <v>2</v>
      </c>
      <c r="F340" s="20">
        <v>2.0529999999999999</v>
      </c>
      <c r="G340" s="20">
        <v>1.9E-2</v>
      </c>
      <c r="H340" s="20">
        <v>9.9989999999999996E-4</v>
      </c>
      <c r="I340" s="20">
        <v>0.85199999999999998</v>
      </c>
      <c r="J340" s="25">
        <v>1.9E-2</v>
      </c>
      <c r="K340" s="25">
        <v>9.9989999999999996E-4</v>
      </c>
    </row>
    <row r="341" spans="1:11">
      <c r="A341" s="5">
        <v>11</v>
      </c>
      <c r="B341" s="16">
        <v>39888</v>
      </c>
      <c r="C341" s="10">
        <v>2009</v>
      </c>
      <c r="D341" s="4" t="s">
        <v>15</v>
      </c>
      <c r="E341" s="5">
        <v>3</v>
      </c>
      <c r="F341" s="20">
        <v>5.6769999999999996</v>
      </c>
      <c r="G341" s="20">
        <v>5.5E-2</v>
      </c>
      <c r="H341" s="20">
        <v>1E-3</v>
      </c>
      <c r="I341" s="20">
        <v>2.4140000000000001</v>
      </c>
      <c r="J341" s="25">
        <v>1.6E-2</v>
      </c>
      <c r="K341" s="25">
        <v>9.9989999999999996E-4</v>
      </c>
    </row>
    <row r="342" spans="1:11">
      <c r="A342" s="5">
        <v>12</v>
      </c>
      <c r="B342" s="16">
        <v>39888</v>
      </c>
      <c r="C342" s="10">
        <v>2009</v>
      </c>
      <c r="D342" s="4" t="s">
        <v>15</v>
      </c>
      <c r="E342" s="5">
        <v>3</v>
      </c>
      <c r="F342" s="20">
        <v>5.3869999999999996</v>
      </c>
      <c r="G342" s="20">
        <v>3.4000000000000002E-2</v>
      </c>
      <c r="H342" s="20">
        <v>1E-3</v>
      </c>
      <c r="I342" s="20">
        <v>2.3010000000000002</v>
      </c>
      <c r="J342" s="25">
        <v>1.7999999999999999E-2</v>
      </c>
      <c r="K342" s="25">
        <v>9.9989999999999996E-4</v>
      </c>
    </row>
    <row r="343" spans="1:11">
      <c r="A343" s="5">
        <v>13</v>
      </c>
      <c r="B343" s="16">
        <v>39888</v>
      </c>
      <c r="C343" s="10">
        <v>2009</v>
      </c>
      <c r="D343" s="4" t="s">
        <v>15</v>
      </c>
      <c r="E343" s="5">
        <v>3</v>
      </c>
      <c r="F343" s="20">
        <v>5.391</v>
      </c>
      <c r="G343" s="20">
        <v>3.3000000000000002E-2</v>
      </c>
      <c r="H343" s="20">
        <v>9.9989999999999996E-4</v>
      </c>
      <c r="I343" s="20">
        <v>2.3940000000000001</v>
      </c>
      <c r="J343" s="25">
        <v>1.6E-2</v>
      </c>
      <c r="K343" s="25">
        <v>9.9989999999999996E-4</v>
      </c>
    </row>
    <row r="344" spans="1:11">
      <c r="A344" s="5">
        <v>11</v>
      </c>
      <c r="B344" s="16">
        <v>39916</v>
      </c>
      <c r="C344" s="10">
        <v>2009</v>
      </c>
      <c r="D344" s="4" t="s">
        <v>16</v>
      </c>
      <c r="E344" s="5">
        <v>4</v>
      </c>
      <c r="F344" s="20">
        <v>1.3879999999999999</v>
      </c>
      <c r="G344" s="20">
        <v>1.6E-2</v>
      </c>
      <c r="H344" s="20">
        <v>1E-3</v>
      </c>
      <c r="I344" s="20">
        <v>0.46500000000000002</v>
      </c>
      <c r="J344" s="25">
        <v>1.0999999999999999E-2</v>
      </c>
      <c r="K344" s="25">
        <v>9.9989999999999996E-4</v>
      </c>
    </row>
    <row r="345" spans="1:11">
      <c r="A345" s="5">
        <v>12</v>
      </c>
      <c r="B345" s="16">
        <v>39916</v>
      </c>
      <c r="C345" s="10">
        <v>2009</v>
      </c>
      <c r="D345" s="4" t="s">
        <v>16</v>
      </c>
      <c r="E345" s="5">
        <v>4</v>
      </c>
      <c r="F345" s="20">
        <v>0.76600000000000001</v>
      </c>
      <c r="G345" s="20">
        <v>0.01</v>
      </c>
      <c r="H345" s="20">
        <v>9.9989999999999996E-4</v>
      </c>
      <c r="I345" s="20">
        <v>0.218</v>
      </c>
      <c r="J345" s="25">
        <v>6.0000000000000001E-3</v>
      </c>
      <c r="K345" s="25">
        <v>9.9989999999999996E-4</v>
      </c>
    </row>
    <row r="346" spans="1:11">
      <c r="A346" s="5">
        <v>13</v>
      </c>
      <c r="B346" s="16">
        <v>39916</v>
      </c>
      <c r="C346" s="10">
        <v>2009</v>
      </c>
      <c r="D346" s="4" t="s">
        <v>16</v>
      </c>
      <c r="E346" s="5">
        <v>4</v>
      </c>
      <c r="F346" s="20">
        <v>0.74299999999999999</v>
      </c>
      <c r="G346" s="20">
        <v>9.9989999999999996E-4</v>
      </c>
      <c r="H346" s="20">
        <v>9.9989999999999996E-4</v>
      </c>
      <c r="I346" s="20">
        <v>0.20200000000000001</v>
      </c>
      <c r="J346" s="25">
        <v>0.01</v>
      </c>
      <c r="K346" s="25">
        <v>9.9989999999999996E-4</v>
      </c>
    </row>
    <row r="347" spans="1:11">
      <c r="A347" s="5">
        <v>11</v>
      </c>
      <c r="B347" s="16">
        <v>39946</v>
      </c>
      <c r="C347" s="10">
        <v>2009</v>
      </c>
      <c r="D347" s="4" t="s">
        <v>17</v>
      </c>
      <c r="E347" s="5">
        <v>5</v>
      </c>
      <c r="F347" s="20">
        <v>1.4530000000000001</v>
      </c>
      <c r="G347" s="20">
        <v>2.7E-2</v>
      </c>
      <c r="H347" s="20">
        <v>1E-3</v>
      </c>
      <c r="I347" s="20">
        <v>0.36099999999999999</v>
      </c>
      <c r="J347" s="25">
        <v>7.0000000000000001E-3</v>
      </c>
      <c r="K347" s="25">
        <v>9.9989999999999996E-4</v>
      </c>
    </row>
    <row r="348" spans="1:11">
      <c r="A348" s="5">
        <v>12</v>
      </c>
      <c r="B348" s="16">
        <v>39946</v>
      </c>
      <c r="C348" s="10">
        <v>2009</v>
      </c>
      <c r="D348" s="4" t="s">
        <v>17</v>
      </c>
      <c r="E348" s="5">
        <v>5</v>
      </c>
      <c r="F348" s="20">
        <v>0.98099999999999998</v>
      </c>
      <c r="G348" s="20">
        <v>1.2E-2</v>
      </c>
      <c r="H348" s="20">
        <v>9.9989999999999996E-4</v>
      </c>
      <c r="I348" s="20">
        <v>0.22</v>
      </c>
      <c r="J348" s="25">
        <v>8.0000000000000002E-3</v>
      </c>
      <c r="K348" s="25">
        <v>9.9989999999999996E-4</v>
      </c>
    </row>
    <row r="349" spans="1:11">
      <c r="A349" s="5">
        <v>13</v>
      </c>
      <c r="B349" s="16">
        <v>39946</v>
      </c>
      <c r="C349" s="10">
        <v>2009</v>
      </c>
      <c r="D349" s="4" t="s">
        <v>17</v>
      </c>
      <c r="E349" s="5">
        <v>5</v>
      </c>
      <c r="F349" s="20">
        <v>1.7330000000000001</v>
      </c>
      <c r="G349" s="20">
        <v>1.2E-2</v>
      </c>
      <c r="H349" s="20">
        <v>9.9989999999999996E-4</v>
      </c>
      <c r="I349" s="20">
        <v>0.315</v>
      </c>
      <c r="J349" s="25">
        <v>8.9999999999999993E-3</v>
      </c>
      <c r="K349" s="25">
        <v>9.9989999999999996E-4</v>
      </c>
    </row>
    <row r="350" spans="1:11">
      <c r="A350" s="10">
        <v>11</v>
      </c>
      <c r="B350" s="16">
        <v>39983</v>
      </c>
      <c r="C350" s="10">
        <v>2009</v>
      </c>
      <c r="D350" s="4" t="s">
        <v>18</v>
      </c>
      <c r="E350" s="5">
        <v>6</v>
      </c>
      <c r="F350" s="20">
        <v>2.0920000000000001</v>
      </c>
      <c r="G350" s="20">
        <v>5.2999999999999999E-2</v>
      </c>
      <c r="H350" s="20">
        <v>1E-3</v>
      </c>
      <c r="I350" s="20">
        <v>0.53</v>
      </c>
      <c r="J350" s="25">
        <v>1.7000000000000001E-2</v>
      </c>
      <c r="K350" s="25">
        <v>9.9989999999999996E-4</v>
      </c>
    </row>
    <row r="351" spans="1:11">
      <c r="A351" s="10">
        <v>12</v>
      </c>
      <c r="B351" s="16">
        <v>39983</v>
      </c>
      <c r="C351" s="10">
        <v>2009</v>
      </c>
      <c r="D351" s="4" t="s">
        <v>18</v>
      </c>
      <c r="E351" s="5">
        <v>6</v>
      </c>
      <c r="F351" s="20">
        <v>2.6070000000000002</v>
      </c>
      <c r="G351" s="20">
        <v>5.5E-2</v>
      </c>
      <c r="H351" s="20">
        <v>1E-3</v>
      </c>
      <c r="I351" s="20">
        <v>0.56999999999999995</v>
      </c>
      <c r="J351" s="25">
        <v>2.4E-2</v>
      </c>
      <c r="K351" s="25">
        <v>9.9989999999999996E-4</v>
      </c>
    </row>
    <row r="352" spans="1:11">
      <c r="A352" s="10">
        <v>13</v>
      </c>
      <c r="B352" s="16">
        <v>39983</v>
      </c>
      <c r="C352" s="10">
        <v>2009</v>
      </c>
      <c r="D352" s="4" t="s">
        <v>18</v>
      </c>
      <c r="E352" s="5">
        <v>6</v>
      </c>
      <c r="F352" s="20">
        <v>5.7839999999999998</v>
      </c>
      <c r="G352" s="20">
        <v>0.14599999999999999</v>
      </c>
      <c r="H352" s="20">
        <v>0.03</v>
      </c>
      <c r="I352" s="20">
        <v>1.7809999999999999</v>
      </c>
      <c r="J352" s="25">
        <v>3.5999999999999997E-2</v>
      </c>
      <c r="K352" s="25">
        <v>9.9989999999999996E-4</v>
      </c>
    </row>
    <row r="353" spans="1:11">
      <c r="A353" s="10">
        <v>11</v>
      </c>
      <c r="B353" s="16">
        <v>40007</v>
      </c>
      <c r="C353" s="10">
        <v>2009</v>
      </c>
      <c r="D353" s="4" t="s">
        <v>19</v>
      </c>
      <c r="E353" s="5">
        <v>7</v>
      </c>
      <c r="F353" s="20">
        <v>6.2919999999999998</v>
      </c>
      <c r="G353" s="20">
        <v>8.6999999999999994E-2</v>
      </c>
      <c r="H353" s="20">
        <v>0.107</v>
      </c>
      <c r="I353" s="20">
        <v>1.679</v>
      </c>
      <c r="J353" s="25">
        <v>7.0000000000000007E-2</v>
      </c>
      <c r="K353" s="25">
        <v>9.9989999999999996E-4</v>
      </c>
    </row>
    <row r="354" spans="1:11">
      <c r="A354" s="10">
        <v>12</v>
      </c>
      <c r="B354" s="16">
        <v>40007</v>
      </c>
      <c r="C354" s="10">
        <v>2009</v>
      </c>
      <c r="D354" s="4" t="s">
        <v>19</v>
      </c>
      <c r="E354" s="5">
        <v>7</v>
      </c>
      <c r="F354" s="20">
        <v>6.1</v>
      </c>
      <c r="G354" s="20">
        <v>6.6000000000000003E-2</v>
      </c>
      <c r="H354" s="20">
        <v>6.8000000000000005E-2</v>
      </c>
      <c r="I354" s="20">
        <v>1.5469999999999999</v>
      </c>
      <c r="J354" s="25">
        <v>6.7000000000000004E-2</v>
      </c>
      <c r="K354" s="25">
        <v>9.9989999999999996E-4</v>
      </c>
    </row>
    <row r="355" spans="1:11">
      <c r="A355" s="10">
        <v>13</v>
      </c>
      <c r="B355" s="16">
        <v>40007</v>
      </c>
      <c r="C355" s="10">
        <v>2009</v>
      </c>
      <c r="D355" s="4" t="s">
        <v>19</v>
      </c>
      <c r="E355" s="5">
        <v>7</v>
      </c>
      <c r="F355" s="20">
        <v>8.9359999999999999</v>
      </c>
      <c r="G355" s="20">
        <v>0.13900000000000001</v>
      </c>
      <c r="H355" s="20">
        <v>0.186</v>
      </c>
      <c r="I355" s="20">
        <v>2.48</v>
      </c>
      <c r="J355" s="25">
        <v>0.121</v>
      </c>
      <c r="K355" s="25">
        <v>9.9989999999999996E-4</v>
      </c>
    </row>
    <row r="356" spans="1:11">
      <c r="A356" s="10">
        <v>11</v>
      </c>
      <c r="B356" s="16">
        <v>40042</v>
      </c>
      <c r="C356" s="10">
        <v>2009</v>
      </c>
      <c r="D356" s="4" t="s">
        <v>20</v>
      </c>
      <c r="E356" s="5">
        <v>8</v>
      </c>
      <c r="F356" s="20">
        <v>8.41</v>
      </c>
      <c r="G356" s="20">
        <v>0.125</v>
      </c>
      <c r="H356" s="20">
        <v>1E-3</v>
      </c>
      <c r="I356" s="20">
        <v>2.3370000000000002</v>
      </c>
      <c r="J356" s="25">
        <v>9.9000000000000005E-2</v>
      </c>
      <c r="K356" s="25">
        <v>9.9989999999999996E-4</v>
      </c>
    </row>
    <row r="357" spans="1:11">
      <c r="A357" s="10">
        <v>12</v>
      </c>
      <c r="B357" s="16">
        <v>40042</v>
      </c>
      <c r="C357" s="10">
        <v>2009</v>
      </c>
      <c r="D357" s="4" t="s">
        <v>20</v>
      </c>
      <c r="E357" s="5">
        <v>8</v>
      </c>
      <c r="F357" s="20">
        <v>6.8849999999999998</v>
      </c>
      <c r="G357" s="20">
        <v>5.6000000000000001E-2</v>
      </c>
      <c r="H357" s="20">
        <v>9.9989999999999996E-4</v>
      </c>
      <c r="I357" s="20">
        <v>2.1339999999999999</v>
      </c>
      <c r="J357" s="25">
        <v>6.8000000000000005E-2</v>
      </c>
      <c r="K357" s="25">
        <v>9.9989999999999996E-4</v>
      </c>
    </row>
    <row r="358" spans="1:11">
      <c r="A358" s="10">
        <v>13</v>
      </c>
      <c r="B358" s="16">
        <v>40042</v>
      </c>
      <c r="C358" s="10">
        <v>2009</v>
      </c>
      <c r="D358" s="4" t="s">
        <v>20</v>
      </c>
      <c r="E358" s="5">
        <v>8</v>
      </c>
      <c r="F358" s="20">
        <v>14.276999999999999</v>
      </c>
      <c r="G358" s="20">
        <v>0.249</v>
      </c>
      <c r="H358" s="20">
        <v>4.8000000000000001E-2</v>
      </c>
      <c r="I358" s="20">
        <v>4.6479999999999997</v>
      </c>
      <c r="J358" s="25">
        <v>0.64400000000000002</v>
      </c>
      <c r="K358" s="25">
        <v>9.9989999999999996E-4</v>
      </c>
    </row>
    <row r="359" spans="1:11">
      <c r="A359" s="10">
        <v>11</v>
      </c>
      <c r="B359" s="16">
        <v>40071</v>
      </c>
      <c r="C359" s="10">
        <v>2009</v>
      </c>
      <c r="D359" s="4" t="s">
        <v>26</v>
      </c>
      <c r="E359" s="5">
        <v>9</v>
      </c>
      <c r="F359" s="20">
        <v>4.6399999999999997</v>
      </c>
      <c r="G359" s="20">
        <v>4.2000000000000003E-2</v>
      </c>
      <c r="H359" s="20">
        <v>1E-3</v>
      </c>
      <c r="I359" s="20">
        <v>1.2470000000000001</v>
      </c>
      <c r="J359" s="25">
        <v>4.7E-2</v>
      </c>
      <c r="K359" s="25">
        <v>9.9989999999999996E-4</v>
      </c>
    </row>
    <row r="360" spans="1:11">
      <c r="A360" s="10">
        <v>12</v>
      </c>
      <c r="B360" s="16">
        <v>40071</v>
      </c>
      <c r="C360" s="10">
        <v>2009</v>
      </c>
      <c r="D360" s="4" t="s">
        <v>26</v>
      </c>
      <c r="E360" s="5">
        <v>9</v>
      </c>
      <c r="F360" s="20">
        <v>4.3499999999999996</v>
      </c>
      <c r="G360" s="20">
        <v>2.3E-2</v>
      </c>
      <c r="H360" s="20">
        <v>1E-3</v>
      </c>
      <c r="I360" s="20">
        <v>1.33</v>
      </c>
      <c r="J360" s="25">
        <v>5.2999999999999999E-2</v>
      </c>
      <c r="K360" s="25">
        <v>9.9989999999999996E-4</v>
      </c>
    </row>
    <row r="361" spans="1:11">
      <c r="A361" s="10">
        <v>13</v>
      </c>
      <c r="B361" s="16">
        <v>40071</v>
      </c>
      <c r="C361" s="10">
        <v>2009</v>
      </c>
      <c r="D361" s="4" t="s">
        <v>26</v>
      </c>
      <c r="E361" s="5">
        <v>9</v>
      </c>
      <c r="F361" s="20">
        <v>20.911000000000001</v>
      </c>
      <c r="G361" s="20">
        <v>3.9E-2</v>
      </c>
      <c r="H361" s="20">
        <v>1E-3</v>
      </c>
      <c r="I361" s="20">
        <v>7.4790000000000001</v>
      </c>
      <c r="J361" s="25">
        <v>0.32500000000000001</v>
      </c>
      <c r="K361" s="25">
        <v>9.9989999999999996E-4</v>
      </c>
    </row>
    <row r="362" spans="1:11">
      <c r="A362" s="10">
        <v>11</v>
      </c>
      <c r="B362" s="16">
        <v>40100</v>
      </c>
      <c r="C362" s="10">
        <v>2009</v>
      </c>
      <c r="D362" s="4" t="s">
        <v>22</v>
      </c>
      <c r="E362" s="5">
        <v>10</v>
      </c>
      <c r="F362" s="20">
        <v>5.3250000000000002</v>
      </c>
      <c r="G362" s="20">
        <v>3.7999999999999999E-2</v>
      </c>
      <c r="H362" s="20">
        <v>1E-3</v>
      </c>
      <c r="I362" s="20">
        <v>1.694</v>
      </c>
      <c r="J362" s="25">
        <v>5.7000000000000002E-2</v>
      </c>
      <c r="K362" s="25">
        <v>9.9989999999999996E-4</v>
      </c>
    </row>
    <row r="363" spans="1:11">
      <c r="A363" s="10">
        <v>12</v>
      </c>
      <c r="B363" s="16">
        <v>40100</v>
      </c>
      <c r="C363" s="10">
        <v>2009</v>
      </c>
      <c r="D363" s="4" t="s">
        <v>22</v>
      </c>
      <c r="E363" s="5">
        <v>10</v>
      </c>
      <c r="F363" s="20">
        <v>4.2830000000000004</v>
      </c>
      <c r="G363" s="20">
        <v>3.4000000000000002E-2</v>
      </c>
      <c r="H363" s="20">
        <v>1E-3</v>
      </c>
      <c r="I363" s="20">
        <v>1.3149999999999999</v>
      </c>
      <c r="J363" s="25">
        <v>5.0999999999999997E-2</v>
      </c>
      <c r="K363" s="25">
        <v>9.9989999999999996E-4</v>
      </c>
    </row>
    <row r="364" spans="1:11">
      <c r="A364" s="10">
        <v>13</v>
      </c>
      <c r="B364" s="16">
        <v>40100</v>
      </c>
      <c r="C364" s="10">
        <v>2009</v>
      </c>
      <c r="D364" s="4" t="s">
        <v>22</v>
      </c>
      <c r="E364" s="5">
        <v>10</v>
      </c>
      <c r="F364" s="20">
        <v>5.3259999999999996</v>
      </c>
      <c r="G364" s="20">
        <v>9.4E-2</v>
      </c>
      <c r="H364" s="20">
        <v>1E-3</v>
      </c>
      <c r="I364" s="20">
        <v>1.169</v>
      </c>
      <c r="J364" s="25">
        <v>6.5000000000000002E-2</v>
      </c>
      <c r="K364" s="25">
        <v>9.9989999999999996E-4</v>
      </c>
    </row>
    <row r="365" spans="1:11">
      <c r="A365" s="10">
        <v>11</v>
      </c>
      <c r="B365" s="16">
        <v>40133</v>
      </c>
      <c r="C365" s="10">
        <v>2009</v>
      </c>
      <c r="D365" s="4" t="s">
        <v>23</v>
      </c>
      <c r="E365" s="5">
        <v>11</v>
      </c>
      <c r="F365" s="20">
        <v>3.3140000000000001</v>
      </c>
      <c r="G365" s="20">
        <v>4.2999999999999997E-2</v>
      </c>
      <c r="H365" s="20">
        <v>1E-3</v>
      </c>
      <c r="I365" s="20">
        <v>1.05</v>
      </c>
      <c r="J365" s="25">
        <v>3.3000000000000002E-2</v>
      </c>
      <c r="K365" s="25">
        <v>9.9989999999999996E-4</v>
      </c>
    </row>
    <row r="366" spans="1:11">
      <c r="A366" s="10">
        <v>12</v>
      </c>
      <c r="B366" s="16">
        <v>40133</v>
      </c>
      <c r="C366" s="10">
        <v>2009</v>
      </c>
      <c r="D366" s="4" t="s">
        <v>23</v>
      </c>
      <c r="E366" s="5">
        <v>11</v>
      </c>
      <c r="F366" s="20">
        <v>3.0539999999999998</v>
      </c>
      <c r="G366" s="20">
        <v>0.06</v>
      </c>
      <c r="H366" s="20">
        <v>1E-3</v>
      </c>
      <c r="I366" s="20">
        <v>1.014</v>
      </c>
      <c r="J366" s="25">
        <v>0.04</v>
      </c>
      <c r="K366" s="25">
        <v>9.9989999999999996E-4</v>
      </c>
    </row>
    <row r="367" spans="1:11">
      <c r="A367" s="10">
        <v>13</v>
      </c>
      <c r="B367" s="16">
        <v>40133</v>
      </c>
      <c r="C367" s="10">
        <v>2009</v>
      </c>
      <c r="D367" s="4" t="s">
        <v>23</v>
      </c>
      <c r="E367" s="5">
        <v>11</v>
      </c>
      <c r="F367" s="20">
        <v>2.4089999999999998</v>
      </c>
      <c r="G367" s="20">
        <v>1.7000000000000001E-2</v>
      </c>
      <c r="H367" s="20">
        <v>2.5000000000000001E-2</v>
      </c>
      <c r="I367" s="20">
        <v>0.75</v>
      </c>
      <c r="J367" s="25">
        <v>4.1000000000000002E-2</v>
      </c>
      <c r="K367" s="25">
        <v>9.9989999999999996E-4</v>
      </c>
    </row>
    <row r="368" spans="1:11">
      <c r="A368" s="10">
        <v>11</v>
      </c>
      <c r="B368" s="16">
        <v>40161</v>
      </c>
      <c r="C368" s="10">
        <v>2009</v>
      </c>
      <c r="D368" s="4" t="s">
        <v>24</v>
      </c>
      <c r="E368" s="5">
        <v>12</v>
      </c>
      <c r="F368" s="20">
        <v>3.17</v>
      </c>
      <c r="G368" s="20">
        <v>9.9989999999999996E-4</v>
      </c>
      <c r="H368" s="20">
        <v>9.9989999999999996E-4</v>
      </c>
      <c r="I368" s="61">
        <v>1.0049999999999999</v>
      </c>
      <c r="J368" s="25">
        <v>2.3E-2</v>
      </c>
      <c r="K368" s="25">
        <v>9.9989999999999996E-4</v>
      </c>
    </row>
    <row r="369" spans="1:18">
      <c r="A369" s="10">
        <v>12</v>
      </c>
      <c r="B369" s="16">
        <v>40161</v>
      </c>
      <c r="C369" s="10">
        <v>2009</v>
      </c>
      <c r="D369" s="4" t="s">
        <v>24</v>
      </c>
      <c r="E369" s="5">
        <v>12</v>
      </c>
      <c r="F369" s="20">
        <v>3.0089999999999999</v>
      </c>
      <c r="G369" s="20">
        <v>4.8000000000000001E-2</v>
      </c>
      <c r="H369" s="20">
        <v>1.2999999999999999E-2</v>
      </c>
      <c r="I369" s="61">
        <v>0.89800000000000002</v>
      </c>
      <c r="J369" s="25">
        <v>1.9E-2</v>
      </c>
      <c r="K369" s="25">
        <v>9.9989999999999996E-4</v>
      </c>
    </row>
    <row r="370" spans="1:18" ht="25.5">
      <c r="A370" s="10">
        <v>13</v>
      </c>
      <c r="B370" s="16">
        <v>40161</v>
      </c>
      <c r="C370" s="10">
        <v>2009</v>
      </c>
      <c r="D370" s="4" t="s">
        <v>24</v>
      </c>
      <c r="E370" s="5">
        <v>12</v>
      </c>
      <c r="F370" s="20">
        <v>3.7519999999999998</v>
      </c>
      <c r="G370" s="20">
        <v>2.3E-2</v>
      </c>
      <c r="H370" s="20">
        <v>9.9989999999999996E-4</v>
      </c>
      <c r="I370" s="61">
        <v>1.012</v>
      </c>
      <c r="J370" s="25">
        <v>1.0999999999999999E-2</v>
      </c>
      <c r="K370" s="25">
        <v>9.9989999999999996E-4</v>
      </c>
      <c r="L370" s="35" t="s">
        <v>42</v>
      </c>
      <c r="M370" s="33" t="s">
        <v>35</v>
      </c>
      <c r="N370" s="33" t="s">
        <v>36</v>
      </c>
      <c r="O370" s="33" t="s">
        <v>37</v>
      </c>
      <c r="P370" s="33" t="s">
        <v>38</v>
      </c>
      <c r="Q370" s="33" t="s">
        <v>39</v>
      </c>
      <c r="R370" s="33" t="s">
        <v>40</v>
      </c>
    </row>
    <row r="371" spans="1:18">
      <c r="A371" s="47">
        <v>11</v>
      </c>
      <c r="B371" s="51">
        <v>40197</v>
      </c>
      <c r="C371" s="47">
        <v>2010</v>
      </c>
      <c r="D371" s="43" t="s">
        <v>25</v>
      </c>
      <c r="E371" s="41">
        <v>1</v>
      </c>
      <c r="F371" s="60">
        <v>6.298</v>
      </c>
      <c r="G371" s="60">
        <v>0.28056087499999999</v>
      </c>
      <c r="H371" s="60">
        <v>0</v>
      </c>
      <c r="I371" s="62">
        <v>2.7773789999999998</v>
      </c>
      <c r="J371" s="58">
        <v>1.6945874999999999E-2</v>
      </c>
      <c r="K371" s="58">
        <v>0</v>
      </c>
      <c r="L371" s="35" t="s">
        <v>55</v>
      </c>
      <c r="M371" s="21">
        <f>AVERAGE(F371:F406)</f>
        <v>6.0433611111111132</v>
      </c>
      <c r="N371" s="21">
        <f>AVERAGE(G371:G406)</f>
        <v>0.11194896875000003</v>
      </c>
      <c r="O371" s="21">
        <f>AVERAGE(H371:H406)</f>
        <v>9.6479756944444425E-3</v>
      </c>
      <c r="P371" s="21">
        <f>AVERAGE(I371:I406)</f>
        <v>2.2654879444444433</v>
      </c>
      <c r="Q371" s="21">
        <f t="shared" ref="Q371:R371" si="7">AVERAGE(J371:J406)</f>
        <v>0.12199896874999999</v>
      </c>
      <c r="R371" s="21">
        <f t="shared" si="7"/>
        <v>0</v>
      </c>
    </row>
    <row r="372" spans="1:18">
      <c r="A372" s="10">
        <v>12</v>
      </c>
      <c r="B372" s="13">
        <v>40197</v>
      </c>
      <c r="C372" s="10">
        <v>2010</v>
      </c>
      <c r="D372" s="4" t="s">
        <v>25</v>
      </c>
      <c r="E372" s="5">
        <v>1</v>
      </c>
      <c r="F372" s="20">
        <v>5.3440000000000003</v>
      </c>
      <c r="G372" s="20">
        <v>0.19030737499999997</v>
      </c>
      <c r="H372" s="20">
        <v>0</v>
      </c>
      <c r="I372" s="61">
        <v>2.3223413750000002</v>
      </c>
      <c r="J372" s="25">
        <v>1.57675E-2</v>
      </c>
      <c r="K372" s="25">
        <v>0</v>
      </c>
    </row>
    <row r="373" spans="1:18">
      <c r="A373" s="10">
        <v>13</v>
      </c>
      <c r="B373" s="13">
        <v>40197</v>
      </c>
      <c r="C373" s="10">
        <v>2010</v>
      </c>
      <c r="D373" s="4" t="s">
        <v>25</v>
      </c>
      <c r="E373" s="5">
        <v>1</v>
      </c>
      <c r="F373" s="20">
        <v>4.0140000000000002</v>
      </c>
      <c r="G373" s="20">
        <v>0.10376024999999998</v>
      </c>
      <c r="H373" s="20">
        <v>0</v>
      </c>
      <c r="I373" s="61">
        <v>1.7277698749999999</v>
      </c>
      <c r="J373" s="25">
        <v>1.1636374999999999E-2</v>
      </c>
      <c r="K373" s="25">
        <v>0</v>
      </c>
    </row>
    <row r="374" spans="1:18">
      <c r="A374" s="10">
        <v>11</v>
      </c>
      <c r="C374" s="10">
        <v>2010</v>
      </c>
      <c r="D374" s="4" t="s">
        <v>14</v>
      </c>
      <c r="E374" s="5">
        <v>2</v>
      </c>
      <c r="F374" s="20">
        <v>8.09</v>
      </c>
      <c r="G374" s="20">
        <v>7.6776374999999994E-2</v>
      </c>
      <c r="H374" s="20">
        <v>1.0725374999999999E-2</v>
      </c>
      <c r="I374" s="61">
        <v>1.0876388749999997</v>
      </c>
      <c r="J374" s="25">
        <v>0.17936537499999997</v>
      </c>
      <c r="K374" s="25">
        <v>0</v>
      </c>
    </row>
    <row r="375" spans="1:18">
      <c r="A375" s="10">
        <v>12</v>
      </c>
      <c r="C375" s="10">
        <v>2010</v>
      </c>
      <c r="D375" s="4" t="s">
        <v>14</v>
      </c>
      <c r="E375" s="5">
        <v>2</v>
      </c>
      <c r="F375" s="20">
        <v>5.6180000000000003</v>
      </c>
      <c r="G375" s="20">
        <v>0.11805737500000001</v>
      </c>
      <c r="H375" s="20">
        <v>0</v>
      </c>
      <c r="I375" s="61">
        <v>0.66560162499999997</v>
      </c>
      <c r="J375" s="25">
        <v>0.18171524999999997</v>
      </c>
      <c r="K375" s="25">
        <v>0</v>
      </c>
    </row>
    <row r="376" spans="1:18">
      <c r="A376" s="10">
        <v>13</v>
      </c>
      <c r="C376" s="10">
        <v>2010</v>
      </c>
      <c r="D376" s="4" t="s">
        <v>14</v>
      </c>
      <c r="E376" s="5">
        <v>2</v>
      </c>
      <c r="F376" s="20">
        <v>11.273</v>
      </c>
      <c r="G376" s="20">
        <v>0</v>
      </c>
      <c r="H376" s="20">
        <v>0</v>
      </c>
      <c r="I376" s="61">
        <v>2.6408898750000001</v>
      </c>
      <c r="J376" s="25">
        <v>0.143069375</v>
      </c>
      <c r="K376" s="25">
        <v>0</v>
      </c>
    </row>
    <row r="377" spans="1:18">
      <c r="A377" s="10">
        <v>11</v>
      </c>
      <c r="B377" s="13">
        <v>40255</v>
      </c>
      <c r="C377" s="10">
        <v>2010</v>
      </c>
      <c r="D377" s="4" t="s">
        <v>15</v>
      </c>
      <c r="E377" s="5">
        <v>3</v>
      </c>
      <c r="F377" s="20">
        <v>9.875</v>
      </c>
      <c r="G377" s="20">
        <v>0</v>
      </c>
      <c r="H377" s="20">
        <v>0</v>
      </c>
      <c r="I377" s="61">
        <v>5.008502749999999</v>
      </c>
      <c r="J377" s="25">
        <v>9.9562374999999967E-2</v>
      </c>
      <c r="K377" s="25">
        <v>0</v>
      </c>
    </row>
    <row r="378" spans="1:18">
      <c r="A378" s="10">
        <v>12</v>
      </c>
      <c r="B378" s="13">
        <v>40255</v>
      </c>
      <c r="C378" s="10">
        <v>2010</v>
      </c>
      <c r="D378" s="4" t="s">
        <v>15</v>
      </c>
      <c r="E378" s="5">
        <v>3</v>
      </c>
      <c r="F378" s="20">
        <v>7.36</v>
      </c>
      <c r="G378" s="20">
        <v>0</v>
      </c>
      <c r="H378" s="20">
        <v>0</v>
      </c>
      <c r="I378" s="61">
        <v>3.5946757499999995</v>
      </c>
      <c r="J378" s="25">
        <v>8.3432124999999982E-2</v>
      </c>
      <c r="K378" s="25">
        <v>0</v>
      </c>
    </row>
    <row r="379" spans="1:18">
      <c r="A379" s="10">
        <v>13</v>
      </c>
      <c r="B379" s="13">
        <v>40255</v>
      </c>
      <c r="C379" s="10">
        <v>2010</v>
      </c>
      <c r="D379" s="4" t="s">
        <v>15</v>
      </c>
      <c r="E379" s="5">
        <v>3</v>
      </c>
      <c r="F379" s="20">
        <v>7.2409999999999997</v>
      </c>
      <c r="G379" s="20">
        <v>0</v>
      </c>
      <c r="H379" s="20">
        <v>0</v>
      </c>
      <c r="I379" s="61">
        <v>3.7038785000000001</v>
      </c>
      <c r="J379" s="25">
        <v>0.11737262499999998</v>
      </c>
      <c r="K379" s="25">
        <v>0</v>
      </c>
    </row>
    <row r="380" spans="1:18">
      <c r="A380" s="10">
        <v>11</v>
      </c>
      <c r="B380" s="13">
        <v>40281</v>
      </c>
      <c r="C380" s="10">
        <v>2010</v>
      </c>
      <c r="D380" s="4" t="s">
        <v>16</v>
      </c>
      <c r="E380" s="5">
        <v>4</v>
      </c>
      <c r="F380" s="20">
        <v>7.1959999999999997</v>
      </c>
      <c r="G380" s="20">
        <v>7.2235875000000005E-2</v>
      </c>
      <c r="H380" s="20">
        <v>0</v>
      </c>
      <c r="I380" s="61">
        <v>3.8398642500000002</v>
      </c>
      <c r="J380" s="25">
        <v>2.4237999999999996E-2</v>
      </c>
      <c r="K380" s="25">
        <v>0</v>
      </c>
    </row>
    <row r="381" spans="1:18">
      <c r="A381" s="10">
        <v>12</v>
      </c>
      <c r="B381" s="13">
        <v>40281</v>
      </c>
      <c r="C381" s="10">
        <v>2010</v>
      </c>
      <c r="D381" s="4" t="s">
        <v>16</v>
      </c>
      <c r="E381" s="5">
        <v>4</v>
      </c>
      <c r="F381" s="20">
        <v>2.206</v>
      </c>
      <c r="G381" s="20">
        <v>0</v>
      </c>
      <c r="H381" s="20">
        <v>0</v>
      </c>
      <c r="I381" s="61">
        <v>1.0840942499999999</v>
      </c>
      <c r="J381" s="25">
        <v>1.6498874999999996E-2</v>
      </c>
      <c r="K381" s="25">
        <v>0</v>
      </c>
    </row>
    <row r="382" spans="1:18">
      <c r="A382" s="10">
        <v>13</v>
      </c>
      <c r="B382" s="13">
        <v>40281</v>
      </c>
      <c r="C382" s="10">
        <v>2010</v>
      </c>
      <c r="D382" s="4" t="s">
        <v>16</v>
      </c>
      <c r="E382" s="5">
        <v>4</v>
      </c>
      <c r="F382" s="20">
        <v>3.1669999999999998</v>
      </c>
      <c r="G382" s="20">
        <v>0</v>
      </c>
      <c r="H382" s="20">
        <v>0</v>
      </c>
      <c r="I382" s="61">
        <v>1.7109952499999999</v>
      </c>
      <c r="J382" s="25">
        <v>4.5620624999999991E-2</v>
      </c>
      <c r="K382" s="25">
        <v>0</v>
      </c>
    </row>
    <row r="383" spans="1:18">
      <c r="A383" s="10">
        <v>11</v>
      </c>
      <c r="B383" s="16">
        <v>40317</v>
      </c>
      <c r="C383" s="10">
        <v>2010</v>
      </c>
      <c r="D383" s="4" t="s">
        <v>17</v>
      </c>
      <c r="E383" s="5">
        <v>5</v>
      </c>
      <c r="F383" s="22">
        <v>2.11</v>
      </c>
      <c r="G383" s="22">
        <v>0</v>
      </c>
      <c r="H383" s="22">
        <v>0</v>
      </c>
      <c r="I383" s="22">
        <v>0.944902625</v>
      </c>
      <c r="J383" s="22">
        <v>7.9616375000000003E-2</v>
      </c>
      <c r="K383" s="22">
        <v>0</v>
      </c>
    </row>
    <row r="384" spans="1:18">
      <c r="A384" s="10">
        <v>12</v>
      </c>
      <c r="B384" s="16">
        <v>40317</v>
      </c>
      <c r="C384" s="10">
        <v>2010</v>
      </c>
      <c r="D384" s="4" t="s">
        <v>17</v>
      </c>
      <c r="E384" s="5">
        <v>5</v>
      </c>
      <c r="F384" s="22">
        <v>1.224</v>
      </c>
      <c r="G384" s="22">
        <v>0</v>
      </c>
      <c r="H384" s="22">
        <v>0</v>
      </c>
      <c r="I384" s="22">
        <v>0.48095887499999995</v>
      </c>
      <c r="J384" s="22">
        <v>4.297999999999999E-2</v>
      </c>
      <c r="K384" s="22">
        <v>0</v>
      </c>
    </row>
    <row r="385" spans="1:11">
      <c r="A385" s="10">
        <v>13</v>
      </c>
      <c r="B385" s="16">
        <v>40317</v>
      </c>
      <c r="C385" s="10">
        <v>2010</v>
      </c>
      <c r="D385" s="4" t="s">
        <v>17</v>
      </c>
      <c r="E385" s="5">
        <v>5</v>
      </c>
      <c r="F385" s="22">
        <v>2.8039999999999998</v>
      </c>
      <c r="G385" s="22">
        <v>0.17299762500000002</v>
      </c>
      <c r="H385" s="22">
        <v>0</v>
      </c>
      <c r="I385" s="22">
        <v>0.78446712500000004</v>
      </c>
      <c r="J385" s="22">
        <v>7.2252374999999994E-2</v>
      </c>
      <c r="K385" s="22">
        <v>0</v>
      </c>
    </row>
    <row r="386" spans="1:11">
      <c r="A386" s="10">
        <v>11</v>
      </c>
      <c r="B386" s="16">
        <v>40345</v>
      </c>
      <c r="C386" s="10">
        <v>2010</v>
      </c>
      <c r="D386" s="4" t="s">
        <v>18</v>
      </c>
      <c r="E386" s="5">
        <v>6</v>
      </c>
      <c r="F386" s="22">
        <v>7.0090000000000003</v>
      </c>
      <c r="G386" s="22">
        <v>0.160388375</v>
      </c>
      <c r="H386" s="22">
        <v>0</v>
      </c>
      <c r="I386" s="22">
        <v>1.4828007499999998</v>
      </c>
      <c r="J386" s="22">
        <v>4.7002374999999992E-2</v>
      </c>
      <c r="K386" s="22">
        <v>0</v>
      </c>
    </row>
    <row r="387" spans="1:11">
      <c r="A387" s="10">
        <v>12</v>
      </c>
      <c r="B387" s="16">
        <v>40345</v>
      </c>
      <c r="C387" s="10">
        <v>2010</v>
      </c>
      <c r="D387" s="4" t="s">
        <v>18</v>
      </c>
      <c r="E387" s="5">
        <v>6</v>
      </c>
      <c r="F387" s="22">
        <v>7.4489999999999998</v>
      </c>
      <c r="G387" s="22">
        <v>0.26101762499999998</v>
      </c>
      <c r="H387" s="22">
        <v>0</v>
      </c>
      <c r="I387" s="22">
        <v>3.0888511250000001</v>
      </c>
      <c r="J387" s="22">
        <v>6.9584124999999997E-2</v>
      </c>
      <c r="K387" s="22">
        <v>0</v>
      </c>
    </row>
    <row r="388" spans="1:11">
      <c r="A388" s="10">
        <v>13</v>
      </c>
      <c r="B388" s="16">
        <v>40345</v>
      </c>
      <c r="C388" s="10">
        <v>2010</v>
      </c>
      <c r="D388" s="4" t="s">
        <v>18</v>
      </c>
      <c r="E388" s="5">
        <v>6</v>
      </c>
      <c r="F388" s="22">
        <v>9.2870000000000008</v>
      </c>
      <c r="G388" s="22">
        <v>0.41241524999999996</v>
      </c>
      <c r="H388" s="22">
        <v>1.947525E-2</v>
      </c>
      <c r="I388" s="22">
        <v>3.375342625</v>
      </c>
      <c r="J388" s="22">
        <v>0.11963925</v>
      </c>
      <c r="K388" s="22">
        <v>0</v>
      </c>
    </row>
    <row r="389" spans="1:11">
      <c r="A389" s="10">
        <v>11</v>
      </c>
      <c r="B389" s="16">
        <v>40374</v>
      </c>
      <c r="C389" s="10">
        <v>2010</v>
      </c>
      <c r="D389" s="4" t="s">
        <v>19</v>
      </c>
      <c r="E389" s="5">
        <v>7</v>
      </c>
      <c r="F389" s="22">
        <v>9.1110000000000007</v>
      </c>
      <c r="G389" s="22">
        <v>0.21518424999999997</v>
      </c>
      <c r="H389" s="22">
        <v>0.10064674999999997</v>
      </c>
      <c r="I389" s="22">
        <v>3.9736303749999995</v>
      </c>
      <c r="J389" s="22">
        <v>0.17845837499999997</v>
      </c>
      <c r="K389" s="22">
        <v>0</v>
      </c>
    </row>
    <row r="390" spans="1:11">
      <c r="A390" s="10">
        <v>12</v>
      </c>
      <c r="B390" s="16">
        <v>40374</v>
      </c>
      <c r="C390" s="10">
        <v>2010</v>
      </c>
      <c r="D390" s="4" t="s">
        <v>19</v>
      </c>
      <c r="E390" s="5">
        <v>7</v>
      </c>
      <c r="F390" s="22">
        <v>9.8789999999999996</v>
      </c>
      <c r="G390" s="22">
        <v>0.22296774999999999</v>
      </c>
      <c r="H390" s="22">
        <v>0</v>
      </c>
      <c r="I390" s="22">
        <v>3.9796848749999993</v>
      </c>
      <c r="J390" s="22">
        <v>0.23227674999999998</v>
      </c>
      <c r="K390" s="22">
        <v>0</v>
      </c>
    </row>
    <row r="391" spans="1:11">
      <c r="A391" s="10">
        <v>13</v>
      </c>
      <c r="B391" s="16">
        <v>40374</v>
      </c>
      <c r="C391" s="10">
        <v>2010</v>
      </c>
      <c r="D391" s="4" t="s">
        <v>19</v>
      </c>
      <c r="E391" s="5">
        <v>7</v>
      </c>
      <c r="F391" s="22">
        <v>11.994</v>
      </c>
      <c r="G391" s="22">
        <v>0.3593377499999999</v>
      </c>
      <c r="H391" s="22">
        <v>0</v>
      </c>
      <c r="I391" s="22">
        <v>3.2317847499999997</v>
      </c>
      <c r="J391" s="22">
        <v>0.43335612499999998</v>
      </c>
      <c r="K391" s="22">
        <v>0</v>
      </c>
    </row>
    <row r="392" spans="1:11">
      <c r="A392" s="10">
        <v>11</v>
      </c>
      <c r="B392" s="16">
        <v>40409</v>
      </c>
      <c r="C392" s="10">
        <v>2010</v>
      </c>
      <c r="D392" s="4" t="s">
        <v>20</v>
      </c>
      <c r="E392" s="5">
        <v>8</v>
      </c>
      <c r="F392" s="22">
        <v>8.5289999999999999</v>
      </c>
      <c r="G392" s="22">
        <v>0.11170112500000001</v>
      </c>
      <c r="H392" s="22">
        <v>9.5084125000000005E-2</v>
      </c>
      <c r="I392" s="22">
        <v>4.2170784999999995</v>
      </c>
      <c r="J392" s="22">
        <v>0.11129262500000001</v>
      </c>
      <c r="K392" s="22">
        <v>0</v>
      </c>
    </row>
    <row r="393" spans="1:11">
      <c r="A393" s="10">
        <v>12</v>
      </c>
      <c r="B393" s="16">
        <v>40409</v>
      </c>
      <c r="C393" s="10">
        <v>2010</v>
      </c>
      <c r="D393" s="4" t="s">
        <v>20</v>
      </c>
      <c r="E393" s="5">
        <v>8</v>
      </c>
      <c r="F393" s="22">
        <v>4.7140000000000004</v>
      </c>
      <c r="G393" s="22">
        <v>5.6065249999999997E-2</v>
      </c>
      <c r="H393" s="22">
        <v>0</v>
      </c>
      <c r="I393" s="22">
        <v>2.1106778749999999</v>
      </c>
      <c r="J393" s="22">
        <v>8.7749374999999991E-2</v>
      </c>
      <c r="K393" s="22">
        <v>0</v>
      </c>
    </row>
    <row r="394" spans="1:11">
      <c r="A394" s="10">
        <v>13</v>
      </c>
      <c r="B394" s="16">
        <v>40409</v>
      </c>
      <c r="C394" s="10">
        <v>2010</v>
      </c>
      <c r="D394" s="4" t="s">
        <v>20</v>
      </c>
      <c r="E394" s="5">
        <v>8</v>
      </c>
      <c r="F394" s="22">
        <v>14.83</v>
      </c>
      <c r="G394" s="22">
        <v>0.46560637500000002</v>
      </c>
      <c r="H394" s="22">
        <v>0</v>
      </c>
      <c r="I394" s="22">
        <v>5.9818733749999993</v>
      </c>
      <c r="J394" s="22">
        <v>0.90194474999999996</v>
      </c>
      <c r="K394" s="22">
        <v>0</v>
      </c>
    </row>
    <row r="395" spans="1:11">
      <c r="A395" s="10">
        <v>11</v>
      </c>
      <c r="B395" s="16">
        <v>40434</v>
      </c>
      <c r="C395" s="10">
        <v>2010</v>
      </c>
      <c r="D395" s="4" t="s">
        <v>26</v>
      </c>
      <c r="E395" s="5">
        <v>9</v>
      </c>
      <c r="F395" s="22">
        <v>7.556</v>
      </c>
      <c r="G395" s="22">
        <v>0.12148437499999999</v>
      </c>
      <c r="H395" s="22">
        <v>6.2443249999999992E-2</v>
      </c>
      <c r="I395" s="22">
        <v>3.6542648749999995</v>
      </c>
      <c r="J395" s="22">
        <v>0.13528137500000004</v>
      </c>
      <c r="K395" s="22">
        <v>0</v>
      </c>
    </row>
    <row r="396" spans="1:11">
      <c r="A396" s="10">
        <v>12</v>
      </c>
      <c r="B396" s="16">
        <v>40434</v>
      </c>
      <c r="C396" s="10">
        <v>2010</v>
      </c>
      <c r="D396" s="4" t="s">
        <v>26</v>
      </c>
      <c r="E396" s="5">
        <v>9</v>
      </c>
      <c r="F396" s="22">
        <v>7.0720000000000001</v>
      </c>
      <c r="G396" s="22">
        <v>7.5326500000000005E-2</v>
      </c>
      <c r="H396" s="22">
        <v>5.8952374999999994E-2</v>
      </c>
      <c r="I396" s="22">
        <v>2.9663888749999994</v>
      </c>
      <c r="J396" s="22">
        <v>0.1995895</v>
      </c>
      <c r="K396" s="22">
        <v>0</v>
      </c>
    </row>
    <row r="397" spans="1:11">
      <c r="A397" s="10">
        <v>13</v>
      </c>
      <c r="B397" s="16">
        <v>40434</v>
      </c>
      <c r="C397" s="10">
        <v>2010</v>
      </c>
      <c r="D397" s="4" t="s">
        <v>26</v>
      </c>
      <c r="E397" s="5">
        <v>9</v>
      </c>
      <c r="F397" s="22">
        <v>6.4009999999999998</v>
      </c>
      <c r="G397" s="22">
        <v>0.10688587499999999</v>
      </c>
      <c r="H397" s="22">
        <v>0</v>
      </c>
      <c r="I397" s="22">
        <v>2.7384643749999995</v>
      </c>
      <c r="J397" s="22">
        <v>0.16332174999999999</v>
      </c>
      <c r="K397" s="22">
        <v>0</v>
      </c>
    </row>
    <row r="398" spans="1:11">
      <c r="A398" s="10">
        <v>11</v>
      </c>
      <c r="B398" s="16">
        <v>40463</v>
      </c>
      <c r="C398" s="10">
        <v>2010</v>
      </c>
      <c r="D398" s="4" t="s">
        <v>22</v>
      </c>
      <c r="E398" s="5">
        <v>10</v>
      </c>
      <c r="F398" s="20">
        <v>4.1390000000000002</v>
      </c>
      <c r="G398" s="20">
        <v>9.5263874999999984E-2</v>
      </c>
      <c r="H398" s="20">
        <v>0</v>
      </c>
      <c r="I398" s="20">
        <v>1.14626725</v>
      </c>
      <c r="J398" s="25">
        <v>0.10521699999999998</v>
      </c>
      <c r="K398" s="25">
        <v>0</v>
      </c>
    </row>
    <row r="399" spans="1:11">
      <c r="A399" s="10">
        <v>12</v>
      </c>
      <c r="B399" s="16">
        <v>40463</v>
      </c>
      <c r="C399" s="10">
        <v>2010</v>
      </c>
      <c r="D399" s="4" t="s">
        <v>22</v>
      </c>
      <c r="E399" s="5">
        <v>10</v>
      </c>
      <c r="F399" s="20">
        <v>4.9029999999999996</v>
      </c>
      <c r="G399" s="20">
        <v>6.5592625000000002E-2</v>
      </c>
      <c r="H399" s="20">
        <v>0</v>
      </c>
      <c r="I399" s="20">
        <v>1.3538313749999999</v>
      </c>
      <c r="J399" s="25">
        <v>0.16496725000000001</v>
      </c>
      <c r="K399" s="25">
        <v>0</v>
      </c>
    </row>
    <row r="400" spans="1:11">
      <c r="A400" s="10">
        <v>13</v>
      </c>
      <c r="B400" s="16">
        <v>40463</v>
      </c>
      <c r="C400" s="10">
        <v>2010</v>
      </c>
      <c r="D400" s="4" t="s">
        <v>22</v>
      </c>
      <c r="E400" s="5">
        <v>10</v>
      </c>
      <c r="F400" s="20">
        <v>4.6959999999999997</v>
      </c>
      <c r="G400" s="20">
        <v>0.144603125</v>
      </c>
      <c r="H400" s="20">
        <v>0</v>
      </c>
      <c r="I400" s="20">
        <v>0.78685775000000013</v>
      </c>
      <c r="J400" s="25">
        <v>0.13354262499999997</v>
      </c>
      <c r="K400" s="25">
        <v>0</v>
      </c>
    </row>
    <row r="401" spans="1:18">
      <c r="A401" s="10">
        <v>11</v>
      </c>
      <c r="B401" s="16">
        <v>40500</v>
      </c>
      <c r="C401" s="10">
        <v>2010</v>
      </c>
      <c r="D401" s="4" t="s">
        <v>23</v>
      </c>
      <c r="E401" s="5">
        <v>11</v>
      </c>
      <c r="F401" s="20">
        <v>1.873</v>
      </c>
      <c r="G401" s="20">
        <v>0</v>
      </c>
      <c r="H401" s="20">
        <v>0</v>
      </c>
      <c r="I401" s="20">
        <v>0.57485662500000001</v>
      </c>
      <c r="J401" s="25">
        <v>1.4732374999999999E-2</v>
      </c>
      <c r="K401" s="25">
        <v>0</v>
      </c>
    </row>
    <row r="402" spans="1:18">
      <c r="A402" s="10">
        <v>12</v>
      </c>
      <c r="B402" s="16">
        <v>40500</v>
      </c>
      <c r="C402" s="10">
        <v>2010</v>
      </c>
      <c r="D402" s="4" t="s">
        <v>23</v>
      </c>
      <c r="E402" s="5">
        <v>11</v>
      </c>
      <c r="F402" s="20">
        <v>2.181</v>
      </c>
      <c r="G402" s="20">
        <v>3.2155875E-2</v>
      </c>
      <c r="H402" s="20">
        <v>0</v>
      </c>
      <c r="I402" s="20">
        <v>0.60223274999999987</v>
      </c>
      <c r="J402" s="25">
        <v>2.0206750000000002E-2</v>
      </c>
      <c r="K402" s="25">
        <v>0</v>
      </c>
    </row>
    <row r="403" spans="1:18">
      <c r="A403" s="10">
        <v>13</v>
      </c>
      <c r="B403" s="16">
        <v>40500</v>
      </c>
      <c r="C403" s="10">
        <v>2010</v>
      </c>
      <c r="D403" s="4" t="s">
        <v>23</v>
      </c>
      <c r="E403" s="5">
        <v>11</v>
      </c>
      <c r="F403" s="20">
        <v>2.2469999999999999</v>
      </c>
      <c r="G403" s="20">
        <v>3.0115249999999996E-2</v>
      </c>
      <c r="H403" s="20">
        <v>0</v>
      </c>
      <c r="I403" s="20">
        <v>0.60608287500000002</v>
      </c>
      <c r="J403" s="25">
        <v>1.7799124999999999E-2</v>
      </c>
      <c r="K403" s="25">
        <v>0</v>
      </c>
    </row>
    <row r="404" spans="1:18">
      <c r="A404" s="10">
        <v>11</v>
      </c>
      <c r="B404" s="16">
        <v>40521</v>
      </c>
      <c r="C404" s="10">
        <v>2010</v>
      </c>
      <c r="D404" s="4" t="s">
        <v>24</v>
      </c>
      <c r="E404" s="5">
        <v>12</v>
      </c>
      <c r="F404" s="20">
        <v>3.871</v>
      </c>
      <c r="G404" s="20">
        <v>3.1928874999999995E-2</v>
      </c>
      <c r="H404" s="20">
        <v>0</v>
      </c>
      <c r="I404" s="20">
        <v>1.3320129999999997</v>
      </c>
      <c r="J404" s="25">
        <v>5.2029625000000003E-2</v>
      </c>
      <c r="K404" s="25">
        <v>0</v>
      </c>
    </row>
    <row r="405" spans="1:18">
      <c r="A405" s="10">
        <v>12</v>
      </c>
      <c r="B405" s="16">
        <v>40521</v>
      </c>
      <c r="C405" s="10">
        <v>2010</v>
      </c>
      <c r="D405" s="4" t="s">
        <v>24</v>
      </c>
      <c r="E405" s="5">
        <v>12</v>
      </c>
      <c r="F405" s="20">
        <v>2.9849999999999999</v>
      </c>
      <c r="G405" s="20">
        <v>2.4042999999999998E-2</v>
      </c>
      <c r="H405" s="20">
        <v>0</v>
      </c>
      <c r="I405" s="20">
        <v>0.97991262499999998</v>
      </c>
      <c r="J405" s="25">
        <v>3.9146374999999997E-2</v>
      </c>
      <c r="K405" s="25">
        <v>0</v>
      </c>
    </row>
    <row r="406" spans="1:18" ht="25.5">
      <c r="A406" s="10">
        <v>13</v>
      </c>
      <c r="B406" s="16">
        <v>40521</v>
      </c>
      <c r="C406" s="10">
        <v>2010</v>
      </c>
      <c r="D406" s="4" t="s">
        <v>24</v>
      </c>
      <c r="E406" s="5">
        <v>12</v>
      </c>
      <c r="F406" s="20">
        <v>3.0150000000000001</v>
      </c>
      <c r="G406" s="20">
        <v>2.3383999999999995E-2</v>
      </c>
      <c r="H406" s="20">
        <v>0</v>
      </c>
      <c r="I406" s="20">
        <v>1.0007093749999998</v>
      </c>
      <c r="J406" s="25">
        <v>3.4752249999999998E-2</v>
      </c>
      <c r="K406" s="25">
        <v>0</v>
      </c>
      <c r="L406" s="35" t="s">
        <v>42</v>
      </c>
      <c r="M406" s="33" t="s">
        <v>35</v>
      </c>
      <c r="N406" s="33" t="s">
        <v>36</v>
      </c>
      <c r="O406" s="33" t="s">
        <v>37</v>
      </c>
      <c r="P406" s="33" t="s">
        <v>38</v>
      </c>
      <c r="Q406" s="33" t="s">
        <v>39</v>
      </c>
      <c r="R406" s="33" t="s">
        <v>40</v>
      </c>
    </row>
    <row r="407" spans="1:18">
      <c r="A407" s="47">
        <v>11</v>
      </c>
      <c r="B407" s="54">
        <v>40563</v>
      </c>
      <c r="C407" s="47">
        <v>2011</v>
      </c>
      <c r="D407" s="43" t="s">
        <v>25</v>
      </c>
      <c r="E407" s="41">
        <v>1</v>
      </c>
      <c r="F407" s="60">
        <v>4.7370000000000001</v>
      </c>
      <c r="G407" s="60">
        <v>3.3315874999999995E-2</v>
      </c>
      <c r="H407" s="60">
        <v>0</v>
      </c>
      <c r="I407" s="60">
        <v>2.36553375</v>
      </c>
      <c r="J407" s="58">
        <v>1.8862749999999998E-2</v>
      </c>
      <c r="K407" s="58">
        <v>0</v>
      </c>
      <c r="L407" s="35" t="s">
        <v>56</v>
      </c>
      <c r="M407" s="21">
        <f>AVERAGE(F407:F442)</f>
        <v>5.2427777777777766</v>
      </c>
      <c r="N407" s="21">
        <f>AVERAGE(G407:G442)</f>
        <v>9.7448697916666646E-2</v>
      </c>
      <c r="O407" s="21">
        <f>AVERAGE(H407:H442)</f>
        <v>1.8705312499999996E-3</v>
      </c>
      <c r="P407" s="21">
        <f>AVERAGE(I407:I442)</f>
        <v>2.0350472083333333</v>
      </c>
      <c r="Q407" s="21">
        <f t="shared" ref="Q407:R407" si="8">AVERAGE(J407:J442)</f>
        <v>0.12201990277777777</v>
      </c>
      <c r="R407" s="21">
        <f t="shared" si="8"/>
        <v>5.0824652777777793E-4</v>
      </c>
    </row>
    <row r="408" spans="1:18">
      <c r="A408" s="10">
        <v>12</v>
      </c>
      <c r="B408" s="16">
        <v>40563</v>
      </c>
      <c r="C408" s="10">
        <v>2011</v>
      </c>
      <c r="D408" s="4" t="s">
        <v>25</v>
      </c>
      <c r="E408" s="5">
        <v>1</v>
      </c>
      <c r="F408" s="20">
        <v>4.4649999999999999</v>
      </c>
      <c r="G408" s="20">
        <v>3.6811874999999994E-2</v>
      </c>
      <c r="H408" s="20">
        <v>0</v>
      </c>
      <c r="I408" s="20">
        <v>2.0076682499999996</v>
      </c>
      <c r="J408" s="25">
        <v>1.5601124999999997E-2</v>
      </c>
      <c r="K408" s="25">
        <v>0</v>
      </c>
    </row>
    <row r="409" spans="1:18">
      <c r="A409" s="10">
        <v>13</v>
      </c>
      <c r="B409" s="16">
        <v>40563</v>
      </c>
      <c r="C409" s="10">
        <v>2011</v>
      </c>
      <c r="D409" s="4" t="s">
        <v>25</v>
      </c>
      <c r="E409" s="5">
        <v>1</v>
      </c>
      <c r="F409" s="20">
        <v>2.9350000000000001</v>
      </c>
      <c r="G409" s="20">
        <v>0</v>
      </c>
      <c r="H409" s="20">
        <v>0</v>
      </c>
      <c r="I409" s="20">
        <v>1.3223704999999999</v>
      </c>
      <c r="J409" s="25">
        <v>1.2249749999999998E-2</v>
      </c>
      <c r="K409" s="25">
        <v>0</v>
      </c>
    </row>
    <row r="410" spans="1:18">
      <c r="A410" s="10">
        <v>11</v>
      </c>
      <c r="B410" s="16">
        <v>40598</v>
      </c>
      <c r="C410" s="10">
        <v>2011</v>
      </c>
      <c r="D410" s="4" t="s">
        <v>14</v>
      </c>
      <c r="E410" s="10">
        <v>2</v>
      </c>
      <c r="F410" s="20">
        <v>4.5720000000000001</v>
      </c>
      <c r="G410" s="20">
        <v>2.2770624999999999E-2</v>
      </c>
      <c r="H410" s="20">
        <v>0</v>
      </c>
      <c r="I410" s="20">
        <v>1.9516983750000001</v>
      </c>
      <c r="J410" s="25">
        <v>2.0020499999999997E-2</v>
      </c>
      <c r="K410" s="25">
        <v>0</v>
      </c>
    </row>
    <row r="411" spans="1:18">
      <c r="A411" s="10">
        <v>12</v>
      </c>
      <c r="B411" s="16">
        <v>40598</v>
      </c>
      <c r="C411" s="10">
        <v>2011</v>
      </c>
      <c r="D411" s="4" t="s">
        <v>14</v>
      </c>
      <c r="E411" s="10">
        <v>2</v>
      </c>
      <c r="F411" s="20">
        <v>4.8120000000000003</v>
      </c>
      <c r="G411" s="20">
        <v>2.3152874999999996E-2</v>
      </c>
      <c r="H411" s="20">
        <v>0</v>
      </c>
      <c r="I411" s="20">
        <v>2.0351182499999996</v>
      </c>
      <c r="J411" s="25">
        <v>2.1537125000000001E-2</v>
      </c>
      <c r="K411" s="25">
        <v>0</v>
      </c>
    </row>
    <row r="412" spans="1:18">
      <c r="A412" s="10">
        <v>13</v>
      </c>
      <c r="B412" s="16">
        <v>40598</v>
      </c>
      <c r="C412" s="10">
        <v>2011</v>
      </c>
      <c r="D412" s="4" t="s">
        <v>14</v>
      </c>
      <c r="E412" s="10">
        <v>2</v>
      </c>
      <c r="F412" s="20">
        <v>3.6349999999999998</v>
      </c>
      <c r="G412" s="20">
        <v>4.2264999999999997E-2</v>
      </c>
      <c r="H412" s="20">
        <v>0</v>
      </c>
      <c r="I412" s="20">
        <v>1.5853638750000001</v>
      </c>
      <c r="J412" s="25">
        <v>1.8725124999999995E-2</v>
      </c>
      <c r="K412" s="25">
        <v>0</v>
      </c>
    </row>
    <row r="413" spans="1:18">
      <c r="A413" s="10">
        <v>11</v>
      </c>
      <c r="B413" s="16">
        <v>40617</v>
      </c>
      <c r="C413" s="10">
        <v>2011</v>
      </c>
      <c r="D413" s="4" t="s">
        <v>15</v>
      </c>
      <c r="E413" s="10">
        <v>3</v>
      </c>
      <c r="F413" s="20">
        <v>4.766</v>
      </c>
      <c r="G413" s="20">
        <v>0.10769475000000003</v>
      </c>
      <c r="H413" s="20">
        <v>0</v>
      </c>
      <c r="I413" s="20">
        <v>2.1968587500000001</v>
      </c>
      <c r="J413" s="25">
        <v>2.4880249999999996E-2</v>
      </c>
      <c r="K413" s="25">
        <v>0</v>
      </c>
    </row>
    <row r="414" spans="1:18">
      <c r="A414" s="10">
        <v>12</v>
      </c>
      <c r="B414" s="16">
        <v>40617</v>
      </c>
      <c r="C414" s="10">
        <v>2011</v>
      </c>
      <c r="D414" s="4" t="s">
        <v>15</v>
      </c>
      <c r="E414" s="10">
        <v>3</v>
      </c>
      <c r="F414" s="20">
        <v>3.7519999999999998</v>
      </c>
      <c r="G414" s="20">
        <v>8.0132624999999999E-2</v>
      </c>
      <c r="H414" s="20">
        <v>0</v>
      </c>
      <c r="I414" s="20">
        <v>1.732851125</v>
      </c>
      <c r="J414" s="25">
        <v>2.0319375000000001E-2</v>
      </c>
      <c r="K414" s="25">
        <v>0</v>
      </c>
    </row>
    <row r="415" spans="1:18">
      <c r="A415" s="10">
        <v>13</v>
      </c>
      <c r="B415" s="16">
        <v>40617</v>
      </c>
      <c r="C415" s="10">
        <v>2011</v>
      </c>
      <c r="D415" s="4" t="s">
        <v>15</v>
      </c>
      <c r="E415" s="10">
        <v>3</v>
      </c>
      <c r="F415" s="20">
        <v>4.41</v>
      </c>
      <c r="G415" s="20">
        <v>9.529799999999998E-2</v>
      </c>
      <c r="H415" s="20">
        <v>0</v>
      </c>
      <c r="I415" s="20">
        <v>2.0573730000000001</v>
      </c>
      <c r="J415" s="25">
        <v>2.4913624999999995E-2</v>
      </c>
      <c r="K415" s="25">
        <v>0</v>
      </c>
    </row>
    <row r="416" spans="1:18">
      <c r="A416" s="10">
        <v>11</v>
      </c>
      <c r="B416" s="16">
        <v>40647</v>
      </c>
      <c r="C416" s="10">
        <v>2011</v>
      </c>
      <c r="D416" s="4" t="s">
        <v>16</v>
      </c>
      <c r="E416" s="10">
        <v>4</v>
      </c>
      <c r="F416" s="20">
        <v>4.5590000000000002</v>
      </c>
      <c r="G416" s="20">
        <v>8.8226750000000007E-2</v>
      </c>
      <c r="H416" s="20">
        <v>0</v>
      </c>
      <c r="I416" s="20">
        <v>1.8173878749999999</v>
      </c>
      <c r="J416" s="25">
        <v>1.4323124999999999E-2</v>
      </c>
      <c r="K416" s="25">
        <v>0</v>
      </c>
    </row>
    <row r="417" spans="1:11">
      <c r="A417" s="10">
        <v>12</v>
      </c>
      <c r="B417" s="16">
        <v>40647</v>
      </c>
      <c r="C417" s="10">
        <v>2011</v>
      </c>
      <c r="D417" s="4" t="s">
        <v>16</v>
      </c>
      <c r="E417" s="10">
        <v>4</v>
      </c>
      <c r="F417" s="20">
        <v>3.8530000000000002</v>
      </c>
      <c r="G417" s="20">
        <v>7.9927374999999995E-2</v>
      </c>
      <c r="H417" s="20">
        <v>0</v>
      </c>
      <c r="I417" s="20">
        <v>1.4834718749999998</v>
      </c>
      <c r="J417" s="25">
        <v>1.1424999999999998E-2</v>
      </c>
      <c r="K417" s="25">
        <v>0</v>
      </c>
    </row>
    <row r="418" spans="1:11">
      <c r="A418" s="10">
        <v>13</v>
      </c>
      <c r="B418" s="16">
        <v>40647</v>
      </c>
      <c r="C418" s="10">
        <v>2011</v>
      </c>
      <c r="D418" s="4" t="s">
        <v>16</v>
      </c>
      <c r="E418" s="10">
        <v>4</v>
      </c>
      <c r="F418" s="20">
        <v>2.294</v>
      </c>
      <c r="G418" s="20">
        <v>3.421337499999999E-2</v>
      </c>
      <c r="H418" s="20">
        <v>0</v>
      </c>
      <c r="I418" s="20">
        <v>0.70023224999999989</v>
      </c>
      <c r="J418" s="25">
        <v>8.0346250000000018E-3</v>
      </c>
      <c r="K418" s="25">
        <v>0</v>
      </c>
    </row>
    <row r="419" spans="1:11">
      <c r="A419" s="10">
        <v>11</v>
      </c>
      <c r="B419" s="16">
        <v>40682</v>
      </c>
      <c r="C419" s="10">
        <v>2011</v>
      </c>
      <c r="D419" s="4" t="s">
        <v>17</v>
      </c>
      <c r="E419" s="10">
        <v>5</v>
      </c>
      <c r="F419" s="20">
        <v>2.02</v>
      </c>
      <c r="G419" s="20">
        <v>0.1153435</v>
      </c>
      <c r="H419" s="20">
        <v>0</v>
      </c>
      <c r="I419" s="20">
        <v>0.58843400000000001</v>
      </c>
      <c r="J419" s="25">
        <v>3.1000375E-2</v>
      </c>
      <c r="K419" s="25">
        <v>0</v>
      </c>
    </row>
    <row r="420" spans="1:11">
      <c r="A420" s="10">
        <v>12</v>
      </c>
      <c r="B420" s="16">
        <v>40682</v>
      </c>
      <c r="C420" s="10">
        <v>2011</v>
      </c>
      <c r="D420" s="4" t="s">
        <v>17</v>
      </c>
      <c r="E420" s="10">
        <v>5</v>
      </c>
      <c r="F420" s="20">
        <v>1.5920000000000001</v>
      </c>
      <c r="G420" s="20">
        <v>6.7288749999999994E-2</v>
      </c>
      <c r="H420" s="20">
        <v>0</v>
      </c>
      <c r="I420" s="20">
        <v>0.42106137500000002</v>
      </c>
      <c r="J420" s="25">
        <v>2.2930749999999996E-2</v>
      </c>
      <c r="K420" s="25">
        <v>0</v>
      </c>
    </row>
    <row r="421" spans="1:11">
      <c r="A421" s="10">
        <v>13</v>
      </c>
      <c r="B421" s="16">
        <v>40682</v>
      </c>
      <c r="C421" s="10">
        <v>2011</v>
      </c>
      <c r="D421" s="4" t="s">
        <v>17</v>
      </c>
      <c r="E421" s="10">
        <v>5</v>
      </c>
      <c r="F421" s="20">
        <v>2.5779999999999998</v>
      </c>
      <c r="G421" s="20">
        <v>0.22370912499999998</v>
      </c>
      <c r="H421" s="20">
        <v>4.6396499999999993E-2</v>
      </c>
      <c r="I421" s="20">
        <v>0.62708837500000003</v>
      </c>
      <c r="J421" s="25">
        <v>3.9002124999999999E-2</v>
      </c>
      <c r="K421" s="25">
        <v>0</v>
      </c>
    </row>
    <row r="422" spans="1:11">
      <c r="A422" s="10">
        <v>11</v>
      </c>
      <c r="B422" s="16">
        <v>40709</v>
      </c>
      <c r="C422" s="10">
        <v>2011</v>
      </c>
      <c r="D422" s="4" t="s">
        <v>18</v>
      </c>
      <c r="E422" s="10">
        <v>6</v>
      </c>
      <c r="F422" s="20">
        <v>4.0220000000000002</v>
      </c>
      <c r="G422" s="20">
        <v>0.10144599999999999</v>
      </c>
      <c r="H422" s="20">
        <v>0</v>
      </c>
      <c r="I422" s="20">
        <v>1.5833134999999998</v>
      </c>
      <c r="J422" s="25">
        <v>6.4036250000000003E-2</v>
      </c>
      <c r="K422" s="25">
        <v>0</v>
      </c>
    </row>
    <row r="423" spans="1:11">
      <c r="A423" s="10">
        <v>12</v>
      </c>
      <c r="B423" s="16">
        <v>40709</v>
      </c>
      <c r="C423" s="10">
        <v>2011</v>
      </c>
      <c r="D423" s="4" t="s">
        <v>18</v>
      </c>
      <c r="E423" s="10">
        <v>6</v>
      </c>
      <c r="F423" s="20">
        <v>4.2</v>
      </c>
      <c r="G423" s="20">
        <v>8.8062625000000005E-2</v>
      </c>
      <c r="H423" s="20">
        <v>0</v>
      </c>
      <c r="I423" s="20">
        <v>1.4930836249999997</v>
      </c>
      <c r="J423" s="25">
        <v>6.4282875000000003E-2</v>
      </c>
      <c r="K423" s="25">
        <v>0</v>
      </c>
    </row>
    <row r="424" spans="1:11">
      <c r="A424" s="10">
        <v>13</v>
      </c>
      <c r="B424" s="16">
        <v>40709</v>
      </c>
      <c r="C424" s="10">
        <v>2011</v>
      </c>
      <c r="D424" s="4" t="s">
        <v>18</v>
      </c>
      <c r="E424" s="10">
        <v>6</v>
      </c>
      <c r="F424" s="20">
        <v>7.6539999999999999</v>
      </c>
      <c r="G424" s="20">
        <v>6.9927000000000003E-2</v>
      </c>
      <c r="H424" s="20">
        <v>0</v>
      </c>
      <c r="I424" s="20">
        <v>3.3013943749999997</v>
      </c>
      <c r="J424" s="25">
        <v>9.1840874999999988E-2</v>
      </c>
      <c r="K424" s="25">
        <v>0</v>
      </c>
    </row>
    <row r="425" spans="1:11">
      <c r="A425" s="10">
        <v>11</v>
      </c>
      <c r="B425" s="16">
        <v>40736</v>
      </c>
      <c r="C425" s="10">
        <v>2011</v>
      </c>
      <c r="D425" s="4" t="s">
        <v>19</v>
      </c>
      <c r="E425" s="10">
        <v>7</v>
      </c>
      <c r="F425" s="20">
        <v>7.407</v>
      </c>
      <c r="G425" s="20">
        <v>0.169541625</v>
      </c>
      <c r="H425" s="20">
        <v>0</v>
      </c>
      <c r="I425" s="20">
        <v>2.3847900000000002</v>
      </c>
      <c r="J425" s="25">
        <v>0.20515887499999999</v>
      </c>
      <c r="K425" s="25">
        <v>0</v>
      </c>
    </row>
    <row r="426" spans="1:11">
      <c r="A426" s="10">
        <v>12</v>
      </c>
      <c r="B426" s="16">
        <v>40736</v>
      </c>
      <c r="C426" s="10">
        <v>2011</v>
      </c>
      <c r="D426" s="4" t="s">
        <v>19</v>
      </c>
      <c r="E426" s="10">
        <v>7</v>
      </c>
      <c r="F426" s="20">
        <v>8.0679999999999996</v>
      </c>
      <c r="G426" s="20">
        <v>0.15381462500000001</v>
      </c>
      <c r="H426" s="20">
        <v>0</v>
      </c>
      <c r="I426" s="20">
        <v>2.9900811249999997</v>
      </c>
      <c r="J426" s="25">
        <v>0.20078225</v>
      </c>
      <c r="K426" s="25">
        <v>0</v>
      </c>
    </row>
    <row r="427" spans="1:11">
      <c r="A427" s="10">
        <v>13</v>
      </c>
      <c r="B427" s="16">
        <v>40736</v>
      </c>
      <c r="C427" s="10">
        <v>2011</v>
      </c>
      <c r="D427" s="4" t="s">
        <v>19</v>
      </c>
      <c r="E427" s="10">
        <v>7</v>
      </c>
      <c r="F427" s="20">
        <v>8.9009999999999998</v>
      </c>
      <c r="G427" s="20">
        <v>0.17544412499999998</v>
      </c>
      <c r="H427" s="20">
        <v>0</v>
      </c>
      <c r="I427" s="20">
        <v>2.87796275</v>
      </c>
      <c r="J427" s="25">
        <v>0.68417237500000005</v>
      </c>
      <c r="K427" s="25">
        <v>0</v>
      </c>
    </row>
    <row r="428" spans="1:11">
      <c r="A428" s="10">
        <v>11</v>
      </c>
      <c r="B428" s="16">
        <v>40772</v>
      </c>
      <c r="C428" s="10">
        <v>2011</v>
      </c>
      <c r="D428" s="4" t="s">
        <v>20</v>
      </c>
      <c r="E428" s="10">
        <v>8</v>
      </c>
      <c r="F428" s="20">
        <v>14.526999999999999</v>
      </c>
      <c r="G428" s="20">
        <v>0.16420162499999999</v>
      </c>
      <c r="H428" s="20">
        <v>0</v>
      </c>
      <c r="I428" s="20">
        <v>6.8055946249999995</v>
      </c>
      <c r="J428" s="25">
        <v>0.18949312500000004</v>
      </c>
      <c r="K428" s="25">
        <v>0</v>
      </c>
    </row>
    <row r="429" spans="1:11">
      <c r="A429" s="10">
        <v>12</v>
      </c>
      <c r="B429" s="16">
        <v>40772</v>
      </c>
      <c r="C429" s="10">
        <v>2011</v>
      </c>
      <c r="D429" s="4" t="s">
        <v>20</v>
      </c>
      <c r="E429" s="10">
        <v>8</v>
      </c>
      <c r="F429" s="20">
        <v>11.542999999999999</v>
      </c>
      <c r="G429" s="20">
        <v>9.0062874999999987E-2</v>
      </c>
      <c r="H429" s="20">
        <v>0</v>
      </c>
      <c r="I429" s="20">
        <v>4.6113218749999998</v>
      </c>
      <c r="J429" s="25">
        <v>0.19088712499999999</v>
      </c>
      <c r="K429" s="25">
        <v>0</v>
      </c>
    </row>
    <row r="430" spans="1:11">
      <c r="A430" s="10">
        <v>13</v>
      </c>
      <c r="B430" s="16">
        <v>40772</v>
      </c>
      <c r="C430" s="10">
        <v>2011</v>
      </c>
      <c r="D430" s="4" t="s">
        <v>20</v>
      </c>
      <c r="E430" s="10">
        <v>8</v>
      </c>
      <c r="F430" s="20">
        <v>10.285</v>
      </c>
      <c r="G430" s="20">
        <v>5.3601499999999996E-2</v>
      </c>
      <c r="H430" s="20">
        <v>0</v>
      </c>
      <c r="I430" s="20">
        <v>4.1019173750000002</v>
      </c>
      <c r="J430" s="25">
        <v>0.27433174999999999</v>
      </c>
      <c r="K430" s="25">
        <v>0</v>
      </c>
    </row>
    <row r="431" spans="1:11">
      <c r="A431" s="10">
        <v>11</v>
      </c>
      <c r="B431" s="16">
        <v>40798</v>
      </c>
      <c r="C431" s="10">
        <v>2011</v>
      </c>
      <c r="D431" s="4" t="s">
        <v>26</v>
      </c>
      <c r="E431" s="10">
        <v>9</v>
      </c>
      <c r="F431" s="20">
        <v>6.1180000000000003</v>
      </c>
      <c r="G431" s="20">
        <v>9.5918249999999983E-2</v>
      </c>
      <c r="H431" s="20">
        <v>0</v>
      </c>
      <c r="I431" s="20">
        <v>2.5321488749999999</v>
      </c>
      <c r="J431" s="25">
        <v>0.23636000000000001</v>
      </c>
      <c r="K431" s="25">
        <v>0</v>
      </c>
    </row>
    <row r="432" spans="1:11">
      <c r="A432" s="10">
        <v>12</v>
      </c>
      <c r="B432" s="16">
        <v>40798</v>
      </c>
      <c r="C432" s="10">
        <v>2011</v>
      </c>
      <c r="D432" s="4" t="s">
        <v>26</v>
      </c>
      <c r="E432" s="10">
        <v>9</v>
      </c>
      <c r="F432" s="20">
        <v>5.444</v>
      </c>
      <c r="G432" s="20">
        <v>7.2165750000000001E-2</v>
      </c>
      <c r="H432" s="20">
        <v>0</v>
      </c>
      <c r="I432" s="20">
        <v>1.961626375</v>
      </c>
      <c r="J432" s="25">
        <v>0.20802087499999997</v>
      </c>
      <c r="K432" s="25">
        <v>0</v>
      </c>
    </row>
    <row r="433" spans="1:18">
      <c r="A433" s="10">
        <v>13</v>
      </c>
      <c r="B433" s="16">
        <v>40798</v>
      </c>
      <c r="C433" s="10">
        <v>2011</v>
      </c>
      <c r="D433" s="4" t="s">
        <v>26</v>
      </c>
      <c r="E433" s="10">
        <v>9</v>
      </c>
      <c r="F433" s="20">
        <v>7.492</v>
      </c>
      <c r="G433" s="20">
        <v>7.4966000000000005E-2</v>
      </c>
      <c r="H433" s="20">
        <v>0</v>
      </c>
      <c r="I433" s="20">
        <v>2.0250244999999998</v>
      </c>
      <c r="J433" s="25">
        <v>1.1851122499999998</v>
      </c>
      <c r="K433" s="25">
        <v>1.8296875000000004E-2</v>
      </c>
    </row>
    <row r="434" spans="1:18">
      <c r="A434" s="10">
        <v>11</v>
      </c>
      <c r="B434" s="16">
        <v>40829</v>
      </c>
      <c r="C434" s="10">
        <v>2011</v>
      </c>
      <c r="D434" s="4" t="s">
        <v>22</v>
      </c>
      <c r="E434" s="10">
        <v>10</v>
      </c>
      <c r="F434" s="22">
        <v>4.2300000000000004</v>
      </c>
      <c r="G434" s="22">
        <v>0.21483774999999997</v>
      </c>
      <c r="H434" s="22">
        <v>0</v>
      </c>
      <c r="I434" s="22">
        <v>1.3820714999999997</v>
      </c>
      <c r="J434" s="22">
        <v>0.11098650000000002</v>
      </c>
      <c r="K434" s="22">
        <v>0</v>
      </c>
    </row>
    <row r="435" spans="1:18">
      <c r="A435" s="10">
        <v>12</v>
      </c>
      <c r="B435" s="16">
        <v>40829</v>
      </c>
      <c r="C435" s="10">
        <v>2011</v>
      </c>
      <c r="D435" s="4" t="s">
        <v>22</v>
      </c>
      <c r="E435" s="10">
        <v>10</v>
      </c>
      <c r="F435" s="22">
        <v>4.702</v>
      </c>
      <c r="G435" s="22">
        <v>0.22009462499999996</v>
      </c>
      <c r="H435" s="22">
        <v>0</v>
      </c>
      <c r="I435" s="22">
        <v>1.6734541249999999</v>
      </c>
      <c r="J435" s="22">
        <v>0.12009349999999999</v>
      </c>
      <c r="K435" s="22">
        <v>0</v>
      </c>
    </row>
    <row r="436" spans="1:18">
      <c r="A436" s="10">
        <v>13</v>
      </c>
      <c r="B436" s="16">
        <v>40829</v>
      </c>
      <c r="C436" s="10">
        <v>2011</v>
      </c>
      <c r="D436" s="4" t="s">
        <v>22</v>
      </c>
      <c r="E436" s="10">
        <v>10</v>
      </c>
      <c r="F436" s="22">
        <v>2.5640000000000001</v>
      </c>
      <c r="G436" s="22">
        <v>0.10417475</v>
      </c>
      <c r="H436" s="22">
        <v>0</v>
      </c>
      <c r="I436" s="22">
        <v>0.92259524999999998</v>
      </c>
      <c r="J436" s="22">
        <v>8.9766499999999985E-2</v>
      </c>
      <c r="K436" s="22">
        <v>0</v>
      </c>
    </row>
    <row r="437" spans="1:18">
      <c r="A437" s="10">
        <v>11</v>
      </c>
      <c r="B437" s="23">
        <v>40877</v>
      </c>
      <c r="C437" s="10">
        <v>2011</v>
      </c>
      <c r="D437" s="4" t="s">
        <v>23</v>
      </c>
      <c r="E437" s="10">
        <v>11</v>
      </c>
      <c r="F437" s="22">
        <v>5.2469999999999999</v>
      </c>
      <c r="G437" s="22">
        <v>7.938824999999998E-2</v>
      </c>
      <c r="H437" s="22">
        <v>0</v>
      </c>
      <c r="I437" s="22">
        <v>2.2046882499999998</v>
      </c>
      <c r="J437" s="22">
        <v>3.3162749999999998E-2</v>
      </c>
      <c r="K437" s="22">
        <v>0</v>
      </c>
    </row>
    <row r="438" spans="1:18">
      <c r="A438" s="10">
        <v>12</v>
      </c>
      <c r="B438" s="23">
        <v>40877</v>
      </c>
      <c r="C438" s="10">
        <v>2011</v>
      </c>
      <c r="D438" s="4" t="s">
        <v>23</v>
      </c>
      <c r="E438" s="10">
        <v>11</v>
      </c>
      <c r="F438" s="22">
        <v>3.9009999999999998</v>
      </c>
      <c r="G438" s="22">
        <v>5.4116624999999995E-2</v>
      </c>
      <c r="H438" s="22">
        <v>2.0942624999999996E-2</v>
      </c>
      <c r="I438" s="22">
        <v>1.5061991250000002</v>
      </c>
      <c r="J438" s="22">
        <v>3.0106250000000005E-2</v>
      </c>
      <c r="K438" s="22">
        <v>0</v>
      </c>
    </row>
    <row r="439" spans="1:18">
      <c r="A439" s="10">
        <v>13</v>
      </c>
      <c r="B439" s="23">
        <v>40877</v>
      </c>
      <c r="C439" s="10">
        <v>2011</v>
      </c>
      <c r="D439" s="4" t="s">
        <v>23</v>
      </c>
      <c r="E439" s="10">
        <v>11</v>
      </c>
      <c r="F439" s="22">
        <v>4.9690000000000003</v>
      </c>
      <c r="G439" s="22">
        <v>0.12483712499999999</v>
      </c>
      <c r="H439" s="22">
        <v>0</v>
      </c>
      <c r="I439" s="22">
        <v>1.7289521249999997</v>
      </c>
      <c r="J439" s="22">
        <v>2.864425E-2</v>
      </c>
      <c r="K439" s="22">
        <v>0</v>
      </c>
    </row>
    <row r="440" spans="1:18">
      <c r="A440" s="10">
        <v>11</v>
      </c>
      <c r="B440" s="23">
        <v>40891</v>
      </c>
      <c r="C440" s="10">
        <v>2011</v>
      </c>
      <c r="D440" s="4" t="s">
        <v>24</v>
      </c>
      <c r="E440" s="10">
        <v>12</v>
      </c>
      <c r="F440" s="22">
        <v>5.8280000000000003</v>
      </c>
      <c r="G440" s="22">
        <v>0.20053412499999995</v>
      </c>
      <c r="H440" s="22">
        <v>0</v>
      </c>
      <c r="I440" s="22">
        <v>2.1014538750000002</v>
      </c>
      <c r="J440" s="22">
        <v>3.2710375E-2</v>
      </c>
      <c r="K440" s="22">
        <v>0</v>
      </c>
    </row>
    <row r="441" spans="1:18">
      <c r="A441" s="10">
        <v>12</v>
      </c>
      <c r="B441" s="23">
        <v>40891</v>
      </c>
      <c r="C441" s="10">
        <v>2011</v>
      </c>
      <c r="D441" s="4" t="s">
        <v>24</v>
      </c>
      <c r="E441" s="10">
        <v>12</v>
      </c>
      <c r="F441" s="22">
        <v>3.7679999999999998</v>
      </c>
      <c r="G441" s="22">
        <v>0.10218200000000001</v>
      </c>
      <c r="H441" s="22">
        <v>0</v>
      </c>
      <c r="I441" s="22">
        <v>1.266158125</v>
      </c>
      <c r="J441" s="22">
        <v>2.3183499999999999E-2</v>
      </c>
      <c r="K441" s="22">
        <v>0</v>
      </c>
    </row>
    <row r="442" spans="1:18" ht="25.5">
      <c r="A442" s="10">
        <v>13</v>
      </c>
      <c r="B442" s="23">
        <v>40891</v>
      </c>
      <c r="C442" s="10">
        <v>2011</v>
      </c>
      <c r="D442" s="4" t="s">
        <v>24</v>
      </c>
      <c r="E442" s="10">
        <v>12</v>
      </c>
      <c r="F442" s="22">
        <v>2.89</v>
      </c>
      <c r="G442" s="22">
        <v>4.8685375000000003E-2</v>
      </c>
      <c r="H442" s="22">
        <v>0</v>
      </c>
      <c r="I442" s="22">
        <v>0.91535650000000013</v>
      </c>
      <c r="J442" s="22">
        <v>2.5758625000000004E-2</v>
      </c>
      <c r="K442" s="22">
        <v>0</v>
      </c>
      <c r="L442" s="35" t="s">
        <v>42</v>
      </c>
      <c r="M442" s="33" t="s">
        <v>35</v>
      </c>
      <c r="N442" s="33" t="s">
        <v>36</v>
      </c>
      <c r="O442" s="33" t="s">
        <v>37</v>
      </c>
      <c r="P442" s="33" t="s">
        <v>38</v>
      </c>
      <c r="Q442" s="33" t="s">
        <v>39</v>
      </c>
      <c r="R442" s="33" t="s">
        <v>40</v>
      </c>
    </row>
    <row r="443" spans="1:18">
      <c r="A443" s="47">
        <v>11</v>
      </c>
      <c r="B443" s="54">
        <v>40919</v>
      </c>
      <c r="C443" s="47">
        <v>2012</v>
      </c>
      <c r="D443" s="43" t="s">
        <v>25</v>
      </c>
      <c r="E443" s="47">
        <v>1</v>
      </c>
      <c r="F443" s="63">
        <v>3.1659999999999999</v>
      </c>
      <c r="G443" s="63">
        <v>0.14568062500000001</v>
      </c>
      <c r="H443" s="63">
        <v>0</v>
      </c>
      <c r="I443" s="63">
        <v>1.3702737499999997</v>
      </c>
      <c r="J443" s="65">
        <v>2.054775E-2</v>
      </c>
      <c r="K443" s="65">
        <v>0</v>
      </c>
      <c r="L443" s="35" t="s">
        <v>57</v>
      </c>
      <c r="M443" s="21">
        <f>AVERAGE(F443:F478)</f>
        <v>6.2217222222222217</v>
      </c>
      <c r="N443" s="21">
        <f>AVERAGE(G443:G478)</f>
        <v>0.30061073958333334</v>
      </c>
      <c r="O443" s="21">
        <f>AVERAGE(H443:H478)</f>
        <v>1.2328489583333331E-2</v>
      </c>
      <c r="P443" s="21">
        <f>AVERAGE(I443:I478)</f>
        <v>2.7414064409722219</v>
      </c>
      <c r="Q443" s="21">
        <f t="shared" ref="Q443:R443" si="9">AVERAGE(J443:J478)</f>
        <v>0.11618336111111109</v>
      </c>
      <c r="R443" s="21">
        <f t="shared" si="9"/>
        <v>3.6803124999999998E-4</v>
      </c>
    </row>
    <row r="444" spans="1:18">
      <c r="A444" s="10">
        <v>12</v>
      </c>
      <c r="B444" s="16">
        <v>40919</v>
      </c>
      <c r="C444" s="10">
        <v>2012</v>
      </c>
      <c r="D444" s="4" t="s">
        <v>25</v>
      </c>
      <c r="E444" s="10">
        <v>1</v>
      </c>
      <c r="F444" s="24">
        <v>1.8680000000000001</v>
      </c>
      <c r="G444" s="24">
        <v>0.10425999999999998</v>
      </c>
      <c r="H444" s="24">
        <v>0</v>
      </c>
      <c r="I444" s="24">
        <v>0.67076824999999995</v>
      </c>
      <c r="J444" s="22">
        <v>1.578075E-2</v>
      </c>
      <c r="K444" s="22">
        <v>0</v>
      </c>
    </row>
    <row r="445" spans="1:18">
      <c r="A445" s="10">
        <v>13</v>
      </c>
      <c r="B445" s="16">
        <v>40919</v>
      </c>
      <c r="C445" s="10">
        <v>2012</v>
      </c>
      <c r="D445" s="4" t="s">
        <v>25</v>
      </c>
      <c r="E445" s="10">
        <v>1</v>
      </c>
      <c r="F445" s="24">
        <v>1.752</v>
      </c>
      <c r="G445" s="24">
        <v>0.10891674999999999</v>
      </c>
      <c r="H445" s="24">
        <v>0</v>
      </c>
      <c r="I445" s="24">
        <v>0.61970674999999997</v>
      </c>
      <c r="J445" s="22">
        <v>1.5032E-2</v>
      </c>
      <c r="K445" s="22">
        <v>0</v>
      </c>
    </row>
    <row r="446" spans="1:18">
      <c r="A446" s="10">
        <v>11</v>
      </c>
      <c r="B446" s="16">
        <v>40960</v>
      </c>
      <c r="C446" s="10">
        <v>2012</v>
      </c>
      <c r="D446" s="4" t="s">
        <v>14</v>
      </c>
      <c r="E446" s="10">
        <v>2</v>
      </c>
      <c r="F446" s="24">
        <v>10.074</v>
      </c>
      <c r="G446" s="24">
        <v>0.26395262499999994</v>
      </c>
      <c r="H446" s="24">
        <v>0</v>
      </c>
      <c r="I446" s="24">
        <v>6.1832762499999996</v>
      </c>
      <c r="J446" s="22">
        <v>4.4061125E-2</v>
      </c>
      <c r="K446" s="22">
        <v>0</v>
      </c>
    </row>
    <row r="447" spans="1:18">
      <c r="A447" s="10">
        <v>12</v>
      </c>
      <c r="B447" s="16">
        <v>40960</v>
      </c>
      <c r="C447" s="10">
        <v>2012</v>
      </c>
      <c r="D447" s="4" t="s">
        <v>14</v>
      </c>
      <c r="E447" s="10">
        <v>2</v>
      </c>
      <c r="F447" s="24">
        <v>3.7719999999999998</v>
      </c>
      <c r="G447" s="24">
        <v>0.20643375</v>
      </c>
      <c r="H447" s="24">
        <v>0</v>
      </c>
      <c r="I447" s="24">
        <v>1.9703310000000001</v>
      </c>
      <c r="J447" s="22">
        <v>2.9816999999999996E-2</v>
      </c>
      <c r="K447" s="22">
        <v>0</v>
      </c>
    </row>
    <row r="448" spans="1:18">
      <c r="A448" s="10">
        <v>13</v>
      </c>
      <c r="B448" s="16">
        <v>40960</v>
      </c>
      <c r="C448" s="10">
        <v>2012</v>
      </c>
      <c r="D448" s="4" t="s">
        <v>14</v>
      </c>
      <c r="E448" s="10">
        <v>2</v>
      </c>
      <c r="F448" s="24">
        <v>2.944</v>
      </c>
      <c r="G448" s="24">
        <v>0.20164462499999999</v>
      </c>
      <c r="H448" s="24">
        <v>0</v>
      </c>
      <c r="I448" s="24">
        <v>1.5229422499999998</v>
      </c>
      <c r="J448" s="22">
        <v>2.7293874999999999E-2</v>
      </c>
      <c r="K448" s="22">
        <v>0</v>
      </c>
    </row>
    <row r="449" spans="1:11">
      <c r="A449" s="10">
        <v>11</v>
      </c>
      <c r="B449" s="16">
        <v>40982</v>
      </c>
      <c r="C449" s="10">
        <v>2012</v>
      </c>
      <c r="D449" s="4" t="s">
        <v>15</v>
      </c>
      <c r="E449" s="10">
        <v>3</v>
      </c>
      <c r="F449" s="24">
        <v>4.5389999999999997</v>
      </c>
      <c r="G449" s="24">
        <v>0.10550762500000001</v>
      </c>
      <c r="H449" s="24">
        <v>0</v>
      </c>
      <c r="I449" s="24">
        <v>2.8869761249999999</v>
      </c>
      <c r="J449" s="22">
        <v>3.5856374999999996E-2</v>
      </c>
      <c r="K449" s="22">
        <v>0</v>
      </c>
    </row>
    <row r="450" spans="1:11">
      <c r="A450" s="10">
        <v>12</v>
      </c>
      <c r="B450" s="16">
        <v>40982</v>
      </c>
      <c r="C450" s="10">
        <v>2012</v>
      </c>
      <c r="D450" s="4" t="s">
        <v>15</v>
      </c>
      <c r="E450" s="10">
        <v>3</v>
      </c>
      <c r="F450" s="24">
        <v>4.1820000000000004</v>
      </c>
      <c r="G450" s="24">
        <v>8.6993874999999984E-2</v>
      </c>
      <c r="H450" s="24">
        <v>0</v>
      </c>
      <c r="I450" s="24">
        <v>2.6406029999999996</v>
      </c>
      <c r="J450" s="22">
        <v>3.7710750000000001E-2</v>
      </c>
      <c r="K450" s="22">
        <v>0</v>
      </c>
    </row>
    <row r="451" spans="1:11">
      <c r="A451" s="10">
        <v>13</v>
      </c>
      <c r="B451" s="16">
        <v>40982</v>
      </c>
      <c r="C451" s="10">
        <v>2012</v>
      </c>
      <c r="D451" s="4" t="s">
        <v>15</v>
      </c>
      <c r="E451" s="10">
        <v>3</v>
      </c>
      <c r="F451" s="24">
        <v>4.2619999999999996</v>
      </c>
      <c r="G451" s="24">
        <v>7.7480624999999997E-2</v>
      </c>
      <c r="H451" s="24">
        <v>2.7018875000000001E-2</v>
      </c>
      <c r="I451" s="24">
        <v>2.8146895000000001</v>
      </c>
      <c r="J451" s="22">
        <v>5.1222999999999984E-2</v>
      </c>
      <c r="K451" s="22">
        <v>0</v>
      </c>
    </row>
    <row r="452" spans="1:11">
      <c r="A452" s="10">
        <v>11</v>
      </c>
      <c r="B452" s="16">
        <v>41016</v>
      </c>
      <c r="C452" s="10">
        <v>2012</v>
      </c>
      <c r="D452" s="4" t="s">
        <v>16</v>
      </c>
      <c r="E452" s="10">
        <v>4</v>
      </c>
      <c r="F452" s="20">
        <v>2.2309999999999999</v>
      </c>
      <c r="G452" s="20">
        <v>2.6335625000000001E-2</v>
      </c>
      <c r="H452" s="20">
        <v>0</v>
      </c>
      <c r="I452" s="20">
        <v>0.96337487499999985</v>
      </c>
      <c r="J452" s="25">
        <v>2.6317E-2</v>
      </c>
      <c r="K452" s="25">
        <v>0</v>
      </c>
    </row>
    <row r="453" spans="1:11">
      <c r="A453" s="10">
        <v>12</v>
      </c>
      <c r="B453" s="16">
        <v>41016</v>
      </c>
      <c r="C453" s="10">
        <v>2012</v>
      </c>
      <c r="D453" s="4" t="s">
        <v>16</v>
      </c>
      <c r="E453" s="10">
        <v>4</v>
      </c>
      <c r="F453" s="20">
        <v>3.3519999999999999</v>
      </c>
      <c r="G453" s="20">
        <v>3.5134625000000003E-2</v>
      </c>
      <c r="H453" s="20">
        <v>3.5607999999999994E-2</v>
      </c>
      <c r="I453" s="20">
        <v>1.5031683749999998</v>
      </c>
      <c r="J453" s="25">
        <v>2.3852499999999999E-2</v>
      </c>
      <c r="K453" s="25">
        <v>0</v>
      </c>
    </row>
    <row r="454" spans="1:11">
      <c r="A454" s="10">
        <v>13</v>
      </c>
      <c r="B454" s="16">
        <v>41016</v>
      </c>
      <c r="C454" s="10">
        <v>2012</v>
      </c>
      <c r="D454" s="4" t="s">
        <v>16</v>
      </c>
      <c r="E454" s="10">
        <v>4</v>
      </c>
      <c r="F454" s="20">
        <v>3.3849999999999998</v>
      </c>
      <c r="G454" s="20">
        <v>3.8184875E-2</v>
      </c>
      <c r="H454" s="20">
        <v>0</v>
      </c>
      <c r="I454" s="20">
        <v>1.4835867499999997</v>
      </c>
      <c r="J454" s="25">
        <v>3.0394250000000001E-2</v>
      </c>
      <c r="K454" s="25">
        <v>0</v>
      </c>
    </row>
    <row r="455" spans="1:11">
      <c r="A455" s="10">
        <v>11</v>
      </c>
      <c r="B455" s="16">
        <v>41051</v>
      </c>
      <c r="C455" s="10">
        <v>2012</v>
      </c>
      <c r="D455" s="4" t="s">
        <v>17</v>
      </c>
      <c r="E455" s="10">
        <v>5</v>
      </c>
      <c r="F455" s="20">
        <v>4.1159999999999997</v>
      </c>
      <c r="G455" s="20">
        <v>0.245240875</v>
      </c>
      <c r="H455" s="20">
        <v>0</v>
      </c>
      <c r="I455" s="20">
        <v>1.948039125</v>
      </c>
      <c r="J455" s="25">
        <v>4.5687499999999999E-2</v>
      </c>
      <c r="K455" s="25">
        <v>0</v>
      </c>
    </row>
    <row r="456" spans="1:11">
      <c r="A456" s="10">
        <v>12</v>
      </c>
      <c r="B456" s="16">
        <v>41051</v>
      </c>
      <c r="C456" s="10">
        <v>2012</v>
      </c>
      <c r="D456" s="4" t="s">
        <v>17</v>
      </c>
      <c r="E456" s="10">
        <v>5</v>
      </c>
      <c r="F456" s="20">
        <v>3.0649999999999999</v>
      </c>
      <c r="G456" s="20">
        <v>3.5334249999999998E-2</v>
      </c>
      <c r="H456" s="20">
        <v>0</v>
      </c>
      <c r="I456" s="20">
        <v>1.2835183749999999</v>
      </c>
      <c r="J456" s="25">
        <v>2.8921624999999999E-2</v>
      </c>
      <c r="K456" s="25">
        <v>0</v>
      </c>
    </row>
    <row r="457" spans="1:11">
      <c r="A457" s="10">
        <v>13</v>
      </c>
      <c r="B457" s="16">
        <v>41051</v>
      </c>
      <c r="C457" s="10">
        <v>2012</v>
      </c>
      <c r="D457" s="4" t="s">
        <v>17</v>
      </c>
      <c r="E457" s="10">
        <v>5</v>
      </c>
      <c r="F457" s="20">
        <v>3.484</v>
      </c>
      <c r="G457" s="20">
        <v>0</v>
      </c>
      <c r="H457" s="20">
        <v>0</v>
      </c>
      <c r="I457" s="20">
        <v>1.579865375</v>
      </c>
      <c r="J457" s="25">
        <v>4.0535249999999995E-2</v>
      </c>
      <c r="K457" s="25">
        <v>0</v>
      </c>
    </row>
    <row r="458" spans="1:11">
      <c r="A458" s="10">
        <v>11</v>
      </c>
      <c r="B458" s="16">
        <v>41080</v>
      </c>
      <c r="C458" s="10">
        <v>2012</v>
      </c>
      <c r="D458" s="4" t="s">
        <v>18</v>
      </c>
      <c r="E458" s="10">
        <v>6</v>
      </c>
      <c r="F458" s="20">
        <v>6.0650000000000004</v>
      </c>
      <c r="G458" s="20">
        <v>0.17775512499999999</v>
      </c>
      <c r="H458" s="20">
        <v>9.1619499999999993E-2</v>
      </c>
      <c r="I458" s="20">
        <v>2.9487294999999993</v>
      </c>
      <c r="J458" s="25">
        <v>7.1689875E-2</v>
      </c>
      <c r="K458" s="25">
        <v>0</v>
      </c>
    </row>
    <row r="459" spans="1:11">
      <c r="A459" s="10">
        <v>12</v>
      </c>
      <c r="B459" s="16">
        <v>41080</v>
      </c>
      <c r="C459" s="10">
        <v>2012</v>
      </c>
      <c r="D459" s="4" t="s">
        <v>18</v>
      </c>
      <c r="E459" s="10">
        <v>6</v>
      </c>
      <c r="F459" s="20">
        <v>7.391</v>
      </c>
      <c r="G459" s="20">
        <v>0.17740075</v>
      </c>
      <c r="H459" s="20">
        <v>0.14106712499999996</v>
      </c>
      <c r="I459" s="20">
        <v>3.4595098750000002</v>
      </c>
      <c r="J459" s="25">
        <v>8.343062499999998E-2</v>
      </c>
      <c r="K459" s="25">
        <v>0</v>
      </c>
    </row>
    <row r="460" spans="1:11">
      <c r="A460" s="10">
        <v>13</v>
      </c>
      <c r="B460" s="16">
        <v>41080</v>
      </c>
      <c r="C460" s="10">
        <v>2012</v>
      </c>
      <c r="D460" s="4" t="s">
        <v>18</v>
      </c>
      <c r="E460" s="10">
        <v>6</v>
      </c>
      <c r="F460" s="20">
        <v>3.9510000000000001</v>
      </c>
      <c r="G460" s="20">
        <v>4.9295499999999999E-2</v>
      </c>
      <c r="H460" s="20">
        <v>9.9630499999999983E-2</v>
      </c>
      <c r="I460" s="20">
        <v>1.9691268749999999</v>
      </c>
      <c r="J460" s="25">
        <v>7.5459249999999992E-2</v>
      </c>
      <c r="K460" s="25">
        <v>0</v>
      </c>
    </row>
    <row r="461" spans="1:11">
      <c r="A461" s="10">
        <v>11</v>
      </c>
      <c r="B461" s="16">
        <v>41106</v>
      </c>
      <c r="C461" s="10">
        <v>2012</v>
      </c>
      <c r="D461" s="4" t="s">
        <v>19</v>
      </c>
      <c r="E461" s="10">
        <v>7</v>
      </c>
      <c r="F461" s="20">
        <v>11.896000000000001</v>
      </c>
      <c r="G461" s="20">
        <v>0.21758912499999999</v>
      </c>
      <c r="H461" s="20">
        <v>0</v>
      </c>
      <c r="I461" s="20">
        <v>5.6289861250000008</v>
      </c>
      <c r="J461" s="25">
        <v>0.19622737500000001</v>
      </c>
      <c r="K461" s="25">
        <v>0</v>
      </c>
    </row>
    <row r="462" spans="1:11">
      <c r="A462" s="10">
        <v>12</v>
      </c>
      <c r="B462" s="16">
        <v>41106</v>
      </c>
      <c r="C462" s="10">
        <v>2012</v>
      </c>
      <c r="D462" s="4" t="s">
        <v>19</v>
      </c>
      <c r="E462" s="10">
        <v>7</v>
      </c>
      <c r="F462" s="20">
        <v>14.032999999999999</v>
      </c>
      <c r="G462" s="20">
        <v>0.228720375</v>
      </c>
      <c r="H462" s="20">
        <v>0</v>
      </c>
      <c r="I462" s="20">
        <v>6.0719256249999995</v>
      </c>
      <c r="J462" s="25">
        <v>0.24178537499999997</v>
      </c>
      <c r="K462" s="25">
        <v>0</v>
      </c>
    </row>
    <row r="463" spans="1:11">
      <c r="A463" s="10">
        <v>13</v>
      </c>
      <c r="B463" s="16">
        <v>41106</v>
      </c>
      <c r="C463" s="10">
        <v>2012</v>
      </c>
      <c r="D463" s="4" t="s">
        <v>19</v>
      </c>
      <c r="E463" s="10">
        <v>7</v>
      </c>
      <c r="F463" s="20">
        <v>17.782</v>
      </c>
      <c r="G463" s="20">
        <v>0.55870212500000005</v>
      </c>
      <c r="H463" s="20">
        <v>0</v>
      </c>
      <c r="I463" s="20">
        <v>7.5874634999999993</v>
      </c>
      <c r="J463" s="25">
        <v>0.5912488749999999</v>
      </c>
      <c r="K463" s="25">
        <v>0</v>
      </c>
    </row>
    <row r="464" spans="1:11">
      <c r="A464" s="10">
        <v>11</v>
      </c>
      <c r="B464" s="16">
        <v>41137</v>
      </c>
      <c r="C464" s="10">
        <v>2012</v>
      </c>
      <c r="D464" s="4" t="s">
        <v>20</v>
      </c>
      <c r="E464" s="10">
        <v>8</v>
      </c>
      <c r="F464" s="20">
        <v>7.7460000000000004</v>
      </c>
      <c r="G464" s="20">
        <v>0.10947012499999999</v>
      </c>
      <c r="H464" s="20">
        <v>0</v>
      </c>
      <c r="I464" s="20">
        <v>3.8873463749999995</v>
      </c>
      <c r="J464" s="25">
        <v>0.28584049999999994</v>
      </c>
      <c r="K464" s="25">
        <v>0</v>
      </c>
    </row>
    <row r="465" spans="1:18">
      <c r="A465" s="10">
        <v>12</v>
      </c>
      <c r="B465" s="16">
        <v>41137</v>
      </c>
      <c r="C465" s="10">
        <v>2012</v>
      </c>
      <c r="D465" s="4" t="s">
        <v>20</v>
      </c>
      <c r="E465" s="10">
        <v>8</v>
      </c>
      <c r="F465" s="20">
        <v>9.8290000000000006</v>
      </c>
      <c r="G465" s="20">
        <v>7.978399999999998E-2</v>
      </c>
      <c r="H465" s="20">
        <v>0</v>
      </c>
      <c r="I465" s="20">
        <v>4.8998348749999998</v>
      </c>
      <c r="J465" s="25">
        <v>0.28289587500000002</v>
      </c>
      <c r="K465" s="25">
        <v>0</v>
      </c>
    </row>
    <row r="466" spans="1:18">
      <c r="A466" s="10">
        <v>13</v>
      </c>
      <c r="B466" s="16">
        <v>41137</v>
      </c>
      <c r="C466" s="10">
        <v>2012</v>
      </c>
      <c r="D466" s="4" t="s">
        <v>20</v>
      </c>
      <c r="E466" s="10">
        <v>8</v>
      </c>
      <c r="F466" s="20">
        <v>11.077</v>
      </c>
      <c r="G466" s="20">
        <v>0.201011625</v>
      </c>
      <c r="H466" s="20">
        <v>3.976387499999999E-2</v>
      </c>
      <c r="I466" s="20">
        <v>4.7550923749999994</v>
      </c>
      <c r="J466" s="25">
        <v>0.90864149999999988</v>
      </c>
      <c r="K466" s="25">
        <v>1.3249124999999999E-2</v>
      </c>
    </row>
    <row r="467" spans="1:18">
      <c r="A467" s="10">
        <v>11</v>
      </c>
      <c r="B467" s="16">
        <v>41163</v>
      </c>
      <c r="C467" s="10">
        <v>2012</v>
      </c>
      <c r="D467" s="4" t="s">
        <v>26</v>
      </c>
      <c r="E467" s="10">
        <v>9</v>
      </c>
      <c r="F467" s="20">
        <v>17.579999999999998</v>
      </c>
      <c r="G467" s="20">
        <v>6.2420887499999989</v>
      </c>
      <c r="H467" s="20">
        <v>0</v>
      </c>
      <c r="I467" s="20">
        <v>2.6363088750000006</v>
      </c>
      <c r="J467" s="25">
        <v>0.23478850000000001</v>
      </c>
      <c r="K467" s="25">
        <v>0</v>
      </c>
    </row>
    <row r="468" spans="1:18">
      <c r="A468" s="10">
        <v>12</v>
      </c>
      <c r="B468" s="16">
        <v>41163</v>
      </c>
      <c r="C468" s="10">
        <v>2012</v>
      </c>
      <c r="D468" s="4" t="s">
        <v>26</v>
      </c>
      <c r="E468" s="10">
        <v>9</v>
      </c>
      <c r="F468" s="20">
        <v>11.577999999999999</v>
      </c>
      <c r="G468" s="20">
        <v>0.26427774999999998</v>
      </c>
      <c r="H468" s="20">
        <v>0</v>
      </c>
      <c r="I468" s="20">
        <v>5.1235724999999999</v>
      </c>
      <c r="J468" s="25">
        <v>0.15051662499999999</v>
      </c>
      <c r="K468" s="25">
        <v>0</v>
      </c>
    </row>
    <row r="469" spans="1:18">
      <c r="A469" s="10">
        <v>13</v>
      </c>
      <c r="B469" s="16">
        <v>41163</v>
      </c>
      <c r="C469" s="10">
        <v>2012</v>
      </c>
      <c r="D469" s="4" t="s">
        <v>26</v>
      </c>
      <c r="E469" s="10">
        <v>9</v>
      </c>
      <c r="F469" s="20">
        <v>11.763</v>
      </c>
      <c r="G469" s="20">
        <v>0.33641437499999993</v>
      </c>
      <c r="H469" s="20">
        <v>0</v>
      </c>
      <c r="I469" s="20">
        <v>5.2359986249999997</v>
      </c>
      <c r="J469" s="25">
        <v>0.24326074999999997</v>
      </c>
      <c r="K469" s="25">
        <v>0</v>
      </c>
    </row>
    <row r="470" spans="1:18">
      <c r="A470" s="10">
        <v>11</v>
      </c>
      <c r="B470" s="16">
        <v>41199</v>
      </c>
      <c r="C470" s="10">
        <v>2012</v>
      </c>
      <c r="D470" s="4" t="s">
        <v>22</v>
      </c>
      <c r="E470" s="10">
        <v>10</v>
      </c>
      <c r="F470" s="20">
        <v>4.9379999999999997</v>
      </c>
      <c r="G470" s="20">
        <v>0.12928187499999999</v>
      </c>
      <c r="H470" s="20">
        <v>0</v>
      </c>
      <c r="I470" s="20">
        <v>2.2856633749999999</v>
      </c>
      <c r="J470" s="25">
        <v>7.5927499999999981E-2</v>
      </c>
      <c r="K470" s="25">
        <v>0</v>
      </c>
    </row>
    <row r="471" spans="1:18">
      <c r="A471" s="10">
        <v>12</v>
      </c>
      <c r="B471" s="16">
        <v>41199</v>
      </c>
      <c r="C471" s="10">
        <v>2012</v>
      </c>
      <c r="D471" s="4" t="s">
        <v>22</v>
      </c>
      <c r="E471" s="10">
        <v>10</v>
      </c>
      <c r="F471" s="20">
        <v>7.0069999999999997</v>
      </c>
      <c r="G471" s="20">
        <v>0.13850662499999999</v>
      </c>
      <c r="H471" s="20">
        <v>0</v>
      </c>
      <c r="I471" s="20">
        <v>3.1131591249999992</v>
      </c>
      <c r="J471" s="25">
        <v>8.6302749999999998E-2</v>
      </c>
      <c r="K471" s="25">
        <v>0</v>
      </c>
    </row>
    <row r="472" spans="1:18">
      <c r="A472" s="10">
        <v>13</v>
      </c>
      <c r="B472" s="16">
        <v>41199</v>
      </c>
      <c r="C472" s="10">
        <v>2012</v>
      </c>
      <c r="D472" s="4" t="s">
        <v>22</v>
      </c>
      <c r="E472" s="10">
        <v>10</v>
      </c>
      <c r="F472" s="20">
        <v>3.952</v>
      </c>
      <c r="G472" s="20">
        <v>0.15555174999999999</v>
      </c>
      <c r="H472" s="20">
        <v>0</v>
      </c>
      <c r="I472" s="20">
        <v>1.3673358750000002</v>
      </c>
      <c r="J472" s="25">
        <v>7.9515374999999999E-2</v>
      </c>
      <c r="K472" s="25">
        <v>0</v>
      </c>
    </row>
    <row r="473" spans="1:18">
      <c r="A473" s="10">
        <v>11</v>
      </c>
      <c r="B473" s="16">
        <v>41225</v>
      </c>
      <c r="C473" s="10">
        <v>2012</v>
      </c>
      <c r="D473" s="4" t="s">
        <v>23</v>
      </c>
      <c r="E473" s="10">
        <v>11</v>
      </c>
      <c r="F473" s="20">
        <v>3.0910000000000002</v>
      </c>
      <c r="G473" s="20">
        <v>0</v>
      </c>
      <c r="H473" s="20">
        <v>0</v>
      </c>
      <c r="I473" s="20">
        <v>1.0666119999999999</v>
      </c>
      <c r="J473" s="25">
        <v>2.2144E-2</v>
      </c>
      <c r="K473" s="25">
        <v>0</v>
      </c>
    </row>
    <row r="474" spans="1:18">
      <c r="A474" s="10">
        <v>12</v>
      </c>
      <c r="B474" s="16">
        <v>41225</v>
      </c>
      <c r="C474" s="10">
        <v>2012</v>
      </c>
      <c r="D474" s="4" t="s">
        <v>23</v>
      </c>
      <c r="E474" s="10">
        <v>11</v>
      </c>
      <c r="F474" s="20">
        <v>2.972</v>
      </c>
      <c r="G474" s="20">
        <v>0</v>
      </c>
      <c r="H474" s="20">
        <v>0</v>
      </c>
      <c r="I474" s="20">
        <v>1.0841155</v>
      </c>
      <c r="J474" s="25">
        <v>1.803975E-2</v>
      </c>
      <c r="K474" s="25">
        <v>0</v>
      </c>
    </row>
    <row r="475" spans="1:18">
      <c r="A475" s="10">
        <v>13</v>
      </c>
      <c r="B475" s="16">
        <v>41225</v>
      </c>
      <c r="C475" s="10">
        <v>2012</v>
      </c>
      <c r="D475" s="4" t="s">
        <v>23</v>
      </c>
      <c r="E475" s="10">
        <v>11</v>
      </c>
      <c r="F475" s="20">
        <v>3.5569999999999999</v>
      </c>
      <c r="G475" s="20">
        <v>0</v>
      </c>
      <c r="H475" s="20">
        <v>0</v>
      </c>
      <c r="I475" s="20">
        <v>0.98464987500000001</v>
      </c>
      <c r="J475" s="25">
        <v>2.2598875000000001E-2</v>
      </c>
      <c r="K475" s="25">
        <v>0</v>
      </c>
    </row>
    <row r="476" spans="1:18">
      <c r="A476" s="10">
        <v>11</v>
      </c>
      <c r="B476" s="16">
        <v>41255</v>
      </c>
      <c r="C476" s="10">
        <v>2012</v>
      </c>
      <c r="D476" s="4" t="s">
        <v>24</v>
      </c>
      <c r="E476" s="10">
        <v>12</v>
      </c>
      <c r="F476" s="20">
        <v>4.9489999999999998</v>
      </c>
      <c r="G476" s="20">
        <v>0</v>
      </c>
      <c r="H476" s="20">
        <v>0</v>
      </c>
      <c r="I476" s="20">
        <v>2.3572837500000001</v>
      </c>
      <c r="J476" s="25">
        <v>2.8817625000000003E-2</v>
      </c>
      <c r="K476" s="25">
        <v>0</v>
      </c>
    </row>
    <row r="477" spans="1:18">
      <c r="A477" s="10">
        <v>12</v>
      </c>
      <c r="B477" s="16">
        <v>41255</v>
      </c>
      <c r="C477" s="10">
        <v>2012</v>
      </c>
      <c r="D477" s="4" t="s">
        <v>24</v>
      </c>
      <c r="E477" s="10">
        <v>12</v>
      </c>
      <c r="F477" s="20">
        <v>3.1360000000000001</v>
      </c>
      <c r="G477" s="20">
        <v>2.6516999999999999E-2</v>
      </c>
      <c r="H477" s="20">
        <v>9.1177499999999991E-3</v>
      </c>
      <c r="I477" s="20">
        <v>1.3751918750000003</v>
      </c>
      <c r="J477" s="25">
        <v>1.0439250000000001E-2</v>
      </c>
      <c r="K477" s="25">
        <v>0</v>
      </c>
    </row>
    <row r="478" spans="1:18" ht="25.5">
      <c r="A478" s="10">
        <v>13</v>
      </c>
      <c r="B478" s="16">
        <v>41255</v>
      </c>
      <c r="C478" s="10">
        <v>2012</v>
      </c>
      <c r="D478" s="4" t="s">
        <v>24</v>
      </c>
      <c r="E478" s="10">
        <v>12</v>
      </c>
      <c r="F478" s="20">
        <v>3.4969999999999999</v>
      </c>
      <c r="G478" s="20">
        <v>4.8518999999999993E-2</v>
      </c>
      <c r="H478" s="20">
        <v>0</v>
      </c>
      <c r="I478" s="20">
        <v>1.4116056250000002</v>
      </c>
      <c r="J478" s="25">
        <v>0</v>
      </c>
      <c r="K478" s="25">
        <v>0</v>
      </c>
      <c r="L478" s="35" t="s">
        <v>42</v>
      </c>
      <c r="M478" s="33" t="s">
        <v>35</v>
      </c>
      <c r="N478" s="33" t="s">
        <v>36</v>
      </c>
      <c r="O478" s="33" t="s">
        <v>37</v>
      </c>
      <c r="P478" s="33" t="s">
        <v>38</v>
      </c>
      <c r="Q478" s="33" t="s">
        <v>39</v>
      </c>
      <c r="R478" s="33" t="s">
        <v>40</v>
      </c>
    </row>
    <row r="479" spans="1:18">
      <c r="A479" s="47">
        <v>11</v>
      </c>
      <c r="B479" s="54">
        <v>41297</v>
      </c>
      <c r="C479" s="47">
        <v>2013</v>
      </c>
      <c r="D479" s="43" t="s">
        <v>25</v>
      </c>
      <c r="E479" s="41">
        <v>1</v>
      </c>
      <c r="F479" s="60">
        <v>4.6619999999999999</v>
      </c>
      <c r="G479" s="60">
        <v>8.4186874999999994E-2</v>
      </c>
      <c r="H479" s="60">
        <v>0</v>
      </c>
      <c r="I479" s="60">
        <v>2.0398047500000001</v>
      </c>
      <c r="J479" s="58">
        <v>2.4773999999999997E-2</v>
      </c>
      <c r="K479" s="58">
        <v>0</v>
      </c>
      <c r="L479" s="35" t="s">
        <v>58</v>
      </c>
      <c r="M479" s="21">
        <f>AVERAGE(F479:F514)</f>
        <v>6.5475000000000003</v>
      </c>
      <c r="N479" s="21">
        <f>AVERAGE(G479:G514)</f>
        <v>0.16407113541666665</v>
      </c>
      <c r="O479" s="21">
        <f>AVERAGE(H479:H514)</f>
        <v>3.2926385416666669E-2</v>
      </c>
      <c r="P479" s="21">
        <f>AVERAGE(I479:I514)</f>
        <v>3.007071770833333</v>
      </c>
      <c r="Q479" s="21">
        <f t="shared" ref="Q479:R479" si="10">AVERAGE(J479:J514)</f>
        <v>8.5031805555555562E-2</v>
      </c>
      <c r="R479" s="21">
        <f t="shared" si="10"/>
        <v>8.6087152777777778E-4</v>
      </c>
    </row>
    <row r="480" spans="1:18">
      <c r="A480" s="10">
        <v>12</v>
      </c>
      <c r="B480" s="16">
        <v>41297</v>
      </c>
      <c r="C480" s="10">
        <v>2013</v>
      </c>
      <c r="D480" s="4" t="s">
        <v>25</v>
      </c>
      <c r="E480" s="5">
        <v>1</v>
      </c>
      <c r="F480" s="20">
        <v>2.7789999999999999</v>
      </c>
      <c r="G480" s="20">
        <v>9.9780375000000018E-2</v>
      </c>
      <c r="H480" s="20">
        <v>0</v>
      </c>
      <c r="I480" s="20">
        <v>1.0251213749999997</v>
      </c>
      <c r="J480" s="25">
        <v>0</v>
      </c>
      <c r="K480" s="25">
        <v>0</v>
      </c>
    </row>
    <row r="481" spans="1:11">
      <c r="A481" s="10">
        <v>13</v>
      </c>
      <c r="B481" s="16">
        <v>41297</v>
      </c>
      <c r="C481" s="10">
        <v>2013</v>
      </c>
      <c r="D481" s="4" t="s">
        <v>25</v>
      </c>
      <c r="E481" s="5">
        <v>1</v>
      </c>
      <c r="F481" s="20">
        <v>5.9459999999999997</v>
      </c>
      <c r="G481" s="20">
        <v>0.25616124999999995</v>
      </c>
      <c r="H481" s="20">
        <v>0</v>
      </c>
      <c r="I481" s="20">
        <v>2.3527458749999997</v>
      </c>
      <c r="J481" s="25">
        <v>0</v>
      </c>
      <c r="K481" s="25">
        <v>0</v>
      </c>
    </row>
    <row r="482" spans="1:11">
      <c r="A482" s="10">
        <v>11</v>
      </c>
      <c r="B482" s="16">
        <v>41319</v>
      </c>
      <c r="C482" s="10">
        <v>2013</v>
      </c>
      <c r="D482" s="4" t="s">
        <v>14</v>
      </c>
      <c r="E482" s="5">
        <v>2</v>
      </c>
      <c r="F482" s="25">
        <v>7.484</v>
      </c>
      <c r="G482" s="25">
        <v>0.6740044999999999</v>
      </c>
      <c r="H482" s="25">
        <v>0</v>
      </c>
      <c r="I482" s="25">
        <v>3.0978424999999996</v>
      </c>
      <c r="J482" s="25">
        <v>2.0886375000000002E-2</v>
      </c>
      <c r="K482" s="25">
        <v>0</v>
      </c>
    </row>
    <row r="483" spans="1:11">
      <c r="A483" s="10">
        <v>12</v>
      </c>
      <c r="B483" s="16">
        <v>41319</v>
      </c>
      <c r="C483" s="10">
        <v>2013</v>
      </c>
      <c r="D483" s="4" t="s">
        <v>14</v>
      </c>
      <c r="E483" s="5">
        <v>2</v>
      </c>
      <c r="F483" s="25">
        <v>4.5819999999999999</v>
      </c>
      <c r="G483" s="25">
        <v>0.32861562499999997</v>
      </c>
      <c r="H483" s="25">
        <v>0</v>
      </c>
      <c r="I483" s="25">
        <v>1.9233933750000001</v>
      </c>
      <c r="J483" s="25">
        <v>1.8578500000000001E-2</v>
      </c>
      <c r="K483" s="25">
        <v>0</v>
      </c>
    </row>
    <row r="484" spans="1:11">
      <c r="A484" s="10">
        <v>13</v>
      </c>
      <c r="B484" s="16">
        <v>41319</v>
      </c>
      <c r="C484" s="10">
        <v>2013</v>
      </c>
      <c r="D484" s="4" t="s">
        <v>14</v>
      </c>
      <c r="E484" s="5">
        <v>2</v>
      </c>
      <c r="F484" s="25">
        <v>1.8879999999999999</v>
      </c>
      <c r="G484" s="25">
        <v>7.4541499999999997E-2</v>
      </c>
      <c r="H484" s="25">
        <v>0</v>
      </c>
      <c r="I484" s="25">
        <v>0.71894349999999985</v>
      </c>
      <c r="J484" s="25">
        <v>0</v>
      </c>
      <c r="K484" s="25">
        <v>0</v>
      </c>
    </row>
    <row r="485" spans="1:11">
      <c r="A485" s="10">
        <v>11</v>
      </c>
      <c r="B485" s="16">
        <v>41346</v>
      </c>
      <c r="C485" s="10">
        <v>2013</v>
      </c>
      <c r="D485" s="4" t="s">
        <v>15</v>
      </c>
      <c r="E485" s="5">
        <v>3</v>
      </c>
      <c r="F485" s="25">
        <v>13.848000000000001</v>
      </c>
      <c r="G485" s="25">
        <v>0.30542249999999999</v>
      </c>
      <c r="H485" s="25">
        <v>0</v>
      </c>
      <c r="I485" s="25">
        <v>7.2858632500000002</v>
      </c>
      <c r="J485" s="25">
        <v>6.5586999999999993E-2</v>
      </c>
      <c r="K485" s="25">
        <v>0</v>
      </c>
    </row>
    <row r="486" spans="1:11">
      <c r="A486" s="10">
        <v>12</v>
      </c>
      <c r="B486" s="16">
        <v>41346</v>
      </c>
      <c r="C486" s="10">
        <v>2013</v>
      </c>
      <c r="D486" s="4" t="s">
        <v>15</v>
      </c>
      <c r="E486" s="5">
        <v>3</v>
      </c>
      <c r="F486" s="25">
        <v>9.6890000000000001</v>
      </c>
      <c r="G486" s="25">
        <v>0.1077465</v>
      </c>
      <c r="H486" s="25">
        <v>0</v>
      </c>
      <c r="I486" s="25">
        <v>5.6795802499999999</v>
      </c>
      <c r="J486" s="25">
        <v>3.9624749999999993E-2</v>
      </c>
      <c r="K486" s="25">
        <v>0</v>
      </c>
    </row>
    <row r="487" spans="1:11">
      <c r="A487" s="10">
        <v>13</v>
      </c>
      <c r="B487" s="16">
        <v>41346</v>
      </c>
      <c r="C487" s="10">
        <v>2013</v>
      </c>
      <c r="D487" s="4" t="s">
        <v>15</v>
      </c>
      <c r="E487" s="5">
        <v>3</v>
      </c>
      <c r="F487" s="25">
        <v>5.9370000000000003</v>
      </c>
      <c r="G487" s="25">
        <v>6.590625E-2</v>
      </c>
      <c r="H487" s="25">
        <v>0</v>
      </c>
      <c r="I487" s="25">
        <v>3.3197887499999994</v>
      </c>
      <c r="J487" s="25">
        <v>4.4920000000000002E-2</v>
      </c>
      <c r="K487" s="25">
        <v>0</v>
      </c>
    </row>
    <row r="488" spans="1:11">
      <c r="A488" s="10">
        <v>11</v>
      </c>
      <c r="B488" s="16">
        <v>41380</v>
      </c>
      <c r="C488" s="10">
        <v>2013</v>
      </c>
      <c r="D488" s="4" t="s">
        <v>16</v>
      </c>
      <c r="E488" s="5">
        <v>4</v>
      </c>
      <c r="F488" s="26">
        <v>1.5489999999999999</v>
      </c>
      <c r="G488" s="26">
        <v>0</v>
      </c>
      <c r="H488" s="26">
        <v>0</v>
      </c>
      <c r="I488" s="26">
        <v>0.6352351249999999</v>
      </c>
      <c r="J488" s="26">
        <v>1.0700749999999998E-2</v>
      </c>
      <c r="K488" s="26">
        <v>0</v>
      </c>
    </row>
    <row r="489" spans="1:11">
      <c r="A489" s="10">
        <v>12</v>
      </c>
      <c r="B489" s="16">
        <v>41380</v>
      </c>
      <c r="C489" s="10">
        <v>2013</v>
      </c>
      <c r="D489" s="4" t="s">
        <v>16</v>
      </c>
      <c r="E489" s="5">
        <v>4</v>
      </c>
      <c r="F489" s="26">
        <v>2.6190000000000002</v>
      </c>
      <c r="G489" s="26">
        <v>0</v>
      </c>
      <c r="H489" s="26">
        <v>0</v>
      </c>
      <c r="I489" s="26">
        <v>1.34654775</v>
      </c>
      <c r="J489" s="26">
        <v>1.6683124999999997E-2</v>
      </c>
      <c r="K489" s="26">
        <v>0</v>
      </c>
    </row>
    <row r="490" spans="1:11">
      <c r="A490" s="10">
        <v>13</v>
      </c>
      <c r="B490" s="16">
        <v>41380</v>
      </c>
      <c r="C490" s="10">
        <v>2013</v>
      </c>
      <c r="D490" s="4" t="s">
        <v>16</v>
      </c>
      <c r="E490" s="5">
        <v>4</v>
      </c>
      <c r="F490" s="26">
        <v>2.4119999999999999</v>
      </c>
      <c r="G490" s="26">
        <v>0</v>
      </c>
      <c r="H490" s="26">
        <v>0</v>
      </c>
      <c r="I490" s="26">
        <v>1.3297477499999999</v>
      </c>
      <c r="J490" s="26">
        <v>3.545874999999999E-2</v>
      </c>
      <c r="K490" s="26">
        <v>0</v>
      </c>
    </row>
    <row r="491" spans="1:11">
      <c r="A491" s="10">
        <v>11</v>
      </c>
      <c r="B491" s="16">
        <v>41407</v>
      </c>
      <c r="C491" s="10">
        <v>2013</v>
      </c>
      <c r="D491" s="4" t="s">
        <v>17</v>
      </c>
      <c r="E491" s="5">
        <v>5</v>
      </c>
      <c r="F491" s="26">
        <v>2.3940000000000001</v>
      </c>
      <c r="G491" s="26">
        <v>3.300575E-2</v>
      </c>
      <c r="H491" s="26">
        <v>0</v>
      </c>
      <c r="I491" s="26">
        <v>1.0136084999999997</v>
      </c>
      <c r="J491" s="26">
        <v>2.2493249999999999E-2</v>
      </c>
      <c r="K491" s="26">
        <v>0</v>
      </c>
    </row>
    <row r="492" spans="1:11">
      <c r="A492" s="10">
        <v>12</v>
      </c>
      <c r="B492" s="16">
        <v>41407</v>
      </c>
      <c r="C492" s="10">
        <v>2013</v>
      </c>
      <c r="D492" s="4" t="s">
        <v>17</v>
      </c>
      <c r="E492" s="5">
        <v>5</v>
      </c>
      <c r="F492" s="26">
        <v>2.3199999999999998</v>
      </c>
      <c r="G492" s="26">
        <v>3.9878375000000001E-2</v>
      </c>
      <c r="H492" s="26">
        <v>0</v>
      </c>
      <c r="I492" s="26">
        <v>0.73509674999999974</v>
      </c>
      <c r="J492" s="26">
        <v>1.4611874999999998E-2</v>
      </c>
      <c r="K492" s="26">
        <v>0</v>
      </c>
    </row>
    <row r="493" spans="1:11">
      <c r="A493" s="10">
        <v>13</v>
      </c>
      <c r="B493" s="16">
        <v>41407</v>
      </c>
      <c r="C493" s="10">
        <v>2013</v>
      </c>
      <c r="D493" s="4" t="s">
        <v>17</v>
      </c>
      <c r="E493" s="5">
        <v>5</v>
      </c>
      <c r="F493" s="26">
        <v>5.3440000000000003</v>
      </c>
      <c r="G493" s="26">
        <v>4.5995374999999998E-2</v>
      </c>
      <c r="H493" s="26">
        <v>0</v>
      </c>
      <c r="I493" s="26">
        <v>1.8850132499999999</v>
      </c>
      <c r="J493" s="26">
        <v>2.3553624999999998E-2</v>
      </c>
      <c r="K493" s="26">
        <v>0</v>
      </c>
    </row>
    <row r="494" spans="1:11">
      <c r="A494" s="10">
        <v>11</v>
      </c>
      <c r="B494" s="16">
        <v>41437</v>
      </c>
      <c r="C494" s="10">
        <v>2013</v>
      </c>
      <c r="D494" s="4" t="s">
        <v>18</v>
      </c>
      <c r="E494" s="5">
        <v>6</v>
      </c>
      <c r="F494" s="26">
        <v>5.2050000000000001</v>
      </c>
      <c r="G494" s="26">
        <v>8.9013375000000006E-2</v>
      </c>
      <c r="H494" s="26">
        <v>0</v>
      </c>
      <c r="I494" s="26">
        <v>2.2578070000000001</v>
      </c>
      <c r="J494" s="26">
        <v>5.219675E-2</v>
      </c>
      <c r="K494" s="26">
        <v>0</v>
      </c>
    </row>
    <row r="495" spans="1:11">
      <c r="A495" s="10">
        <v>12</v>
      </c>
      <c r="B495" s="16">
        <v>41437</v>
      </c>
      <c r="C495" s="10">
        <v>2013</v>
      </c>
      <c r="D495" s="4" t="s">
        <v>18</v>
      </c>
      <c r="E495" s="5">
        <v>6</v>
      </c>
      <c r="F495" s="26">
        <v>8.9550000000000001</v>
      </c>
      <c r="G495" s="26">
        <v>0.10504349999999998</v>
      </c>
      <c r="H495" s="26">
        <v>0</v>
      </c>
      <c r="I495" s="26">
        <v>3.8635747499999993</v>
      </c>
      <c r="J495" s="26">
        <v>7.2931124999999999E-2</v>
      </c>
      <c r="K495" s="26">
        <v>0</v>
      </c>
    </row>
    <row r="496" spans="1:11">
      <c r="A496" s="10">
        <v>13</v>
      </c>
      <c r="B496" s="16">
        <v>41437</v>
      </c>
      <c r="C496" s="10">
        <v>2013</v>
      </c>
      <c r="D496" s="4" t="s">
        <v>18</v>
      </c>
      <c r="E496" s="5">
        <v>6</v>
      </c>
      <c r="F496" s="26">
        <v>9.2710000000000008</v>
      </c>
      <c r="G496" s="26">
        <v>0.128155875</v>
      </c>
      <c r="H496" s="26">
        <v>0</v>
      </c>
      <c r="I496" s="26">
        <v>4.2085555000000001</v>
      </c>
      <c r="J496" s="26">
        <v>8.0669999999999992E-2</v>
      </c>
      <c r="K496" s="26">
        <v>0</v>
      </c>
    </row>
    <row r="497" spans="1:11">
      <c r="A497" s="10">
        <v>11</v>
      </c>
      <c r="B497" s="16">
        <v>41470</v>
      </c>
      <c r="C497" s="10">
        <v>2013</v>
      </c>
      <c r="D497" s="4" t="s">
        <v>19</v>
      </c>
      <c r="E497" s="5">
        <v>7</v>
      </c>
      <c r="F497" s="26">
        <v>8.0090000000000003</v>
      </c>
      <c r="G497" s="26">
        <v>0.26799774999999998</v>
      </c>
      <c r="H497" s="26">
        <v>0</v>
      </c>
      <c r="I497" s="26">
        <v>3.1410287500000003</v>
      </c>
      <c r="J497" s="26">
        <v>8.5765249999999987E-2</v>
      </c>
      <c r="K497" s="26">
        <v>0</v>
      </c>
    </row>
    <row r="498" spans="1:11">
      <c r="A498" s="10">
        <v>12</v>
      </c>
      <c r="B498" s="16">
        <v>41470</v>
      </c>
      <c r="C498" s="10">
        <v>2013</v>
      </c>
      <c r="D498" s="4" t="s">
        <v>19</v>
      </c>
      <c r="E498" s="5">
        <v>7</v>
      </c>
      <c r="F498" s="26">
        <v>14.608000000000001</v>
      </c>
      <c r="G498" s="26">
        <v>0.30088987499999997</v>
      </c>
      <c r="H498" s="26">
        <v>0</v>
      </c>
      <c r="I498" s="26">
        <v>6.78425425</v>
      </c>
      <c r="J498" s="26">
        <v>0.10199137499999998</v>
      </c>
      <c r="K498" s="26">
        <v>0</v>
      </c>
    </row>
    <row r="499" spans="1:11">
      <c r="A499" s="10">
        <v>13</v>
      </c>
      <c r="B499" s="16">
        <v>41470</v>
      </c>
      <c r="C499" s="10">
        <v>2013</v>
      </c>
      <c r="D499" s="4" t="s">
        <v>19</v>
      </c>
      <c r="E499" s="5">
        <v>7</v>
      </c>
      <c r="F499" s="26">
        <v>14.583</v>
      </c>
      <c r="G499" s="26">
        <v>0.38650437499999996</v>
      </c>
      <c r="H499" s="26">
        <v>0</v>
      </c>
      <c r="I499" s="26">
        <v>7.0651188749999978</v>
      </c>
      <c r="J499" s="26">
        <v>0.116158125</v>
      </c>
      <c r="K499" s="26">
        <v>0</v>
      </c>
    </row>
    <row r="500" spans="1:11">
      <c r="A500" s="10">
        <v>11</v>
      </c>
      <c r="B500" s="16">
        <v>41498</v>
      </c>
      <c r="C500" s="10">
        <v>2013</v>
      </c>
      <c r="D500" s="4" t="s">
        <v>20</v>
      </c>
      <c r="E500" s="5">
        <v>8</v>
      </c>
      <c r="F500" s="26">
        <v>7.4829999999999997</v>
      </c>
      <c r="G500" s="26">
        <v>0.28127637500000002</v>
      </c>
      <c r="H500" s="26">
        <v>0</v>
      </c>
      <c r="I500" s="26">
        <v>3.2057807500000002</v>
      </c>
      <c r="J500" s="26">
        <v>0.16374674999999997</v>
      </c>
      <c r="K500" s="26">
        <v>0</v>
      </c>
    </row>
    <row r="501" spans="1:11">
      <c r="A501" s="10">
        <v>12</v>
      </c>
      <c r="B501" s="16">
        <v>41498</v>
      </c>
      <c r="C501" s="10">
        <v>2013</v>
      </c>
      <c r="D501" s="4" t="s">
        <v>20</v>
      </c>
      <c r="E501" s="5">
        <v>8</v>
      </c>
      <c r="F501" s="26">
        <v>11.888</v>
      </c>
      <c r="G501" s="26">
        <v>0.32197499999999996</v>
      </c>
      <c r="H501" s="26">
        <v>0</v>
      </c>
      <c r="I501" s="26">
        <v>5.0694468749999997</v>
      </c>
      <c r="J501" s="26">
        <v>0.27216425</v>
      </c>
      <c r="K501" s="26">
        <v>0</v>
      </c>
    </row>
    <row r="502" spans="1:11">
      <c r="A502" s="10">
        <v>13</v>
      </c>
      <c r="B502" s="16">
        <v>41498</v>
      </c>
      <c r="C502" s="10">
        <v>2013</v>
      </c>
      <c r="D502" s="4" t="s">
        <v>20</v>
      </c>
      <c r="E502" s="5">
        <v>8</v>
      </c>
      <c r="F502" s="26">
        <v>14.917999999999999</v>
      </c>
      <c r="G502" s="26">
        <v>0.90310837500000007</v>
      </c>
      <c r="H502" s="26">
        <v>0</v>
      </c>
      <c r="I502" s="26">
        <v>4.9213251250000001</v>
      </c>
      <c r="J502" s="26">
        <v>0.67615862500000012</v>
      </c>
      <c r="K502" s="26">
        <v>0</v>
      </c>
    </row>
    <row r="503" spans="1:11">
      <c r="A503" s="10">
        <v>11</v>
      </c>
      <c r="B503" s="16">
        <v>41535</v>
      </c>
      <c r="C503" s="10">
        <v>2013</v>
      </c>
      <c r="D503" s="4" t="s">
        <v>26</v>
      </c>
      <c r="E503" s="5">
        <v>9</v>
      </c>
      <c r="F503" s="26">
        <v>8.3040000000000003</v>
      </c>
      <c r="G503" s="26">
        <v>0.20773874999999997</v>
      </c>
      <c r="H503" s="26">
        <v>0.17777499999999996</v>
      </c>
      <c r="I503" s="26">
        <v>4.7984283750000003</v>
      </c>
      <c r="J503" s="26">
        <v>0.136539875</v>
      </c>
      <c r="K503" s="26">
        <v>0</v>
      </c>
    </row>
    <row r="504" spans="1:11">
      <c r="A504" s="10">
        <v>12</v>
      </c>
      <c r="B504" s="16">
        <v>41535</v>
      </c>
      <c r="C504" s="10">
        <v>2013</v>
      </c>
      <c r="D504" s="4" t="s">
        <v>26</v>
      </c>
      <c r="E504" s="5">
        <v>9</v>
      </c>
      <c r="F504" s="26">
        <v>8.327</v>
      </c>
      <c r="G504" s="26">
        <v>6.4568000000000014E-2</v>
      </c>
      <c r="H504" s="26">
        <v>0.30158425</v>
      </c>
      <c r="I504" s="26">
        <v>4.704803375</v>
      </c>
      <c r="J504" s="26">
        <v>0.25178099999999998</v>
      </c>
      <c r="K504" s="26">
        <v>0</v>
      </c>
    </row>
    <row r="505" spans="1:11">
      <c r="A505" s="10">
        <v>13</v>
      </c>
      <c r="B505" s="16">
        <v>41535</v>
      </c>
      <c r="C505" s="10">
        <v>2013</v>
      </c>
      <c r="D505" s="4" t="s">
        <v>26</v>
      </c>
      <c r="E505" s="5">
        <v>9</v>
      </c>
      <c r="F505" s="26">
        <v>10.843999999999999</v>
      </c>
      <c r="G505" s="26">
        <v>6.9035374999999996E-2</v>
      </c>
      <c r="H505" s="26">
        <v>0.63232975000000002</v>
      </c>
      <c r="I505" s="26">
        <v>6.1010731249999992</v>
      </c>
      <c r="J505" s="26">
        <v>0.45869712499999993</v>
      </c>
      <c r="K505" s="26">
        <v>0</v>
      </c>
    </row>
    <row r="506" spans="1:11">
      <c r="A506" s="10">
        <v>11</v>
      </c>
      <c r="B506" s="16">
        <v>406810</v>
      </c>
      <c r="C506" s="10">
        <v>2013</v>
      </c>
      <c r="D506" s="4" t="s">
        <v>22</v>
      </c>
      <c r="E506" s="5">
        <v>10</v>
      </c>
      <c r="F506" s="20">
        <v>4.2169999999999996</v>
      </c>
      <c r="G506" s="20">
        <v>8.8088374999999997E-2</v>
      </c>
      <c r="H506" s="20">
        <v>0</v>
      </c>
      <c r="I506" s="61">
        <v>1.5455151249999999</v>
      </c>
      <c r="J506" s="25">
        <v>3.3778749999999996E-2</v>
      </c>
      <c r="K506" s="25">
        <v>0</v>
      </c>
    </row>
    <row r="507" spans="1:11">
      <c r="A507" s="10">
        <v>12</v>
      </c>
      <c r="B507" s="16">
        <v>406810</v>
      </c>
      <c r="C507" s="10">
        <v>2013</v>
      </c>
      <c r="D507" s="4" t="s">
        <v>22</v>
      </c>
      <c r="E507" s="5">
        <v>10</v>
      </c>
      <c r="F507" s="20">
        <v>3.31</v>
      </c>
      <c r="G507" s="20">
        <v>7.1377874999999993E-2</v>
      </c>
      <c r="H507" s="20">
        <v>0</v>
      </c>
      <c r="I507" s="61">
        <v>1.049712</v>
      </c>
      <c r="J507" s="25">
        <v>3.5026250000000002E-2</v>
      </c>
      <c r="K507" s="25">
        <v>0</v>
      </c>
    </row>
    <row r="508" spans="1:11">
      <c r="A508" s="10">
        <v>13</v>
      </c>
      <c r="B508" s="16">
        <v>406810</v>
      </c>
      <c r="C508" s="10">
        <v>2013</v>
      </c>
      <c r="D508" s="4" t="s">
        <v>22</v>
      </c>
      <c r="E508" s="5">
        <v>10</v>
      </c>
      <c r="F508" s="20">
        <v>2.3879999999999999</v>
      </c>
      <c r="G508" s="20">
        <v>0</v>
      </c>
      <c r="H508" s="20">
        <v>0</v>
      </c>
      <c r="I508" s="61">
        <v>0.87238512499999987</v>
      </c>
      <c r="J508" s="25">
        <v>3.3435125000000003E-2</v>
      </c>
      <c r="K508" s="25">
        <v>0</v>
      </c>
    </row>
    <row r="509" spans="1:11">
      <c r="A509" s="10">
        <v>11</v>
      </c>
      <c r="B509" s="16">
        <v>41599</v>
      </c>
      <c r="C509" s="10">
        <v>2013</v>
      </c>
      <c r="D509" s="4" t="s">
        <v>23</v>
      </c>
      <c r="E509" s="5">
        <v>11</v>
      </c>
      <c r="F509" s="20">
        <v>7.8630000000000004</v>
      </c>
      <c r="G509" s="20">
        <v>0.18172362499999997</v>
      </c>
      <c r="H509" s="20">
        <v>7.3660875000000001E-2</v>
      </c>
      <c r="I509" s="61">
        <v>3.8870957499999994</v>
      </c>
      <c r="J509" s="25">
        <v>4.8633875E-2</v>
      </c>
      <c r="K509" s="25">
        <v>3.0991375000000002E-2</v>
      </c>
    </row>
    <row r="510" spans="1:11">
      <c r="A510" s="10">
        <v>12</v>
      </c>
      <c r="B510" s="16">
        <v>41599</v>
      </c>
      <c r="C510" s="10">
        <v>2013</v>
      </c>
      <c r="D510" s="4" t="s">
        <v>23</v>
      </c>
      <c r="E510" s="5">
        <v>11</v>
      </c>
      <c r="F510" s="20">
        <v>2.5579999999999998</v>
      </c>
      <c r="G510" s="20">
        <v>4.4638500000000005E-2</v>
      </c>
      <c r="H510" s="20">
        <v>0</v>
      </c>
      <c r="I510" s="61">
        <v>1.1724973750000001</v>
      </c>
      <c r="J510" s="25">
        <v>1.4688375E-2</v>
      </c>
      <c r="K510" s="25">
        <v>0</v>
      </c>
    </row>
    <row r="511" spans="1:11">
      <c r="A511" s="10">
        <v>13</v>
      </c>
      <c r="B511" s="16">
        <v>41599</v>
      </c>
      <c r="C511" s="10">
        <v>2013</v>
      </c>
      <c r="D511" s="4" t="s">
        <v>23</v>
      </c>
      <c r="E511" s="5">
        <v>11</v>
      </c>
      <c r="F511" s="20">
        <v>3.8180000000000001</v>
      </c>
      <c r="G511" s="20">
        <v>7.666187499999999E-2</v>
      </c>
      <c r="H511" s="20">
        <v>0</v>
      </c>
      <c r="I511" s="61">
        <v>1.7299306250000002</v>
      </c>
      <c r="J511" s="25">
        <v>2.4298750000000001E-2</v>
      </c>
      <c r="K511" s="25">
        <v>0</v>
      </c>
    </row>
    <row r="512" spans="1:11">
      <c r="A512" s="10">
        <v>11</v>
      </c>
      <c r="B512" s="16">
        <v>41627</v>
      </c>
      <c r="C512" s="10">
        <v>2013</v>
      </c>
      <c r="D512" s="4" t="s">
        <v>24</v>
      </c>
      <c r="E512" s="5">
        <v>12</v>
      </c>
      <c r="F512" s="20">
        <v>6.5869999999999997</v>
      </c>
      <c r="G512" s="20">
        <v>8.2325874999999993E-2</v>
      </c>
      <c r="H512" s="20">
        <v>0</v>
      </c>
      <c r="I512" s="61">
        <v>3.2153261249999998</v>
      </c>
      <c r="J512" s="25">
        <v>2.8375124999999998E-2</v>
      </c>
      <c r="K512" s="25">
        <v>0</v>
      </c>
    </row>
    <row r="513" spans="1:18">
      <c r="A513" s="10">
        <v>12</v>
      </c>
      <c r="B513" s="16">
        <v>41627</v>
      </c>
      <c r="C513" s="10">
        <v>2013</v>
      </c>
      <c r="D513" s="4" t="s">
        <v>24</v>
      </c>
      <c r="E513" s="5">
        <v>12</v>
      </c>
      <c r="F513" s="20">
        <v>4.4809999999999999</v>
      </c>
      <c r="G513" s="20">
        <v>5.9084125000000001E-2</v>
      </c>
      <c r="H513" s="20">
        <v>0</v>
      </c>
      <c r="I513" s="61">
        <v>2.131277125</v>
      </c>
      <c r="J513" s="25">
        <v>1.9444374999999996E-2</v>
      </c>
      <c r="K513" s="25">
        <v>0</v>
      </c>
    </row>
    <row r="514" spans="1:18" ht="25.5">
      <c r="A514" s="10">
        <v>13</v>
      </c>
      <c r="B514" s="16">
        <v>41627</v>
      </c>
      <c r="C514" s="10">
        <v>2013</v>
      </c>
      <c r="D514" s="4" t="s">
        <v>24</v>
      </c>
      <c r="E514" s="5">
        <v>12</v>
      </c>
      <c r="F514" s="20">
        <v>4.6399999999999997</v>
      </c>
      <c r="G514" s="20">
        <v>6.2109125000000001E-2</v>
      </c>
      <c r="H514" s="20">
        <v>0</v>
      </c>
      <c r="I514" s="61">
        <v>2.1413150000000005</v>
      </c>
      <c r="J514" s="25">
        <v>1.6792125000000001E-2</v>
      </c>
      <c r="K514" s="25">
        <v>0</v>
      </c>
      <c r="L514" s="35" t="s">
        <v>42</v>
      </c>
      <c r="M514" s="33" t="s">
        <v>35</v>
      </c>
      <c r="N514" s="33" t="s">
        <v>36</v>
      </c>
      <c r="O514" s="33" t="s">
        <v>37</v>
      </c>
      <c r="P514" s="33" t="s">
        <v>38</v>
      </c>
      <c r="Q514" s="33" t="s">
        <v>39</v>
      </c>
      <c r="R514" s="33" t="s">
        <v>40</v>
      </c>
    </row>
    <row r="515" spans="1:18">
      <c r="A515" s="47">
        <v>11</v>
      </c>
      <c r="B515" s="54">
        <v>41655</v>
      </c>
      <c r="C515" s="47">
        <v>2014</v>
      </c>
      <c r="D515" s="43" t="s">
        <v>25</v>
      </c>
      <c r="E515" s="41">
        <v>1</v>
      </c>
      <c r="F515" s="60">
        <v>8.5459999999999994</v>
      </c>
      <c r="G515" s="60">
        <v>9.3754875000000001E-2</v>
      </c>
      <c r="H515" s="60">
        <v>0</v>
      </c>
      <c r="I515" s="62">
        <v>4.4235742499999997</v>
      </c>
      <c r="J515" s="58">
        <v>3.2430124999999997E-2</v>
      </c>
      <c r="K515" s="58">
        <v>0</v>
      </c>
      <c r="L515" s="35" t="s">
        <v>59</v>
      </c>
      <c r="M515" s="21">
        <f>AVERAGE(F515:F550)</f>
        <v>5.8640303030303036</v>
      </c>
      <c r="N515" s="21">
        <f>AVERAGE(G515:G550)</f>
        <v>0.12839735227272725</v>
      </c>
      <c r="O515" s="21">
        <f>AVERAGE(H515:H550)</f>
        <v>3.6908977272727263E-3</v>
      </c>
      <c r="P515" s="21">
        <f>AVERAGE(I515:I550)</f>
        <v>2.6430281022727273</v>
      </c>
      <c r="Q515" s="21">
        <f t="shared" ref="Q515:R515" si="11">AVERAGE(J515:J550)</f>
        <v>6.5132068181818187E-2</v>
      </c>
      <c r="R515" s="21">
        <f t="shared" si="11"/>
        <v>0</v>
      </c>
    </row>
    <row r="516" spans="1:18">
      <c r="A516" s="10">
        <v>12</v>
      </c>
      <c r="B516" s="16">
        <v>41655</v>
      </c>
      <c r="C516" s="10">
        <v>2014</v>
      </c>
      <c r="D516" s="4" t="s">
        <v>25</v>
      </c>
      <c r="E516" s="5">
        <v>1</v>
      </c>
      <c r="F516" s="20">
        <v>5.734</v>
      </c>
      <c r="G516" s="20">
        <v>8.9193750000000002E-2</v>
      </c>
      <c r="H516" s="20">
        <v>0</v>
      </c>
      <c r="I516" s="61">
        <v>2.7374125</v>
      </c>
      <c r="J516" s="25">
        <v>1.7586124999999998E-2</v>
      </c>
      <c r="K516" s="25">
        <v>0</v>
      </c>
    </row>
    <row r="517" spans="1:18">
      <c r="A517" s="10">
        <v>13</v>
      </c>
      <c r="B517" s="16">
        <v>41655</v>
      </c>
      <c r="C517" s="10">
        <v>2014</v>
      </c>
      <c r="D517" s="4" t="s">
        <v>25</v>
      </c>
      <c r="E517" s="5">
        <v>1</v>
      </c>
      <c r="F517" s="20">
        <v>5.601</v>
      </c>
      <c r="G517" s="20">
        <v>8.9579624999999996E-2</v>
      </c>
      <c r="H517" s="20">
        <v>0</v>
      </c>
      <c r="I517" s="61">
        <v>2.6772556249999995</v>
      </c>
      <c r="J517" s="25">
        <v>1.6049750000000002E-2</v>
      </c>
      <c r="K517" s="25">
        <v>0</v>
      </c>
    </row>
    <row r="518" spans="1:18">
      <c r="A518" s="10">
        <v>11</v>
      </c>
      <c r="B518" s="16">
        <v>41690</v>
      </c>
      <c r="C518" s="10">
        <v>2014</v>
      </c>
      <c r="D518" s="4" t="s">
        <v>14</v>
      </c>
      <c r="E518" s="5">
        <v>2</v>
      </c>
      <c r="F518" s="20">
        <v>10.32</v>
      </c>
      <c r="G518" s="20">
        <v>0.39623962499999998</v>
      </c>
      <c r="H518" s="20">
        <v>0</v>
      </c>
      <c r="I518" s="61">
        <v>4.833359999999999</v>
      </c>
      <c r="J518" s="25">
        <v>2.6980750000000005E-2</v>
      </c>
      <c r="K518" s="25">
        <v>0</v>
      </c>
    </row>
    <row r="519" spans="1:18">
      <c r="A519" s="10">
        <v>12</v>
      </c>
      <c r="B519" s="16">
        <v>41690</v>
      </c>
      <c r="C519" s="10">
        <v>2014</v>
      </c>
      <c r="D519" s="4" t="s">
        <v>14</v>
      </c>
      <c r="E519" s="5">
        <v>2</v>
      </c>
      <c r="F519" s="20">
        <v>11.166</v>
      </c>
      <c r="G519" s="20">
        <v>0.62290074999999989</v>
      </c>
      <c r="H519" s="20">
        <v>0</v>
      </c>
      <c r="I519" s="61">
        <v>5.0635822499999996</v>
      </c>
      <c r="J519" s="25">
        <v>2.6610249999999995E-2</v>
      </c>
      <c r="K519" s="25">
        <v>0</v>
      </c>
    </row>
    <row r="520" spans="1:18">
      <c r="A520" s="10">
        <v>13</v>
      </c>
      <c r="B520" s="16">
        <v>41690</v>
      </c>
      <c r="C520" s="10">
        <v>2014</v>
      </c>
      <c r="D520" s="4" t="s">
        <v>14</v>
      </c>
      <c r="E520" s="5">
        <v>2</v>
      </c>
      <c r="F520" s="20">
        <v>8.5</v>
      </c>
      <c r="G520" s="20">
        <v>0.18424799999999997</v>
      </c>
      <c r="H520" s="20">
        <v>0</v>
      </c>
      <c r="I520" s="61">
        <v>4.0199695000000002</v>
      </c>
      <c r="J520" s="25">
        <v>2.3735124999999999E-2</v>
      </c>
      <c r="K520" s="25">
        <v>0</v>
      </c>
    </row>
    <row r="521" spans="1:18">
      <c r="A521" s="10">
        <v>11</v>
      </c>
      <c r="B521" s="16">
        <v>41718</v>
      </c>
      <c r="C521" s="10">
        <v>2014</v>
      </c>
      <c r="D521" s="4" t="s">
        <v>15</v>
      </c>
      <c r="E521" s="5">
        <v>3</v>
      </c>
      <c r="F521" s="20">
        <v>6.4219999999999997</v>
      </c>
      <c r="G521" s="20">
        <v>7.2317624999999996E-2</v>
      </c>
      <c r="H521" s="20">
        <v>0</v>
      </c>
      <c r="I521" s="61">
        <v>3.1939376249999998</v>
      </c>
      <c r="J521" s="25">
        <v>4.5117625000000001E-2</v>
      </c>
      <c r="K521" s="25">
        <v>0</v>
      </c>
    </row>
    <row r="522" spans="1:18">
      <c r="A522" s="10">
        <v>12</v>
      </c>
      <c r="B522" s="16">
        <v>41718</v>
      </c>
      <c r="C522" s="10">
        <v>2014</v>
      </c>
      <c r="D522" s="4" t="s">
        <v>15</v>
      </c>
      <c r="E522" s="5">
        <v>3</v>
      </c>
      <c r="F522" s="20">
        <v>3.379</v>
      </c>
      <c r="G522" s="20">
        <v>5.9186374999999999E-2</v>
      </c>
      <c r="H522" s="20">
        <v>0</v>
      </c>
      <c r="I522" s="61">
        <v>1.6805686249999998</v>
      </c>
      <c r="J522" s="25">
        <v>5.9036000000000005E-2</v>
      </c>
      <c r="K522" s="25">
        <v>0</v>
      </c>
    </row>
    <row r="523" spans="1:18">
      <c r="A523" s="10">
        <v>13</v>
      </c>
      <c r="B523" s="16">
        <v>41718</v>
      </c>
      <c r="C523" s="10">
        <v>2014</v>
      </c>
      <c r="D523" s="4" t="s">
        <v>15</v>
      </c>
      <c r="E523" s="5">
        <v>3</v>
      </c>
      <c r="F523" s="20">
        <v>2.87</v>
      </c>
      <c r="G523" s="20">
        <v>0</v>
      </c>
      <c r="H523" s="20">
        <v>0</v>
      </c>
      <c r="I523" s="61">
        <v>1.5003813749999997</v>
      </c>
      <c r="J523" s="25">
        <v>6.1497749999999983E-2</v>
      </c>
      <c r="K523" s="25">
        <v>0</v>
      </c>
    </row>
    <row r="524" spans="1:18">
      <c r="A524" s="10">
        <v>11</v>
      </c>
      <c r="B524" s="16">
        <v>41750</v>
      </c>
      <c r="C524" s="10">
        <v>2014</v>
      </c>
      <c r="D524" s="4" t="s">
        <v>16</v>
      </c>
      <c r="E524" s="5">
        <v>4</v>
      </c>
      <c r="F524" s="27">
        <v>3.4980000000000002</v>
      </c>
      <c r="G524" s="27">
        <v>2.7999875E-2</v>
      </c>
      <c r="H524" s="27">
        <v>0</v>
      </c>
      <c r="I524" s="64">
        <v>1.7591699999999997</v>
      </c>
      <c r="J524" s="66">
        <v>3.5640375000000002E-2</v>
      </c>
      <c r="K524" s="66">
        <v>0</v>
      </c>
    </row>
    <row r="525" spans="1:18">
      <c r="A525" s="10">
        <v>12</v>
      </c>
      <c r="B525" s="16">
        <v>41750</v>
      </c>
      <c r="C525" s="10">
        <v>2014</v>
      </c>
      <c r="D525" s="4" t="s">
        <v>16</v>
      </c>
      <c r="E525" s="5">
        <v>4</v>
      </c>
      <c r="F525" s="27">
        <v>3.8290000000000002</v>
      </c>
      <c r="G525" s="27">
        <v>3.2552999999999999E-2</v>
      </c>
      <c r="H525" s="27">
        <v>0</v>
      </c>
      <c r="I525" s="64">
        <v>1.9747496250000001</v>
      </c>
      <c r="J525" s="66">
        <v>3.619012499999999E-2</v>
      </c>
      <c r="K525" s="66">
        <v>0</v>
      </c>
    </row>
    <row r="526" spans="1:18">
      <c r="A526" s="10">
        <v>13</v>
      </c>
      <c r="B526" s="16">
        <v>41750</v>
      </c>
      <c r="C526" s="10">
        <v>2014</v>
      </c>
      <c r="D526" s="4" t="s">
        <v>16</v>
      </c>
      <c r="E526" s="5">
        <v>4</v>
      </c>
      <c r="F526" s="27">
        <v>2.5150000000000001</v>
      </c>
      <c r="G526" s="27">
        <v>0</v>
      </c>
      <c r="H526" s="27">
        <v>0</v>
      </c>
      <c r="I526" s="64">
        <v>1.2305446250000001</v>
      </c>
      <c r="J526" s="66">
        <v>2.3395375E-2</v>
      </c>
      <c r="K526" s="66">
        <v>0</v>
      </c>
    </row>
    <row r="527" spans="1:18">
      <c r="A527" s="10">
        <v>11</v>
      </c>
      <c r="B527" s="16">
        <v>41406</v>
      </c>
      <c r="C527" s="10">
        <v>2014</v>
      </c>
      <c r="D527" s="4" t="s">
        <v>17</v>
      </c>
      <c r="E527" s="5">
        <v>5</v>
      </c>
      <c r="F527" s="27">
        <v>3.577</v>
      </c>
      <c r="G527" s="27">
        <v>8.7122124999999995E-2</v>
      </c>
      <c r="H527" s="27">
        <v>0</v>
      </c>
      <c r="I527" s="64">
        <v>1.1995</v>
      </c>
      <c r="J527" s="66">
        <v>2.1689750000000001E-2</v>
      </c>
      <c r="K527" s="66">
        <v>0</v>
      </c>
    </row>
    <row r="528" spans="1:18">
      <c r="A528" s="10">
        <v>12</v>
      </c>
      <c r="B528" s="16">
        <v>41406</v>
      </c>
      <c r="C528" s="10">
        <v>2014</v>
      </c>
      <c r="D528" s="4" t="s">
        <v>17</v>
      </c>
      <c r="E528" s="5">
        <v>5</v>
      </c>
      <c r="F528" s="27">
        <v>3.3809999999999998</v>
      </c>
      <c r="G528" s="27">
        <v>7.0245749999999996E-2</v>
      </c>
      <c r="H528" s="27">
        <v>0</v>
      </c>
      <c r="I528" s="64">
        <v>1.3057062499999998</v>
      </c>
      <c r="J528" s="66">
        <v>2.0095249999999995E-2</v>
      </c>
      <c r="K528" s="66">
        <v>0</v>
      </c>
    </row>
    <row r="529" spans="1:11">
      <c r="A529" s="10">
        <v>13</v>
      </c>
      <c r="B529" s="16">
        <v>41406</v>
      </c>
      <c r="C529" s="10">
        <v>2014</v>
      </c>
      <c r="D529" s="4" t="s">
        <v>17</v>
      </c>
      <c r="E529" s="5">
        <v>5</v>
      </c>
      <c r="F529" s="27">
        <v>4.5170000000000003</v>
      </c>
      <c r="G529" s="27">
        <v>7.8030000000000002E-2</v>
      </c>
      <c r="H529" s="27">
        <v>0</v>
      </c>
      <c r="I529" s="64">
        <v>1.8011958749999994</v>
      </c>
      <c r="J529" s="66">
        <v>2.4426249999999993E-2</v>
      </c>
      <c r="K529" s="66">
        <v>0</v>
      </c>
    </row>
    <row r="530" spans="1:11">
      <c r="A530" s="10">
        <v>11</v>
      </c>
      <c r="B530" s="16">
        <v>41807</v>
      </c>
      <c r="C530" s="10">
        <v>2014</v>
      </c>
      <c r="D530" s="4" t="s">
        <v>18</v>
      </c>
      <c r="E530" s="5">
        <v>6</v>
      </c>
      <c r="F530" s="27">
        <v>6.2009999999999996</v>
      </c>
      <c r="G530" s="27">
        <v>0.17851162500000001</v>
      </c>
      <c r="H530" s="27">
        <v>0</v>
      </c>
      <c r="I530" s="64">
        <v>2.9713708749999994</v>
      </c>
      <c r="J530" s="66">
        <v>4.5144124999999993E-2</v>
      </c>
      <c r="K530" s="66">
        <v>0</v>
      </c>
    </row>
    <row r="531" spans="1:11">
      <c r="A531" s="10">
        <v>12</v>
      </c>
      <c r="B531" s="16">
        <v>41807</v>
      </c>
      <c r="C531" s="10">
        <v>2014</v>
      </c>
      <c r="D531" s="4" t="s">
        <v>18</v>
      </c>
      <c r="E531" s="5">
        <v>6</v>
      </c>
      <c r="F531" s="27">
        <v>8.0289999999999999</v>
      </c>
      <c r="G531" s="27">
        <v>0.16368337499999999</v>
      </c>
      <c r="H531" s="27">
        <v>0</v>
      </c>
      <c r="I531" s="64">
        <v>3.9428227499999999</v>
      </c>
      <c r="J531" s="66">
        <v>8.5293250000000001E-2</v>
      </c>
      <c r="K531" s="66">
        <v>0</v>
      </c>
    </row>
    <row r="532" spans="1:11">
      <c r="A532" s="10">
        <v>13</v>
      </c>
      <c r="B532" s="16">
        <v>41807</v>
      </c>
      <c r="C532" s="10">
        <v>2014</v>
      </c>
      <c r="D532" s="4" t="s">
        <v>18</v>
      </c>
      <c r="E532" s="5">
        <v>6</v>
      </c>
      <c r="F532" s="27">
        <v>4.383</v>
      </c>
      <c r="G532" s="27">
        <v>7.9969124999999974E-2</v>
      </c>
      <c r="H532" s="27">
        <v>7.668562499999998E-2</v>
      </c>
      <c r="I532" s="64">
        <v>2.1556138749999998</v>
      </c>
      <c r="J532" s="66">
        <v>0.13002312499999999</v>
      </c>
      <c r="K532" s="66">
        <v>0</v>
      </c>
    </row>
    <row r="533" spans="1:11">
      <c r="A533" s="10">
        <v>11</v>
      </c>
      <c r="B533" s="16">
        <v>41837</v>
      </c>
      <c r="C533" s="10">
        <v>2014</v>
      </c>
      <c r="D533" s="4" t="s">
        <v>19</v>
      </c>
      <c r="E533" s="5">
        <v>7</v>
      </c>
      <c r="F533" s="27">
        <v>9.3789999999999996</v>
      </c>
      <c r="G533" s="27">
        <v>0.19356124999999996</v>
      </c>
      <c r="H533" s="27">
        <v>0</v>
      </c>
      <c r="I533" s="64">
        <v>4.1510508749999993</v>
      </c>
      <c r="J533" s="66">
        <v>9.5732250000000019E-2</v>
      </c>
      <c r="K533" s="66">
        <v>0</v>
      </c>
    </row>
    <row r="534" spans="1:11">
      <c r="A534" s="10">
        <v>12</v>
      </c>
      <c r="B534" s="16">
        <v>41837</v>
      </c>
      <c r="C534" s="10">
        <v>2014</v>
      </c>
      <c r="D534" s="4" t="s">
        <v>19</v>
      </c>
      <c r="E534" s="5">
        <v>7</v>
      </c>
      <c r="F534" s="27">
        <v>11.09</v>
      </c>
      <c r="G534" s="27">
        <v>0.16732699999999998</v>
      </c>
      <c r="H534" s="27">
        <v>0</v>
      </c>
      <c r="I534" s="64">
        <v>5.15921875</v>
      </c>
      <c r="J534" s="66">
        <v>0.12853674999999998</v>
      </c>
      <c r="K534" s="66">
        <v>0</v>
      </c>
    </row>
    <row r="535" spans="1:11">
      <c r="A535" s="10">
        <v>13</v>
      </c>
      <c r="B535" s="16">
        <v>41837</v>
      </c>
      <c r="C535" s="10">
        <v>2014</v>
      </c>
      <c r="D535" s="4" t="s">
        <v>19</v>
      </c>
      <c r="E535" s="5">
        <v>7</v>
      </c>
      <c r="F535" s="27">
        <v>8.7759999999999998</v>
      </c>
      <c r="G535" s="27">
        <v>0.295799125</v>
      </c>
      <c r="H535" s="27">
        <v>0</v>
      </c>
      <c r="I535" s="64">
        <v>2.8376308750000003</v>
      </c>
      <c r="J535" s="66">
        <v>0.17665549999999997</v>
      </c>
      <c r="K535" s="66">
        <v>0</v>
      </c>
    </row>
    <row r="536" spans="1:11">
      <c r="A536" s="10">
        <v>11</v>
      </c>
      <c r="B536" s="16">
        <v>41862</v>
      </c>
      <c r="C536" s="10">
        <v>2014</v>
      </c>
      <c r="D536" s="4" t="s">
        <v>20</v>
      </c>
      <c r="E536" s="5">
        <v>8</v>
      </c>
      <c r="F536" s="27">
        <v>5.7380000000000004</v>
      </c>
      <c r="G536" s="27">
        <v>0.15042475</v>
      </c>
      <c r="H536" s="27">
        <v>0</v>
      </c>
      <c r="I536" s="64">
        <v>2.8587988750000002</v>
      </c>
      <c r="J536" s="66">
        <v>0.146220875</v>
      </c>
      <c r="K536" s="66">
        <v>0</v>
      </c>
    </row>
    <row r="537" spans="1:11">
      <c r="A537" s="10">
        <v>12</v>
      </c>
      <c r="B537" s="16">
        <v>41862</v>
      </c>
      <c r="C537" s="10">
        <v>2014</v>
      </c>
      <c r="D537" s="4" t="s">
        <v>20</v>
      </c>
      <c r="E537" s="5">
        <v>8</v>
      </c>
      <c r="F537" s="27">
        <v>7.4029999999999996</v>
      </c>
      <c r="G537" s="27">
        <v>0.176650375</v>
      </c>
      <c r="H537" s="27">
        <v>0</v>
      </c>
      <c r="I537" s="64">
        <v>3.3742909999999999</v>
      </c>
      <c r="J537" s="66">
        <v>0.243008</v>
      </c>
      <c r="K537" s="66">
        <v>0</v>
      </c>
    </row>
    <row r="538" spans="1:11">
      <c r="A538" s="10">
        <v>13</v>
      </c>
      <c r="B538" s="16">
        <v>41862</v>
      </c>
      <c r="C538" s="10">
        <v>2014</v>
      </c>
      <c r="D538" s="4" t="s">
        <v>20</v>
      </c>
      <c r="E538" s="5">
        <v>8</v>
      </c>
      <c r="F538" s="27">
        <v>5.2350000000000003</v>
      </c>
      <c r="G538" s="27">
        <v>0.13140399999999997</v>
      </c>
      <c r="H538" s="27">
        <v>0</v>
      </c>
      <c r="I538" s="64">
        <v>2.3071638750000001</v>
      </c>
      <c r="J538" s="66">
        <v>0.114432125</v>
      </c>
      <c r="K538" s="66">
        <v>0</v>
      </c>
    </row>
    <row r="539" spans="1:11">
      <c r="A539" s="10">
        <v>11</v>
      </c>
      <c r="B539" s="16">
        <v>41897</v>
      </c>
      <c r="C539" s="10">
        <v>2014</v>
      </c>
      <c r="D539" s="4" t="s">
        <v>26</v>
      </c>
      <c r="E539" s="5">
        <v>9</v>
      </c>
      <c r="F539" s="27">
        <v>4.7690000000000001</v>
      </c>
      <c r="G539" s="27">
        <v>3.8092124999999998E-2</v>
      </c>
      <c r="H539" s="27">
        <v>0</v>
      </c>
      <c r="I539" s="64">
        <v>2.2261366250000001</v>
      </c>
      <c r="J539" s="66">
        <v>3.3811749999999995E-2</v>
      </c>
      <c r="K539" s="66">
        <v>0</v>
      </c>
    </row>
    <row r="540" spans="1:11">
      <c r="A540" s="10">
        <v>12</v>
      </c>
      <c r="B540" s="16">
        <v>41897</v>
      </c>
      <c r="C540" s="10">
        <v>2014</v>
      </c>
      <c r="D540" s="4" t="s">
        <v>26</v>
      </c>
      <c r="E540" s="5">
        <v>9</v>
      </c>
      <c r="F540" s="27">
        <v>3.3559999999999999</v>
      </c>
      <c r="G540" s="27">
        <v>0</v>
      </c>
      <c r="H540" s="27">
        <v>0</v>
      </c>
      <c r="I540" s="64">
        <v>1.540848</v>
      </c>
      <c r="J540" s="66">
        <v>3.4215250000000003E-2</v>
      </c>
      <c r="K540" s="66">
        <v>0</v>
      </c>
    </row>
    <row r="541" spans="1:11">
      <c r="A541" s="10">
        <v>13</v>
      </c>
      <c r="B541" s="16">
        <v>41897</v>
      </c>
      <c r="C541" s="10">
        <v>2014</v>
      </c>
      <c r="D541" s="4" t="s">
        <v>26</v>
      </c>
      <c r="E541" s="5">
        <v>9</v>
      </c>
      <c r="F541" s="27">
        <v>6.6619999999999999</v>
      </c>
      <c r="G541" s="27">
        <v>8.597299999999998E-2</v>
      </c>
      <c r="H541" s="27">
        <v>0</v>
      </c>
      <c r="I541" s="64">
        <v>2.8658138750000002</v>
      </c>
      <c r="J541" s="66">
        <v>7.3014999999999997E-2</v>
      </c>
      <c r="K541" s="66">
        <v>0</v>
      </c>
    </row>
    <row r="542" spans="1:11">
      <c r="A542" s="10">
        <v>11</v>
      </c>
      <c r="B542" s="16">
        <v>41928</v>
      </c>
      <c r="C542" s="10">
        <v>2014</v>
      </c>
      <c r="D542" s="4" t="s">
        <v>22</v>
      </c>
      <c r="E542" s="5">
        <v>10</v>
      </c>
      <c r="F542" s="20">
        <v>2.2810000000000001</v>
      </c>
      <c r="G542" s="20">
        <v>4.6055249999999992E-2</v>
      </c>
      <c r="H542" s="20">
        <v>0</v>
      </c>
      <c r="I542" s="20">
        <v>0.85716899999999996</v>
      </c>
      <c r="J542" s="25">
        <v>3.9878375000000001E-2</v>
      </c>
      <c r="K542" s="25">
        <v>0</v>
      </c>
    </row>
    <row r="543" spans="1:11">
      <c r="A543" s="10">
        <v>12</v>
      </c>
      <c r="B543" s="16">
        <v>41928</v>
      </c>
      <c r="C543" s="10">
        <v>2014</v>
      </c>
      <c r="D543" s="4" t="s">
        <v>22</v>
      </c>
      <c r="E543" s="5">
        <v>10</v>
      </c>
      <c r="F543" s="20">
        <v>3.64</v>
      </c>
      <c r="G543" s="20">
        <v>9.3949499999999991E-2</v>
      </c>
      <c r="H543" s="20">
        <v>4.5113999999999994E-2</v>
      </c>
      <c r="I543" s="20">
        <v>1.5055590000000003</v>
      </c>
      <c r="J543" s="25">
        <v>6.1661374999999997E-2</v>
      </c>
      <c r="K543" s="25">
        <v>0</v>
      </c>
    </row>
    <row r="544" spans="1:11">
      <c r="A544" s="10">
        <v>13</v>
      </c>
      <c r="B544" s="16">
        <v>41928</v>
      </c>
      <c r="C544" s="10">
        <v>2014</v>
      </c>
      <c r="D544" s="4" t="s">
        <v>22</v>
      </c>
      <c r="E544" s="5">
        <v>10</v>
      </c>
      <c r="F544" s="20">
        <v>6.1680000000000001</v>
      </c>
      <c r="G544" s="20">
        <v>0.19410250000000001</v>
      </c>
      <c r="H544" s="20">
        <v>0</v>
      </c>
      <c r="I544" s="20">
        <v>2.3508469999999995</v>
      </c>
      <c r="J544" s="25">
        <v>0.15976374999999998</v>
      </c>
      <c r="K544" s="25">
        <v>0</v>
      </c>
    </row>
    <row r="545" spans="1:22">
      <c r="A545" s="10">
        <v>11</v>
      </c>
      <c r="B545" s="16">
        <v>41955</v>
      </c>
      <c r="C545" s="10">
        <v>2014</v>
      </c>
      <c r="D545" s="4" t="s">
        <v>23</v>
      </c>
      <c r="E545" s="5">
        <v>11</v>
      </c>
      <c r="F545" s="20">
        <v>6.0449999999999999</v>
      </c>
      <c r="G545" s="20">
        <v>0.14972750000000001</v>
      </c>
      <c r="H545" s="20">
        <v>0</v>
      </c>
      <c r="I545" s="20">
        <v>2.5083254999999998</v>
      </c>
      <c r="J545" s="25">
        <v>3.8491875000000002E-2</v>
      </c>
      <c r="K545" s="25">
        <v>0</v>
      </c>
    </row>
    <row r="546" spans="1:22">
      <c r="A546" s="10">
        <v>12</v>
      </c>
      <c r="B546" s="16">
        <v>41955</v>
      </c>
      <c r="C546" s="10">
        <v>2014</v>
      </c>
      <c r="D546" s="4" t="s">
        <v>23</v>
      </c>
      <c r="E546" s="5">
        <v>11</v>
      </c>
      <c r="F546" s="20">
        <v>4.6319999999999997</v>
      </c>
      <c r="G546" s="20">
        <v>8.1879999999999994E-2</v>
      </c>
      <c r="H546" s="20">
        <v>0</v>
      </c>
      <c r="I546" s="20">
        <v>1.8809811250000001</v>
      </c>
      <c r="J546" s="25">
        <v>2.6362750000000001E-2</v>
      </c>
      <c r="K546" s="25">
        <v>0</v>
      </c>
    </row>
    <row r="547" spans="1:22">
      <c r="A547" s="10">
        <v>13</v>
      </c>
      <c r="B547" s="16">
        <v>41955</v>
      </c>
      <c r="C547" s="10">
        <v>2014</v>
      </c>
      <c r="D547" s="4" t="s">
        <v>23</v>
      </c>
      <c r="E547" s="5">
        <v>11</v>
      </c>
      <c r="F547" s="20">
        <v>5.8710000000000004</v>
      </c>
      <c r="G547" s="20">
        <v>0.10663075</v>
      </c>
      <c r="H547" s="20">
        <v>0</v>
      </c>
      <c r="I547" s="20">
        <v>2.325377375</v>
      </c>
      <c r="J547" s="25">
        <v>4.6631499999999992E-2</v>
      </c>
      <c r="K547" s="25">
        <v>0</v>
      </c>
    </row>
    <row r="548" spans="1:22">
      <c r="A548" s="10">
        <v>11</v>
      </c>
      <c r="B548" s="16"/>
      <c r="C548" s="10">
        <v>2014</v>
      </c>
      <c r="D548" s="4" t="s">
        <v>24</v>
      </c>
      <c r="E548" s="5">
        <v>12</v>
      </c>
      <c r="F548" s="20"/>
      <c r="G548" s="20"/>
      <c r="H548" s="20"/>
      <c r="I548" s="20"/>
      <c r="J548" s="25"/>
      <c r="K548" s="25"/>
    </row>
    <row r="549" spans="1:22">
      <c r="A549" s="10">
        <v>12</v>
      </c>
      <c r="B549" s="16"/>
      <c r="C549" s="10">
        <v>2014</v>
      </c>
      <c r="D549" s="4" t="s">
        <v>24</v>
      </c>
      <c r="E549" s="5">
        <v>12</v>
      </c>
      <c r="F549" s="20"/>
      <c r="G549" s="20"/>
      <c r="H549" s="20"/>
      <c r="I549" s="20"/>
      <c r="J549" s="25"/>
      <c r="K549" s="25"/>
    </row>
    <row r="550" spans="1:22">
      <c r="A550" s="10">
        <v>13</v>
      </c>
      <c r="B550" s="16"/>
      <c r="C550" s="10">
        <v>2014</v>
      </c>
      <c r="D550" s="4" t="s">
        <v>24</v>
      </c>
      <c r="E550" s="5">
        <v>12</v>
      </c>
      <c r="F550" s="20"/>
      <c r="G550" s="20"/>
      <c r="H550" s="20"/>
      <c r="I550" s="20"/>
      <c r="J550" s="25"/>
      <c r="K550" s="25"/>
      <c r="L550" s="35" t="s">
        <v>42</v>
      </c>
    </row>
    <row r="551" spans="1:22" ht="38.25">
      <c r="L551" s="35" t="s">
        <v>60</v>
      </c>
      <c r="M551" s="33" t="s">
        <v>35</v>
      </c>
      <c r="N551" s="33" t="s">
        <v>36</v>
      </c>
      <c r="O551" s="33" t="s">
        <v>37</v>
      </c>
      <c r="P551" s="33" t="s">
        <v>38</v>
      </c>
      <c r="Q551" s="33" t="s">
        <v>39</v>
      </c>
      <c r="R551" s="33" t="s">
        <v>40</v>
      </c>
      <c r="S551" s="67" t="s">
        <v>78</v>
      </c>
      <c r="T551" s="67" t="s">
        <v>79</v>
      </c>
      <c r="U551" s="67" t="s">
        <v>80</v>
      </c>
      <c r="V551" s="67" t="s">
        <v>81</v>
      </c>
    </row>
    <row r="552" spans="1:22">
      <c r="L552" s="35" t="s">
        <v>61</v>
      </c>
      <c r="M552" s="36">
        <f t="shared" ref="M552:R552" si="12">M2</f>
        <v>3.9287711602470887</v>
      </c>
      <c r="N552" s="36">
        <f t="shared" si="12"/>
        <v>7.1782097351851856E-2</v>
      </c>
      <c r="O552" s="36">
        <f t="shared" si="12"/>
        <v>4.3678458888888891E-3</v>
      </c>
      <c r="P552" s="36">
        <f t="shared" si="12"/>
        <v>1.3122566430925926</v>
      </c>
      <c r="Q552" s="36">
        <f t="shared" si="12"/>
        <v>1.1721318320370371E-2</v>
      </c>
      <c r="R552" s="36">
        <f t="shared" si="12"/>
        <v>0</v>
      </c>
      <c r="S552" s="21">
        <f>N552/M552</f>
        <v>1.8270877692794233E-2</v>
      </c>
      <c r="T552" s="21">
        <f>O552/M552</f>
        <v>1.1117587944761299E-3</v>
      </c>
      <c r="U552" s="21">
        <f>P552/M552</f>
        <v>0.33401198226319245</v>
      </c>
      <c r="V552" s="21">
        <f>Q552/M552</f>
        <v>2.9834566184387262E-3</v>
      </c>
    </row>
    <row r="553" spans="1:22">
      <c r="L553" s="35" t="s">
        <v>62</v>
      </c>
      <c r="M553" s="36">
        <f>M11</f>
        <v>3.9871379854805511</v>
      </c>
      <c r="N553" s="36">
        <f t="shared" ref="N553:P553" si="13">N11</f>
        <v>7.1402100097222213E-2</v>
      </c>
      <c r="O553" s="36">
        <f t="shared" si="13"/>
        <v>1.9063180305555556E-2</v>
      </c>
      <c r="P553" s="36">
        <f t="shared" si="13"/>
        <v>1.3892418635925925</v>
      </c>
      <c r="Q553" s="36">
        <f t="shared" ref="Q553:R553" si="14">Q11</f>
        <v>2.5443052069444441E-2</v>
      </c>
      <c r="R553" s="36">
        <f t="shared" si="14"/>
        <v>0</v>
      </c>
      <c r="S553" s="21">
        <f t="shared" ref="S553:S567" si="15">N553/M553</f>
        <v>1.7908108612553184E-2</v>
      </c>
      <c r="T553" s="21">
        <f t="shared" ref="T553:T567" si="16">O553/M553</f>
        <v>4.7811689424784127E-3</v>
      </c>
      <c r="U553" s="21">
        <f t="shared" ref="U553:U567" si="17">P553/M553</f>
        <v>0.34843084654998557</v>
      </c>
      <c r="V553" s="21">
        <f t="shared" ref="V553:V567" si="18">Q553/M553</f>
        <v>6.3812820529655957E-3</v>
      </c>
    </row>
    <row r="554" spans="1:22">
      <c r="L554" s="35" t="s">
        <v>63</v>
      </c>
      <c r="M554" s="36">
        <f>M47</f>
        <v>3.3319496364052026</v>
      </c>
      <c r="N554" s="36">
        <f t="shared" ref="N554:P554" si="19">N47</f>
        <v>4.9285349181098011E-2</v>
      </c>
      <c r="O554" s="36">
        <f t="shared" si="19"/>
        <v>1.5473024945314131E-2</v>
      </c>
      <c r="P554" s="36">
        <f t="shared" si="19"/>
        <v>1.0108783897340365</v>
      </c>
      <c r="Q554" s="36">
        <f t="shared" ref="Q554:R554" si="20">Q47</f>
        <v>3.322501316322686E-2</v>
      </c>
      <c r="R554" s="36">
        <f t="shared" si="20"/>
        <v>0</v>
      </c>
      <c r="S554" s="21">
        <f t="shared" si="15"/>
        <v>1.4791744941940761E-2</v>
      </c>
      <c r="T554" s="21">
        <f t="shared" si="16"/>
        <v>4.6438351817369534E-3</v>
      </c>
      <c r="U554" s="21">
        <f t="shared" si="17"/>
        <v>0.30338945663796413</v>
      </c>
      <c r="V554" s="21">
        <f t="shared" si="18"/>
        <v>9.9716432686158176E-3</v>
      </c>
    </row>
    <row r="555" spans="1:22">
      <c r="L555" s="35" t="s">
        <v>64</v>
      </c>
      <c r="M555" s="36">
        <f>M83</f>
        <v>4.1527296347413749</v>
      </c>
      <c r="N555" s="36">
        <f t="shared" ref="N555:P555" si="21">N83</f>
        <v>5.4265831559686464E-2</v>
      </c>
      <c r="O555" s="36">
        <f t="shared" si="21"/>
        <v>1.2774794165843326E-2</v>
      </c>
      <c r="P555" s="36">
        <f t="shared" si="21"/>
        <v>0.89834248587826404</v>
      </c>
      <c r="Q555" s="36">
        <f t="shared" ref="Q555:R555" si="22">Q83</f>
        <v>1.4705678640623472E-2</v>
      </c>
      <c r="R555" s="36">
        <f t="shared" si="22"/>
        <v>0</v>
      </c>
      <c r="S555" s="21">
        <f t="shared" si="15"/>
        <v>1.3067508923697617E-2</v>
      </c>
      <c r="T555" s="21">
        <f t="shared" si="16"/>
        <v>3.0762402779536883E-3</v>
      </c>
      <c r="U555" s="21">
        <f t="shared" si="17"/>
        <v>0.21632578205015057</v>
      </c>
      <c r="V555" s="21">
        <f t="shared" si="18"/>
        <v>3.5412078160824735E-3</v>
      </c>
    </row>
    <row r="556" spans="1:22">
      <c r="L556" s="35" t="s">
        <v>65</v>
      </c>
      <c r="M556" s="36">
        <f>M119</f>
        <v>5.236635510795498</v>
      </c>
      <c r="N556" s="36">
        <f t="shared" ref="N556:P556" si="23">N119</f>
        <v>0.14409674810562445</v>
      </c>
      <c r="O556" s="36">
        <f t="shared" si="23"/>
        <v>5.0329396791657316E-3</v>
      </c>
      <c r="P556" s="36">
        <f t="shared" si="23"/>
        <v>1.6520382221323746</v>
      </c>
      <c r="Q556" s="36">
        <f t="shared" ref="Q556:R556" si="24">Q119</f>
        <v>4.9113131045941158E-2</v>
      </c>
      <c r="R556" s="36">
        <f t="shared" si="24"/>
        <v>0</v>
      </c>
      <c r="S556" s="21">
        <f t="shared" si="15"/>
        <v>2.7517047502841133E-2</v>
      </c>
      <c r="T556" s="21">
        <f t="shared" si="16"/>
        <v>9.6110177399021937E-4</v>
      </c>
      <c r="U556" s="21">
        <f t="shared" si="17"/>
        <v>0.31547703076271832</v>
      </c>
      <c r="V556" s="21">
        <f t="shared" si="18"/>
        <v>9.3787568267244895E-3</v>
      </c>
    </row>
    <row r="557" spans="1:22">
      <c r="L557" s="35" t="s">
        <v>66</v>
      </c>
      <c r="M557" s="36">
        <f>M155</f>
        <v>7.0652124999999995</v>
      </c>
      <c r="N557" s="36">
        <f t="shared" ref="N557:P557" si="25">N155</f>
        <v>0.12099746549816598</v>
      </c>
      <c r="O557" s="36">
        <f t="shared" si="25"/>
        <v>6.9188516813171129E-4</v>
      </c>
      <c r="P557" s="36">
        <f t="shared" si="25"/>
        <v>2.085754499575879</v>
      </c>
      <c r="Q557" s="36">
        <f t="shared" ref="Q557:R557" si="26">Q155</f>
        <v>5.7671903198375167E-2</v>
      </c>
      <c r="R557" s="36">
        <f t="shared" si="26"/>
        <v>0</v>
      </c>
      <c r="S557" s="21">
        <f t="shared" si="15"/>
        <v>1.71258069729914E-2</v>
      </c>
      <c r="T557" s="21">
        <f t="shared" si="16"/>
        <v>9.792843005524764E-5</v>
      </c>
      <c r="U557" s="21">
        <f t="shared" si="17"/>
        <v>0.29521468739629264</v>
      </c>
      <c r="V557" s="21">
        <f t="shared" si="18"/>
        <v>8.1627981038610194E-3</v>
      </c>
    </row>
    <row r="558" spans="1:22">
      <c r="L558" s="35" t="s">
        <v>67</v>
      </c>
      <c r="M558" s="36">
        <f>M191</f>
        <v>6.603800555555555</v>
      </c>
      <c r="N558" s="36">
        <f t="shared" ref="N558:P558" si="27">N191</f>
        <v>0.162287537378484</v>
      </c>
      <c r="O558" s="36">
        <f t="shared" si="27"/>
        <v>1.7987882100271149E-2</v>
      </c>
      <c r="P558" s="36">
        <f t="shared" si="27"/>
        <v>1.9786761463041331</v>
      </c>
      <c r="Q558" s="36">
        <f t="shared" ref="Q558:R558" si="28">Q191</f>
        <v>0.1080654425749128</v>
      </c>
      <c r="R558" s="36">
        <f t="shared" si="28"/>
        <v>2.5000000000000005E-5</v>
      </c>
      <c r="S558" s="21">
        <f t="shared" si="15"/>
        <v>2.4574869578996742E-2</v>
      </c>
      <c r="T558" s="21">
        <f t="shared" si="16"/>
        <v>2.7238681648461579E-3</v>
      </c>
      <c r="U558" s="21">
        <f t="shared" si="17"/>
        <v>0.29962687844040647</v>
      </c>
      <c r="V558" s="21">
        <f t="shared" si="18"/>
        <v>1.6364128756735541E-2</v>
      </c>
    </row>
    <row r="559" spans="1:22">
      <c r="L559" s="35" t="s">
        <v>68</v>
      </c>
      <c r="M559" s="36">
        <f>M227</f>
        <v>5.4295111111111112</v>
      </c>
      <c r="N559" s="36">
        <f t="shared" ref="N559:P559" si="29">N227</f>
        <v>7.6986111111111102E-2</v>
      </c>
      <c r="O559" s="36">
        <f t="shared" si="29"/>
        <v>0.1288638694444445</v>
      </c>
      <c r="P559" s="36">
        <f t="shared" si="29"/>
        <v>2.0087555555555552</v>
      </c>
      <c r="Q559" s="36">
        <f t="shared" ref="Q559:R559" si="30">Q227</f>
        <v>7.4911111111111081E-2</v>
      </c>
      <c r="R559" s="36">
        <f t="shared" si="30"/>
        <v>3.2497499999999992E-4</v>
      </c>
      <c r="S559" s="21">
        <f t="shared" si="15"/>
        <v>1.4179197635964766E-2</v>
      </c>
      <c r="T559" s="21">
        <f t="shared" si="16"/>
        <v>2.3733972876624876E-2</v>
      </c>
      <c r="U559" s="21">
        <f t="shared" si="17"/>
        <v>0.36996987655937913</v>
      </c>
      <c r="V559" s="21">
        <f t="shared" si="18"/>
        <v>1.3797026947382203E-2</v>
      </c>
    </row>
    <row r="560" spans="1:22">
      <c r="L560" s="35" t="s">
        <v>69</v>
      </c>
      <c r="M560" s="36">
        <f>M263</f>
        <v>6.1185277777777776</v>
      </c>
      <c r="N560" s="36">
        <f t="shared" ref="N560:P560" si="31">N263</f>
        <v>6.6166641666666692E-2</v>
      </c>
      <c r="O560" s="36">
        <f t="shared" si="31"/>
        <v>5.2999930555555581E-2</v>
      </c>
      <c r="P560" s="36">
        <f t="shared" si="31"/>
        <v>2.1136666666666661</v>
      </c>
      <c r="Q560" s="36">
        <f t="shared" ref="Q560:R560" si="32">Q263</f>
        <v>8.3527777777777756E-2</v>
      </c>
      <c r="R560" s="36">
        <f t="shared" si="32"/>
        <v>9.999000000000004E-4</v>
      </c>
      <c r="S560" s="21">
        <f t="shared" si="15"/>
        <v>1.0814144197723675E-2</v>
      </c>
      <c r="T560" s="21">
        <f t="shared" si="16"/>
        <v>8.6622031443657054E-3</v>
      </c>
      <c r="U560" s="21">
        <f t="shared" si="17"/>
        <v>0.34545347237670637</v>
      </c>
      <c r="V560" s="21">
        <f t="shared" si="18"/>
        <v>1.3651613723344846E-2</v>
      </c>
    </row>
    <row r="561" spans="12:22">
      <c r="L561" s="35" t="s">
        <v>70</v>
      </c>
      <c r="M561" s="36">
        <f>M299</f>
        <v>5.0859166666666669</v>
      </c>
      <c r="N561" s="36">
        <f t="shared" ref="N561:P561" si="33">N299</f>
        <v>3.9138877777777768E-2</v>
      </c>
      <c r="O561" s="36">
        <f t="shared" si="33"/>
        <v>9.1027688888888916E-2</v>
      </c>
      <c r="P561" s="36">
        <f t="shared" si="33"/>
        <v>1.9842500000000003</v>
      </c>
      <c r="Q561" s="36">
        <f t="shared" ref="Q561:R561" si="34">Q299</f>
        <v>5.7944444444444437E-2</v>
      </c>
      <c r="R561" s="36">
        <f t="shared" si="34"/>
        <v>9.999000000000004E-4</v>
      </c>
      <c r="S561" s="21">
        <f t="shared" si="15"/>
        <v>7.6955405176604222E-3</v>
      </c>
      <c r="T561" s="21">
        <f t="shared" si="16"/>
        <v>1.7897990638637201E-2</v>
      </c>
      <c r="U561" s="21">
        <f t="shared" si="17"/>
        <v>0.39014599138142914</v>
      </c>
      <c r="V561" s="21">
        <f t="shared" si="18"/>
        <v>1.1393117159039394E-2</v>
      </c>
    </row>
    <row r="562" spans="12:22">
      <c r="L562" s="35" t="s">
        <v>71</v>
      </c>
      <c r="M562" s="36">
        <f>M335</f>
        <v>4.7653055555555532</v>
      </c>
      <c r="N562" s="36">
        <f t="shared" ref="N562:P562" si="35">N335</f>
        <v>5.1805550000000006E-2</v>
      </c>
      <c r="O562" s="36">
        <f t="shared" si="35"/>
        <v>1.4055522222222224E-2</v>
      </c>
      <c r="P562" s="36">
        <f t="shared" si="35"/>
        <v>1.5570555555555556</v>
      </c>
      <c r="Q562" s="36">
        <f t="shared" ref="Q562:R562" si="36">Q335</f>
        <v>5.8666666666666659E-2</v>
      </c>
      <c r="R562" s="36">
        <f t="shared" si="36"/>
        <v>9.999000000000004E-4</v>
      </c>
      <c r="S562" s="21">
        <f t="shared" si="15"/>
        <v>1.0871401507423455E-2</v>
      </c>
      <c r="T562" s="21">
        <f t="shared" si="16"/>
        <v>2.9495531940938865E-3</v>
      </c>
      <c r="U562" s="21">
        <f t="shared" si="17"/>
        <v>0.32674831391248099</v>
      </c>
      <c r="V562" s="21">
        <f t="shared" si="18"/>
        <v>1.2311207745801545E-2</v>
      </c>
    </row>
    <row r="563" spans="12:22">
      <c r="L563" s="35" t="s">
        <v>72</v>
      </c>
      <c r="M563" s="36">
        <f>M371</f>
        <v>6.0433611111111132</v>
      </c>
      <c r="N563" s="36">
        <f t="shared" ref="N563:P563" si="37">N371</f>
        <v>0.11194896875000003</v>
      </c>
      <c r="O563" s="36">
        <f t="shared" si="37"/>
        <v>9.6479756944444425E-3</v>
      </c>
      <c r="P563" s="36">
        <f t="shared" si="37"/>
        <v>2.2654879444444433</v>
      </c>
      <c r="Q563" s="36">
        <f t="shared" ref="Q563:R563" si="38">Q371</f>
        <v>0.12199896874999999</v>
      </c>
      <c r="R563" s="36">
        <f t="shared" si="38"/>
        <v>0</v>
      </c>
      <c r="S563" s="21">
        <f t="shared" si="15"/>
        <v>1.8524289164877895E-2</v>
      </c>
      <c r="T563" s="21">
        <f t="shared" si="16"/>
        <v>1.5964585794328938E-3</v>
      </c>
      <c r="U563" s="21">
        <f t="shared" si="17"/>
        <v>0.37487217837755815</v>
      </c>
      <c r="V563" s="21">
        <f t="shared" si="18"/>
        <v>2.018727104122521E-2</v>
      </c>
    </row>
    <row r="564" spans="12:22">
      <c r="L564" s="35" t="s">
        <v>73</v>
      </c>
      <c r="M564" s="36">
        <f>M407</f>
        <v>5.2427777777777766</v>
      </c>
      <c r="N564" s="36">
        <f t="shared" ref="N564:P564" si="39">N407</f>
        <v>9.7448697916666646E-2</v>
      </c>
      <c r="O564" s="36">
        <f t="shared" si="39"/>
        <v>1.8705312499999996E-3</v>
      </c>
      <c r="P564" s="36">
        <f t="shared" si="39"/>
        <v>2.0350472083333333</v>
      </c>
      <c r="Q564" s="36">
        <f t="shared" ref="Q564:R564" si="40">Q407</f>
        <v>0.12201990277777777</v>
      </c>
      <c r="R564" s="36">
        <f t="shared" si="40"/>
        <v>5.0824652777777793E-4</v>
      </c>
      <c r="S564" s="21">
        <f t="shared" si="15"/>
        <v>1.8587226475574866E-2</v>
      </c>
      <c r="T564" s="21">
        <f t="shared" si="16"/>
        <v>3.5678247854190948E-4</v>
      </c>
      <c r="U564" s="21">
        <f t="shared" si="17"/>
        <v>0.38816201917982418</v>
      </c>
      <c r="V564" s="21">
        <f t="shared" si="18"/>
        <v>2.3273903253152491E-2</v>
      </c>
    </row>
    <row r="565" spans="12:22">
      <c r="L565" s="35" t="s">
        <v>74</v>
      </c>
      <c r="M565" s="36">
        <f>M443</f>
        <v>6.2217222222222217</v>
      </c>
      <c r="N565" s="36">
        <f t="shared" ref="N565:P565" si="41">N443</f>
        <v>0.30061073958333334</v>
      </c>
      <c r="O565" s="36">
        <f t="shared" si="41"/>
        <v>1.2328489583333331E-2</v>
      </c>
      <c r="P565" s="36">
        <f t="shared" si="41"/>
        <v>2.7414064409722219</v>
      </c>
      <c r="Q565" s="36">
        <f t="shared" ref="Q565:R565" si="42">Q443</f>
        <v>0.11618336111111109</v>
      </c>
      <c r="R565" s="36">
        <f t="shared" si="42"/>
        <v>3.6803124999999998E-4</v>
      </c>
      <c r="S565" s="21">
        <f t="shared" si="15"/>
        <v>4.8316322851836312E-2</v>
      </c>
      <c r="T565" s="21">
        <f t="shared" si="16"/>
        <v>1.9815236268985897E-3</v>
      </c>
      <c r="U565" s="21">
        <f t="shared" si="17"/>
        <v>0.44061858486396227</v>
      </c>
      <c r="V565" s="21">
        <f t="shared" si="18"/>
        <v>1.8673826468198335E-2</v>
      </c>
    </row>
    <row r="566" spans="12:22">
      <c r="L566" s="35" t="s">
        <v>75</v>
      </c>
      <c r="M566" s="36">
        <f>M479</f>
        <v>6.5475000000000003</v>
      </c>
      <c r="N566" s="36">
        <f t="shared" ref="N566:P566" si="43">N479</f>
        <v>0.16407113541666665</v>
      </c>
      <c r="O566" s="36">
        <f t="shared" si="43"/>
        <v>3.2926385416666669E-2</v>
      </c>
      <c r="P566" s="36">
        <f t="shared" si="43"/>
        <v>3.007071770833333</v>
      </c>
      <c r="Q566" s="36">
        <f t="shared" ref="Q566:R566" si="44">Q479</f>
        <v>8.5031805555555562E-2</v>
      </c>
      <c r="R566" s="36">
        <f t="shared" si="44"/>
        <v>8.6087152777777778E-4</v>
      </c>
      <c r="S566" s="21">
        <f t="shared" si="15"/>
        <v>2.505859265623011E-2</v>
      </c>
      <c r="T566" s="21">
        <f t="shared" si="16"/>
        <v>5.0288484790632559E-3</v>
      </c>
      <c r="U566" s="21">
        <f t="shared" si="17"/>
        <v>0.45927022082219671</v>
      </c>
      <c r="V566" s="21">
        <f t="shared" si="18"/>
        <v>1.2986911883246362E-2</v>
      </c>
    </row>
    <row r="567" spans="12:22">
      <c r="L567" s="35" t="s">
        <v>76</v>
      </c>
      <c r="M567" s="36">
        <f>M515</f>
        <v>5.8640303030303036</v>
      </c>
      <c r="N567" s="36">
        <f t="shared" ref="N567:P567" si="45">N515</f>
        <v>0.12839735227272725</v>
      </c>
      <c r="O567" s="36">
        <f t="shared" si="45"/>
        <v>3.6908977272727263E-3</v>
      </c>
      <c r="P567" s="36">
        <f t="shared" si="45"/>
        <v>2.6430281022727273</v>
      </c>
      <c r="Q567" s="36">
        <f t="shared" ref="Q567:R567" si="46">Q515</f>
        <v>6.5132068181818187E-2</v>
      </c>
      <c r="R567" s="36">
        <f t="shared" si="46"/>
        <v>0</v>
      </c>
      <c r="S567" s="21">
        <f t="shared" si="15"/>
        <v>2.189575183579397E-2</v>
      </c>
      <c r="T567" s="21">
        <f t="shared" si="16"/>
        <v>6.2941314020246682E-4</v>
      </c>
      <c r="U567" s="21">
        <f t="shared" si="17"/>
        <v>0.45071869783942159</v>
      </c>
      <c r="V567" s="21">
        <f t="shared" si="18"/>
        <v>1.1107048363675825E-2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Zea update</vt:lpstr>
      <vt:lpstr>Fuco update</vt:lpstr>
      <vt:lpstr>But-fuco update</vt:lpstr>
      <vt:lpstr>Peridin update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2026-02-18T20:56:05Z</dcterms:modified>
</cp:coreProperties>
</file>