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8771B82-A9B3-4B3D-A1DB-7E02C94BBD8E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Sheet1" sheetId="1" r:id="rId1"/>
    <sheet name="Sheet2" sheetId="2" r:id="rId2"/>
    <sheet name="Zea update" sheetId="7" r:id="rId3"/>
    <sheet name="Fuco update" sheetId="6" r:id="rId4"/>
    <sheet name="But-fuco update" sheetId="5" r:id="rId5"/>
    <sheet name="Peridin update" sheetId="4" r:id="rId6"/>
    <sheet name="Sheet3" sheetId="3" r:id="rId7"/>
  </sheets>
  <definedNames>
    <definedName name="_xlnm._FilterDatabase" localSheetId="1" hidden="1">Sheet2!$L$1:$L$368</definedName>
  </definedNames>
  <calcPr calcId="191029"/>
</workbook>
</file>

<file path=xl/calcChain.xml><?xml version="1.0" encoding="utf-8"?>
<calcChain xmlns="http://schemas.openxmlformats.org/spreadsheetml/2006/main">
  <c r="N591" i="4" l="1"/>
  <c r="N567" i="4"/>
  <c r="N569" i="4" s="1"/>
  <c r="N571" i="4" s="1"/>
  <c r="N573" i="4" s="1"/>
  <c r="N575" i="4" s="1"/>
  <c r="N577" i="4" s="1"/>
  <c r="N579" i="4" s="1"/>
  <c r="N581" i="4" s="1"/>
  <c r="N583" i="4" s="1"/>
  <c r="N585" i="4" s="1"/>
  <c r="N587" i="4" s="1"/>
  <c r="N565" i="4"/>
  <c r="M565" i="4"/>
  <c r="M567" i="4"/>
  <c r="M569" i="4"/>
  <c r="M571" i="4"/>
  <c r="M573" i="4"/>
  <c r="M575" i="4"/>
  <c r="M577" i="4"/>
  <c r="M579" i="4"/>
  <c r="M581" i="4"/>
  <c r="M583" i="4"/>
  <c r="M585" i="4"/>
  <c r="M587" i="4"/>
  <c r="M591" i="4"/>
  <c r="M593" i="4"/>
  <c r="M595" i="4"/>
  <c r="L565" i="4"/>
  <c r="L567" i="4"/>
  <c r="L569" i="4"/>
  <c r="L571" i="4"/>
  <c r="L573" i="4"/>
  <c r="L575" i="4"/>
  <c r="L577" i="4"/>
  <c r="L579" i="4"/>
  <c r="L581" i="4"/>
  <c r="L583" i="4"/>
  <c r="L585" i="4"/>
  <c r="L587" i="4"/>
  <c r="L591" i="4"/>
  <c r="L593" i="4"/>
  <c r="L595" i="4"/>
  <c r="J565" i="4"/>
  <c r="J567" i="4"/>
  <c r="J569" i="4"/>
  <c r="J571" i="4"/>
  <c r="J573" i="4"/>
  <c r="J575" i="4"/>
  <c r="J577" i="4"/>
  <c r="J579" i="4"/>
  <c r="J581" i="4"/>
  <c r="J583" i="4"/>
  <c r="J585" i="4"/>
  <c r="J587" i="4"/>
  <c r="J591" i="4"/>
  <c r="J593" i="4"/>
  <c r="J595" i="4"/>
  <c r="I565" i="4"/>
  <c r="I567" i="4"/>
  <c r="I569" i="4"/>
  <c r="I571" i="4"/>
  <c r="I573" i="4"/>
  <c r="I575" i="4"/>
  <c r="I577" i="4"/>
  <c r="I579" i="4"/>
  <c r="I581" i="4"/>
  <c r="I583" i="4"/>
  <c r="I585" i="4"/>
  <c r="I587" i="4"/>
  <c r="I591" i="4"/>
  <c r="I593" i="4"/>
  <c r="I595" i="4"/>
  <c r="L563" i="4"/>
  <c r="J563" i="4"/>
  <c r="I563" i="4"/>
  <c r="L503" i="4"/>
  <c r="L505" i="4"/>
  <c r="L507" i="4"/>
  <c r="L509" i="4"/>
  <c r="L511" i="4"/>
  <c r="L517" i="4"/>
  <c r="L519" i="4"/>
  <c r="L521" i="4"/>
  <c r="L523" i="4"/>
  <c r="L525" i="4"/>
  <c r="L529" i="4"/>
  <c r="L531" i="4"/>
  <c r="L533" i="4"/>
  <c r="L535" i="4"/>
  <c r="L537" i="4"/>
  <c r="J503" i="4"/>
  <c r="J505" i="4"/>
  <c r="J507" i="4"/>
  <c r="J509" i="4"/>
  <c r="J511" i="4"/>
  <c r="J517" i="4"/>
  <c r="J519" i="4"/>
  <c r="J521" i="4"/>
  <c r="J523" i="4"/>
  <c r="J525" i="4"/>
  <c r="J529" i="4"/>
  <c r="J531" i="4"/>
  <c r="J533" i="4"/>
  <c r="J535" i="4"/>
  <c r="J537" i="4"/>
  <c r="I503" i="4"/>
  <c r="I505" i="4"/>
  <c r="I507" i="4"/>
  <c r="I509" i="4"/>
  <c r="I511" i="4"/>
  <c r="I517" i="4"/>
  <c r="I519" i="4"/>
  <c r="I521" i="4"/>
  <c r="I523" i="4"/>
  <c r="I525" i="4"/>
  <c r="I529" i="4"/>
  <c r="I531" i="4"/>
  <c r="I533" i="4"/>
  <c r="I535" i="4"/>
  <c r="I537" i="4"/>
  <c r="L501" i="4"/>
  <c r="J501" i="4"/>
  <c r="I501" i="4"/>
  <c r="L493" i="4"/>
  <c r="J493" i="4"/>
  <c r="I493" i="4"/>
  <c r="N591" i="5"/>
  <c r="N567" i="5"/>
  <c r="N569" i="5"/>
  <c r="N571" i="5" s="1"/>
  <c r="N573" i="5" s="1"/>
  <c r="N575" i="5" s="1"/>
  <c r="N577" i="5" s="1"/>
  <c r="N579" i="5" s="1"/>
  <c r="N581" i="5" s="1"/>
  <c r="N583" i="5" s="1"/>
  <c r="N585" i="5" s="1"/>
  <c r="N587" i="5" s="1"/>
  <c r="N593" i="5" s="1"/>
  <c r="N595" i="5" s="1"/>
  <c r="N565" i="5"/>
  <c r="M565" i="5"/>
  <c r="M567" i="5"/>
  <c r="M569" i="5"/>
  <c r="M571" i="5"/>
  <c r="M573" i="5"/>
  <c r="M575" i="5"/>
  <c r="M577" i="5"/>
  <c r="M579" i="5"/>
  <c r="M581" i="5"/>
  <c r="M583" i="5"/>
  <c r="M585" i="5"/>
  <c r="M587" i="5"/>
  <c r="M591" i="5"/>
  <c r="M593" i="5"/>
  <c r="M595" i="5"/>
  <c r="L565" i="5"/>
  <c r="L567" i="5"/>
  <c r="L569" i="5"/>
  <c r="L571" i="5"/>
  <c r="L573" i="5"/>
  <c r="L575" i="5"/>
  <c r="L577" i="5"/>
  <c r="L579" i="5"/>
  <c r="L581" i="5"/>
  <c r="L583" i="5"/>
  <c r="L585" i="5"/>
  <c r="L587" i="5"/>
  <c r="L591" i="5"/>
  <c r="L593" i="5"/>
  <c r="L595" i="5"/>
  <c r="J565" i="5"/>
  <c r="J567" i="5"/>
  <c r="J569" i="5"/>
  <c r="J571" i="5"/>
  <c r="J573" i="5"/>
  <c r="J575" i="5"/>
  <c r="J577" i="5"/>
  <c r="J579" i="5"/>
  <c r="J581" i="5"/>
  <c r="J583" i="5"/>
  <c r="J585" i="5"/>
  <c r="J587" i="5"/>
  <c r="J591" i="5"/>
  <c r="J593" i="5"/>
  <c r="J595" i="5"/>
  <c r="I565" i="5"/>
  <c r="I567" i="5"/>
  <c r="I569" i="5"/>
  <c r="I571" i="5"/>
  <c r="I573" i="5"/>
  <c r="I575" i="5"/>
  <c r="I577" i="5"/>
  <c r="I579" i="5"/>
  <c r="I581" i="5"/>
  <c r="I583" i="5"/>
  <c r="I585" i="5"/>
  <c r="I587" i="5"/>
  <c r="I591" i="5"/>
  <c r="I593" i="5"/>
  <c r="I595" i="5"/>
  <c r="L563" i="5"/>
  <c r="J563" i="5"/>
  <c r="I563" i="5"/>
  <c r="L503" i="5"/>
  <c r="L505" i="5"/>
  <c r="L507" i="5"/>
  <c r="L509" i="5"/>
  <c r="L511" i="5"/>
  <c r="L517" i="5"/>
  <c r="L519" i="5"/>
  <c r="L521" i="5"/>
  <c r="L523" i="5"/>
  <c r="L525" i="5"/>
  <c r="L529" i="5"/>
  <c r="L531" i="5"/>
  <c r="L533" i="5"/>
  <c r="L535" i="5"/>
  <c r="L537" i="5"/>
  <c r="J503" i="5"/>
  <c r="J505" i="5"/>
  <c r="J507" i="5"/>
  <c r="J509" i="5"/>
  <c r="J511" i="5"/>
  <c r="J517" i="5"/>
  <c r="J519" i="5"/>
  <c r="J521" i="5"/>
  <c r="J523" i="5"/>
  <c r="J525" i="5"/>
  <c r="J529" i="5"/>
  <c r="J531" i="5"/>
  <c r="J533" i="5"/>
  <c r="J535" i="5"/>
  <c r="J537" i="5"/>
  <c r="I503" i="5"/>
  <c r="I505" i="5"/>
  <c r="I507" i="5"/>
  <c r="I509" i="5"/>
  <c r="I511" i="5"/>
  <c r="I517" i="5"/>
  <c r="I519" i="5"/>
  <c r="I521" i="5"/>
  <c r="I523" i="5"/>
  <c r="I525" i="5"/>
  <c r="I529" i="5"/>
  <c r="I531" i="5"/>
  <c r="I533" i="5"/>
  <c r="I535" i="5"/>
  <c r="I537" i="5"/>
  <c r="L501" i="5"/>
  <c r="J501" i="5"/>
  <c r="I501" i="5"/>
  <c r="L493" i="5"/>
  <c r="J493" i="5"/>
  <c r="I493" i="5"/>
  <c r="N529" i="7"/>
  <c r="N591" i="6"/>
  <c r="N567" i="6"/>
  <c r="N569" i="6"/>
  <c r="N571" i="6" s="1"/>
  <c r="N573" i="6" s="1"/>
  <c r="N575" i="6" s="1"/>
  <c r="N577" i="6" s="1"/>
  <c r="N579" i="6" s="1"/>
  <c r="N581" i="6" s="1"/>
  <c r="N583" i="6" s="1"/>
  <c r="N585" i="6" s="1"/>
  <c r="N587" i="6" s="1"/>
  <c r="N593" i="6" s="1"/>
  <c r="N595" i="6" s="1"/>
  <c r="N565" i="6"/>
  <c r="M565" i="6"/>
  <c r="M567" i="6"/>
  <c r="M569" i="6"/>
  <c r="M571" i="6"/>
  <c r="M573" i="6"/>
  <c r="M575" i="6"/>
  <c r="M577" i="6"/>
  <c r="M579" i="6"/>
  <c r="M581" i="6"/>
  <c r="M583" i="6"/>
  <c r="M585" i="6"/>
  <c r="M587" i="6"/>
  <c r="M591" i="6"/>
  <c r="M593" i="6"/>
  <c r="M595" i="6"/>
  <c r="L565" i="6"/>
  <c r="L567" i="6"/>
  <c r="L614" i="6" s="1"/>
  <c r="L569" i="6"/>
  <c r="L571" i="6"/>
  <c r="L573" i="6"/>
  <c r="L575" i="6"/>
  <c r="L577" i="6"/>
  <c r="L579" i="6"/>
  <c r="L581" i="6"/>
  <c r="L583" i="6"/>
  <c r="L585" i="6"/>
  <c r="L587" i="6"/>
  <c r="L591" i="6"/>
  <c r="L593" i="6"/>
  <c r="L595" i="6"/>
  <c r="J565" i="6"/>
  <c r="J567" i="6"/>
  <c r="J569" i="6"/>
  <c r="J571" i="6"/>
  <c r="J573" i="6"/>
  <c r="J575" i="6"/>
  <c r="J577" i="6"/>
  <c r="J579" i="6"/>
  <c r="J581" i="6"/>
  <c r="J583" i="6"/>
  <c r="J585" i="6"/>
  <c r="J587" i="6"/>
  <c r="J591" i="6"/>
  <c r="J593" i="6"/>
  <c r="J595" i="6"/>
  <c r="I565" i="6"/>
  <c r="I567" i="6"/>
  <c r="I569" i="6"/>
  <c r="I571" i="6"/>
  <c r="I573" i="6"/>
  <c r="I575" i="6"/>
  <c r="I577" i="6"/>
  <c r="I579" i="6"/>
  <c r="I581" i="6"/>
  <c r="I583" i="6"/>
  <c r="I585" i="6"/>
  <c r="I587" i="6"/>
  <c r="I591" i="6"/>
  <c r="I593" i="6"/>
  <c r="I595" i="6"/>
  <c r="L563" i="6"/>
  <c r="J563" i="6"/>
  <c r="I563" i="6"/>
  <c r="L503" i="6"/>
  <c r="L505" i="6"/>
  <c r="L507" i="6"/>
  <c r="L509" i="6"/>
  <c r="L511" i="6"/>
  <c r="L517" i="6"/>
  <c r="L519" i="6"/>
  <c r="L521" i="6"/>
  <c r="L523" i="6"/>
  <c r="L525" i="6"/>
  <c r="L529" i="6"/>
  <c r="L531" i="6"/>
  <c r="L533" i="6"/>
  <c r="L535" i="6"/>
  <c r="L537" i="6"/>
  <c r="J503" i="6"/>
  <c r="J505" i="6"/>
  <c r="J507" i="6"/>
  <c r="J509" i="6"/>
  <c r="J511" i="6"/>
  <c r="J517" i="6"/>
  <c r="J519" i="6"/>
  <c r="J521" i="6"/>
  <c r="J523" i="6"/>
  <c r="J525" i="6"/>
  <c r="J529" i="6"/>
  <c r="J531" i="6"/>
  <c r="J533" i="6"/>
  <c r="J535" i="6"/>
  <c r="J537" i="6"/>
  <c r="I503" i="6"/>
  <c r="I505" i="6"/>
  <c r="I507" i="6"/>
  <c r="I509" i="6"/>
  <c r="I511" i="6"/>
  <c r="I517" i="6"/>
  <c r="I519" i="6"/>
  <c r="I521" i="6"/>
  <c r="I523" i="6"/>
  <c r="I525" i="6"/>
  <c r="I529" i="6"/>
  <c r="I531" i="6"/>
  <c r="I533" i="6"/>
  <c r="I535" i="6"/>
  <c r="I537" i="6"/>
  <c r="L501" i="6"/>
  <c r="J501" i="6"/>
  <c r="I501" i="6"/>
  <c r="L615" i="5"/>
  <c r="L614" i="5"/>
  <c r="M563" i="5" s="1"/>
  <c r="L614" i="4"/>
  <c r="M521" i="4" s="1"/>
  <c r="L615" i="4"/>
  <c r="L493" i="6"/>
  <c r="J493" i="6"/>
  <c r="I493" i="6"/>
  <c r="M565" i="7"/>
  <c r="M567" i="7"/>
  <c r="M569" i="7"/>
  <c r="M571" i="7"/>
  <c r="M573" i="7"/>
  <c r="M575" i="7"/>
  <c r="M577" i="7"/>
  <c r="M579" i="7"/>
  <c r="M581" i="7"/>
  <c r="M583" i="7"/>
  <c r="M585" i="7"/>
  <c r="M587" i="7"/>
  <c r="M591" i="7"/>
  <c r="M593" i="7"/>
  <c r="M595" i="7"/>
  <c r="M563" i="7"/>
  <c r="L565" i="7"/>
  <c r="L567" i="7"/>
  <c r="L569" i="7"/>
  <c r="L571" i="7"/>
  <c r="L573" i="7"/>
  <c r="L575" i="7"/>
  <c r="L577" i="7"/>
  <c r="L579" i="7"/>
  <c r="L581" i="7"/>
  <c r="L583" i="7"/>
  <c r="L585" i="7"/>
  <c r="L587" i="7"/>
  <c r="L591" i="7"/>
  <c r="L593" i="7"/>
  <c r="L595" i="7"/>
  <c r="L563" i="7"/>
  <c r="J565" i="7"/>
  <c r="J567" i="7"/>
  <c r="J569" i="7"/>
  <c r="J571" i="7"/>
  <c r="J573" i="7"/>
  <c r="J575" i="7"/>
  <c r="J577" i="7"/>
  <c r="J579" i="7"/>
  <c r="J581" i="7"/>
  <c r="J583" i="7"/>
  <c r="J585" i="7"/>
  <c r="J587" i="7"/>
  <c r="J591" i="7"/>
  <c r="J593" i="7"/>
  <c r="J595" i="7"/>
  <c r="I565" i="7"/>
  <c r="I567" i="7"/>
  <c r="I569" i="7"/>
  <c r="I571" i="7"/>
  <c r="I573" i="7"/>
  <c r="I575" i="7"/>
  <c r="I577" i="7"/>
  <c r="I579" i="7"/>
  <c r="I581" i="7"/>
  <c r="I583" i="7"/>
  <c r="I585" i="7"/>
  <c r="I587" i="7"/>
  <c r="I591" i="7"/>
  <c r="I593" i="7"/>
  <c r="I595" i="7"/>
  <c r="J563" i="7"/>
  <c r="I563" i="7"/>
  <c r="L519" i="7"/>
  <c r="L521" i="7"/>
  <c r="L523" i="7"/>
  <c r="L525" i="7"/>
  <c r="L529" i="7"/>
  <c r="L531" i="7"/>
  <c r="L533" i="7"/>
  <c r="L535" i="7"/>
  <c r="L537" i="7"/>
  <c r="J519" i="7"/>
  <c r="J521" i="7"/>
  <c r="J523" i="7"/>
  <c r="J525" i="7"/>
  <c r="J529" i="7"/>
  <c r="J531" i="7"/>
  <c r="J533" i="7"/>
  <c r="J535" i="7"/>
  <c r="J537" i="7"/>
  <c r="I519" i="7"/>
  <c r="I521" i="7"/>
  <c r="I523" i="7"/>
  <c r="I525" i="7"/>
  <c r="I529" i="7"/>
  <c r="I531" i="7"/>
  <c r="I533" i="7"/>
  <c r="I535" i="7"/>
  <c r="I537" i="7"/>
  <c r="L517" i="7"/>
  <c r="J517" i="7"/>
  <c r="I517" i="7"/>
  <c r="L503" i="7"/>
  <c r="L505" i="7"/>
  <c r="L507" i="7"/>
  <c r="L509" i="7"/>
  <c r="L511" i="7"/>
  <c r="J503" i="7"/>
  <c r="J505" i="7"/>
  <c r="J507" i="7"/>
  <c r="J509" i="7"/>
  <c r="J511" i="7"/>
  <c r="I503" i="7"/>
  <c r="I505" i="7"/>
  <c r="I507" i="7"/>
  <c r="I509" i="7"/>
  <c r="I511" i="7"/>
  <c r="L501" i="7"/>
  <c r="J501" i="7"/>
  <c r="I501" i="7"/>
  <c r="L493" i="7"/>
  <c r="J493" i="7"/>
  <c r="I493" i="7"/>
  <c r="F614" i="7"/>
  <c r="F615" i="7"/>
  <c r="L614" i="7"/>
  <c r="N593" i="4" l="1"/>
  <c r="N595" i="4" s="1"/>
  <c r="M563" i="4"/>
  <c r="M493" i="4"/>
  <c r="M537" i="4"/>
  <c r="M519" i="4"/>
  <c r="M523" i="4"/>
  <c r="M535" i="4"/>
  <c r="M517" i="4"/>
  <c r="M503" i="4"/>
  <c r="M533" i="4"/>
  <c r="M511" i="4"/>
  <c r="M531" i="4"/>
  <c r="M509" i="4"/>
  <c r="M529" i="4"/>
  <c r="M507" i="4"/>
  <c r="M525" i="4"/>
  <c r="M505" i="4"/>
  <c r="M501" i="4"/>
  <c r="M493" i="5"/>
  <c r="M521" i="5"/>
  <c r="M531" i="5"/>
  <c r="M509" i="5"/>
  <c r="M529" i="5"/>
  <c r="M507" i="5"/>
  <c r="M525" i="5"/>
  <c r="M505" i="5"/>
  <c r="M523" i="5"/>
  <c r="M503" i="5"/>
  <c r="M537" i="5"/>
  <c r="M519" i="5"/>
  <c r="M535" i="5"/>
  <c r="M517" i="5"/>
  <c r="M533" i="5"/>
  <c r="M511" i="5"/>
  <c r="M501" i="5"/>
  <c r="L615" i="6"/>
  <c r="M507" i="6" s="1"/>
  <c r="L615" i="7"/>
  <c r="M461" i="7" s="1"/>
  <c r="M489" i="5"/>
  <c r="M485" i="5"/>
  <c r="M479" i="5"/>
  <c r="M477" i="5"/>
  <c r="M475" i="5"/>
  <c r="M473" i="5"/>
  <c r="M471" i="5"/>
  <c r="M461" i="5"/>
  <c r="M459" i="5"/>
  <c r="M457" i="5"/>
  <c r="M455" i="5"/>
  <c r="M453" i="5"/>
  <c r="M451" i="5"/>
  <c r="M449" i="5"/>
  <c r="M447" i="5"/>
  <c r="M445" i="5"/>
  <c r="M443" i="5"/>
  <c r="M441" i="5"/>
  <c r="M439" i="5"/>
  <c r="M435" i="5"/>
  <c r="M431" i="5"/>
  <c r="M429" i="5"/>
  <c r="M427" i="5"/>
  <c r="M425" i="5"/>
  <c r="M423" i="5"/>
  <c r="M417" i="5"/>
  <c r="M415" i="5"/>
  <c r="M413" i="5"/>
  <c r="M411" i="5"/>
  <c r="M409" i="5"/>
  <c r="M407" i="5"/>
  <c r="M405" i="5"/>
  <c r="M403" i="5"/>
  <c r="M401" i="5"/>
  <c r="M399" i="5"/>
  <c r="M397" i="5"/>
  <c r="M395" i="5"/>
  <c r="M393" i="5"/>
  <c r="M391" i="5"/>
  <c r="M389" i="5"/>
  <c r="M387" i="5"/>
  <c r="M385" i="5"/>
  <c r="M383" i="5"/>
  <c r="M381" i="5"/>
  <c r="M379" i="5"/>
  <c r="M377" i="5"/>
  <c r="M375" i="5"/>
  <c r="M371" i="5"/>
  <c r="M369" i="5"/>
  <c r="M367" i="5"/>
  <c r="M365" i="5"/>
  <c r="M363" i="5"/>
  <c r="M361" i="5"/>
  <c r="M359" i="5"/>
  <c r="M357" i="5"/>
  <c r="M355" i="5"/>
  <c r="M353" i="5"/>
  <c r="M351" i="5"/>
  <c r="M349" i="5"/>
  <c r="M347" i="5"/>
  <c r="M345" i="5"/>
  <c r="M343" i="5"/>
  <c r="M341" i="5"/>
  <c r="M339" i="5"/>
  <c r="M337" i="5"/>
  <c r="M335" i="5"/>
  <c r="M333" i="5"/>
  <c r="M331" i="5"/>
  <c r="M329" i="5"/>
  <c r="M326" i="5"/>
  <c r="M324" i="5"/>
  <c r="M322" i="5"/>
  <c r="M320" i="5"/>
  <c r="M318" i="5"/>
  <c r="M316" i="5"/>
  <c r="M314" i="5"/>
  <c r="M312" i="5"/>
  <c r="M310" i="5"/>
  <c r="M308" i="5"/>
  <c r="M306" i="5"/>
  <c r="M304" i="5"/>
  <c r="M302" i="5"/>
  <c r="M300" i="5"/>
  <c r="M298" i="5"/>
  <c r="M296" i="5"/>
  <c r="M294" i="5"/>
  <c r="M292" i="5"/>
  <c r="M290" i="5"/>
  <c r="M288" i="5"/>
  <c r="M286" i="5"/>
  <c r="M284" i="5"/>
  <c r="M282" i="5"/>
  <c r="M280" i="5"/>
  <c r="M278" i="5"/>
  <c r="M276" i="5"/>
  <c r="M274" i="5"/>
  <c r="M272" i="5"/>
  <c r="M270" i="5"/>
  <c r="M268" i="5"/>
  <c r="M266" i="5"/>
  <c r="M264" i="5"/>
  <c r="M262" i="5"/>
  <c r="M260" i="5"/>
  <c r="M258" i="5"/>
  <c r="M256" i="5"/>
  <c r="M254" i="5"/>
  <c r="M252" i="5"/>
  <c r="M250" i="5"/>
  <c r="M248" i="5"/>
  <c r="M246" i="5"/>
  <c r="M244" i="5"/>
  <c r="M242" i="5"/>
  <c r="M240" i="5"/>
  <c r="M238" i="5"/>
  <c r="M236" i="5"/>
  <c r="M234" i="5"/>
  <c r="M232" i="5"/>
  <c r="M230" i="5"/>
  <c r="M228" i="5"/>
  <c r="M226" i="5"/>
  <c r="M224" i="5"/>
  <c r="M222" i="5"/>
  <c r="M220" i="5"/>
  <c r="M218" i="5"/>
  <c r="M216" i="5"/>
  <c r="M214" i="5"/>
  <c r="M212" i="5"/>
  <c r="M210" i="5"/>
  <c r="M208" i="5"/>
  <c r="M206" i="5"/>
  <c r="M204" i="5"/>
  <c r="M202" i="5"/>
  <c r="M200" i="5"/>
  <c r="M198" i="5"/>
  <c r="M196" i="5"/>
  <c r="M194" i="5"/>
  <c r="M192" i="5"/>
  <c r="M190" i="5"/>
  <c r="M188" i="5"/>
  <c r="M186" i="5"/>
  <c r="M184" i="5"/>
  <c r="M182" i="5"/>
  <c r="M180" i="5"/>
  <c r="M178" i="5"/>
  <c r="M176" i="5"/>
  <c r="M174" i="5"/>
  <c r="M172" i="5"/>
  <c r="M170" i="5"/>
  <c r="M168" i="5"/>
  <c r="M166" i="5"/>
  <c r="M164" i="5"/>
  <c r="M162" i="5"/>
  <c r="M160" i="5"/>
  <c r="M158" i="5"/>
  <c r="M156" i="5"/>
  <c r="M154" i="5"/>
  <c r="M152" i="5"/>
  <c r="M150" i="5"/>
  <c r="M148" i="5"/>
  <c r="M146" i="5"/>
  <c r="M144" i="5"/>
  <c r="M142" i="5"/>
  <c r="M140" i="5"/>
  <c r="M138" i="5"/>
  <c r="M136" i="5"/>
  <c r="M134" i="5"/>
  <c r="M132" i="5"/>
  <c r="M130" i="5"/>
  <c r="M128" i="5"/>
  <c r="M126" i="5"/>
  <c r="M124" i="5"/>
  <c r="M122" i="5"/>
  <c r="M120" i="5"/>
  <c r="M118" i="5"/>
  <c r="M116" i="5"/>
  <c r="M114" i="5"/>
  <c r="M112" i="5"/>
  <c r="M110" i="5"/>
  <c r="M108" i="5"/>
  <c r="M106" i="5"/>
  <c r="M104" i="5"/>
  <c r="M102" i="5"/>
  <c r="M100" i="5"/>
  <c r="M98" i="5"/>
  <c r="M96" i="5"/>
  <c r="M94" i="5"/>
  <c r="M92" i="5"/>
  <c r="M90" i="5"/>
  <c r="M88" i="5"/>
  <c r="M86" i="5"/>
  <c r="M84" i="5"/>
  <c r="M82" i="5"/>
  <c r="M80" i="5"/>
  <c r="M78" i="5"/>
  <c r="M76" i="5"/>
  <c r="M64" i="5"/>
  <c r="M62" i="5"/>
  <c r="M60" i="5"/>
  <c r="M58" i="5"/>
  <c r="M56" i="5"/>
  <c r="M54" i="5"/>
  <c r="M52" i="5"/>
  <c r="M50" i="5"/>
  <c r="M48" i="5"/>
  <c r="M46" i="5"/>
  <c r="M44" i="5"/>
  <c r="M42" i="5"/>
  <c r="M40" i="5"/>
  <c r="M38" i="5"/>
  <c r="M36" i="5"/>
  <c r="M34" i="5"/>
  <c r="M32" i="5"/>
  <c r="M30" i="5"/>
  <c r="M28" i="5"/>
  <c r="M26" i="5"/>
  <c r="M24" i="5"/>
  <c r="M22" i="5"/>
  <c r="M20" i="5"/>
  <c r="M18" i="5"/>
  <c r="M16" i="5"/>
  <c r="M14" i="5"/>
  <c r="M12" i="5"/>
  <c r="M10" i="5"/>
  <c r="M8" i="5"/>
  <c r="M6" i="5"/>
  <c r="M4" i="5"/>
  <c r="N4" i="5" s="1"/>
  <c r="M6" i="6" l="1"/>
  <c r="M96" i="6"/>
  <c r="M178" i="6"/>
  <c r="M270" i="6"/>
  <c r="M353" i="6"/>
  <c r="M401" i="6"/>
  <c r="M8" i="6"/>
  <c r="M98" i="6"/>
  <c r="M144" i="6"/>
  <c r="M226" i="6"/>
  <c r="M318" i="6"/>
  <c r="M403" i="6"/>
  <c r="M54" i="6"/>
  <c r="M192" i="6"/>
  <c r="M238" i="6"/>
  <c r="M320" i="6"/>
  <c r="M367" i="6"/>
  <c r="M405" i="6"/>
  <c r="M20" i="6"/>
  <c r="M112" i="6"/>
  <c r="M194" i="6"/>
  <c r="M286" i="6"/>
  <c r="M417" i="6"/>
  <c r="M22" i="6"/>
  <c r="M78" i="6"/>
  <c r="M114" i="6"/>
  <c r="M160" i="6"/>
  <c r="M206" i="6"/>
  <c r="M242" i="6"/>
  <c r="M288" i="6"/>
  <c r="M335" i="6"/>
  <c r="M371" i="6"/>
  <c r="M423" i="6"/>
  <c r="M56" i="6"/>
  <c r="M158" i="6"/>
  <c r="M240" i="6"/>
  <c r="M322" i="6"/>
  <c r="M369" i="6"/>
  <c r="M24" i="6"/>
  <c r="M80" i="6"/>
  <c r="M126" i="6"/>
  <c r="M162" i="6"/>
  <c r="M208" i="6"/>
  <c r="M254" i="6"/>
  <c r="M290" i="6"/>
  <c r="M337" i="6"/>
  <c r="M385" i="6"/>
  <c r="M425" i="6"/>
  <c r="M40" i="6"/>
  <c r="M142" i="6"/>
  <c r="M224" i="6"/>
  <c r="M306" i="6"/>
  <c r="M459" i="6"/>
  <c r="M52" i="6"/>
  <c r="M190" i="6"/>
  <c r="M272" i="6"/>
  <c r="M355" i="6"/>
  <c r="M10" i="6"/>
  <c r="M110" i="6"/>
  <c r="M146" i="6"/>
  <c r="M274" i="6"/>
  <c r="M36" i="6"/>
  <c r="M82" i="6"/>
  <c r="M128" i="6"/>
  <c r="M174" i="6"/>
  <c r="M210" i="6"/>
  <c r="M256" i="6"/>
  <c r="M302" i="6"/>
  <c r="M339" i="6"/>
  <c r="M387" i="6"/>
  <c r="M441" i="6"/>
  <c r="M4" i="6"/>
  <c r="N4" i="6" s="1"/>
  <c r="N6" i="6" s="1"/>
  <c r="N8" i="6" s="1"/>
  <c r="N10" i="6" s="1"/>
  <c r="N12" i="6" s="1"/>
  <c r="N14" i="6" s="1"/>
  <c r="N16" i="6" s="1"/>
  <c r="N18" i="6" s="1"/>
  <c r="N20" i="6" s="1"/>
  <c r="N22" i="6" s="1"/>
  <c r="N24" i="6" s="1"/>
  <c r="N26" i="6" s="1"/>
  <c r="N28" i="6" s="1"/>
  <c r="N30" i="6" s="1"/>
  <c r="N32" i="6" s="1"/>
  <c r="N34" i="6" s="1"/>
  <c r="N36" i="6" s="1"/>
  <c r="N38" i="6" s="1"/>
  <c r="N40" i="6" s="1"/>
  <c r="N42" i="6" s="1"/>
  <c r="N44" i="6" s="1"/>
  <c r="N46" i="6" s="1"/>
  <c r="N48" i="6" s="1"/>
  <c r="N50" i="6" s="1"/>
  <c r="N52" i="6" s="1"/>
  <c r="N54" i="6" s="1"/>
  <c r="N56" i="6" s="1"/>
  <c r="N58" i="6" s="1"/>
  <c r="N60" i="6" s="1"/>
  <c r="N62" i="6" s="1"/>
  <c r="N64" i="6" s="1"/>
  <c r="N76" i="6" s="1"/>
  <c r="N78" i="6" s="1"/>
  <c r="N80" i="6" s="1"/>
  <c r="N82" i="6" s="1"/>
  <c r="N84" i="6" s="1"/>
  <c r="N86" i="6" s="1"/>
  <c r="N88" i="6" s="1"/>
  <c r="N90" i="6" s="1"/>
  <c r="N92" i="6" s="1"/>
  <c r="N94" i="6" s="1"/>
  <c r="N96" i="6" s="1"/>
  <c r="N98" i="6" s="1"/>
  <c r="N100" i="6" s="1"/>
  <c r="N102" i="6" s="1"/>
  <c r="N104" i="6" s="1"/>
  <c r="N106" i="6" s="1"/>
  <c r="N108" i="6" s="1"/>
  <c r="N110" i="6" s="1"/>
  <c r="N112" i="6" s="1"/>
  <c r="N114" i="6" s="1"/>
  <c r="N116" i="6" s="1"/>
  <c r="N118" i="6" s="1"/>
  <c r="N120" i="6" s="1"/>
  <c r="N122" i="6" s="1"/>
  <c r="N124" i="6" s="1"/>
  <c r="N126" i="6" s="1"/>
  <c r="N128" i="6" s="1"/>
  <c r="N130" i="6" s="1"/>
  <c r="N132" i="6" s="1"/>
  <c r="N134" i="6" s="1"/>
  <c r="N136" i="6" s="1"/>
  <c r="N138" i="6" s="1"/>
  <c r="N140" i="6" s="1"/>
  <c r="N142" i="6" s="1"/>
  <c r="N144" i="6" s="1"/>
  <c r="N146" i="6" s="1"/>
  <c r="N148" i="6" s="1"/>
  <c r="N150" i="6" s="1"/>
  <c r="N152" i="6" s="1"/>
  <c r="N154" i="6" s="1"/>
  <c r="N156" i="6" s="1"/>
  <c r="N158" i="6" s="1"/>
  <c r="N160" i="6" s="1"/>
  <c r="N162" i="6" s="1"/>
  <c r="N164" i="6" s="1"/>
  <c r="N166" i="6" s="1"/>
  <c r="N168" i="6" s="1"/>
  <c r="N170" i="6" s="1"/>
  <c r="N172" i="6" s="1"/>
  <c r="N174" i="6" s="1"/>
  <c r="N176" i="6" s="1"/>
  <c r="N178" i="6" s="1"/>
  <c r="N180" i="6" s="1"/>
  <c r="N182" i="6" s="1"/>
  <c r="N184" i="6" s="1"/>
  <c r="N186" i="6" s="1"/>
  <c r="N188" i="6" s="1"/>
  <c r="N190" i="6" s="1"/>
  <c r="N192" i="6" s="1"/>
  <c r="N194" i="6" s="1"/>
  <c r="N196" i="6" s="1"/>
  <c r="N198" i="6" s="1"/>
  <c r="N200" i="6" s="1"/>
  <c r="N202" i="6" s="1"/>
  <c r="N204" i="6" s="1"/>
  <c r="N206" i="6" s="1"/>
  <c r="N208" i="6" s="1"/>
  <c r="N210" i="6" s="1"/>
  <c r="N212" i="6" s="1"/>
  <c r="N214" i="6" s="1"/>
  <c r="N216" i="6" s="1"/>
  <c r="N218" i="6" s="1"/>
  <c r="N220" i="6" s="1"/>
  <c r="N222" i="6" s="1"/>
  <c r="N224" i="6" s="1"/>
  <c r="N226" i="6" s="1"/>
  <c r="N228" i="6" s="1"/>
  <c r="N230" i="6" s="1"/>
  <c r="N232" i="6" s="1"/>
  <c r="N234" i="6" s="1"/>
  <c r="N236" i="6" s="1"/>
  <c r="N238" i="6" s="1"/>
  <c r="N240" i="6" s="1"/>
  <c r="N242" i="6" s="1"/>
  <c r="N244" i="6" s="1"/>
  <c r="N246" i="6" s="1"/>
  <c r="N248" i="6" s="1"/>
  <c r="N250" i="6" s="1"/>
  <c r="N252" i="6" s="1"/>
  <c r="N254" i="6" s="1"/>
  <c r="N256" i="6" s="1"/>
  <c r="N258" i="6" s="1"/>
  <c r="N260" i="6" s="1"/>
  <c r="N262" i="6" s="1"/>
  <c r="N264" i="6" s="1"/>
  <c r="N266" i="6" s="1"/>
  <c r="N268" i="6" s="1"/>
  <c r="N270" i="6" s="1"/>
  <c r="N272" i="6" s="1"/>
  <c r="N274" i="6" s="1"/>
  <c r="N276" i="6" s="1"/>
  <c r="N278" i="6" s="1"/>
  <c r="N280" i="6" s="1"/>
  <c r="N282" i="6" s="1"/>
  <c r="N284" i="6" s="1"/>
  <c r="N286" i="6" s="1"/>
  <c r="N288" i="6" s="1"/>
  <c r="N290" i="6" s="1"/>
  <c r="N292" i="6" s="1"/>
  <c r="N294" i="6" s="1"/>
  <c r="N296" i="6" s="1"/>
  <c r="N298" i="6" s="1"/>
  <c r="N300" i="6" s="1"/>
  <c r="N302" i="6" s="1"/>
  <c r="N304" i="6" s="1"/>
  <c r="N306" i="6" s="1"/>
  <c r="N308" i="6" s="1"/>
  <c r="N310" i="6" s="1"/>
  <c r="N312" i="6" s="1"/>
  <c r="N314" i="6" s="1"/>
  <c r="N316" i="6" s="1"/>
  <c r="N318" i="6" s="1"/>
  <c r="N320" i="6" s="1"/>
  <c r="N322" i="6" s="1"/>
  <c r="N324" i="6" s="1"/>
  <c r="N326" i="6" s="1"/>
  <c r="N329" i="6" s="1"/>
  <c r="N331" i="6" s="1"/>
  <c r="N333" i="6" s="1"/>
  <c r="N335" i="6" s="1"/>
  <c r="N337" i="6" s="1"/>
  <c r="N339" i="6" s="1"/>
  <c r="N341" i="6" s="1"/>
  <c r="N343" i="6" s="1"/>
  <c r="N345" i="6" s="1"/>
  <c r="N347" i="6" s="1"/>
  <c r="N349" i="6" s="1"/>
  <c r="N351" i="6" s="1"/>
  <c r="N353" i="6" s="1"/>
  <c r="N355" i="6" s="1"/>
  <c r="N357" i="6" s="1"/>
  <c r="N359" i="6" s="1"/>
  <c r="N361" i="6" s="1"/>
  <c r="N363" i="6" s="1"/>
  <c r="N365" i="6" s="1"/>
  <c r="N367" i="6" s="1"/>
  <c r="N369" i="6" s="1"/>
  <c r="N371" i="6" s="1"/>
  <c r="N375" i="6" s="1"/>
  <c r="N377" i="6" s="1"/>
  <c r="N379" i="6" s="1"/>
  <c r="N381" i="6" s="1"/>
  <c r="N383" i="6" s="1"/>
  <c r="N385" i="6" s="1"/>
  <c r="N387" i="6" s="1"/>
  <c r="N389" i="6" s="1"/>
  <c r="N391" i="6" s="1"/>
  <c r="N393" i="6" s="1"/>
  <c r="N395" i="6" s="1"/>
  <c r="N397" i="6" s="1"/>
  <c r="N399" i="6" s="1"/>
  <c r="N401" i="6" s="1"/>
  <c r="N403" i="6" s="1"/>
  <c r="N405" i="6" s="1"/>
  <c r="N407" i="6" s="1"/>
  <c r="N409" i="6" s="1"/>
  <c r="N411" i="6" s="1"/>
  <c r="N413" i="6" s="1"/>
  <c r="N415" i="6" s="1"/>
  <c r="N417" i="6" s="1"/>
  <c r="N423" i="6" s="1"/>
  <c r="N425" i="6" s="1"/>
  <c r="N427" i="6" s="1"/>
  <c r="N429" i="6" s="1"/>
  <c r="N431" i="6" s="1"/>
  <c r="N435" i="6" s="1"/>
  <c r="N439" i="6" s="1"/>
  <c r="N441" i="6" s="1"/>
  <c r="N443" i="6" s="1"/>
  <c r="N445" i="6" s="1"/>
  <c r="N447" i="6" s="1"/>
  <c r="N449" i="6" s="1"/>
  <c r="N451" i="6" s="1"/>
  <c r="N453" i="6" s="1"/>
  <c r="N455" i="6" s="1"/>
  <c r="N457" i="6" s="1"/>
  <c r="N459" i="6" s="1"/>
  <c r="N461" i="6" s="1"/>
  <c r="N471" i="6" s="1"/>
  <c r="N473" i="6" s="1"/>
  <c r="N475" i="6" s="1"/>
  <c r="N477" i="6" s="1"/>
  <c r="N479" i="6" s="1"/>
  <c r="N485" i="6" s="1"/>
  <c r="N489" i="6" s="1"/>
  <c r="N493" i="6" s="1"/>
  <c r="N501" i="6" s="1"/>
  <c r="N503" i="6" s="1"/>
  <c r="N505" i="6" s="1"/>
  <c r="N507" i="6" s="1"/>
  <c r="N509" i="6" s="1"/>
  <c r="N511" i="6" s="1"/>
  <c r="N517" i="6" s="1"/>
  <c r="N519" i="6" s="1"/>
  <c r="N521" i="6" s="1"/>
  <c r="N523" i="6" s="1"/>
  <c r="N525" i="6" s="1"/>
  <c r="N529" i="6" s="1"/>
  <c r="N531" i="6" s="1"/>
  <c r="N533" i="6" s="1"/>
  <c r="N535" i="6" s="1"/>
  <c r="N537" i="6" s="1"/>
  <c r="N563" i="6" s="1"/>
  <c r="M38" i="6"/>
  <c r="M94" i="6"/>
  <c r="M130" i="6"/>
  <c r="M176" i="6"/>
  <c r="M222" i="6"/>
  <c r="M258" i="6"/>
  <c r="M304" i="6"/>
  <c r="M351" i="6"/>
  <c r="M389" i="6"/>
  <c r="M443" i="6"/>
  <c r="M48" i="6"/>
  <c r="M90" i="6"/>
  <c r="M154" i="6"/>
  <c r="M347" i="6"/>
  <c r="M16" i="6"/>
  <c r="M32" i="6"/>
  <c r="M64" i="6"/>
  <c r="M106" i="6"/>
  <c r="M122" i="6"/>
  <c r="M138" i="6"/>
  <c r="M170" i="6"/>
  <c r="M186" i="6"/>
  <c r="M202" i="6"/>
  <c r="M218" i="6"/>
  <c r="M234" i="6"/>
  <c r="M250" i="6"/>
  <c r="M266" i="6"/>
  <c r="M282" i="6"/>
  <c r="M298" i="6"/>
  <c r="M314" i="6"/>
  <c r="M331" i="6"/>
  <c r="M363" i="6"/>
  <c r="M381" i="6"/>
  <c r="M397" i="6"/>
  <c r="M413" i="6"/>
  <c r="M435" i="6"/>
  <c r="M453" i="6"/>
  <c r="M477" i="6"/>
  <c r="M509" i="6"/>
  <c r="M533" i="6"/>
  <c r="M18" i="6"/>
  <c r="M34" i="6"/>
  <c r="M50" i="6"/>
  <c r="M76" i="6"/>
  <c r="M92" i="6"/>
  <c r="M108" i="6"/>
  <c r="M124" i="6"/>
  <c r="M140" i="6"/>
  <c r="M156" i="6"/>
  <c r="M172" i="6"/>
  <c r="M188" i="6"/>
  <c r="M204" i="6"/>
  <c r="M220" i="6"/>
  <c r="M236" i="6"/>
  <c r="M252" i="6"/>
  <c r="M268" i="6"/>
  <c r="M284" i="6"/>
  <c r="M300" i="6"/>
  <c r="M316" i="6"/>
  <c r="M333" i="6"/>
  <c r="M349" i="6"/>
  <c r="M365" i="6"/>
  <c r="M383" i="6"/>
  <c r="M399" i="6"/>
  <c r="M415" i="6"/>
  <c r="M439" i="6"/>
  <c r="M455" i="6"/>
  <c r="M479" i="6"/>
  <c r="M531" i="6"/>
  <c r="M517" i="6"/>
  <c r="M457" i="6"/>
  <c r="M485" i="6"/>
  <c r="M511" i="6"/>
  <c r="M535" i="6"/>
  <c r="M489" i="6"/>
  <c r="M493" i="6"/>
  <c r="M519" i="6"/>
  <c r="M445" i="6"/>
  <c r="M461" i="6"/>
  <c r="M529" i="6"/>
  <c r="M537" i="6"/>
  <c r="M100" i="6"/>
  <c r="M324" i="6"/>
  <c r="M12" i="6"/>
  <c r="M28" i="6"/>
  <c r="M44" i="6"/>
  <c r="M60" i="6"/>
  <c r="M86" i="6"/>
  <c r="M102" i="6"/>
  <c r="M118" i="6"/>
  <c r="M134" i="6"/>
  <c r="M150" i="6"/>
  <c r="M166" i="6"/>
  <c r="M182" i="6"/>
  <c r="M198" i="6"/>
  <c r="M214" i="6"/>
  <c r="M230" i="6"/>
  <c r="M246" i="6"/>
  <c r="M262" i="6"/>
  <c r="M278" i="6"/>
  <c r="M294" i="6"/>
  <c r="M310" i="6"/>
  <c r="M326" i="6"/>
  <c r="M343" i="6"/>
  <c r="M359" i="6"/>
  <c r="M377" i="6"/>
  <c r="M393" i="6"/>
  <c r="M409" i="6"/>
  <c r="M429" i="6"/>
  <c r="M449" i="6"/>
  <c r="M473" i="6"/>
  <c r="M505" i="6"/>
  <c r="M503" i="6"/>
  <c r="M563" i="6"/>
  <c r="M26" i="6"/>
  <c r="M42" i="6"/>
  <c r="M58" i="6"/>
  <c r="M84" i="6"/>
  <c r="M116" i="6"/>
  <c r="M132" i="6"/>
  <c r="M148" i="6"/>
  <c r="M164" i="6"/>
  <c r="M180" i="6"/>
  <c r="M196" i="6"/>
  <c r="M212" i="6"/>
  <c r="M228" i="6"/>
  <c r="M244" i="6"/>
  <c r="M260" i="6"/>
  <c r="M276" i="6"/>
  <c r="M292" i="6"/>
  <c r="M308" i="6"/>
  <c r="M341" i="6"/>
  <c r="M357" i="6"/>
  <c r="M375" i="6"/>
  <c r="M391" i="6"/>
  <c r="M407" i="6"/>
  <c r="M427" i="6"/>
  <c r="M447" i="6"/>
  <c r="M471" i="6"/>
  <c r="M501" i="6"/>
  <c r="M521" i="6"/>
  <c r="M14" i="6"/>
  <c r="M30" i="6"/>
  <c r="M46" i="6"/>
  <c r="M62" i="6"/>
  <c r="M88" i="6"/>
  <c r="M104" i="6"/>
  <c r="M120" i="6"/>
  <c r="M136" i="6"/>
  <c r="M152" i="6"/>
  <c r="M168" i="6"/>
  <c r="M184" i="6"/>
  <c r="M200" i="6"/>
  <c r="M216" i="6"/>
  <c r="M232" i="6"/>
  <c r="M248" i="6"/>
  <c r="M264" i="6"/>
  <c r="M280" i="6"/>
  <c r="M296" i="6"/>
  <c r="M312" i="6"/>
  <c r="M329" i="6"/>
  <c r="M345" i="6"/>
  <c r="M361" i="6"/>
  <c r="M379" i="6"/>
  <c r="M395" i="6"/>
  <c r="M411" i="6"/>
  <c r="M431" i="6"/>
  <c r="M451" i="6"/>
  <c r="M475" i="6"/>
  <c r="M525" i="6"/>
  <c r="M523" i="6"/>
  <c r="N6" i="5"/>
  <c r="N8" i="5" s="1"/>
  <c r="N10" i="5" s="1"/>
  <c r="N12" i="5" s="1"/>
  <c r="N14" i="5" s="1"/>
  <c r="N16" i="5" s="1"/>
  <c r="N18" i="5" s="1"/>
  <c r="N20" i="5" s="1"/>
  <c r="N22" i="5" s="1"/>
  <c r="N24" i="5" s="1"/>
  <c r="N26" i="5" s="1"/>
  <c r="N28" i="5" s="1"/>
  <c r="N30" i="5" s="1"/>
  <c r="N32" i="5" s="1"/>
  <c r="N34" i="5" s="1"/>
  <c r="N36" i="5" s="1"/>
  <c r="N38" i="5" s="1"/>
  <c r="N40" i="5" s="1"/>
  <c r="N42" i="5" s="1"/>
  <c r="N44" i="5" s="1"/>
  <c r="N46" i="5" s="1"/>
  <c r="N48" i="5" s="1"/>
  <c r="N50" i="5" s="1"/>
  <c r="N52" i="5" s="1"/>
  <c r="N54" i="5" s="1"/>
  <c r="N56" i="5" s="1"/>
  <c r="N58" i="5" s="1"/>
  <c r="N60" i="5" s="1"/>
  <c r="N62" i="5" s="1"/>
  <c r="N64" i="5" s="1"/>
  <c r="N76" i="5" s="1"/>
  <c r="N78" i="5" s="1"/>
  <c r="N80" i="5" s="1"/>
  <c r="N82" i="5" s="1"/>
  <c r="N84" i="5" s="1"/>
  <c r="N86" i="5" s="1"/>
  <c r="N88" i="5" s="1"/>
  <c r="N90" i="5" s="1"/>
  <c r="N92" i="5" s="1"/>
  <c r="N94" i="5" s="1"/>
  <c r="N96" i="5" s="1"/>
  <c r="N98" i="5" s="1"/>
  <c r="N100" i="5" s="1"/>
  <c r="N102" i="5" s="1"/>
  <c r="N104" i="5" s="1"/>
  <c r="N106" i="5" s="1"/>
  <c r="N108" i="5" s="1"/>
  <c r="N110" i="5" s="1"/>
  <c r="N112" i="5" s="1"/>
  <c r="N114" i="5" s="1"/>
  <c r="N116" i="5" s="1"/>
  <c r="N118" i="5" s="1"/>
  <c r="N120" i="5" s="1"/>
  <c r="N122" i="5" s="1"/>
  <c r="N124" i="5" s="1"/>
  <c r="N126" i="5" s="1"/>
  <c r="N128" i="5" s="1"/>
  <c r="N130" i="5" s="1"/>
  <c r="N132" i="5" s="1"/>
  <c r="N134" i="5" s="1"/>
  <c r="N136" i="5" s="1"/>
  <c r="N138" i="5" s="1"/>
  <c r="N140" i="5" s="1"/>
  <c r="N142" i="5" s="1"/>
  <c r="N144" i="5" s="1"/>
  <c r="N146" i="5" s="1"/>
  <c r="N148" i="5" s="1"/>
  <c r="N150" i="5" s="1"/>
  <c r="N152" i="5" s="1"/>
  <c r="N154" i="5" s="1"/>
  <c r="N156" i="5" s="1"/>
  <c r="N158" i="5" s="1"/>
  <c r="N160" i="5" s="1"/>
  <c r="N162" i="5" s="1"/>
  <c r="N164" i="5" s="1"/>
  <c r="N166" i="5" s="1"/>
  <c r="N168" i="5" s="1"/>
  <c r="N170" i="5" s="1"/>
  <c r="N172" i="5" s="1"/>
  <c r="N174" i="5" s="1"/>
  <c r="N176" i="5" s="1"/>
  <c r="N178" i="5" s="1"/>
  <c r="N180" i="5" s="1"/>
  <c r="N182" i="5" s="1"/>
  <c r="N184" i="5" s="1"/>
  <c r="N186" i="5" s="1"/>
  <c r="N188" i="5" s="1"/>
  <c r="N190" i="5" s="1"/>
  <c r="N192" i="5" s="1"/>
  <c r="N194" i="5" s="1"/>
  <c r="N196" i="5" s="1"/>
  <c r="N198" i="5" s="1"/>
  <c r="N200" i="5" s="1"/>
  <c r="N202" i="5" s="1"/>
  <c r="N204" i="5" s="1"/>
  <c r="N206" i="5" s="1"/>
  <c r="N208" i="5" s="1"/>
  <c r="N210" i="5" s="1"/>
  <c r="N212" i="5" s="1"/>
  <c r="N214" i="5" s="1"/>
  <c r="N216" i="5" s="1"/>
  <c r="N218" i="5" s="1"/>
  <c r="N220" i="5" s="1"/>
  <c r="N222" i="5" s="1"/>
  <c r="N224" i="5" s="1"/>
  <c r="N226" i="5" s="1"/>
  <c r="N228" i="5" s="1"/>
  <c r="N230" i="5" s="1"/>
  <c r="N232" i="5" s="1"/>
  <c r="N234" i="5" s="1"/>
  <c r="N236" i="5" s="1"/>
  <c r="N238" i="5" s="1"/>
  <c r="N240" i="5" s="1"/>
  <c r="N242" i="5" s="1"/>
  <c r="N244" i="5" s="1"/>
  <c r="N246" i="5" s="1"/>
  <c r="N248" i="5" s="1"/>
  <c r="N250" i="5" s="1"/>
  <c r="N252" i="5" s="1"/>
  <c r="N254" i="5" s="1"/>
  <c r="N256" i="5" s="1"/>
  <c r="N258" i="5" s="1"/>
  <c r="N260" i="5" s="1"/>
  <c r="N262" i="5" s="1"/>
  <c r="N264" i="5" s="1"/>
  <c r="N266" i="5" s="1"/>
  <c r="N268" i="5" s="1"/>
  <c r="N270" i="5" s="1"/>
  <c r="N272" i="5" s="1"/>
  <c r="N274" i="5" s="1"/>
  <c r="N276" i="5" s="1"/>
  <c r="N278" i="5" s="1"/>
  <c r="N280" i="5" s="1"/>
  <c r="N282" i="5" s="1"/>
  <c r="N284" i="5" s="1"/>
  <c r="N286" i="5" s="1"/>
  <c r="N288" i="5" s="1"/>
  <c r="N290" i="5" s="1"/>
  <c r="N292" i="5" s="1"/>
  <c r="N294" i="5" s="1"/>
  <c r="N296" i="5" s="1"/>
  <c r="N298" i="5" s="1"/>
  <c r="N300" i="5" s="1"/>
  <c r="N302" i="5" s="1"/>
  <c r="N304" i="5" s="1"/>
  <c r="N306" i="5" s="1"/>
  <c r="N308" i="5" s="1"/>
  <c r="N310" i="5" s="1"/>
  <c r="N312" i="5" s="1"/>
  <c r="N314" i="5" s="1"/>
  <c r="N316" i="5" s="1"/>
  <c r="N318" i="5" s="1"/>
  <c r="N320" i="5" s="1"/>
  <c r="N322" i="5" s="1"/>
  <c r="N324" i="5" s="1"/>
  <c r="N326" i="5" s="1"/>
  <c r="N329" i="5" s="1"/>
  <c r="N331" i="5" s="1"/>
  <c r="N333" i="5" s="1"/>
  <c r="N335" i="5" s="1"/>
  <c r="N337" i="5" s="1"/>
  <c r="N339" i="5" s="1"/>
  <c r="N341" i="5" s="1"/>
  <c r="N343" i="5" s="1"/>
  <c r="N345" i="5" s="1"/>
  <c r="N347" i="5" s="1"/>
  <c r="N349" i="5" s="1"/>
  <c r="N351" i="5" s="1"/>
  <c r="N353" i="5" s="1"/>
  <c r="N355" i="5" s="1"/>
  <c r="N357" i="5" s="1"/>
  <c r="N359" i="5" s="1"/>
  <c r="N361" i="5" s="1"/>
  <c r="N363" i="5" s="1"/>
  <c r="N365" i="5" s="1"/>
  <c r="N367" i="5" s="1"/>
  <c r="N369" i="5" s="1"/>
  <c r="N371" i="5" s="1"/>
  <c r="N375" i="5" s="1"/>
  <c r="N377" i="5" s="1"/>
  <c r="N379" i="5" s="1"/>
  <c r="N381" i="5" s="1"/>
  <c r="N383" i="5" s="1"/>
  <c r="N385" i="5" s="1"/>
  <c r="N387" i="5" s="1"/>
  <c r="N389" i="5" s="1"/>
  <c r="N391" i="5" s="1"/>
  <c r="N393" i="5" s="1"/>
  <c r="N395" i="5" s="1"/>
  <c r="N397" i="5" s="1"/>
  <c r="N399" i="5" s="1"/>
  <c r="N401" i="5" s="1"/>
  <c r="N403" i="5" s="1"/>
  <c r="N405" i="5" s="1"/>
  <c r="N407" i="5" s="1"/>
  <c r="N409" i="5" s="1"/>
  <c r="N411" i="5" s="1"/>
  <c r="N413" i="5" s="1"/>
  <c r="N415" i="5" s="1"/>
  <c r="N417" i="5" s="1"/>
  <c r="N423" i="5" s="1"/>
  <c r="N425" i="5" s="1"/>
  <c r="N427" i="5" s="1"/>
  <c r="N429" i="5" s="1"/>
  <c r="N431" i="5" s="1"/>
  <c r="N435" i="5" s="1"/>
  <c r="N439" i="5" s="1"/>
  <c r="N441" i="5" s="1"/>
  <c r="N443" i="5" s="1"/>
  <c r="N445" i="5" s="1"/>
  <c r="N447" i="5" s="1"/>
  <c r="N449" i="5" s="1"/>
  <c r="N451" i="5" s="1"/>
  <c r="N453" i="5" s="1"/>
  <c r="N455" i="5" s="1"/>
  <c r="N457" i="5" s="1"/>
  <c r="N459" i="5" s="1"/>
  <c r="N461" i="5" s="1"/>
  <c r="N471" i="5" s="1"/>
  <c r="N473" i="5" s="1"/>
  <c r="N475" i="5" s="1"/>
  <c r="N477" i="5" s="1"/>
  <c r="N479" i="5" s="1"/>
  <c r="N485" i="5" s="1"/>
  <c r="N489" i="5" s="1"/>
  <c r="N493" i="5" s="1"/>
  <c r="N501" i="5" s="1"/>
  <c r="N503" i="5" s="1"/>
  <c r="N505" i="5" s="1"/>
  <c r="N507" i="5" s="1"/>
  <c r="N509" i="5" s="1"/>
  <c r="N511" i="5" s="1"/>
  <c r="N517" i="5" s="1"/>
  <c r="N519" i="5" s="1"/>
  <c r="N521" i="5" s="1"/>
  <c r="N523" i="5" s="1"/>
  <c r="N525" i="5" s="1"/>
  <c r="N529" i="5" s="1"/>
  <c r="N531" i="5" s="1"/>
  <c r="N533" i="5" s="1"/>
  <c r="N535" i="5" s="1"/>
  <c r="N537" i="5" s="1"/>
  <c r="N563" i="5" s="1"/>
  <c r="M529" i="7"/>
  <c r="M531" i="7"/>
  <c r="M535" i="7"/>
  <c r="M519" i="7"/>
  <c r="M537" i="7"/>
  <c r="M521" i="7"/>
  <c r="M523" i="7"/>
  <c r="M525" i="7"/>
  <c r="M533" i="7"/>
  <c r="M517" i="7"/>
  <c r="M503" i="7"/>
  <c r="M509" i="7"/>
  <c r="M505" i="7"/>
  <c r="M507" i="7"/>
  <c r="M511" i="7"/>
  <c r="M501" i="7"/>
  <c r="M493" i="7"/>
  <c r="M58" i="7"/>
  <c r="M110" i="7"/>
  <c r="M154" i="7"/>
  <c r="M196" i="7"/>
  <c r="M238" i="7"/>
  <c r="M282" i="7"/>
  <c r="M324" i="7"/>
  <c r="M417" i="7"/>
  <c r="M20" i="7"/>
  <c r="M64" i="7"/>
  <c r="M116" i="7"/>
  <c r="M158" i="7"/>
  <c r="M202" i="7"/>
  <c r="M244" i="7"/>
  <c r="M286" i="7"/>
  <c r="M331" i="7"/>
  <c r="M375" i="7"/>
  <c r="M435" i="7"/>
  <c r="M94" i="7"/>
  <c r="M222" i="7"/>
  <c r="M308" i="7"/>
  <c r="M397" i="7"/>
  <c r="M48" i="7"/>
  <c r="M142" i="7"/>
  <c r="M228" i="7"/>
  <c r="M314" i="7"/>
  <c r="M401" i="7"/>
  <c r="M52" i="7"/>
  <c r="M148" i="7"/>
  <c r="M234" i="7"/>
  <c r="M363" i="7"/>
  <c r="M16" i="7"/>
  <c r="M367" i="7"/>
  <c r="M26" i="7"/>
  <c r="M78" i="7"/>
  <c r="M122" i="7"/>
  <c r="M164" i="7"/>
  <c r="M206" i="7"/>
  <c r="M250" i="7"/>
  <c r="M292" i="7"/>
  <c r="M335" i="7"/>
  <c r="M381" i="7"/>
  <c r="M441" i="7"/>
  <c r="M42" i="7"/>
  <c r="M138" i="7"/>
  <c r="M180" i="7"/>
  <c r="M266" i="7"/>
  <c r="M351" i="7"/>
  <c r="M4" i="7"/>
  <c r="N4" i="7" s="1"/>
  <c r="M100" i="7"/>
  <c r="M186" i="7"/>
  <c r="M270" i="7"/>
  <c r="M357" i="7"/>
  <c r="M10" i="7"/>
  <c r="M106" i="7"/>
  <c r="M190" i="7"/>
  <c r="M276" i="7"/>
  <c r="M318" i="7"/>
  <c r="M413" i="7"/>
  <c r="M32" i="7"/>
  <c r="M84" i="7"/>
  <c r="M126" i="7"/>
  <c r="M170" i="7"/>
  <c r="M212" i="7"/>
  <c r="M254" i="7"/>
  <c r="M298" i="7"/>
  <c r="M341" i="7"/>
  <c r="M385" i="7"/>
  <c r="M453" i="7"/>
  <c r="M36" i="7"/>
  <c r="M90" i="7"/>
  <c r="M132" i="7"/>
  <c r="M174" i="7"/>
  <c r="M218" i="7"/>
  <c r="M260" i="7"/>
  <c r="M302" i="7"/>
  <c r="M347" i="7"/>
  <c r="M391" i="7"/>
  <c r="M457" i="7"/>
  <c r="M477" i="7"/>
  <c r="M485" i="7"/>
  <c r="Z357" i="7"/>
  <c r="Z36" i="7"/>
  <c r="Z164" i="7"/>
  <c r="Z228" i="7"/>
  <c r="Z391" i="7"/>
  <c r="Z42" i="7"/>
  <c r="Z106" i="7"/>
  <c r="Z170" i="7"/>
  <c r="Z234" i="7"/>
  <c r="Z298" i="7"/>
  <c r="Z407" i="7"/>
  <c r="Z90" i="7"/>
  <c r="Z154" i="7"/>
  <c r="Z100" i="7"/>
  <c r="Z292" i="7"/>
  <c r="Z52" i="7"/>
  <c r="Z116" i="7"/>
  <c r="Z180" i="7"/>
  <c r="Z244" i="7"/>
  <c r="Z308" i="7"/>
  <c r="Z427" i="7"/>
  <c r="Z375" i="7"/>
  <c r="Z314" i="7"/>
  <c r="Z4" i="7"/>
  <c r="AA4" i="7" s="1"/>
  <c r="Z68" i="7"/>
  <c r="Z132" i="7"/>
  <c r="Z196" i="7"/>
  <c r="Z260" i="7"/>
  <c r="Z324" i="7"/>
  <c r="Z471" i="7"/>
  <c r="Z26" i="7"/>
  <c r="Z282" i="7"/>
  <c r="Z58" i="7"/>
  <c r="Z186" i="7"/>
  <c r="Z447" i="7"/>
  <c r="Z10" i="7"/>
  <c r="Z74" i="7"/>
  <c r="Z138" i="7"/>
  <c r="Z202" i="7"/>
  <c r="Z266" i="7"/>
  <c r="Z341" i="7"/>
  <c r="Z218" i="7"/>
  <c r="Z122" i="7"/>
  <c r="Z250" i="7"/>
  <c r="Z20" i="7"/>
  <c r="Z84" i="7"/>
  <c r="Z148" i="7"/>
  <c r="Z212" i="7"/>
  <c r="Z276" i="7"/>
  <c r="Z461" i="7"/>
  <c r="Z6" i="7"/>
  <c r="Z22" i="7"/>
  <c r="Z38" i="7"/>
  <c r="Z54" i="7"/>
  <c r="Z70" i="7"/>
  <c r="Z86" i="7"/>
  <c r="Z102" i="7"/>
  <c r="Z118" i="7"/>
  <c r="Z134" i="7"/>
  <c r="Z150" i="7"/>
  <c r="Z166" i="7"/>
  <c r="Z182" i="7"/>
  <c r="Z198" i="7"/>
  <c r="Z214" i="7"/>
  <c r="Z230" i="7"/>
  <c r="Z246" i="7"/>
  <c r="Z262" i="7"/>
  <c r="Z278" i="7"/>
  <c r="Z294" i="7"/>
  <c r="Z310" i="7"/>
  <c r="Z326" i="7"/>
  <c r="Z343" i="7"/>
  <c r="Z359" i="7"/>
  <c r="Z377" i="7"/>
  <c r="Z393" i="7"/>
  <c r="Z409" i="7"/>
  <c r="Z429" i="7"/>
  <c r="Z449" i="7"/>
  <c r="Z473" i="7"/>
  <c r="Z8" i="7"/>
  <c r="Z24" i="7"/>
  <c r="Z40" i="7"/>
  <c r="Z56" i="7"/>
  <c r="Z72" i="7"/>
  <c r="Z88" i="7"/>
  <c r="Z104" i="7"/>
  <c r="Z120" i="7"/>
  <c r="Z136" i="7"/>
  <c r="Z152" i="7"/>
  <c r="Z168" i="7"/>
  <c r="Z184" i="7"/>
  <c r="Z200" i="7"/>
  <c r="Z216" i="7"/>
  <c r="Z232" i="7"/>
  <c r="Z248" i="7"/>
  <c r="Z264" i="7"/>
  <c r="Z280" i="7"/>
  <c r="Z296" i="7"/>
  <c r="Z312" i="7"/>
  <c r="Z329" i="7"/>
  <c r="Z345" i="7"/>
  <c r="Z361" i="7"/>
  <c r="Z379" i="7"/>
  <c r="Z395" i="7"/>
  <c r="Z411" i="7"/>
  <c r="Z431" i="7"/>
  <c r="Z451" i="7"/>
  <c r="Z475" i="7"/>
  <c r="Z363" i="7"/>
  <c r="Z435" i="7"/>
  <c r="Z12" i="7"/>
  <c r="Z44" i="7"/>
  <c r="Z76" i="7"/>
  <c r="Z108" i="7"/>
  <c r="Z140" i="7"/>
  <c r="Z172" i="7"/>
  <c r="Z204" i="7"/>
  <c r="Z236" i="7"/>
  <c r="Z268" i="7"/>
  <c r="Z300" i="7"/>
  <c r="Z349" i="7"/>
  <c r="Z383" i="7"/>
  <c r="Z415" i="7"/>
  <c r="Z455" i="7"/>
  <c r="Z14" i="7"/>
  <c r="Z30" i="7"/>
  <c r="Z46" i="7"/>
  <c r="Z62" i="7"/>
  <c r="Z78" i="7"/>
  <c r="Z94" i="7"/>
  <c r="Z110" i="7"/>
  <c r="Z126" i="7"/>
  <c r="Z142" i="7"/>
  <c r="Z158" i="7"/>
  <c r="Z174" i="7"/>
  <c r="Z190" i="7"/>
  <c r="Z206" i="7"/>
  <c r="Z222" i="7"/>
  <c r="Z238" i="7"/>
  <c r="Z254" i="7"/>
  <c r="Z270" i="7"/>
  <c r="Z286" i="7"/>
  <c r="Z302" i="7"/>
  <c r="Z318" i="7"/>
  <c r="Z335" i="7"/>
  <c r="Z351" i="7"/>
  <c r="Z367" i="7"/>
  <c r="Z385" i="7"/>
  <c r="Z401" i="7"/>
  <c r="Z417" i="7"/>
  <c r="Z441" i="7"/>
  <c r="Z457" i="7"/>
  <c r="Z485" i="7"/>
  <c r="Z331" i="7"/>
  <c r="Z381" i="7"/>
  <c r="Z397" i="7"/>
  <c r="Z413" i="7"/>
  <c r="Z477" i="7"/>
  <c r="Z28" i="7"/>
  <c r="Z60" i="7"/>
  <c r="Z92" i="7"/>
  <c r="Z124" i="7"/>
  <c r="Z156" i="7"/>
  <c r="Z188" i="7"/>
  <c r="Z220" i="7"/>
  <c r="Z252" i="7"/>
  <c r="Z284" i="7"/>
  <c r="Z316" i="7"/>
  <c r="Z333" i="7"/>
  <c r="Z365" i="7"/>
  <c r="Z399" i="7"/>
  <c r="Z439" i="7"/>
  <c r="Z479" i="7"/>
  <c r="Z16" i="7"/>
  <c r="Z32" i="7"/>
  <c r="Z48" i="7"/>
  <c r="Z64" i="7"/>
  <c r="Z80" i="7"/>
  <c r="Z96" i="7"/>
  <c r="Z112" i="7"/>
  <c r="Z128" i="7"/>
  <c r="Z144" i="7"/>
  <c r="Z160" i="7"/>
  <c r="Z176" i="7"/>
  <c r="Z192" i="7"/>
  <c r="Z208" i="7"/>
  <c r="Z224" i="7"/>
  <c r="Z240" i="7"/>
  <c r="Z256" i="7"/>
  <c r="Z272" i="7"/>
  <c r="Z288" i="7"/>
  <c r="Z304" i="7"/>
  <c r="Z320" i="7"/>
  <c r="Z337" i="7"/>
  <c r="Z353" i="7"/>
  <c r="Z369" i="7"/>
  <c r="Z387" i="7"/>
  <c r="Z403" i="7"/>
  <c r="Z423" i="7"/>
  <c r="Z443" i="7"/>
  <c r="Z459" i="7"/>
  <c r="Z489" i="7"/>
  <c r="Z347" i="7"/>
  <c r="Z453" i="7"/>
  <c r="Z18" i="7"/>
  <c r="Z34" i="7"/>
  <c r="Z50" i="7"/>
  <c r="Z66" i="7"/>
  <c r="Z82" i="7"/>
  <c r="Z98" i="7"/>
  <c r="Z114" i="7"/>
  <c r="Z130" i="7"/>
  <c r="Z146" i="7"/>
  <c r="Z162" i="7"/>
  <c r="Z178" i="7"/>
  <c r="Z194" i="7"/>
  <c r="Z210" i="7"/>
  <c r="Z226" i="7"/>
  <c r="Z242" i="7"/>
  <c r="Z258" i="7"/>
  <c r="Z274" i="7"/>
  <c r="Z290" i="7"/>
  <c r="Z306" i="7"/>
  <c r="Z322" i="7"/>
  <c r="Z339" i="7"/>
  <c r="Z355" i="7"/>
  <c r="Z371" i="7"/>
  <c r="Z389" i="7"/>
  <c r="Z405" i="7"/>
  <c r="Z425" i="7"/>
  <c r="Z445" i="7"/>
  <c r="M407" i="7"/>
  <c r="M427" i="7"/>
  <c r="M447" i="7"/>
  <c r="M471" i="7"/>
  <c r="M12" i="7"/>
  <c r="M28" i="7"/>
  <c r="M44" i="7"/>
  <c r="M60" i="7"/>
  <c r="M86" i="7"/>
  <c r="M102" i="7"/>
  <c r="M118" i="7"/>
  <c r="M134" i="7"/>
  <c r="M150" i="7"/>
  <c r="M166" i="7"/>
  <c r="M182" i="7"/>
  <c r="M198" i="7"/>
  <c r="M214" i="7"/>
  <c r="M230" i="7"/>
  <c r="M246" i="7"/>
  <c r="M262" i="7"/>
  <c r="M278" i="7"/>
  <c r="M294" i="7"/>
  <c r="M310" i="7"/>
  <c r="M326" i="7"/>
  <c r="M343" i="7"/>
  <c r="M359" i="7"/>
  <c r="M377" i="7"/>
  <c r="M393" i="7"/>
  <c r="M409" i="7"/>
  <c r="M429" i="7"/>
  <c r="M449" i="7"/>
  <c r="M473" i="7"/>
  <c r="M14" i="7"/>
  <c r="M30" i="7"/>
  <c r="M46" i="7"/>
  <c r="M62" i="7"/>
  <c r="M88" i="7"/>
  <c r="M104" i="7"/>
  <c r="M120" i="7"/>
  <c r="M136" i="7"/>
  <c r="M152" i="7"/>
  <c r="M168" i="7"/>
  <c r="M184" i="7"/>
  <c r="M200" i="7"/>
  <c r="M216" i="7"/>
  <c r="M232" i="7"/>
  <c r="M248" i="7"/>
  <c r="M264" i="7"/>
  <c r="M280" i="7"/>
  <c r="M296" i="7"/>
  <c r="M312" i="7"/>
  <c r="M329" i="7"/>
  <c r="M345" i="7"/>
  <c r="M361" i="7"/>
  <c r="M379" i="7"/>
  <c r="M395" i="7"/>
  <c r="M411" i="7"/>
  <c r="M431" i="7"/>
  <c r="M451" i="7"/>
  <c r="M475" i="7"/>
  <c r="M18" i="7"/>
  <c r="M34" i="7"/>
  <c r="M50" i="7"/>
  <c r="M76" i="7"/>
  <c r="M92" i="7"/>
  <c r="M108" i="7"/>
  <c r="M124" i="7"/>
  <c r="M140" i="7"/>
  <c r="M156" i="7"/>
  <c r="M172" i="7"/>
  <c r="M188" i="7"/>
  <c r="M204" i="7"/>
  <c r="M220" i="7"/>
  <c r="M236" i="7"/>
  <c r="M252" i="7"/>
  <c r="M268" i="7"/>
  <c r="M284" i="7"/>
  <c r="M300" i="7"/>
  <c r="M316" i="7"/>
  <c r="M333" i="7"/>
  <c r="M349" i="7"/>
  <c r="M365" i="7"/>
  <c r="M383" i="7"/>
  <c r="M399" i="7"/>
  <c r="M415" i="7"/>
  <c r="M439" i="7"/>
  <c r="M455" i="7"/>
  <c r="M479" i="7"/>
  <c r="M6" i="7"/>
  <c r="M22" i="7"/>
  <c r="M38" i="7"/>
  <c r="M54" i="7"/>
  <c r="M80" i="7"/>
  <c r="M96" i="7"/>
  <c r="M112" i="7"/>
  <c r="M128" i="7"/>
  <c r="M144" i="7"/>
  <c r="M160" i="7"/>
  <c r="M176" i="7"/>
  <c r="M192" i="7"/>
  <c r="M208" i="7"/>
  <c r="M224" i="7"/>
  <c r="M240" i="7"/>
  <c r="M256" i="7"/>
  <c r="M272" i="7"/>
  <c r="M288" i="7"/>
  <c r="M304" i="7"/>
  <c r="M320" i="7"/>
  <c r="M337" i="7"/>
  <c r="M353" i="7"/>
  <c r="M369" i="7"/>
  <c r="M387" i="7"/>
  <c r="M403" i="7"/>
  <c r="M423" i="7"/>
  <c r="M443" i="7"/>
  <c r="M459" i="7"/>
  <c r="M489" i="7"/>
  <c r="M8" i="7"/>
  <c r="M24" i="7"/>
  <c r="M40" i="7"/>
  <c r="M56" i="7"/>
  <c r="M82" i="7"/>
  <c r="M98" i="7"/>
  <c r="M114" i="7"/>
  <c r="M130" i="7"/>
  <c r="M146" i="7"/>
  <c r="M162" i="7"/>
  <c r="M178" i="7"/>
  <c r="M194" i="7"/>
  <c r="M210" i="7"/>
  <c r="M226" i="7"/>
  <c r="M242" i="7"/>
  <c r="M258" i="7"/>
  <c r="M274" i="7"/>
  <c r="M290" i="7"/>
  <c r="M306" i="7"/>
  <c r="M322" i="7"/>
  <c r="M339" i="7"/>
  <c r="M355" i="7"/>
  <c r="M371" i="7"/>
  <c r="M389" i="7"/>
  <c r="M405" i="7"/>
  <c r="M425" i="7"/>
  <c r="M445" i="7"/>
  <c r="N6" i="7"/>
  <c r="AA6" i="7" l="1"/>
  <c r="AA8" i="7" s="1"/>
  <c r="AA10" i="7" s="1"/>
  <c r="AA12" i="7" s="1"/>
  <c r="AA14" i="7" s="1"/>
  <c r="AA16" i="7" s="1"/>
  <c r="AA18" i="7" s="1"/>
  <c r="AA20" i="7" s="1"/>
  <c r="AA22" i="7" s="1"/>
  <c r="AA24" i="7" s="1"/>
  <c r="AA26" i="7" s="1"/>
  <c r="AA28" i="7" s="1"/>
  <c r="AA30" i="7" s="1"/>
  <c r="AA32" i="7" s="1"/>
  <c r="AA34" i="7" s="1"/>
  <c r="AA36" i="7" s="1"/>
  <c r="AA38" i="7" s="1"/>
  <c r="AA40" i="7" s="1"/>
  <c r="AA42" i="7" s="1"/>
  <c r="AA44" i="7" s="1"/>
  <c r="AA46" i="7" s="1"/>
  <c r="AA48" i="7" s="1"/>
  <c r="AA50" i="7" s="1"/>
  <c r="AA52" i="7" s="1"/>
  <c r="AA54" i="7" s="1"/>
  <c r="AA56" i="7" s="1"/>
  <c r="AA58" i="7" s="1"/>
  <c r="AA60" i="7" s="1"/>
  <c r="AA62" i="7" s="1"/>
  <c r="AA64" i="7" s="1"/>
  <c r="AA66" i="7" s="1"/>
  <c r="AA68" i="7" s="1"/>
  <c r="AA70" i="7" s="1"/>
  <c r="AA72" i="7" s="1"/>
  <c r="AA74" i="7" s="1"/>
  <c r="AA76" i="7" s="1"/>
  <c r="AA78" i="7" s="1"/>
  <c r="AA80" i="7" s="1"/>
  <c r="AA82" i="7" s="1"/>
  <c r="AA84" i="7" s="1"/>
  <c r="AA86" i="7" s="1"/>
  <c r="AA88" i="7" s="1"/>
  <c r="AA90" i="7" s="1"/>
  <c r="AA92" i="7" s="1"/>
  <c r="AA94" i="7" s="1"/>
  <c r="AA96" i="7" s="1"/>
  <c r="AA98" i="7" s="1"/>
  <c r="AA100" i="7" s="1"/>
  <c r="AA102" i="7" s="1"/>
  <c r="AA104" i="7" s="1"/>
  <c r="AA106" i="7" s="1"/>
  <c r="AA108" i="7" s="1"/>
  <c r="AA110" i="7" s="1"/>
  <c r="AA112" i="7" s="1"/>
  <c r="AA114" i="7" s="1"/>
  <c r="AA116" i="7" s="1"/>
  <c r="AA118" i="7" s="1"/>
  <c r="AA120" i="7" s="1"/>
  <c r="AA122" i="7" s="1"/>
  <c r="AA124" i="7" s="1"/>
  <c r="AA126" i="7" s="1"/>
  <c r="AA128" i="7" s="1"/>
  <c r="AA130" i="7" s="1"/>
  <c r="AA132" i="7" s="1"/>
  <c r="AA134" i="7" s="1"/>
  <c r="AA136" i="7" s="1"/>
  <c r="AA138" i="7" s="1"/>
  <c r="AA140" i="7" s="1"/>
  <c r="AA142" i="7" s="1"/>
  <c r="AA144" i="7" s="1"/>
  <c r="AA146" i="7" s="1"/>
  <c r="AA148" i="7" s="1"/>
  <c r="AA150" i="7" s="1"/>
  <c r="AA152" i="7" s="1"/>
  <c r="AA154" i="7" s="1"/>
  <c r="AA156" i="7" s="1"/>
  <c r="AA158" i="7" s="1"/>
  <c r="AA160" i="7" s="1"/>
  <c r="AA162" i="7" s="1"/>
  <c r="AA164" i="7" s="1"/>
  <c r="AA166" i="7" s="1"/>
  <c r="AA168" i="7" s="1"/>
  <c r="AA170" i="7" s="1"/>
  <c r="AA172" i="7" s="1"/>
  <c r="AA174" i="7" s="1"/>
  <c r="AA176" i="7" s="1"/>
  <c r="AA178" i="7" s="1"/>
  <c r="AA180" i="7" s="1"/>
  <c r="AA182" i="7" s="1"/>
  <c r="AA184" i="7" s="1"/>
  <c r="AA186" i="7" s="1"/>
  <c r="AA188" i="7" s="1"/>
  <c r="AA190" i="7" s="1"/>
  <c r="AA192" i="7" s="1"/>
  <c r="AA194" i="7" s="1"/>
  <c r="AA196" i="7" s="1"/>
  <c r="AA198" i="7" s="1"/>
  <c r="AA200" i="7" s="1"/>
  <c r="AA202" i="7" s="1"/>
  <c r="AA204" i="7" s="1"/>
  <c r="AA206" i="7" s="1"/>
  <c r="AA208" i="7" s="1"/>
  <c r="AA210" i="7" s="1"/>
  <c r="AA212" i="7" s="1"/>
  <c r="AA214" i="7" s="1"/>
  <c r="AA216" i="7" s="1"/>
  <c r="AA218" i="7" s="1"/>
  <c r="AA220" i="7" s="1"/>
  <c r="AA222" i="7" s="1"/>
  <c r="AA224" i="7" s="1"/>
  <c r="AA226" i="7" s="1"/>
  <c r="AA228" i="7" s="1"/>
  <c r="AA230" i="7" s="1"/>
  <c r="AA232" i="7" s="1"/>
  <c r="AA234" i="7" s="1"/>
  <c r="AA236" i="7" s="1"/>
  <c r="AA238" i="7" s="1"/>
  <c r="AA240" i="7" s="1"/>
  <c r="AA242" i="7" s="1"/>
  <c r="AA244" i="7" s="1"/>
  <c r="AA246" i="7" s="1"/>
  <c r="AA248" i="7" s="1"/>
  <c r="AA250" i="7" s="1"/>
  <c r="AA252" i="7" s="1"/>
  <c r="AA254" i="7" s="1"/>
  <c r="AA256" i="7" s="1"/>
  <c r="AA258" i="7" s="1"/>
  <c r="AA260" i="7" s="1"/>
  <c r="AA262" i="7" s="1"/>
  <c r="AA264" i="7" s="1"/>
  <c r="AA266" i="7" s="1"/>
  <c r="AA268" i="7" s="1"/>
  <c r="AA270" i="7" s="1"/>
  <c r="AA272" i="7" s="1"/>
  <c r="AA274" i="7" s="1"/>
  <c r="AA276" i="7" s="1"/>
  <c r="AA278" i="7" s="1"/>
  <c r="AA280" i="7" s="1"/>
  <c r="AA282" i="7" s="1"/>
  <c r="AA284" i="7" s="1"/>
  <c r="AA286" i="7" s="1"/>
  <c r="AA288" i="7" s="1"/>
  <c r="AA290" i="7" s="1"/>
  <c r="AA292" i="7" s="1"/>
  <c r="AA294" i="7" s="1"/>
  <c r="AA296" i="7" s="1"/>
  <c r="AA298" i="7" s="1"/>
  <c r="AA300" i="7" s="1"/>
  <c r="AA302" i="7" s="1"/>
  <c r="AA304" i="7" s="1"/>
  <c r="AA306" i="7" s="1"/>
  <c r="AA308" i="7" s="1"/>
  <c r="AA310" i="7" s="1"/>
  <c r="AA312" i="7" s="1"/>
  <c r="AA314" i="7" s="1"/>
  <c r="AA316" i="7" s="1"/>
  <c r="AA318" i="7" s="1"/>
  <c r="AA320" i="7" s="1"/>
  <c r="AA322" i="7" s="1"/>
  <c r="AA324" i="7" s="1"/>
  <c r="AA326" i="7" s="1"/>
  <c r="AA329" i="7" s="1"/>
  <c r="AA331" i="7" s="1"/>
  <c r="AA333" i="7" s="1"/>
  <c r="AA335" i="7" s="1"/>
  <c r="AA337" i="7" s="1"/>
  <c r="AA339" i="7" s="1"/>
  <c r="AA341" i="7" s="1"/>
  <c r="AA343" i="7" s="1"/>
  <c r="AA345" i="7" s="1"/>
  <c r="AA347" i="7" s="1"/>
  <c r="AA349" i="7" s="1"/>
  <c r="AA351" i="7" s="1"/>
  <c r="AA353" i="7" s="1"/>
  <c r="AA355" i="7" s="1"/>
  <c r="AA357" i="7" s="1"/>
  <c r="AA359" i="7" s="1"/>
  <c r="AA361" i="7" s="1"/>
  <c r="AA363" i="7" s="1"/>
  <c r="AA365" i="7" s="1"/>
  <c r="AA367" i="7" s="1"/>
  <c r="AA369" i="7" s="1"/>
  <c r="AA371" i="7" s="1"/>
  <c r="AA375" i="7" s="1"/>
  <c r="AA377" i="7" s="1"/>
  <c r="AA379" i="7" s="1"/>
  <c r="AA381" i="7" s="1"/>
  <c r="AA383" i="7" s="1"/>
  <c r="AA385" i="7" s="1"/>
  <c r="AA387" i="7" s="1"/>
  <c r="AA389" i="7" s="1"/>
  <c r="AA391" i="7" s="1"/>
  <c r="AA393" i="7" s="1"/>
  <c r="AA395" i="7" s="1"/>
  <c r="AA397" i="7" s="1"/>
  <c r="AA399" i="7" s="1"/>
  <c r="AA401" i="7" s="1"/>
  <c r="AA403" i="7" s="1"/>
  <c r="AA405" i="7" s="1"/>
  <c r="AA407" i="7" s="1"/>
  <c r="AA409" i="7" s="1"/>
  <c r="AA411" i="7" s="1"/>
  <c r="AA413" i="7" s="1"/>
  <c r="AA415" i="7" s="1"/>
  <c r="AA417" i="7" s="1"/>
  <c r="AA423" i="7" s="1"/>
  <c r="AA425" i="7" s="1"/>
  <c r="AA427" i="7" s="1"/>
  <c r="AA429" i="7" s="1"/>
  <c r="AA431" i="7" s="1"/>
  <c r="AA435" i="7" s="1"/>
  <c r="AA439" i="7" s="1"/>
  <c r="AA441" i="7" s="1"/>
  <c r="AA443" i="7" s="1"/>
  <c r="AA445" i="7" s="1"/>
  <c r="AA447" i="7" s="1"/>
  <c r="AA449" i="7" s="1"/>
  <c r="AA451" i="7" s="1"/>
  <c r="AA453" i="7" s="1"/>
  <c r="AA455" i="7" s="1"/>
  <c r="AA457" i="7" s="1"/>
  <c r="AA459" i="7" s="1"/>
  <c r="AA461" i="7" s="1"/>
  <c r="AA471" i="7" s="1"/>
  <c r="AA473" i="7" s="1"/>
  <c r="AA475" i="7" s="1"/>
  <c r="AA477" i="7" s="1"/>
  <c r="AA479" i="7" s="1"/>
  <c r="AA485" i="7" s="1"/>
  <c r="AA489" i="7" s="1"/>
  <c r="N8" i="7"/>
  <c r="N10" i="7" s="1"/>
  <c r="N12" i="7" s="1"/>
  <c r="N14" i="7" s="1"/>
  <c r="N16" i="7" s="1"/>
  <c r="N18" i="7" s="1"/>
  <c r="N20" i="7" s="1"/>
  <c r="N22" i="7" s="1"/>
  <c r="N24" i="7" s="1"/>
  <c r="N26" i="7" s="1"/>
  <c r="N28" i="7" s="1"/>
  <c r="N30" i="7" s="1"/>
  <c r="N32" i="7" s="1"/>
  <c r="N34" i="7" s="1"/>
  <c r="N36" i="7" s="1"/>
  <c r="N38" i="7" s="1"/>
  <c r="N40" i="7" s="1"/>
  <c r="N42" i="7" s="1"/>
  <c r="N44" i="7" s="1"/>
  <c r="N46" i="7" s="1"/>
  <c r="N48" i="7" s="1"/>
  <c r="N50" i="7" s="1"/>
  <c r="N52" i="7" s="1"/>
  <c r="N54" i="7" s="1"/>
  <c r="N56" i="7" s="1"/>
  <c r="N58" i="7" s="1"/>
  <c r="N60" i="7" s="1"/>
  <c r="N62" i="7" s="1"/>
  <c r="N64" i="7" s="1"/>
  <c r="N76" i="7" s="1"/>
  <c r="N78" i="7" s="1"/>
  <c r="N80" i="7" s="1"/>
  <c r="N82" i="7" s="1"/>
  <c r="N84" i="7" s="1"/>
  <c r="N86" i="7" s="1"/>
  <c r="N88" i="7" s="1"/>
  <c r="N90" i="7" s="1"/>
  <c r="N92" i="7" s="1"/>
  <c r="N94" i="7" s="1"/>
  <c r="N96" i="7" s="1"/>
  <c r="N98" i="7" s="1"/>
  <c r="N100" i="7" s="1"/>
  <c r="N102" i="7" s="1"/>
  <c r="N104" i="7" s="1"/>
  <c r="N106" i="7" s="1"/>
  <c r="N108" i="7" s="1"/>
  <c r="N110" i="7" s="1"/>
  <c r="N112" i="7" s="1"/>
  <c r="N114" i="7" s="1"/>
  <c r="N116" i="7" s="1"/>
  <c r="N118" i="7" s="1"/>
  <c r="N120" i="7" s="1"/>
  <c r="N122" i="7" s="1"/>
  <c r="N124" i="7" s="1"/>
  <c r="N126" i="7" s="1"/>
  <c r="N128" i="7" s="1"/>
  <c r="N130" i="7" s="1"/>
  <c r="N132" i="7" s="1"/>
  <c r="N134" i="7" s="1"/>
  <c r="N136" i="7" s="1"/>
  <c r="N138" i="7" s="1"/>
  <c r="N140" i="7" s="1"/>
  <c r="N142" i="7" s="1"/>
  <c r="N144" i="7" s="1"/>
  <c r="N146" i="7" s="1"/>
  <c r="N148" i="7" s="1"/>
  <c r="N150" i="7" s="1"/>
  <c r="N152" i="7" s="1"/>
  <c r="N154" i="7" s="1"/>
  <c r="N156" i="7" s="1"/>
  <c r="N158" i="7" s="1"/>
  <c r="N160" i="7" s="1"/>
  <c r="N162" i="7" s="1"/>
  <c r="N164" i="7" s="1"/>
  <c r="N166" i="7" s="1"/>
  <c r="N168" i="7" s="1"/>
  <c r="N170" i="7" s="1"/>
  <c r="N172" i="7" s="1"/>
  <c r="N174" i="7" s="1"/>
  <c r="N176" i="7" s="1"/>
  <c r="N178" i="7" s="1"/>
  <c r="N180" i="7" s="1"/>
  <c r="N182" i="7" s="1"/>
  <c r="N184" i="7" s="1"/>
  <c r="N186" i="7" s="1"/>
  <c r="N188" i="7" s="1"/>
  <c r="N190" i="7" s="1"/>
  <c r="N192" i="7" s="1"/>
  <c r="N194" i="7" s="1"/>
  <c r="N196" i="7" s="1"/>
  <c r="N198" i="7" s="1"/>
  <c r="N200" i="7" s="1"/>
  <c r="N202" i="7" s="1"/>
  <c r="N204" i="7" s="1"/>
  <c r="N206" i="7" s="1"/>
  <c r="N208" i="7" s="1"/>
  <c r="N210" i="7" s="1"/>
  <c r="N212" i="7" s="1"/>
  <c r="N214" i="7" s="1"/>
  <c r="N216" i="7" s="1"/>
  <c r="N218" i="7" s="1"/>
  <c r="N220" i="7" s="1"/>
  <c r="N222" i="7" s="1"/>
  <c r="N224" i="7" s="1"/>
  <c r="N226" i="7" s="1"/>
  <c r="N228" i="7" s="1"/>
  <c r="N230" i="7" s="1"/>
  <c r="N232" i="7" s="1"/>
  <c r="N234" i="7" s="1"/>
  <c r="N236" i="7" s="1"/>
  <c r="N238" i="7" s="1"/>
  <c r="N240" i="7" s="1"/>
  <c r="N242" i="7" s="1"/>
  <c r="N244" i="7" s="1"/>
  <c r="N246" i="7" s="1"/>
  <c r="N248" i="7" s="1"/>
  <c r="N250" i="7" s="1"/>
  <c r="N252" i="7" s="1"/>
  <c r="N254" i="7" s="1"/>
  <c r="N256" i="7" s="1"/>
  <c r="N258" i="7" s="1"/>
  <c r="N260" i="7" s="1"/>
  <c r="N262" i="7" s="1"/>
  <c r="N264" i="7" s="1"/>
  <c r="N266" i="7" s="1"/>
  <c r="N268" i="7" s="1"/>
  <c r="N270" i="7" s="1"/>
  <c r="N272" i="7" s="1"/>
  <c r="N274" i="7" s="1"/>
  <c r="N276" i="7" s="1"/>
  <c r="N278" i="7" s="1"/>
  <c r="N280" i="7" s="1"/>
  <c r="N282" i="7" s="1"/>
  <c r="N284" i="7" s="1"/>
  <c r="N286" i="7" s="1"/>
  <c r="N288" i="7" s="1"/>
  <c r="N290" i="7" s="1"/>
  <c r="N292" i="7" s="1"/>
  <c r="N294" i="7" s="1"/>
  <c r="N296" i="7" s="1"/>
  <c r="N298" i="7" s="1"/>
  <c r="N300" i="7" s="1"/>
  <c r="N302" i="7" s="1"/>
  <c r="N304" i="7" s="1"/>
  <c r="N306" i="7" s="1"/>
  <c r="N308" i="7" s="1"/>
  <c r="N310" i="7" s="1"/>
  <c r="N312" i="7" s="1"/>
  <c r="N314" i="7" s="1"/>
  <c r="N316" i="7" s="1"/>
  <c r="N318" i="7" s="1"/>
  <c r="N320" i="7" s="1"/>
  <c r="N322" i="7" s="1"/>
  <c r="N324" i="7" s="1"/>
  <c r="N326" i="7" s="1"/>
  <c r="N329" i="7" s="1"/>
  <c r="N331" i="7" s="1"/>
  <c r="N333" i="7" s="1"/>
  <c r="N335" i="7" s="1"/>
  <c r="N337" i="7" s="1"/>
  <c r="N339" i="7" s="1"/>
  <c r="N341" i="7" s="1"/>
  <c r="N343" i="7" s="1"/>
  <c r="N345" i="7" s="1"/>
  <c r="N347" i="7" s="1"/>
  <c r="N349" i="7" s="1"/>
  <c r="N351" i="7" s="1"/>
  <c r="N353" i="7" s="1"/>
  <c r="N355" i="7" s="1"/>
  <c r="N357" i="7" s="1"/>
  <c r="N359" i="7" s="1"/>
  <c r="N361" i="7" s="1"/>
  <c r="N363" i="7" s="1"/>
  <c r="N365" i="7" s="1"/>
  <c r="N367" i="7" s="1"/>
  <c r="N369" i="7" s="1"/>
  <c r="N371" i="7" s="1"/>
  <c r="N375" i="7" s="1"/>
  <c r="N377" i="7" s="1"/>
  <c r="N379" i="7" s="1"/>
  <c r="N381" i="7" s="1"/>
  <c r="N383" i="7" s="1"/>
  <c r="N385" i="7" s="1"/>
  <c r="N387" i="7" s="1"/>
  <c r="N389" i="7" s="1"/>
  <c r="N391" i="7" s="1"/>
  <c r="N393" i="7" s="1"/>
  <c r="N395" i="7" s="1"/>
  <c r="N397" i="7" s="1"/>
  <c r="N399" i="7" s="1"/>
  <c r="N401" i="7" s="1"/>
  <c r="N403" i="7" s="1"/>
  <c r="N405" i="7" s="1"/>
  <c r="N407" i="7" s="1"/>
  <c r="N409" i="7" s="1"/>
  <c r="N411" i="7" s="1"/>
  <c r="N413" i="7" s="1"/>
  <c r="N415" i="7" s="1"/>
  <c r="N417" i="7" s="1"/>
  <c r="N423" i="7" s="1"/>
  <c r="N425" i="7" s="1"/>
  <c r="N427" i="7" s="1"/>
  <c r="N429" i="7" s="1"/>
  <c r="N431" i="7" s="1"/>
  <c r="N435" i="7" s="1"/>
  <c r="N439" i="7" s="1"/>
  <c r="N441" i="7" s="1"/>
  <c r="N443" i="7" s="1"/>
  <c r="N445" i="7" s="1"/>
  <c r="N447" i="7" s="1"/>
  <c r="N449" i="7" s="1"/>
  <c r="N451" i="7" s="1"/>
  <c r="N453" i="7" s="1"/>
  <c r="N455" i="7" s="1"/>
  <c r="N457" i="7" s="1"/>
  <c r="N459" i="7" s="1"/>
  <c r="N461" i="7" s="1"/>
  <c r="N471" i="7" s="1"/>
  <c r="N473" i="7" s="1"/>
  <c r="N475" i="7" s="1"/>
  <c r="N477" i="7" s="1"/>
  <c r="N479" i="7" s="1"/>
  <c r="N485" i="7" s="1"/>
  <c r="N489" i="7" s="1"/>
  <c r="N493" i="7" s="1"/>
  <c r="N501" i="7" s="1"/>
  <c r="N503" i="7" s="1"/>
  <c r="N505" i="7" s="1"/>
  <c r="N507" i="7" s="1"/>
  <c r="N509" i="7" s="1"/>
  <c r="N511" i="7" s="1"/>
  <c r="N517" i="7" s="1"/>
  <c r="N519" i="7" s="1"/>
  <c r="N521" i="7" s="1"/>
  <c r="N523" i="7" s="1"/>
  <c r="N525" i="7" s="1"/>
  <c r="N531" i="7" s="1"/>
  <c r="N533" i="7" s="1"/>
  <c r="N535" i="7" s="1"/>
  <c r="N537" i="7" s="1"/>
  <c r="N563" i="7" s="1"/>
  <c r="N565" i="7" s="1"/>
  <c r="N567" i="7" s="1"/>
  <c r="N569" i="7" s="1"/>
  <c r="N571" i="7" s="1"/>
  <c r="N573" i="7" s="1"/>
  <c r="N575" i="7" s="1"/>
  <c r="N577" i="7" s="1"/>
  <c r="N579" i="7" s="1"/>
  <c r="N581" i="7" s="1"/>
  <c r="N583" i="7" s="1"/>
  <c r="N585" i="7" s="1"/>
  <c r="N587" i="7" s="1"/>
  <c r="L489" i="7"/>
  <c r="J489" i="7"/>
  <c r="I489" i="7"/>
  <c r="J485" i="7"/>
  <c r="L485" i="7" s="1"/>
  <c r="I485" i="7"/>
  <c r="J479" i="7"/>
  <c r="L479" i="7" s="1"/>
  <c r="I479" i="7"/>
  <c r="J477" i="7"/>
  <c r="L477" i="7" s="1"/>
  <c r="I477" i="7"/>
  <c r="J475" i="7"/>
  <c r="L475" i="7" s="1"/>
  <c r="I475" i="7"/>
  <c r="L473" i="7"/>
  <c r="J473" i="7"/>
  <c r="I473" i="7"/>
  <c r="J471" i="7"/>
  <c r="L471" i="7" s="1"/>
  <c r="I471" i="7"/>
  <c r="J489" i="6"/>
  <c r="L489" i="6" s="1"/>
  <c r="I489" i="6"/>
  <c r="J485" i="6"/>
  <c r="L485" i="6" s="1"/>
  <c r="I485" i="6"/>
  <c r="J479" i="6"/>
  <c r="L479" i="6" s="1"/>
  <c r="I479" i="6"/>
  <c r="J477" i="6"/>
  <c r="L477" i="6" s="1"/>
  <c r="I477" i="6"/>
  <c r="J475" i="6"/>
  <c r="L475" i="6" s="1"/>
  <c r="I475" i="6"/>
  <c r="L473" i="6"/>
  <c r="J473" i="6"/>
  <c r="I473" i="6"/>
  <c r="J471" i="6"/>
  <c r="L471" i="6" s="1"/>
  <c r="I471" i="6"/>
  <c r="J489" i="5"/>
  <c r="L489" i="5" s="1"/>
  <c r="I489" i="5"/>
  <c r="J485" i="5"/>
  <c r="L485" i="5" s="1"/>
  <c r="I485" i="5"/>
  <c r="J479" i="5"/>
  <c r="L479" i="5" s="1"/>
  <c r="I479" i="5"/>
  <c r="J477" i="5"/>
  <c r="L477" i="5" s="1"/>
  <c r="I477" i="5"/>
  <c r="J475" i="5"/>
  <c r="L475" i="5" s="1"/>
  <c r="I475" i="5"/>
  <c r="L473" i="5"/>
  <c r="J473" i="5"/>
  <c r="I473" i="5"/>
  <c r="J471" i="5"/>
  <c r="L471" i="5" s="1"/>
  <c r="I471" i="5"/>
  <c r="J489" i="4"/>
  <c r="I489" i="4"/>
  <c r="J485" i="4"/>
  <c r="L485" i="4" s="1"/>
  <c r="I485" i="4"/>
  <c r="J479" i="4"/>
  <c r="I479" i="4"/>
  <c r="J477" i="4"/>
  <c r="L477" i="4" s="1"/>
  <c r="I477" i="4"/>
  <c r="J475" i="4"/>
  <c r="L475" i="4" s="1"/>
  <c r="I475" i="4"/>
  <c r="J473" i="4"/>
  <c r="I473" i="4"/>
  <c r="J471" i="4"/>
  <c r="I471" i="4"/>
  <c r="J417" i="4"/>
  <c r="I417" i="4"/>
  <c r="J415" i="4"/>
  <c r="I415" i="4"/>
  <c r="J413" i="4"/>
  <c r="I413" i="4"/>
  <c r="J411" i="4"/>
  <c r="I411" i="4"/>
  <c r="J409" i="4"/>
  <c r="I409" i="4"/>
  <c r="J407" i="4"/>
  <c r="L407" i="4" s="1"/>
  <c r="I407" i="4"/>
  <c r="J405" i="4"/>
  <c r="I405" i="4"/>
  <c r="J403" i="4"/>
  <c r="L403" i="4" s="1"/>
  <c r="I403" i="4"/>
  <c r="J401" i="4"/>
  <c r="I401" i="4"/>
  <c r="J399" i="4"/>
  <c r="L399" i="4" s="1"/>
  <c r="I399" i="4"/>
  <c r="J397" i="4"/>
  <c r="I397" i="4"/>
  <c r="J395" i="4"/>
  <c r="L395" i="4" s="1"/>
  <c r="I395" i="4"/>
  <c r="J417" i="5"/>
  <c r="L417" i="5" s="1"/>
  <c r="I417" i="5"/>
  <c r="J415" i="5"/>
  <c r="L415" i="5" s="1"/>
  <c r="I415" i="5"/>
  <c r="J413" i="5"/>
  <c r="L413" i="5" s="1"/>
  <c r="I413" i="5"/>
  <c r="J411" i="5"/>
  <c r="L411" i="5" s="1"/>
  <c r="I411" i="5"/>
  <c r="J409" i="5"/>
  <c r="L409" i="5" s="1"/>
  <c r="I409" i="5"/>
  <c r="L407" i="5"/>
  <c r="J407" i="5"/>
  <c r="I407" i="5"/>
  <c r="J405" i="5"/>
  <c r="L405" i="5" s="1"/>
  <c r="I405" i="5"/>
  <c r="J403" i="5"/>
  <c r="L403" i="5" s="1"/>
  <c r="I403" i="5"/>
  <c r="J401" i="5"/>
  <c r="L401" i="5" s="1"/>
  <c r="I401" i="5"/>
  <c r="J399" i="5"/>
  <c r="L399" i="5" s="1"/>
  <c r="I399" i="5"/>
  <c r="J397" i="5"/>
  <c r="L397" i="5" s="1"/>
  <c r="I397" i="5"/>
  <c r="J395" i="5"/>
  <c r="L395" i="5" s="1"/>
  <c r="I395" i="5"/>
  <c r="J417" i="6"/>
  <c r="L417" i="6" s="1"/>
  <c r="I417" i="6"/>
  <c r="J415" i="6"/>
  <c r="L415" i="6" s="1"/>
  <c r="I415" i="6"/>
  <c r="J413" i="6"/>
  <c r="L413" i="6" s="1"/>
  <c r="I413" i="6"/>
  <c r="J411" i="6"/>
  <c r="L411" i="6" s="1"/>
  <c r="I411" i="6"/>
  <c r="J409" i="6"/>
  <c r="L409" i="6" s="1"/>
  <c r="I409" i="6"/>
  <c r="L407" i="6"/>
  <c r="J407" i="6"/>
  <c r="I407" i="6"/>
  <c r="J405" i="6"/>
  <c r="L405" i="6" s="1"/>
  <c r="I405" i="6"/>
  <c r="J403" i="6"/>
  <c r="L403" i="6" s="1"/>
  <c r="I403" i="6"/>
  <c r="J401" i="6"/>
  <c r="L401" i="6" s="1"/>
  <c r="I401" i="6"/>
  <c r="J399" i="6"/>
  <c r="L399" i="6" s="1"/>
  <c r="I399" i="6"/>
  <c r="J397" i="6"/>
  <c r="L397" i="6" s="1"/>
  <c r="I397" i="6"/>
  <c r="J395" i="6"/>
  <c r="L395" i="6" s="1"/>
  <c r="I395" i="6"/>
  <c r="J417" i="7"/>
  <c r="L417" i="7" s="1"/>
  <c r="I417" i="7"/>
  <c r="J415" i="7"/>
  <c r="L415" i="7" s="1"/>
  <c r="I415" i="7"/>
  <c r="J413" i="7"/>
  <c r="L413" i="7" s="1"/>
  <c r="I413" i="7"/>
  <c r="J411" i="7"/>
  <c r="L411" i="7" s="1"/>
  <c r="I411" i="7"/>
  <c r="J409" i="7"/>
  <c r="L409" i="7" s="1"/>
  <c r="I409" i="7"/>
  <c r="L407" i="7"/>
  <c r="J407" i="7"/>
  <c r="I407" i="7"/>
  <c r="J405" i="7"/>
  <c r="L405" i="7" s="1"/>
  <c r="I405" i="7"/>
  <c r="J403" i="7"/>
  <c r="L403" i="7" s="1"/>
  <c r="I403" i="7"/>
  <c r="J401" i="7"/>
  <c r="L401" i="7" s="1"/>
  <c r="I401" i="7"/>
  <c r="J399" i="7"/>
  <c r="I399" i="7"/>
  <c r="J397" i="7"/>
  <c r="I397" i="7"/>
  <c r="J395" i="7"/>
  <c r="L395" i="7" s="1"/>
  <c r="I395" i="7"/>
  <c r="J393" i="7"/>
  <c r="L393" i="7" s="1"/>
  <c r="I393" i="7"/>
  <c r="J391" i="7"/>
  <c r="L391" i="7" s="1"/>
  <c r="I391" i="7"/>
  <c r="L389" i="7"/>
  <c r="J389" i="7"/>
  <c r="I389" i="7"/>
  <c r="J387" i="7"/>
  <c r="L387" i="7" s="1"/>
  <c r="I387" i="7"/>
  <c r="J385" i="7"/>
  <c r="L385" i="7" s="1"/>
  <c r="I385" i="7"/>
  <c r="J383" i="7"/>
  <c r="L383" i="7" s="1"/>
  <c r="I383" i="7"/>
  <c r="J381" i="7"/>
  <c r="L381" i="7" s="1"/>
  <c r="I381" i="7"/>
  <c r="J379" i="7"/>
  <c r="L379" i="7" s="1"/>
  <c r="I379" i="7"/>
  <c r="J377" i="7"/>
  <c r="L377" i="7" s="1"/>
  <c r="I377" i="7"/>
  <c r="J375" i="7"/>
  <c r="L375" i="7" s="1"/>
  <c r="I375" i="7"/>
  <c r="L371" i="7"/>
  <c r="J371" i="7"/>
  <c r="I371" i="7"/>
  <c r="J393" i="6"/>
  <c r="L393" i="6" s="1"/>
  <c r="I393" i="6"/>
  <c r="J391" i="6"/>
  <c r="L391" i="6" s="1"/>
  <c r="I391" i="6"/>
  <c r="L389" i="6"/>
  <c r="J389" i="6"/>
  <c r="I389" i="6"/>
  <c r="J387" i="6"/>
  <c r="L387" i="6" s="1"/>
  <c r="I387" i="6"/>
  <c r="J385" i="6"/>
  <c r="L385" i="6" s="1"/>
  <c r="I385" i="6"/>
  <c r="J383" i="6"/>
  <c r="L383" i="6" s="1"/>
  <c r="I383" i="6"/>
  <c r="J381" i="6"/>
  <c r="L381" i="6" s="1"/>
  <c r="I381" i="6"/>
  <c r="J379" i="6"/>
  <c r="L379" i="6" s="1"/>
  <c r="I379" i="6"/>
  <c r="J377" i="6"/>
  <c r="L377" i="6" s="1"/>
  <c r="I377" i="6"/>
  <c r="J375" i="6"/>
  <c r="L375" i="6" s="1"/>
  <c r="I375" i="6"/>
  <c r="L371" i="6"/>
  <c r="J371" i="6"/>
  <c r="I371" i="6"/>
  <c r="J393" i="5"/>
  <c r="L393" i="5" s="1"/>
  <c r="I393" i="5"/>
  <c r="J391" i="5"/>
  <c r="L391" i="5" s="1"/>
  <c r="I391" i="5"/>
  <c r="L389" i="5"/>
  <c r="J389" i="5"/>
  <c r="I389" i="5"/>
  <c r="J387" i="5"/>
  <c r="L387" i="5" s="1"/>
  <c r="I387" i="5"/>
  <c r="J385" i="5"/>
  <c r="L385" i="5" s="1"/>
  <c r="I385" i="5"/>
  <c r="J383" i="5"/>
  <c r="L383" i="5" s="1"/>
  <c r="I383" i="5"/>
  <c r="J381" i="5"/>
  <c r="L381" i="5" s="1"/>
  <c r="I381" i="5"/>
  <c r="J379" i="5"/>
  <c r="L379" i="5" s="1"/>
  <c r="I379" i="5"/>
  <c r="J377" i="5"/>
  <c r="I377" i="5"/>
  <c r="L377" i="5" s="1"/>
  <c r="J375" i="5"/>
  <c r="L375" i="5" s="1"/>
  <c r="I375" i="5"/>
  <c r="L371" i="5"/>
  <c r="J371" i="5"/>
  <c r="I371" i="5"/>
  <c r="J393" i="4"/>
  <c r="I393" i="4"/>
  <c r="J391" i="4"/>
  <c r="I391" i="4"/>
  <c r="J389" i="4"/>
  <c r="I389" i="4"/>
  <c r="J387" i="4"/>
  <c r="I387" i="4"/>
  <c r="J385" i="4"/>
  <c r="L385" i="4" s="1"/>
  <c r="I385" i="4"/>
  <c r="J383" i="4"/>
  <c r="L383" i="4" s="1"/>
  <c r="I383" i="4"/>
  <c r="J381" i="4"/>
  <c r="I381" i="4"/>
  <c r="J379" i="4"/>
  <c r="L379" i="4" s="1"/>
  <c r="I379" i="4"/>
  <c r="J377" i="4"/>
  <c r="I377" i="4"/>
  <c r="J375" i="4"/>
  <c r="L375" i="4" s="1"/>
  <c r="I375" i="4"/>
  <c r="J371" i="4"/>
  <c r="I371" i="4"/>
  <c r="J441" i="7"/>
  <c r="L441" i="7" s="1"/>
  <c r="I441" i="7"/>
  <c r="J439" i="7"/>
  <c r="L439" i="7" s="1"/>
  <c r="I439" i="7"/>
  <c r="J435" i="7"/>
  <c r="L435" i="7" s="1"/>
  <c r="I435" i="7"/>
  <c r="J431" i="7"/>
  <c r="L431" i="7" s="1"/>
  <c r="I431" i="7"/>
  <c r="J429" i="7"/>
  <c r="I429" i="7"/>
  <c r="L429" i="7" s="1"/>
  <c r="L427" i="7"/>
  <c r="J427" i="7"/>
  <c r="I427" i="7"/>
  <c r="J425" i="7"/>
  <c r="L425" i="7" s="1"/>
  <c r="I425" i="7"/>
  <c r="J423" i="7"/>
  <c r="L423" i="7" s="1"/>
  <c r="I423" i="7"/>
  <c r="J441" i="6"/>
  <c r="L441" i="6" s="1"/>
  <c r="I441" i="6"/>
  <c r="J439" i="6"/>
  <c r="L439" i="6" s="1"/>
  <c r="I439" i="6"/>
  <c r="J435" i="6"/>
  <c r="L435" i="6" s="1"/>
  <c r="I435" i="6"/>
  <c r="J431" i="6"/>
  <c r="L431" i="6" s="1"/>
  <c r="I431" i="6"/>
  <c r="J429" i="6"/>
  <c r="L429" i="6" s="1"/>
  <c r="I429" i="6"/>
  <c r="L427" i="6"/>
  <c r="J427" i="6"/>
  <c r="I427" i="6"/>
  <c r="J425" i="6"/>
  <c r="L425" i="6" s="1"/>
  <c r="I425" i="6"/>
  <c r="J423" i="6"/>
  <c r="I423" i="6"/>
  <c r="L423" i="6" s="1"/>
  <c r="J441" i="5"/>
  <c r="L441" i="5" s="1"/>
  <c r="I441" i="5"/>
  <c r="J439" i="5"/>
  <c r="L439" i="5" s="1"/>
  <c r="I439" i="5"/>
  <c r="J435" i="5"/>
  <c r="L435" i="5" s="1"/>
  <c r="I435" i="5"/>
  <c r="J431" i="5"/>
  <c r="L431" i="5" s="1"/>
  <c r="I431" i="5"/>
  <c r="J429" i="5"/>
  <c r="L429" i="5" s="1"/>
  <c r="I429" i="5"/>
  <c r="L427" i="5"/>
  <c r="J427" i="5"/>
  <c r="I427" i="5"/>
  <c r="J425" i="5"/>
  <c r="L425" i="5" s="1"/>
  <c r="I425" i="5"/>
  <c r="J423" i="5"/>
  <c r="L423" i="5" s="1"/>
  <c r="I423" i="5"/>
  <c r="J441" i="4"/>
  <c r="I441" i="4"/>
  <c r="J439" i="4"/>
  <c r="I439" i="4"/>
  <c r="J435" i="4"/>
  <c r="I435" i="4"/>
  <c r="J431" i="4"/>
  <c r="I431" i="4"/>
  <c r="J429" i="4"/>
  <c r="I429" i="4"/>
  <c r="J427" i="4"/>
  <c r="I427" i="4"/>
  <c r="L427" i="4" s="1"/>
  <c r="J425" i="4"/>
  <c r="I425" i="4"/>
  <c r="J423" i="4"/>
  <c r="L423" i="4" s="1"/>
  <c r="I423" i="4"/>
  <c r="N591" i="7" l="1"/>
  <c r="N593" i="7" s="1"/>
  <c r="N595" i="7" s="1"/>
  <c r="L425" i="4"/>
  <c r="L387" i="4"/>
  <c r="L415" i="4"/>
  <c r="L371" i="4"/>
  <c r="L381" i="4"/>
  <c r="L401" i="4"/>
  <c r="L489" i="4"/>
  <c r="L439" i="4"/>
  <c r="L389" i="4"/>
  <c r="L409" i="4"/>
  <c r="L417" i="4"/>
  <c r="L441" i="4"/>
  <c r="L391" i="4"/>
  <c r="L411" i="4"/>
  <c r="L377" i="4"/>
  <c r="L397" i="4"/>
  <c r="L405" i="4"/>
  <c r="L479" i="4"/>
  <c r="L435" i="4"/>
  <c r="L429" i="4"/>
  <c r="L471" i="4"/>
  <c r="L431" i="4"/>
  <c r="L393" i="4"/>
  <c r="L413" i="4"/>
  <c r="L473" i="4"/>
  <c r="L397" i="7"/>
  <c r="L399" i="7"/>
  <c r="J369" i="7" l="1"/>
  <c r="I369" i="7"/>
  <c r="L369" i="7" s="1"/>
  <c r="J367" i="7"/>
  <c r="L367" i="7" s="1"/>
  <c r="I367" i="7"/>
  <c r="J365" i="7"/>
  <c r="L365" i="7" s="1"/>
  <c r="I365" i="7"/>
  <c r="J363" i="7"/>
  <c r="L363" i="7" s="1"/>
  <c r="I363" i="7"/>
  <c r="J361" i="7"/>
  <c r="L361" i="7" s="1"/>
  <c r="I361" i="7"/>
  <c r="L359" i="7"/>
  <c r="J359" i="7"/>
  <c r="I359" i="7"/>
  <c r="J357" i="7"/>
  <c r="L357" i="7" s="1"/>
  <c r="I357" i="7"/>
  <c r="J355" i="7"/>
  <c r="L355" i="7" s="1"/>
  <c r="I355" i="7"/>
  <c r="J353" i="7"/>
  <c r="I353" i="7"/>
  <c r="L353" i="7" s="1"/>
  <c r="J351" i="7"/>
  <c r="L351" i="7" s="1"/>
  <c r="I351" i="7"/>
  <c r="J349" i="7"/>
  <c r="L349" i="7" s="1"/>
  <c r="I349" i="7"/>
  <c r="J347" i="7"/>
  <c r="L347" i="7" s="1"/>
  <c r="I347" i="7"/>
  <c r="J345" i="7"/>
  <c r="L345" i="7" s="1"/>
  <c r="I345" i="7"/>
  <c r="L343" i="7"/>
  <c r="J343" i="7"/>
  <c r="I343" i="7"/>
  <c r="J341" i="7"/>
  <c r="L341" i="7" s="1"/>
  <c r="I341" i="7"/>
  <c r="J339" i="7"/>
  <c r="L339" i="7" s="1"/>
  <c r="I339" i="7"/>
  <c r="J337" i="7"/>
  <c r="I337" i="7"/>
  <c r="L337" i="7" s="1"/>
  <c r="J335" i="7"/>
  <c r="L335" i="7" s="1"/>
  <c r="I335" i="7"/>
  <c r="J333" i="7"/>
  <c r="L333" i="7" s="1"/>
  <c r="I333" i="7"/>
  <c r="J331" i="7"/>
  <c r="L331" i="7" s="1"/>
  <c r="I331" i="7"/>
  <c r="J329" i="7"/>
  <c r="L329" i="7" s="1"/>
  <c r="I329" i="7"/>
  <c r="L326" i="7"/>
  <c r="J326" i="7"/>
  <c r="I326" i="7"/>
  <c r="J324" i="7"/>
  <c r="L324" i="7" s="1"/>
  <c r="I324" i="7"/>
  <c r="J322" i="7"/>
  <c r="L322" i="7" s="1"/>
  <c r="I322" i="7"/>
  <c r="J320" i="7"/>
  <c r="I320" i="7"/>
  <c r="L320" i="7" s="1"/>
  <c r="J318" i="7"/>
  <c r="L318" i="7" s="1"/>
  <c r="I318" i="7"/>
  <c r="J316" i="7"/>
  <c r="L316" i="7" s="1"/>
  <c r="I316" i="7"/>
  <c r="J314" i="7"/>
  <c r="L314" i="7" s="1"/>
  <c r="I314" i="7"/>
  <c r="J312" i="7"/>
  <c r="L312" i="7" s="1"/>
  <c r="I312" i="7"/>
  <c r="L310" i="7"/>
  <c r="J310" i="7"/>
  <c r="I310" i="7"/>
  <c r="J308" i="7"/>
  <c r="L308" i="7" s="1"/>
  <c r="I308" i="7"/>
  <c r="J306" i="7"/>
  <c r="L306" i="7" s="1"/>
  <c r="I306" i="7"/>
  <c r="J304" i="7"/>
  <c r="I304" i="7"/>
  <c r="L304" i="7" s="1"/>
  <c r="J302" i="7"/>
  <c r="L302" i="7" s="1"/>
  <c r="I302" i="7"/>
  <c r="J300" i="7"/>
  <c r="L300" i="7" s="1"/>
  <c r="I300" i="7"/>
  <c r="J298" i="7"/>
  <c r="L298" i="7" s="1"/>
  <c r="I298" i="7"/>
  <c r="J296" i="7"/>
  <c r="L296" i="7" s="1"/>
  <c r="I296" i="7"/>
  <c r="L294" i="7"/>
  <c r="J294" i="7"/>
  <c r="I294" i="7"/>
  <c r="J292" i="7"/>
  <c r="L292" i="7" s="1"/>
  <c r="I292" i="7"/>
  <c r="J290" i="7"/>
  <c r="L290" i="7" s="1"/>
  <c r="I290" i="7"/>
  <c r="J288" i="7"/>
  <c r="I288" i="7"/>
  <c r="L288" i="7" s="1"/>
  <c r="J286" i="7"/>
  <c r="L286" i="7" s="1"/>
  <c r="I286" i="7"/>
  <c r="J284" i="7"/>
  <c r="L284" i="7" s="1"/>
  <c r="I284" i="7"/>
  <c r="J282" i="7"/>
  <c r="L282" i="7" s="1"/>
  <c r="I282" i="7"/>
  <c r="J280" i="7"/>
  <c r="L280" i="7" s="1"/>
  <c r="I280" i="7"/>
  <c r="L278" i="7"/>
  <c r="J278" i="7"/>
  <c r="I278" i="7"/>
  <c r="J276" i="7"/>
  <c r="L276" i="7" s="1"/>
  <c r="I276" i="7"/>
  <c r="J274" i="7"/>
  <c r="L274" i="7" s="1"/>
  <c r="I274" i="7"/>
  <c r="J272" i="7"/>
  <c r="I272" i="7"/>
  <c r="L272" i="7" s="1"/>
  <c r="J270" i="7"/>
  <c r="L270" i="7" s="1"/>
  <c r="I270" i="7"/>
  <c r="J268" i="7"/>
  <c r="L268" i="7" s="1"/>
  <c r="I268" i="7"/>
  <c r="J266" i="7"/>
  <c r="L266" i="7" s="1"/>
  <c r="I266" i="7"/>
  <c r="J264" i="7"/>
  <c r="L264" i="7" s="1"/>
  <c r="I264" i="7"/>
  <c r="L262" i="7"/>
  <c r="J262" i="7"/>
  <c r="I262" i="7"/>
  <c r="J260" i="7"/>
  <c r="L260" i="7" s="1"/>
  <c r="I260" i="7"/>
  <c r="J258" i="7"/>
  <c r="L258" i="7" s="1"/>
  <c r="I258" i="7"/>
  <c r="J256" i="7"/>
  <c r="I256" i="7"/>
  <c r="L256" i="7" s="1"/>
  <c r="J254" i="7"/>
  <c r="L254" i="7" s="1"/>
  <c r="I254" i="7"/>
  <c r="J252" i="7"/>
  <c r="L252" i="7" s="1"/>
  <c r="I252" i="7"/>
  <c r="J250" i="7"/>
  <c r="L250" i="7" s="1"/>
  <c r="I250" i="7"/>
  <c r="J248" i="7"/>
  <c r="L248" i="7" s="1"/>
  <c r="I248" i="7"/>
  <c r="L246" i="7"/>
  <c r="J246" i="7"/>
  <c r="I246" i="7"/>
  <c r="J244" i="7"/>
  <c r="L244" i="7" s="1"/>
  <c r="I244" i="7"/>
  <c r="J242" i="7"/>
  <c r="L242" i="7" s="1"/>
  <c r="I242" i="7"/>
  <c r="J240" i="7"/>
  <c r="I240" i="7"/>
  <c r="L240" i="7" s="1"/>
  <c r="J238" i="7"/>
  <c r="L238" i="7" s="1"/>
  <c r="I238" i="7"/>
  <c r="J236" i="7"/>
  <c r="L236" i="7" s="1"/>
  <c r="I236" i="7"/>
  <c r="J234" i="7"/>
  <c r="L234" i="7" s="1"/>
  <c r="I234" i="7"/>
  <c r="J232" i="7"/>
  <c r="L232" i="7" s="1"/>
  <c r="I232" i="7"/>
  <c r="L230" i="7"/>
  <c r="J230" i="7"/>
  <c r="I230" i="7"/>
  <c r="J228" i="7"/>
  <c r="L228" i="7" s="1"/>
  <c r="I228" i="7"/>
  <c r="J226" i="7"/>
  <c r="L226" i="7" s="1"/>
  <c r="I226" i="7"/>
  <c r="J224" i="7"/>
  <c r="I224" i="7"/>
  <c r="L224" i="7" s="1"/>
  <c r="J222" i="7"/>
  <c r="L222" i="7" s="1"/>
  <c r="I222" i="7"/>
  <c r="J220" i="7"/>
  <c r="L220" i="7" s="1"/>
  <c r="I220" i="7"/>
  <c r="J218" i="7"/>
  <c r="L218" i="7" s="1"/>
  <c r="I218" i="7"/>
  <c r="J216" i="7"/>
  <c r="L216" i="7" s="1"/>
  <c r="I216" i="7"/>
  <c r="L214" i="7"/>
  <c r="J214" i="7"/>
  <c r="I214" i="7"/>
  <c r="J212" i="7"/>
  <c r="L212" i="7" s="1"/>
  <c r="I212" i="7"/>
  <c r="J210" i="7"/>
  <c r="L210" i="7" s="1"/>
  <c r="I210" i="7"/>
  <c r="J208" i="7"/>
  <c r="I208" i="7"/>
  <c r="L208" i="7" s="1"/>
  <c r="J206" i="7"/>
  <c r="L206" i="7" s="1"/>
  <c r="I206" i="7"/>
  <c r="J204" i="7"/>
  <c r="L204" i="7" s="1"/>
  <c r="I204" i="7"/>
  <c r="J202" i="7"/>
  <c r="L202" i="7" s="1"/>
  <c r="I202" i="7"/>
  <c r="J200" i="7"/>
  <c r="L200" i="7" s="1"/>
  <c r="I200" i="7"/>
  <c r="L198" i="7"/>
  <c r="J198" i="7"/>
  <c r="I198" i="7"/>
  <c r="J196" i="7"/>
  <c r="L196" i="7" s="1"/>
  <c r="I196" i="7"/>
  <c r="J194" i="7"/>
  <c r="L194" i="7" s="1"/>
  <c r="I194" i="7"/>
  <c r="J192" i="7"/>
  <c r="I192" i="7"/>
  <c r="L192" i="7" s="1"/>
  <c r="J190" i="7"/>
  <c r="L190" i="7" s="1"/>
  <c r="I190" i="7"/>
  <c r="J188" i="7"/>
  <c r="L188" i="7" s="1"/>
  <c r="I188" i="7"/>
  <c r="J186" i="7"/>
  <c r="L186" i="7" s="1"/>
  <c r="I186" i="7"/>
  <c r="J184" i="7"/>
  <c r="L184" i="7" s="1"/>
  <c r="I184" i="7"/>
  <c r="L182" i="7"/>
  <c r="J182" i="7"/>
  <c r="I182" i="7"/>
  <c r="J180" i="7"/>
  <c r="L180" i="7" s="1"/>
  <c r="I180" i="7"/>
  <c r="J178" i="7"/>
  <c r="L178" i="7" s="1"/>
  <c r="I178" i="7"/>
  <c r="J176" i="7"/>
  <c r="I176" i="7"/>
  <c r="L176" i="7" s="1"/>
  <c r="J174" i="7"/>
  <c r="L174" i="7" s="1"/>
  <c r="I174" i="7"/>
  <c r="J172" i="7"/>
  <c r="L172" i="7" s="1"/>
  <c r="I172" i="7"/>
  <c r="J170" i="7"/>
  <c r="L170" i="7" s="1"/>
  <c r="I170" i="7"/>
  <c r="J168" i="7"/>
  <c r="L168" i="7" s="1"/>
  <c r="I168" i="7"/>
  <c r="L166" i="7"/>
  <c r="J166" i="7"/>
  <c r="I166" i="7"/>
  <c r="J164" i="7"/>
  <c r="L164" i="7" s="1"/>
  <c r="I164" i="7"/>
  <c r="J162" i="7"/>
  <c r="L162" i="7" s="1"/>
  <c r="I162" i="7"/>
  <c r="J160" i="7"/>
  <c r="I160" i="7"/>
  <c r="L160" i="7" s="1"/>
  <c r="J158" i="7"/>
  <c r="L158" i="7" s="1"/>
  <c r="I158" i="7"/>
  <c r="J156" i="7"/>
  <c r="L156" i="7" s="1"/>
  <c r="I156" i="7"/>
  <c r="J154" i="7"/>
  <c r="L154" i="7" s="1"/>
  <c r="I154" i="7"/>
  <c r="J152" i="7"/>
  <c r="L152" i="7" s="1"/>
  <c r="I152" i="7"/>
  <c r="L150" i="7"/>
  <c r="J150" i="7"/>
  <c r="I150" i="7"/>
  <c r="J148" i="7"/>
  <c r="L148" i="7" s="1"/>
  <c r="I148" i="7"/>
  <c r="J146" i="7"/>
  <c r="L146" i="7" s="1"/>
  <c r="I146" i="7"/>
  <c r="J144" i="7"/>
  <c r="I144" i="7"/>
  <c r="L144" i="7" s="1"/>
  <c r="J142" i="7"/>
  <c r="L142" i="7" s="1"/>
  <c r="I142" i="7"/>
  <c r="J140" i="7"/>
  <c r="L140" i="7" s="1"/>
  <c r="I140" i="7"/>
  <c r="J138" i="7"/>
  <c r="L138" i="7" s="1"/>
  <c r="I138" i="7"/>
  <c r="J136" i="7"/>
  <c r="L136" i="7" s="1"/>
  <c r="I136" i="7"/>
  <c r="L134" i="7"/>
  <c r="J134" i="7"/>
  <c r="I134" i="7"/>
  <c r="J132" i="7"/>
  <c r="L132" i="7" s="1"/>
  <c r="I132" i="7"/>
  <c r="J130" i="7"/>
  <c r="L130" i="7" s="1"/>
  <c r="I130" i="7"/>
  <c r="J128" i="7"/>
  <c r="I128" i="7"/>
  <c r="L128" i="7" s="1"/>
  <c r="J126" i="7"/>
  <c r="L126" i="7" s="1"/>
  <c r="I126" i="7"/>
  <c r="J124" i="7"/>
  <c r="L124" i="7" s="1"/>
  <c r="I124" i="7"/>
  <c r="J122" i="7"/>
  <c r="L122" i="7" s="1"/>
  <c r="I122" i="7"/>
  <c r="J120" i="7"/>
  <c r="L120" i="7" s="1"/>
  <c r="I120" i="7"/>
  <c r="L118" i="7"/>
  <c r="J118" i="7"/>
  <c r="I118" i="7"/>
  <c r="J116" i="7"/>
  <c r="L116" i="7" s="1"/>
  <c r="I116" i="7"/>
  <c r="J114" i="7"/>
  <c r="L114" i="7" s="1"/>
  <c r="I114" i="7"/>
  <c r="J112" i="7"/>
  <c r="I112" i="7"/>
  <c r="L112" i="7" s="1"/>
  <c r="J110" i="7"/>
  <c r="L110" i="7" s="1"/>
  <c r="I110" i="7"/>
  <c r="J108" i="7"/>
  <c r="L108" i="7" s="1"/>
  <c r="I108" i="7"/>
  <c r="J106" i="7"/>
  <c r="L106" i="7" s="1"/>
  <c r="I106" i="7"/>
  <c r="J104" i="7"/>
  <c r="L104" i="7" s="1"/>
  <c r="I104" i="7"/>
  <c r="L102" i="7"/>
  <c r="J102" i="7"/>
  <c r="I102" i="7"/>
  <c r="J100" i="7"/>
  <c r="L100" i="7" s="1"/>
  <c r="I100" i="7"/>
  <c r="J98" i="7"/>
  <c r="L98" i="7" s="1"/>
  <c r="I98" i="7"/>
  <c r="J96" i="7"/>
  <c r="I96" i="7"/>
  <c r="L96" i="7" s="1"/>
  <c r="J94" i="7"/>
  <c r="L94" i="7" s="1"/>
  <c r="I94" i="7"/>
  <c r="J92" i="7"/>
  <c r="L92" i="7" s="1"/>
  <c r="I92" i="7"/>
  <c r="J90" i="7"/>
  <c r="L90" i="7" s="1"/>
  <c r="I90" i="7"/>
  <c r="J88" i="7"/>
  <c r="L88" i="7" s="1"/>
  <c r="I88" i="7"/>
  <c r="L86" i="7"/>
  <c r="J86" i="7"/>
  <c r="I86" i="7"/>
  <c r="J84" i="7"/>
  <c r="L84" i="7" s="1"/>
  <c r="I84" i="7"/>
  <c r="J82" i="7"/>
  <c r="L82" i="7" s="1"/>
  <c r="I82" i="7"/>
  <c r="J80" i="7"/>
  <c r="I80" i="7"/>
  <c r="L80" i="7" s="1"/>
  <c r="J78" i="7"/>
  <c r="L78" i="7" s="1"/>
  <c r="I78" i="7"/>
  <c r="J76" i="7"/>
  <c r="L76" i="7" s="1"/>
  <c r="I76" i="7"/>
  <c r="J74" i="7"/>
  <c r="I74" i="7"/>
  <c r="J72" i="7"/>
  <c r="I72" i="7"/>
  <c r="J70" i="7"/>
  <c r="I70" i="7"/>
  <c r="J68" i="7"/>
  <c r="I68" i="7"/>
  <c r="J66" i="7"/>
  <c r="I66" i="7"/>
  <c r="J64" i="7"/>
  <c r="I64" i="7"/>
  <c r="L64" i="7" s="1"/>
  <c r="J62" i="7"/>
  <c r="L62" i="7" s="1"/>
  <c r="I62" i="7"/>
  <c r="J60" i="7"/>
  <c r="L60" i="7" s="1"/>
  <c r="I60" i="7"/>
  <c r="J58" i="7"/>
  <c r="L58" i="7" s="1"/>
  <c r="I58" i="7"/>
  <c r="J56" i="7"/>
  <c r="L56" i="7" s="1"/>
  <c r="I56" i="7"/>
  <c r="L54" i="7"/>
  <c r="J54" i="7"/>
  <c r="I54" i="7"/>
  <c r="J52" i="7"/>
  <c r="L52" i="7" s="1"/>
  <c r="I52" i="7"/>
  <c r="J50" i="7"/>
  <c r="L50" i="7" s="1"/>
  <c r="I50" i="7"/>
  <c r="J48" i="7"/>
  <c r="I48" i="7"/>
  <c r="L48" i="7" s="1"/>
  <c r="J46" i="7"/>
  <c r="L46" i="7" s="1"/>
  <c r="I46" i="7"/>
  <c r="J44" i="7"/>
  <c r="L44" i="7" s="1"/>
  <c r="I44" i="7"/>
  <c r="J42" i="7"/>
  <c r="L42" i="7" s="1"/>
  <c r="I42" i="7"/>
  <c r="J40" i="7"/>
  <c r="L40" i="7" s="1"/>
  <c r="I40" i="7"/>
  <c r="L38" i="7"/>
  <c r="J38" i="7"/>
  <c r="I38" i="7"/>
  <c r="J36" i="7"/>
  <c r="L36" i="7" s="1"/>
  <c r="I36" i="7"/>
  <c r="J34" i="7"/>
  <c r="L34" i="7" s="1"/>
  <c r="I34" i="7"/>
  <c r="J32" i="7"/>
  <c r="I32" i="7"/>
  <c r="L32" i="7" s="1"/>
  <c r="J30" i="7"/>
  <c r="L30" i="7" s="1"/>
  <c r="I30" i="7"/>
  <c r="J28" i="7"/>
  <c r="L28" i="7" s="1"/>
  <c r="I28" i="7"/>
  <c r="J26" i="7"/>
  <c r="L26" i="7" s="1"/>
  <c r="I26" i="7"/>
  <c r="J24" i="7"/>
  <c r="L24" i="7" s="1"/>
  <c r="I24" i="7"/>
  <c r="L22" i="7"/>
  <c r="J22" i="7"/>
  <c r="I22" i="7"/>
  <c r="J20" i="7"/>
  <c r="L20" i="7" s="1"/>
  <c r="I20" i="7"/>
  <c r="J18" i="7"/>
  <c r="L18" i="7" s="1"/>
  <c r="I18" i="7"/>
  <c r="J16" i="7"/>
  <c r="I16" i="7"/>
  <c r="L16" i="7" s="1"/>
  <c r="J14" i="7"/>
  <c r="L14" i="7" s="1"/>
  <c r="I14" i="7"/>
  <c r="J12" i="7"/>
  <c r="L12" i="7" s="1"/>
  <c r="I12" i="7"/>
  <c r="J10" i="7"/>
  <c r="L10" i="7" s="1"/>
  <c r="I10" i="7"/>
  <c r="J8" i="7"/>
  <c r="L8" i="7" s="1"/>
  <c r="I8" i="7"/>
  <c r="L6" i="7"/>
  <c r="J6" i="7"/>
  <c r="I6" i="7"/>
  <c r="J4" i="7"/>
  <c r="L4" i="7" s="1"/>
  <c r="I4" i="7"/>
  <c r="J369" i="6"/>
  <c r="L369" i="6" s="1"/>
  <c r="I369" i="6"/>
  <c r="J367" i="6"/>
  <c r="I367" i="6"/>
  <c r="L365" i="6"/>
  <c r="J365" i="6"/>
  <c r="I365" i="6"/>
  <c r="J363" i="6"/>
  <c r="L363" i="6" s="1"/>
  <c r="I363" i="6"/>
  <c r="J361" i="6"/>
  <c r="I361" i="6"/>
  <c r="L359" i="6"/>
  <c r="J359" i="6"/>
  <c r="I359" i="6"/>
  <c r="J357" i="6"/>
  <c r="L357" i="6" s="1"/>
  <c r="I357" i="6"/>
  <c r="J355" i="6"/>
  <c r="I355" i="6"/>
  <c r="L355" i="6" s="1"/>
  <c r="J353" i="6"/>
  <c r="L353" i="6" s="1"/>
  <c r="I353" i="6"/>
  <c r="J351" i="6"/>
  <c r="I351" i="6"/>
  <c r="L349" i="6"/>
  <c r="J349" i="6"/>
  <c r="I349" i="6"/>
  <c r="J347" i="6"/>
  <c r="L347" i="6" s="1"/>
  <c r="I347" i="6"/>
  <c r="J345" i="6"/>
  <c r="I345" i="6"/>
  <c r="L343" i="6"/>
  <c r="J343" i="6"/>
  <c r="I343" i="6"/>
  <c r="J341" i="6"/>
  <c r="L341" i="6" s="1"/>
  <c r="I341" i="6"/>
  <c r="J339" i="6"/>
  <c r="L339" i="6" s="1"/>
  <c r="I339" i="6"/>
  <c r="J337" i="6"/>
  <c r="L337" i="6" s="1"/>
  <c r="I337" i="6"/>
  <c r="J335" i="6"/>
  <c r="L335" i="6" s="1"/>
  <c r="I335" i="6"/>
  <c r="J333" i="6"/>
  <c r="L333" i="6" s="1"/>
  <c r="I333" i="6"/>
  <c r="J331" i="6"/>
  <c r="L331" i="6" s="1"/>
  <c r="I331" i="6"/>
  <c r="J329" i="6"/>
  <c r="L329" i="6" s="1"/>
  <c r="I329" i="6"/>
  <c r="L326" i="6"/>
  <c r="J326" i="6"/>
  <c r="I326" i="6"/>
  <c r="J324" i="6"/>
  <c r="L324" i="6" s="1"/>
  <c r="I324" i="6"/>
  <c r="L322" i="6"/>
  <c r="J322" i="6"/>
  <c r="I322" i="6"/>
  <c r="J320" i="6"/>
  <c r="L320" i="6" s="1"/>
  <c r="I320" i="6"/>
  <c r="J318" i="6"/>
  <c r="I318" i="6"/>
  <c r="L316" i="6"/>
  <c r="J316" i="6"/>
  <c r="I316" i="6"/>
  <c r="J314" i="6"/>
  <c r="L314" i="6" s="1"/>
  <c r="I314" i="6"/>
  <c r="J312" i="6"/>
  <c r="I312" i="6"/>
  <c r="L310" i="6"/>
  <c r="J310" i="6"/>
  <c r="I310" i="6"/>
  <c r="J308" i="6"/>
  <c r="L308" i="6" s="1"/>
  <c r="I308" i="6"/>
  <c r="J306" i="6"/>
  <c r="L306" i="6" s="1"/>
  <c r="I306" i="6"/>
  <c r="J304" i="6"/>
  <c r="L304" i="6" s="1"/>
  <c r="I304" i="6"/>
  <c r="J302" i="6"/>
  <c r="L302" i="6" s="1"/>
  <c r="I302" i="6"/>
  <c r="L300" i="6"/>
  <c r="J300" i="6"/>
  <c r="I300" i="6"/>
  <c r="J298" i="6"/>
  <c r="L298" i="6" s="1"/>
  <c r="I298" i="6"/>
  <c r="J296" i="6"/>
  <c r="L296" i="6" s="1"/>
  <c r="I296" i="6"/>
  <c r="L294" i="6"/>
  <c r="J294" i="6"/>
  <c r="I294" i="6"/>
  <c r="J292" i="6"/>
  <c r="L292" i="6" s="1"/>
  <c r="I292" i="6"/>
  <c r="J290" i="6"/>
  <c r="L290" i="6" s="1"/>
  <c r="I290" i="6"/>
  <c r="J288" i="6"/>
  <c r="L288" i="6" s="1"/>
  <c r="I288" i="6"/>
  <c r="J286" i="6"/>
  <c r="I286" i="6"/>
  <c r="J284" i="6"/>
  <c r="L284" i="6" s="1"/>
  <c r="I284" i="6"/>
  <c r="J282" i="6"/>
  <c r="L282" i="6" s="1"/>
  <c r="I282" i="6"/>
  <c r="J280" i="6"/>
  <c r="L280" i="6" s="1"/>
  <c r="I280" i="6"/>
  <c r="L278" i="6"/>
  <c r="J278" i="6"/>
  <c r="I278" i="6"/>
  <c r="J276" i="6"/>
  <c r="L276" i="6" s="1"/>
  <c r="I276" i="6"/>
  <c r="L274" i="6"/>
  <c r="J274" i="6"/>
  <c r="I274" i="6"/>
  <c r="J272" i="6"/>
  <c r="L272" i="6" s="1"/>
  <c r="I272" i="6"/>
  <c r="J270" i="6"/>
  <c r="I270" i="6"/>
  <c r="L268" i="6"/>
  <c r="J268" i="6"/>
  <c r="I268" i="6"/>
  <c r="J266" i="6"/>
  <c r="L266" i="6" s="1"/>
  <c r="I266" i="6"/>
  <c r="J264" i="6"/>
  <c r="I264" i="6"/>
  <c r="L262" i="6"/>
  <c r="J262" i="6"/>
  <c r="I262" i="6"/>
  <c r="J260" i="6"/>
  <c r="L260" i="6" s="1"/>
  <c r="I260" i="6"/>
  <c r="J258" i="6"/>
  <c r="L258" i="6" s="1"/>
  <c r="I258" i="6"/>
  <c r="J256" i="6"/>
  <c r="L256" i="6" s="1"/>
  <c r="I256" i="6"/>
  <c r="J254" i="6"/>
  <c r="L254" i="6" s="1"/>
  <c r="I254" i="6"/>
  <c r="J252" i="6"/>
  <c r="L252" i="6" s="1"/>
  <c r="I252" i="6"/>
  <c r="J250" i="6"/>
  <c r="L250" i="6" s="1"/>
  <c r="I250" i="6"/>
  <c r="J248" i="6"/>
  <c r="L248" i="6" s="1"/>
  <c r="I248" i="6"/>
  <c r="L246" i="6"/>
  <c r="J246" i="6"/>
  <c r="I246" i="6"/>
  <c r="J244" i="6"/>
  <c r="L244" i="6" s="1"/>
  <c r="I244" i="6"/>
  <c r="L242" i="6"/>
  <c r="J242" i="6"/>
  <c r="I242" i="6"/>
  <c r="J240" i="6"/>
  <c r="L240" i="6" s="1"/>
  <c r="I240" i="6"/>
  <c r="J238" i="6"/>
  <c r="I238" i="6"/>
  <c r="J236" i="6"/>
  <c r="L236" i="6" s="1"/>
  <c r="I236" i="6"/>
  <c r="J234" i="6"/>
  <c r="L234" i="6" s="1"/>
  <c r="I234" i="6"/>
  <c r="J232" i="6"/>
  <c r="I232" i="6"/>
  <c r="L230" i="6"/>
  <c r="J230" i="6"/>
  <c r="I230" i="6"/>
  <c r="J228" i="6"/>
  <c r="L228" i="6" s="1"/>
  <c r="I228" i="6"/>
  <c r="J226" i="6"/>
  <c r="I226" i="6"/>
  <c r="L226" i="6" s="1"/>
  <c r="J224" i="6"/>
  <c r="L224" i="6" s="1"/>
  <c r="I224" i="6"/>
  <c r="J222" i="6"/>
  <c r="L222" i="6" s="1"/>
  <c r="I222" i="6"/>
  <c r="L220" i="6"/>
  <c r="J220" i="6"/>
  <c r="I220" i="6"/>
  <c r="J218" i="6"/>
  <c r="L218" i="6" s="1"/>
  <c r="I218" i="6"/>
  <c r="J216" i="6"/>
  <c r="I216" i="6"/>
  <c r="L214" i="6"/>
  <c r="J214" i="6"/>
  <c r="I214" i="6"/>
  <c r="J212" i="6"/>
  <c r="L212" i="6" s="1"/>
  <c r="I212" i="6"/>
  <c r="J210" i="6"/>
  <c r="L210" i="6" s="1"/>
  <c r="I210" i="6"/>
  <c r="J208" i="6"/>
  <c r="L208" i="6" s="1"/>
  <c r="I208" i="6"/>
  <c r="J206" i="6"/>
  <c r="L206" i="6" s="1"/>
  <c r="I206" i="6"/>
  <c r="J204" i="6"/>
  <c r="L204" i="6" s="1"/>
  <c r="I204" i="6"/>
  <c r="J202" i="6"/>
  <c r="L202" i="6" s="1"/>
  <c r="I202" i="6"/>
  <c r="J200" i="6"/>
  <c r="L200" i="6" s="1"/>
  <c r="I200" i="6"/>
  <c r="L198" i="6"/>
  <c r="J198" i="6"/>
  <c r="I198" i="6"/>
  <c r="J196" i="6"/>
  <c r="L196" i="6" s="1"/>
  <c r="I196" i="6"/>
  <c r="L194" i="6"/>
  <c r="J194" i="6"/>
  <c r="I194" i="6"/>
  <c r="J192" i="6"/>
  <c r="L192" i="6" s="1"/>
  <c r="I192" i="6"/>
  <c r="J190" i="6"/>
  <c r="I190" i="6"/>
  <c r="L188" i="6"/>
  <c r="J188" i="6"/>
  <c r="I188" i="6"/>
  <c r="J186" i="6"/>
  <c r="L186" i="6" s="1"/>
  <c r="I186" i="6"/>
  <c r="J184" i="6"/>
  <c r="I184" i="6"/>
  <c r="L182" i="6"/>
  <c r="J182" i="6"/>
  <c r="I182" i="6"/>
  <c r="J180" i="6"/>
  <c r="L180" i="6" s="1"/>
  <c r="I180" i="6"/>
  <c r="J178" i="6"/>
  <c r="L178" i="6" s="1"/>
  <c r="I178" i="6"/>
  <c r="J176" i="6"/>
  <c r="L176" i="6" s="1"/>
  <c r="I176" i="6"/>
  <c r="J174" i="6"/>
  <c r="L174" i="6" s="1"/>
  <c r="I174" i="6"/>
  <c r="J172" i="6"/>
  <c r="L172" i="6" s="1"/>
  <c r="I172" i="6"/>
  <c r="J170" i="6"/>
  <c r="L170" i="6" s="1"/>
  <c r="I170" i="6"/>
  <c r="J168" i="6"/>
  <c r="L168" i="6" s="1"/>
  <c r="I168" i="6"/>
  <c r="L166" i="6"/>
  <c r="J166" i="6"/>
  <c r="I166" i="6"/>
  <c r="J164" i="6"/>
  <c r="L164" i="6" s="1"/>
  <c r="I164" i="6"/>
  <c r="J162" i="6"/>
  <c r="L162" i="6" s="1"/>
  <c r="I162" i="6"/>
  <c r="J160" i="6"/>
  <c r="L160" i="6" s="1"/>
  <c r="I160" i="6"/>
  <c r="J158" i="6"/>
  <c r="I158" i="6"/>
  <c r="J156" i="6"/>
  <c r="L156" i="6" s="1"/>
  <c r="I156" i="6"/>
  <c r="J154" i="6"/>
  <c r="L154" i="6" s="1"/>
  <c r="I154" i="6"/>
  <c r="J152" i="6"/>
  <c r="I152" i="6"/>
  <c r="L150" i="6"/>
  <c r="J150" i="6"/>
  <c r="I150" i="6"/>
  <c r="J148" i="6"/>
  <c r="L148" i="6" s="1"/>
  <c r="I148" i="6"/>
  <c r="L146" i="6"/>
  <c r="J146" i="6"/>
  <c r="I146" i="6"/>
  <c r="J144" i="6"/>
  <c r="L144" i="6" s="1"/>
  <c r="I144" i="6"/>
  <c r="J142" i="6"/>
  <c r="I142" i="6"/>
  <c r="L140" i="6"/>
  <c r="J140" i="6"/>
  <c r="I140" i="6"/>
  <c r="J138" i="6"/>
  <c r="L138" i="6" s="1"/>
  <c r="I138" i="6"/>
  <c r="J136" i="6"/>
  <c r="I136" i="6"/>
  <c r="L134" i="6"/>
  <c r="J134" i="6"/>
  <c r="I134" i="6"/>
  <c r="J132" i="6"/>
  <c r="L132" i="6" s="1"/>
  <c r="I132" i="6"/>
  <c r="J130" i="6"/>
  <c r="L130" i="6" s="1"/>
  <c r="I130" i="6"/>
  <c r="J128" i="6"/>
  <c r="L128" i="6" s="1"/>
  <c r="I128" i="6"/>
  <c r="J126" i="6"/>
  <c r="L126" i="6" s="1"/>
  <c r="I126" i="6"/>
  <c r="J124" i="6"/>
  <c r="L124" i="6" s="1"/>
  <c r="I124" i="6"/>
  <c r="J122" i="6"/>
  <c r="L122" i="6" s="1"/>
  <c r="I122" i="6"/>
  <c r="J120" i="6"/>
  <c r="L120" i="6" s="1"/>
  <c r="I120" i="6"/>
  <c r="L118" i="6"/>
  <c r="J118" i="6"/>
  <c r="I118" i="6"/>
  <c r="J116" i="6"/>
  <c r="L116" i="6" s="1"/>
  <c r="I116" i="6"/>
  <c r="L114" i="6"/>
  <c r="J114" i="6"/>
  <c r="I114" i="6"/>
  <c r="J112" i="6"/>
  <c r="L112" i="6" s="1"/>
  <c r="I112" i="6"/>
  <c r="J110" i="6"/>
  <c r="I110" i="6"/>
  <c r="J108" i="6"/>
  <c r="L108" i="6" s="1"/>
  <c r="I108" i="6"/>
  <c r="J106" i="6"/>
  <c r="L106" i="6" s="1"/>
  <c r="I106" i="6"/>
  <c r="J104" i="6"/>
  <c r="I104" i="6"/>
  <c r="L102" i="6"/>
  <c r="J102" i="6"/>
  <c r="I102" i="6"/>
  <c r="J100" i="6"/>
  <c r="L100" i="6" s="1"/>
  <c r="I100" i="6"/>
  <c r="J98" i="6"/>
  <c r="L98" i="6" s="1"/>
  <c r="I98" i="6"/>
  <c r="J96" i="6"/>
  <c r="L96" i="6" s="1"/>
  <c r="I96" i="6"/>
  <c r="J94" i="6"/>
  <c r="L94" i="6" s="1"/>
  <c r="I94" i="6"/>
  <c r="L92" i="6"/>
  <c r="J92" i="6"/>
  <c r="I92" i="6"/>
  <c r="J90" i="6"/>
  <c r="L90" i="6" s="1"/>
  <c r="I90" i="6"/>
  <c r="J88" i="6"/>
  <c r="L88" i="6" s="1"/>
  <c r="I88" i="6"/>
  <c r="L86" i="6"/>
  <c r="J86" i="6"/>
  <c r="I86" i="6"/>
  <c r="J84" i="6"/>
  <c r="I84" i="6"/>
  <c r="J82" i="6"/>
  <c r="L82" i="6" s="1"/>
  <c r="I82" i="6"/>
  <c r="J80" i="6"/>
  <c r="L80" i="6" s="1"/>
  <c r="I80" i="6"/>
  <c r="J78" i="6"/>
  <c r="I78" i="6"/>
  <c r="J76" i="6"/>
  <c r="L76" i="6" s="1"/>
  <c r="I76" i="6"/>
  <c r="J74" i="6"/>
  <c r="I74" i="6"/>
  <c r="J72" i="6"/>
  <c r="I72" i="6"/>
  <c r="J70" i="6"/>
  <c r="I70" i="6"/>
  <c r="J68" i="6"/>
  <c r="I68" i="6"/>
  <c r="J66" i="6"/>
  <c r="I66" i="6"/>
  <c r="J64" i="6"/>
  <c r="L64" i="6" s="1"/>
  <c r="I64" i="6"/>
  <c r="J62" i="6"/>
  <c r="L62" i="6" s="1"/>
  <c r="I62" i="6"/>
  <c r="L60" i="6"/>
  <c r="J60" i="6"/>
  <c r="I60" i="6"/>
  <c r="J58" i="6"/>
  <c r="L58" i="6" s="1"/>
  <c r="I58" i="6"/>
  <c r="J56" i="6"/>
  <c r="L56" i="6" s="1"/>
  <c r="I56" i="6"/>
  <c r="L54" i="6"/>
  <c r="J54" i="6"/>
  <c r="I54" i="6"/>
  <c r="J52" i="6"/>
  <c r="I52" i="6"/>
  <c r="J50" i="6"/>
  <c r="L50" i="6" s="1"/>
  <c r="I50" i="6"/>
  <c r="J48" i="6"/>
  <c r="L48" i="6" s="1"/>
  <c r="I48" i="6"/>
  <c r="J46" i="6"/>
  <c r="I46" i="6"/>
  <c r="J44" i="6"/>
  <c r="L44" i="6" s="1"/>
  <c r="I44" i="6"/>
  <c r="J42" i="6"/>
  <c r="L42" i="6" s="1"/>
  <c r="I42" i="6"/>
  <c r="J40" i="6"/>
  <c r="L40" i="6" s="1"/>
  <c r="I40" i="6"/>
  <c r="L38" i="6"/>
  <c r="J38" i="6"/>
  <c r="I38" i="6"/>
  <c r="J36" i="6"/>
  <c r="L36" i="6" s="1"/>
  <c r="I36" i="6"/>
  <c r="J34" i="6"/>
  <c r="L34" i="6" s="1"/>
  <c r="I34" i="6"/>
  <c r="J32" i="6"/>
  <c r="L32" i="6" s="1"/>
  <c r="I32" i="6"/>
  <c r="J30" i="6"/>
  <c r="L30" i="6" s="1"/>
  <c r="I30" i="6"/>
  <c r="L28" i="6"/>
  <c r="J28" i="6"/>
  <c r="I28" i="6"/>
  <c r="J26" i="6"/>
  <c r="L26" i="6" s="1"/>
  <c r="I26" i="6"/>
  <c r="J24" i="6"/>
  <c r="L24" i="6" s="1"/>
  <c r="I24" i="6"/>
  <c r="L22" i="6"/>
  <c r="J22" i="6"/>
  <c r="I22" i="6"/>
  <c r="J20" i="6"/>
  <c r="I20" i="6"/>
  <c r="J18" i="6"/>
  <c r="L18" i="6" s="1"/>
  <c r="I18" i="6"/>
  <c r="J16" i="6"/>
  <c r="L16" i="6" s="1"/>
  <c r="I16" i="6"/>
  <c r="J14" i="6"/>
  <c r="I14" i="6"/>
  <c r="J12" i="6"/>
  <c r="L12" i="6" s="1"/>
  <c r="I12" i="6"/>
  <c r="J10" i="6"/>
  <c r="L10" i="6" s="1"/>
  <c r="I10" i="6"/>
  <c r="J8" i="6"/>
  <c r="L8" i="6" s="1"/>
  <c r="I8" i="6"/>
  <c r="L6" i="6"/>
  <c r="J6" i="6"/>
  <c r="I6" i="6"/>
  <c r="J4" i="6"/>
  <c r="L4" i="6" s="1"/>
  <c r="I4" i="6"/>
  <c r="J369" i="5"/>
  <c r="L369" i="5" s="1"/>
  <c r="I369" i="5"/>
  <c r="J367" i="5"/>
  <c r="L367" i="5" s="1"/>
  <c r="I367" i="5"/>
  <c r="J365" i="5"/>
  <c r="L365" i="5" s="1"/>
  <c r="I365" i="5"/>
  <c r="J363" i="5"/>
  <c r="L363" i="5" s="1"/>
  <c r="I363" i="5"/>
  <c r="J361" i="5"/>
  <c r="L361" i="5" s="1"/>
  <c r="I361" i="5"/>
  <c r="L359" i="5"/>
  <c r="J359" i="5"/>
  <c r="I359" i="5"/>
  <c r="J357" i="5"/>
  <c r="L357" i="5" s="1"/>
  <c r="I357" i="5"/>
  <c r="J355" i="5"/>
  <c r="L355" i="5" s="1"/>
  <c r="I355" i="5"/>
  <c r="J353" i="5"/>
  <c r="L353" i="5" s="1"/>
  <c r="I353" i="5"/>
  <c r="J351" i="5"/>
  <c r="L351" i="5" s="1"/>
  <c r="I351" i="5"/>
  <c r="J349" i="5"/>
  <c r="L349" i="5" s="1"/>
  <c r="I349" i="5"/>
  <c r="J347" i="5"/>
  <c r="L347" i="5" s="1"/>
  <c r="I347" i="5"/>
  <c r="J345" i="5"/>
  <c r="L345" i="5" s="1"/>
  <c r="I345" i="5"/>
  <c r="L343" i="5"/>
  <c r="J343" i="5"/>
  <c r="I343" i="5"/>
  <c r="J341" i="5"/>
  <c r="L341" i="5" s="1"/>
  <c r="I341" i="5"/>
  <c r="J339" i="5"/>
  <c r="L339" i="5" s="1"/>
  <c r="I339" i="5"/>
  <c r="J337" i="5"/>
  <c r="L337" i="5" s="1"/>
  <c r="I337" i="5"/>
  <c r="J335" i="5"/>
  <c r="L335" i="5" s="1"/>
  <c r="I335" i="5"/>
  <c r="J333" i="5"/>
  <c r="L333" i="5" s="1"/>
  <c r="I333" i="5"/>
  <c r="J331" i="5"/>
  <c r="L331" i="5" s="1"/>
  <c r="I331" i="5"/>
  <c r="J329" i="5"/>
  <c r="L329" i="5" s="1"/>
  <c r="I329" i="5"/>
  <c r="L326" i="5"/>
  <c r="J326" i="5"/>
  <c r="I326" i="5"/>
  <c r="J324" i="5"/>
  <c r="L324" i="5" s="1"/>
  <c r="I324" i="5"/>
  <c r="J322" i="5"/>
  <c r="L322" i="5" s="1"/>
  <c r="I322" i="5"/>
  <c r="J320" i="5"/>
  <c r="L320" i="5" s="1"/>
  <c r="I320" i="5"/>
  <c r="J318" i="5"/>
  <c r="L318" i="5" s="1"/>
  <c r="I318" i="5"/>
  <c r="J316" i="5"/>
  <c r="L316" i="5" s="1"/>
  <c r="I316" i="5"/>
  <c r="J314" i="5"/>
  <c r="L314" i="5" s="1"/>
  <c r="I314" i="5"/>
  <c r="J312" i="5"/>
  <c r="L312" i="5" s="1"/>
  <c r="I312" i="5"/>
  <c r="L310" i="5"/>
  <c r="J310" i="5"/>
  <c r="I310" i="5"/>
  <c r="J308" i="5"/>
  <c r="L308" i="5" s="1"/>
  <c r="I308" i="5"/>
  <c r="J306" i="5"/>
  <c r="L306" i="5" s="1"/>
  <c r="I306" i="5"/>
  <c r="J304" i="5"/>
  <c r="L304" i="5" s="1"/>
  <c r="I304" i="5"/>
  <c r="J302" i="5"/>
  <c r="L302" i="5" s="1"/>
  <c r="I302" i="5"/>
  <c r="J300" i="5"/>
  <c r="L300" i="5" s="1"/>
  <c r="I300" i="5"/>
  <c r="J298" i="5"/>
  <c r="L298" i="5" s="1"/>
  <c r="I298" i="5"/>
  <c r="J296" i="5"/>
  <c r="L296" i="5" s="1"/>
  <c r="I296" i="5"/>
  <c r="L294" i="5"/>
  <c r="J294" i="5"/>
  <c r="I294" i="5"/>
  <c r="J292" i="5"/>
  <c r="L292" i="5" s="1"/>
  <c r="I292" i="5"/>
  <c r="J290" i="5"/>
  <c r="L290" i="5" s="1"/>
  <c r="I290" i="5"/>
  <c r="J288" i="5"/>
  <c r="L288" i="5" s="1"/>
  <c r="I288" i="5"/>
  <c r="J286" i="5"/>
  <c r="L286" i="5" s="1"/>
  <c r="I286" i="5"/>
  <c r="J284" i="5"/>
  <c r="L284" i="5" s="1"/>
  <c r="I284" i="5"/>
  <c r="J282" i="5"/>
  <c r="L282" i="5" s="1"/>
  <c r="I282" i="5"/>
  <c r="J280" i="5"/>
  <c r="L280" i="5" s="1"/>
  <c r="I280" i="5"/>
  <c r="L278" i="5"/>
  <c r="J278" i="5"/>
  <c r="I278" i="5"/>
  <c r="J276" i="5"/>
  <c r="L276" i="5" s="1"/>
  <c r="I276" i="5"/>
  <c r="J274" i="5"/>
  <c r="L274" i="5" s="1"/>
  <c r="I274" i="5"/>
  <c r="J272" i="5"/>
  <c r="L272" i="5" s="1"/>
  <c r="I272" i="5"/>
  <c r="J270" i="5"/>
  <c r="L270" i="5" s="1"/>
  <c r="I270" i="5"/>
  <c r="J268" i="5"/>
  <c r="L268" i="5" s="1"/>
  <c r="I268" i="5"/>
  <c r="J266" i="5"/>
  <c r="L266" i="5" s="1"/>
  <c r="I266" i="5"/>
  <c r="J264" i="5"/>
  <c r="L264" i="5" s="1"/>
  <c r="I264" i="5"/>
  <c r="L262" i="5"/>
  <c r="J262" i="5"/>
  <c r="I262" i="5"/>
  <c r="J260" i="5"/>
  <c r="L260" i="5" s="1"/>
  <c r="I260" i="5"/>
  <c r="J258" i="5"/>
  <c r="L258" i="5" s="1"/>
  <c r="I258" i="5"/>
  <c r="J256" i="5"/>
  <c r="L256" i="5" s="1"/>
  <c r="I256" i="5"/>
  <c r="J254" i="5"/>
  <c r="L254" i="5" s="1"/>
  <c r="I254" i="5"/>
  <c r="J252" i="5"/>
  <c r="L252" i="5" s="1"/>
  <c r="I252" i="5"/>
  <c r="J250" i="5"/>
  <c r="L250" i="5" s="1"/>
  <c r="I250" i="5"/>
  <c r="J248" i="5"/>
  <c r="L248" i="5" s="1"/>
  <c r="I248" i="5"/>
  <c r="L246" i="5"/>
  <c r="J246" i="5"/>
  <c r="I246" i="5"/>
  <c r="J244" i="5"/>
  <c r="L244" i="5" s="1"/>
  <c r="I244" i="5"/>
  <c r="J242" i="5"/>
  <c r="L242" i="5" s="1"/>
  <c r="I242" i="5"/>
  <c r="J240" i="5"/>
  <c r="L240" i="5" s="1"/>
  <c r="I240" i="5"/>
  <c r="J238" i="5"/>
  <c r="L238" i="5" s="1"/>
  <c r="I238" i="5"/>
  <c r="J236" i="5"/>
  <c r="L236" i="5" s="1"/>
  <c r="I236" i="5"/>
  <c r="J234" i="5"/>
  <c r="L234" i="5" s="1"/>
  <c r="I234" i="5"/>
  <c r="J232" i="5"/>
  <c r="L232" i="5" s="1"/>
  <c r="I232" i="5"/>
  <c r="L230" i="5"/>
  <c r="J230" i="5"/>
  <c r="I230" i="5"/>
  <c r="J228" i="5"/>
  <c r="L228" i="5" s="1"/>
  <c r="I228" i="5"/>
  <c r="J226" i="5"/>
  <c r="L226" i="5" s="1"/>
  <c r="I226" i="5"/>
  <c r="J224" i="5"/>
  <c r="L224" i="5" s="1"/>
  <c r="I224" i="5"/>
  <c r="J222" i="5"/>
  <c r="L222" i="5" s="1"/>
  <c r="I222" i="5"/>
  <c r="J220" i="5"/>
  <c r="L220" i="5" s="1"/>
  <c r="I220" i="5"/>
  <c r="J218" i="5"/>
  <c r="L218" i="5" s="1"/>
  <c r="I218" i="5"/>
  <c r="J216" i="5"/>
  <c r="L216" i="5" s="1"/>
  <c r="I216" i="5"/>
  <c r="L214" i="5"/>
  <c r="J214" i="5"/>
  <c r="I214" i="5"/>
  <c r="J212" i="5"/>
  <c r="L212" i="5" s="1"/>
  <c r="I212" i="5"/>
  <c r="J210" i="5"/>
  <c r="L210" i="5" s="1"/>
  <c r="I210" i="5"/>
  <c r="J208" i="5"/>
  <c r="L208" i="5" s="1"/>
  <c r="I208" i="5"/>
  <c r="J206" i="5"/>
  <c r="L206" i="5" s="1"/>
  <c r="I206" i="5"/>
  <c r="J204" i="5"/>
  <c r="L204" i="5" s="1"/>
  <c r="I204" i="5"/>
  <c r="J202" i="5"/>
  <c r="L202" i="5" s="1"/>
  <c r="I202" i="5"/>
  <c r="J200" i="5"/>
  <c r="L200" i="5" s="1"/>
  <c r="I200" i="5"/>
  <c r="L198" i="5"/>
  <c r="J198" i="5"/>
  <c r="I198" i="5"/>
  <c r="J196" i="5"/>
  <c r="L196" i="5" s="1"/>
  <c r="I196" i="5"/>
  <c r="J194" i="5"/>
  <c r="L194" i="5" s="1"/>
  <c r="I194" i="5"/>
  <c r="J192" i="5"/>
  <c r="L192" i="5" s="1"/>
  <c r="I192" i="5"/>
  <c r="J190" i="5"/>
  <c r="L190" i="5" s="1"/>
  <c r="I190" i="5"/>
  <c r="J188" i="5"/>
  <c r="L188" i="5" s="1"/>
  <c r="I188" i="5"/>
  <c r="J186" i="5"/>
  <c r="L186" i="5" s="1"/>
  <c r="I186" i="5"/>
  <c r="J184" i="5"/>
  <c r="L184" i="5" s="1"/>
  <c r="I184" i="5"/>
  <c r="L182" i="5"/>
  <c r="J182" i="5"/>
  <c r="I182" i="5"/>
  <c r="J180" i="5"/>
  <c r="L180" i="5" s="1"/>
  <c r="I180" i="5"/>
  <c r="J178" i="5"/>
  <c r="L178" i="5" s="1"/>
  <c r="I178" i="5"/>
  <c r="J176" i="5"/>
  <c r="L176" i="5" s="1"/>
  <c r="I176" i="5"/>
  <c r="J174" i="5"/>
  <c r="L174" i="5" s="1"/>
  <c r="I174" i="5"/>
  <c r="J172" i="5"/>
  <c r="L172" i="5" s="1"/>
  <c r="I172" i="5"/>
  <c r="J170" i="5"/>
  <c r="L170" i="5" s="1"/>
  <c r="I170" i="5"/>
  <c r="J168" i="5"/>
  <c r="L168" i="5" s="1"/>
  <c r="I168" i="5"/>
  <c r="L166" i="5"/>
  <c r="J166" i="5"/>
  <c r="I166" i="5"/>
  <c r="J164" i="5"/>
  <c r="L164" i="5" s="1"/>
  <c r="I164" i="5"/>
  <c r="J162" i="5"/>
  <c r="L162" i="5" s="1"/>
  <c r="I162" i="5"/>
  <c r="J160" i="5"/>
  <c r="L160" i="5" s="1"/>
  <c r="I160" i="5"/>
  <c r="J158" i="5"/>
  <c r="L158" i="5" s="1"/>
  <c r="I158" i="5"/>
  <c r="J156" i="5"/>
  <c r="L156" i="5" s="1"/>
  <c r="I156" i="5"/>
  <c r="J154" i="5"/>
  <c r="L154" i="5" s="1"/>
  <c r="I154" i="5"/>
  <c r="J152" i="5"/>
  <c r="L152" i="5" s="1"/>
  <c r="I152" i="5"/>
  <c r="L150" i="5"/>
  <c r="J150" i="5"/>
  <c r="I150" i="5"/>
  <c r="J148" i="5"/>
  <c r="L148" i="5" s="1"/>
  <c r="I148" i="5"/>
  <c r="J146" i="5"/>
  <c r="L146" i="5" s="1"/>
  <c r="I146" i="5"/>
  <c r="J144" i="5"/>
  <c r="L144" i="5" s="1"/>
  <c r="I144" i="5"/>
  <c r="J142" i="5"/>
  <c r="L142" i="5" s="1"/>
  <c r="I142" i="5"/>
  <c r="J140" i="5"/>
  <c r="L140" i="5" s="1"/>
  <c r="I140" i="5"/>
  <c r="J138" i="5"/>
  <c r="L138" i="5" s="1"/>
  <c r="I138" i="5"/>
  <c r="J136" i="5"/>
  <c r="L136" i="5" s="1"/>
  <c r="I136" i="5"/>
  <c r="L134" i="5"/>
  <c r="J134" i="5"/>
  <c r="I134" i="5"/>
  <c r="J132" i="5"/>
  <c r="L132" i="5" s="1"/>
  <c r="I132" i="5"/>
  <c r="J130" i="5"/>
  <c r="L130" i="5" s="1"/>
  <c r="I130" i="5"/>
  <c r="J128" i="5"/>
  <c r="L128" i="5" s="1"/>
  <c r="I128" i="5"/>
  <c r="J126" i="5"/>
  <c r="L126" i="5" s="1"/>
  <c r="I126" i="5"/>
  <c r="J124" i="5"/>
  <c r="L124" i="5" s="1"/>
  <c r="I124" i="5"/>
  <c r="J122" i="5"/>
  <c r="L122" i="5" s="1"/>
  <c r="I122" i="5"/>
  <c r="J120" i="5"/>
  <c r="L120" i="5" s="1"/>
  <c r="I120" i="5"/>
  <c r="L118" i="5"/>
  <c r="J118" i="5"/>
  <c r="I118" i="5"/>
  <c r="J116" i="5"/>
  <c r="L116" i="5" s="1"/>
  <c r="I116" i="5"/>
  <c r="J114" i="5"/>
  <c r="L114" i="5" s="1"/>
  <c r="I114" i="5"/>
  <c r="J112" i="5"/>
  <c r="L112" i="5" s="1"/>
  <c r="I112" i="5"/>
  <c r="J110" i="5"/>
  <c r="L110" i="5" s="1"/>
  <c r="I110" i="5"/>
  <c r="J108" i="5"/>
  <c r="L108" i="5" s="1"/>
  <c r="I108" i="5"/>
  <c r="J106" i="5"/>
  <c r="L106" i="5" s="1"/>
  <c r="I106" i="5"/>
  <c r="J104" i="5"/>
  <c r="L104" i="5" s="1"/>
  <c r="I104" i="5"/>
  <c r="L102" i="5"/>
  <c r="J102" i="5"/>
  <c r="I102" i="5"/>
  <c r="J100" i="5"/>
  <c r="L100" i="5" s="1"/>
  <c r="I100" i="5"/>
  <c r="J98" i="5"/>
  <c r="L98" i="5" s="1"/>
  <c r="I98" i="5"/>
  <c r="J96" i="5"/>
  <c r="L96" i="5" s="1"/>
  <c r="I96" i="5"/>
  <c r="J94" i="5"/>
  <c r="L94" i="5" s="1"/>
  <c r="I94" i="5"/>
  <c r="J92" i="5"/>
  <c r="L92" i="5" s="1"/>
  <c r="I92" i="5"/>
  <c r="J90" i="5"/>
  <c r="L90" i="5" s="1"/>
  <c r="I90" i="5"/>
  <c r="J88" i="5"/>
  <c r="L88" i="5" s="1"/>
  <c r="I88" i="5"/>
  <c r="L86" i="5"/>
  <c r="J86" i="5"/>
  <c r="I86" i="5"/>
  <c r="J84" i="5"/>
  <c r="L84" i="5" s="1"/>
  <c r="I84" i="5"/>
  <c r="J82" i="5"/>
  <c r="L82" i="5" s="1"/>
  <c r="I82" i="5"/>
  <c r="J80" i="5"/>
  <c r="L80" i="5" s="1"/>
  <c r="I80" i="5"/>
  <c r="J78" i="5"/>
  <c r="L78" i="5" s="1"/>
  <c r="I78" i="5"/>
  <c r="J76" i="5"/>
  <c r="L76" i="5" s="1"/>
  <c r="I76" i="5"/>
  <c r="J74" i="5"/>
  <c r="L74" i="5" s="1"/>
  <c r="I74" i="5"/>
  <c r="J72" i="5"/>
  <c r="L72" i="5" s="1"/>
  <c r="I72" i="5"/>
  <c r="L70" i="5"/>
  <c r="J70" i="5"/>
  <c r="I70" i="5"/>
  <c r="J68" i="5"/>
  <c r="L68" i="5" s="1"/>
  <c r="I68" i="5"/>
  <c r="J66" i="5"/>
  <c r="L66" i="5" s="1"/>
  <c r="I66" i="5"/>
  <c r="J64" i="5"/>
  <c r="L64" i="5" s="1"/>
  <c r="I64" i="5"/>
  <c r="J62" i="5"/>
  <c r="L62" i="5" s="1"/>
  <c r="I62" i="5"/>
  <c r="J60" i="5"/>
  <c r="L60" i="5" s="1"/>
  <c r="I60" i="5"/>
  <c r="J58" i="5"/>
  <c r="L58" i="5" s="1"/>
  <c r="I58" i="5"/>
  <c r="J56" i="5"/>
  <c r="L56" i="5" s="1"/>
  <c r="I56" i="5"/>
  <c r="L54" i="5"/>
  <c r="J54" i="5"/>
  <c r="I54" i="5"/>
  <c r="J52" i="5"/>
  <c r="L52" i="5" s="1"/>
  <c r="I52" i="5"/>
  <c r="J50" i="5"/>
  <c r="L50" i="5" s="1"/>
  <c r="I50" i="5"/>
  <c r="J48" i="5"/>
  <c r="L48" i="5" s="1"/>
  <c r="I48" i="5"/>
  <c r="J46" i="5"/>
  <c r="L46" i="5" s="1"/>
  <c r="I46" i="5"/>
  <c r="J44" i="5"/>
  <c r="L44" i="5" s="1"/>
  <c r="I44" i="5"/>
  <c r="J42" i="5"/>
  <c r="L42" i="5" s="1"/>
  <c r="I42" i="5"/>
  <c r="J40" i="5"/>
  <c r="L40" i="5" s="1"/>
  <c r="I40" i="5"/>
  <c r="L38" i="5"/>
  <c r="J38" i="5"/>
  <c r="I38" i="5"/>
  <c r="J36" i="5"/>
  <c r="L36" i="5" s="1"/>
  <c r="I36" i="5"/>
  <c r="J34" i="5"/>
  <c r="L34" i="5" s="1"/>
  <c r="I34" i="5"/>
  <c r="J32" i="5"/>
  <c r="L32" i="5" s="1"/>
  <c r="I32" i="5"/>
  <c r="J30" i="5"/>
  <c r="L30" i="5" s="1"/>
  <c r="I30" i="5"/>
  <c r="J28" i="5"/>
  <c r="L28" i="5" s="1"/>
  <c r="I28" i="5"/>
  <c r="J26" i="5"/>
  <c r="L26" i="5" s="1"/>
  <c r="I26" i="5"/>
  <c r="J24" i="5"/>
  <c r="L24" i="5" s="1"/>
  <c r="I24" i="5"/>
  <c r="L22" i="5"/>
  <c r="J22" i="5"/>
  <c r="I22" i="5"/>
  <c r="J20" i="5"/>
  <c r="L20" i="5" s="1"/>
  <c r="I20" i="5"/>
  <c r="J18" i="5"/>
  <c r="L18" i="5" s="1"/>
  <c r="I18" i="5"/>
  <c r="J16" i="5"/>
  <c r="L16" i="5" s="1"/>
  <c r="I16" i="5"/>
  <c r="J14" i="5"/>
  <c r="L14" i="5" s="1"/>
  <c r="I14" i="5"/>
  <c r="J12" i="5"/>
  <c r="L12" i="5" s="1"/>
  <c r="I12" i="5"/>
  <c r="J10" i="5"/>
  <c r="L10" i="5" s="1"/>
  <c r="I10" i="5"/>
  <c r="J8" i="5"/>
  <c r="L8" i="5" s="1"/>
  <c r="I8" i="5"/>
  <c r="L6" i="5"/>
  <c r="J6" i="5"/>
  <c r="I6" i="5"/>
  <c r="J4" i="5"/>
  <c r="L4" i="5" s="1"/>
  <c r="I4" i="5"/>
  <c r="J369" i="4"/>
  <c r="L369" i="4" s="1"/>
  <c r="I369" i="4"/>
  <c r="L367" i="4"/>
  <c r="J367" i="4"/>
  <c r="I367" i="4"/>
  <c r="J365" i="4"/>
  <c r="L365" i="4" s="1"/>
  <c r="I365" i="4"/>
  <c r="J363" i="4"/>
  <c r="I363" i="4"/>
  <c r="J361" i="4"/>
  <c r="I361" i="4"/>
  <c r="J359" i="4"/>
  <c r="L359" i="4" s="1"/>
  <c r="I359" i="4"/>
  <c r="J357" i="4"/>
  <c r="L357" i="4" s="1"/>
  <c r="I357" i="4"/>
  <c r="J355" i="4"/>
  <c r="L355" i="4" s="1"/>
  <c r="I355" i="4"/>
  <c r="J353" i="4"/>
  <c r="L353" i="4" s="1"/>
  <c r="I353" i="4"/>
  <c r="J351" i="4"/>
  <c r="I351" i="4"/>
  <c r="J349" i="4"/>
  <c r="L349" i="4" s="1"/>
  <c r="I349" i="4"/>
  <c r="J347" i="4"/>
  <c r="L347" i="4" s="1"/>
  <c r="I347" i="4"/>
  <c r="J345" i="4"/>
  <c r="L345" i="4" s="1"/>
  <c r="I345" i="4"/>
  <c r="J343" i="4"/>
  <c r="L343" i="4" s="1"/>
  <c r="I343" i="4"/>
  <c r="J341" i="4"/>
  <c r="I341" i="4"/>
  <c r="J339" i="4"/>
  <c r="I339" i="4"/>
  <c r="J337" i="4"/>
  <c r="L337" i="4" s="1"/>
  <c r="I337" i="4"/>
  <c r="J335" i="4"/>
  <c r="L335" i="4" s="1"/>
  <c r="I335" i="4"/>
  <c r="J333" i="4"/>
  <c r="I333" i="4"/>
  <c r="J331" i="4"/>
  <c r="L331" i="4" s="1"/>
  <c r="I331" i="4"/>
  <c r="J329" i="4"/>
  <c r="L329" i="4" s="1"/>
  <c r="I329" i="4"/>
  <c r="J326" i="4"/>
  <c r="I326" i="4"/>
  <c r="J324" i="4"/>
  <c r="I324" i="4"/>
  <c r="J322" i="4"/>
  <c r="L322" i="4" s="1"/>
  <c r="I322" i="4"/>
  <c r="J320" i="4"/>
  <c r="L320" i="4" s="1"/>
  <c r="I320" i="4"/>
  <c r="J318" i="4"/>
  <c r="I318" i="4"/>
  <c r="J316" i="4"/>
  <c r="L316" i="4" s="1"/>
  <c r="I316" i="4"/>
  <c r="J314" i="4"/>
  <c r="L314" i="4" s="1"/>
  <c r="I314" i="4"/>
  <c r="L312" i="4"/>
  <c r="J312" i="4"/>
  <c r="I312" i="4"/>
  <c r="J310" i="4"/>
  <c r="L310" i="4" s="1"/>
  <c r="I310" i="4"/>
  <c r="J308" i="4"/>
  <c r="L308" i="4" s="1"/>
  <c r="I308" i="4"/>
  <c r="J306" i="4"/>
  <c r="I306" i="4"/>
  <c r="J304" i="4"/>
  <c r="L304" i="4" s="1"/>
  <c r="I304" i="4"/>
  <c r="J302" i="4"/>
  <c r="L302" i="4" s="1"/>
  <c r="I302" i="4"/>
  <c r="J300" i="4"/>
  <c r="L300" i="4" s="1"/>
  <c r="I300" i="4"/>
  <c r="J298" i="4"/>
  <c r="I298" i="4"/>
  <c r="J296" i="4"/>
  <c r="I296" i="4"/>
  <c r="L296" i="4" s="1"/>
  <c r="J294" i="4"/>
  <c r="I294" i="4"/>
  <c r="J292" i="4"/>
  <c r="L292" i="4" s="1"/>
  <c r="I292" i="4"/>
  <c r="J290" i="4"/>
  <c r="I290" i="4"/>
  <c r="J288" i="4"/>
  <c r="I288" i="4"/>
  <c r="J286" i="4"/>
  <c r="I286" i="4"/>
  <c r="J284" i="4"/>
  <c r="L284" i="4" s="1"/>
  <c r="I284" i="4"/>
  <c r="J282" i="4"/>
  <c r="I282" i="4"/>
  <c r="J280" i="4"/>
  <c r="L280" i="4" s="1"/>
  <c r="I280" i="4"/>
  <c r="J278" i="4"/>
  <c r="L278" i="4" s="1"/>
  <c r="I278" i="4"/>
  <c r="J276" i="4"/>
  <c r="I276" i="4"/>
  <c r="J274" i="4"/>
  <c r="L274" i="4" s="1"/>
  <c r="I274" i="4"/>
  <c r="J272" i="4"/>
  <c r="L272" i="4" s="1"/>
  <c r="I272" i="4"/>
  <c r="J270" i="4"/>
  <c r="L270" i="4" s="1"/>
  <c r="I270" i="4"/>
  <c r="J268" i="4"/>
  <c r="I268" i="4"/>
  <c r="J266" i="4"/>
  <c r="L266" i="4" s="1"/>
  <c r="I266" i="4"/>
  <c r="L264" i="4"/>
  <c r="J264" i="4"/>
  <c r="I264" i="4"/>
  <c r="J262" i="4"/>
  <c r="L262" i="4" s="1"/>
  <c r="I262" i="4"/>
  <c r="J260" i="4"/>
  <c r="I260" i="4"/>
  <c r="J258" i="4"/>
  <c r="I258" i="4"/>
  <c r="J256" i="4"/>
  <c r="I256" i="4"/>
  <c r="J254" i="4"/>
  <c r="L254" i="4" s="1"/>
  <c r="I254" i="4"/>
  <c r="J252" i="4"/>
  <c r="I252" i="4"/>
  <c r="J250" i="4"/>
  <c r="I250" i="4"/>
  <c r="J248" i="4"/>
  <c r="L248" i="4" s="1"/>
  <c r="I248" i="4"/>
  <c r="J246" i="4"/>
  <c r="I246" i="4"/>
  <c r="J244" i="4"/>
  <c r="L244" i="4" s="1"/>
  <c r="I244" i="4"/>
  <c r="J242" i="4"/>
  <c r="L242" i="4" s="1"/>
  <c r="I242" i="4"/>
  <c r="J240" i="4"/>
  <c r="L240" i="4" s="1"/>
  <c r="I240" i="4"/>
  <c r="J238" i="4"/>
  <c r="I238" i="4"/>
  <c r="J236" i="4"/>
  <c r="L236" i="4" s="1"/>
  <c r="I236" i="4"/>
  <c r="J234" i="4"/>
  <c r="L234" i="4" s="1"/>
  <c r="I234" i="4"/>
  <c r="L232" i="4"/>
  <c r="J232" i="4"/>
  <c r="I232" i="4"/>
  <c r="J230" i="4"/>
  <c r="I230" i="4"/>
  <c r="J228" i="4"/>
  <c r="I228" i="4"/>
  <c r="J226" i="4"/>
  <c r="I226" i="4"/>
  <c r="J224" i="4"/>
  <c r="L224" i="4" s="1"/>
  <c r="I224" i="4"/>
  <c r="J222" i="4"/>
  <c r="I222" i="4"/>
  <c r="J220" i="4"/>
  <c r="I220" i="4"/>
  <c r="J218" i="4"/>
  <c r="I218" i="4"/>
  <c r="J216" i="4"/>
  <c r="I216" i="4"/>
  <c r="L216" i="4" s="1"/>
  <c r="J214" i="4"/>
  <c r="L214" i="4" s="1"/>
  <c r="I214" i="4"/>
  <c r="J212" i="4"/>
  <c r="L212" i="4" s="1"/>
  <c r="I212" i="4"/>
  <c r="J210" i="4"/>
  <c r="L210" i="4" s="1"/>
  <c r="I210" i="4"/>
  <c r="J208" i="4"/>
  <c r="I208" i="4"/>
  <c r="J206" i="4"/>
  <c r="L206" i="4" s="1"/>
  <c r="I206" i="4"/>
  <c r="J204" i="4"/>
  <c r="L204" i="4" s="1"/>
  <c r="I204" i="4"/>
  <c r="J202" i="4"/>
  <c r="L202" i="4" s="1"/>
  <c r="I202" i="4"/>
  <c r="J200" i="4"/>
  <c r="L200" i="4" s="1"/>
  <c r="I200" i="4"/>
  <c r="J198" i="4"/>
  <c r="I198" i="4"/>
  <c r="J196" i="4"/>
  <c r="I196" i="4"/>
  <c r="J194" i="4"/>
  <c r="L194" i="4" s="1"/>
  <c r="I194" i="4"/>
  <c r="J192" i="4"/>
  <c r="I192" i="4"/>
  <c r="J190" i="4"/>
  <c r="I190" i="4"/>
  <c r="J188" i="4"/>
  <c r="I188" i="4"/>
  <c r="J186" i="4"/>
  <c r="L186" i="4" s="1"/>
  <c r="I186" i="4"/>
  <c r="J184" i="4"/>
  <c r="L184" i="4" s="1"/>
  <c r="I184" i="4"/>
  <c r="J182" i="4"/>
  <c r="L182" i="4" s="1"/>
  <c r="I182" i="4"/>
  <c r="J180" i="4"/>
  <c r="L180" i="4" s="1"/>
  <c r="I180" i="4"/>
  <c r="J178" i="4"/>
  <c r="I178" i="4"/>
  <c r="J176" i="4"/>
  <c r="L176" i="4" s="1"/>
  <c r="I176" i="4"/>
  <c r="J174" i="4"/>
  <c r="L174" i="4" s="1"/>
  <c r="I174" i="4"/>
  <c r="J172" i="4"/>
  <c r="L172" i="4" s="1"/>
  <c r="I172" i="4"/>
  <c r="J170" i="4"/>
  <c r="I170" i="4"/>
  <c r="J168" i="4"/>
  <c r="I168" i="4"/>
  <c r="L168" i="4" s="1"/>
  <c r="J166" i="4"/>
  <c r="I166" i="4"/>
  <c r="J164" i="4"/>
  <c r="L164" i="4" s="1"/>
  <c r="I164" i="4"/>
  <c r="J162" i="4"/>
  <c r="I162" i="4"/>
  <c r="J160" i="4"/>
  <c r="I160" i="4"/>
  <c r="J158" i="4"/>
  <c r="I158" i="4"/>
  <c r="J156" i="4"/>
  <c r="L156" i="4" s="1"/>
  <c r="I156" i="4"/>
  <c r="J154" i="4"/>
  <c r="I154" i="4"/>
  <c r="J152" i="4"/>
  <c r="L152" i="4" s="1"/>
  <c r="I152" i="4"/>
  <c r="J150" i="4"/>
  <c r="L150" i="4" s="1"/>
  <c r="I150" i="4"/>
  <c r="J148" i="4"/>
  <c r="I148" i="4"/>
  <c r="J146" i="4"/>
  <c r="L146" i="4" s="1"/>
  <c r="I146" i="4"/>
  <c r="J144" i="4"/>
  <c r="L144" i="4" s="1"/>
  <c r="I144" i="4"/>
  <c r="J142" i="4"/>
  <c r="L142" i="4" s="1"/>
  <c r="I142" i="4"/>
  <c r="J140" i="4"/>
  <c r="I140" i="4"/>
  <c r="J138" i="4"/>
  <c r="L138" i="4" s="1"/>
  <c r="I138" i="4"/>
  <c r="L136" i="4"/>
  <c r="J136" i="4"/>
  <c r="I136" i="4"/>
  <c r="J134" i="4"/>
  <c r="L134" i="4" s="1"/>
  <c r="I134" i="4"/>
  <c r="J132" i="4"/>
  <c r="I132" i="4"/>
  <c r="J130" i="4"/>
  <c r="I130" i="4"/>
  <c r="J128" i="4"/>
  <c r="I128" i="4"/>
  <c r="J126" i="4"/>
  <c r="L126" i="4" s="1"/>
  <c r="I126" i="4"/>
  <c r="J124" i="4"/>
  <c r="I124" i="4"/>
  <c r="J122" i="4"/>
  <c r="I122" i="4"/>
  <c r="J120" i="4"/>
  <c r="L120" i="4" s="1"/>
  <c r="I120" i="4"/>
  <c r="J118" i="4"/>
  <c r="I118" i="4"/>
  <c r="J116" i="4"/>
  <c r="L116" i="4" s="1"/>
  <c r="I116" i="4"/>
  <c r="J114" i="4"/>
  <c r="L114" i="4" s="1"/>
  <c r="I114" i="4"/>
  <c r="J112" i="4"/>
  <c r="L112" i="4" s="1"/>
  <c r="I112" i="4"/>
  <c r="J110" i="4"/>
  <c r="I110" i="4"/>
  <c r="J108" i="4"/>
  <c r="L108" i="4" s="1"/>
  <c r="I108" i="4"/>
  <c r="J106" i="4"/>
  <c r="L106" i="4" s="1"/>
  <c r="I106" i="4"/>
  <c r="L104" i="4"/>
  <c r="J104" i="4"/>
  <c r="I104" i="4"/>
  <c r="J102" i="4"/>
  <c r="I102" i="4"/>
  <c r="J100" i="4"/>
  <c r="I100" i="4"/>
  <c r="J98" i="4"/>
  <c r="I98" i="4"/>
  <c r="J96" i="4"/>
  <c r="L96" i="4" s="1"/>
  <c r="I96" i="4"/>
  <c r="J94" i="4"/>
  <c r="I94" i="4"/>
  <c r="J92" i="4"/>
  <c r="I92" i="4"/>
  <c r="J90" i="4"/>
  <c r="I90" i="4"/>
  <c r="J88" i="4"/>
  <c r="I88" i="4"/>
  <c r="L88" i="4" s="1"/>
  <c r="J86" i="4"/>
  <c r="L86" i="4" s="1"/>
  <c r="I86" i="4"/>
  <c r="J84" i="4"/>
  <c r="L84" i="4" s="1"/>
  <c r="I84" i="4"/>
  <c r="J82" i="4"/>
  <c r="L82" i="4" s="1"/>
  <c r="I82" i="4"/>
  <c r="J80" i="4"/>
  <c r="I80" i="4"/>
  <c r="J78" i="4"/>
  <c r="L78" i="4" s="1"/>
  <c r="I78" i="4"/>
  <c r="J76" i="4"/>
  <c r="L76" i="4" s="1"/>
  <c r="I76" i="4"/>
  <c r="J74" i="4"/>
  <c r="I74" i="4"/>
  <c r="J72" i="4"/>
  <c r="I72" i="4"/>
  <c r="J70" i="4"/>
  <c r="I70" i="4"/>
  <c r="J68" i="4"/>
  <c r="I68" i="4"/>
  <c r="J66" i="4"/>
  <c r="I66" i="4"/>
  <c r="J64" i="4"/>
  <c r="I64" i="4"/>
  <c r="J62" i="4"/>
  <c r="L62" i="4" s="1"/>
  <c r="I62" i="4"/>
  <c r="J60" i="4"/>
  <c r="L60" i="4" s="1"/>
  <c r="I60" i="4"/>
  <c r="J58" i="4"/>
  <c r="L58" i="4" s="1"/>
  <c r="I58" i="4"/>
  <c r="J56" i="4"/>
  <c r="L56" i="4" s="1"/>
  <c r="I56" i="4"/>
  <c r="J54" i="4"/>
  <c r="I54" i="4"/>
  <c r="J52" i="4"/>
  <c r="I52" i="4"/>
  <c r="J50" i="4"/>
  <c r="I50" i="4"/>
  <c r="J48" i="4"/>
  <c r="I48" i="4"/>
  <c r="J46" i="4"/>
  <c r="I46" i="4"/>
  <c r="J44" i="4"/>
  <c r="I44" i="4"/>
  <c r="J42" i="4"/>
  <c r="I42" i="4"/>
  <c r="J40" i="4"/>
  <c r="L40" i="4" s="1"/>
  <c r="I40" i="4"/>
  <c r="J38" i="4"/>
  <c r="L38" i="4" s="1"/>
  <c r="I38" i="4"/>
  <c r="J36" i="4"/>
  <c r="L36" i="4" s="1"/>
  <c r="I36" i="4"/>
  <c r="J34" i="4"/>
  <c r="I34" i="4"/>
  <c r="J32" i="4"/>
  <c r="L32" i="4" s="1"/>
  <c r="I32" i="4"/>
  <c r="J30" i="4"/>
  <c r="L30" i="4" s="1"/>
  <c r="I30" i="4"/>
  <c r="J28" i="4"/>
  <c r="L28" i="4" s="1"/>
  <c r="I28" i="4"/>
  <c r="J26" i="4"/>
  <c r="I26" i="4"/>
  <c r="J24" i="4"/>
  <c r="I24" i="4"/>
  <c r="L24" i="4" s="1"/>
  <c r="J22" i="4"/>
  <c r="I22" i="4"/>
  <c r="J20" i="4"/>
  <c r="I20" i="4"/>
  <c r="J18" i="4"/>
  <c r="I18" i="4"/>
  <c r="J16" i="4"/>
  <c r="I16" i="4"/>
  <c r="J14" i="4"/>
  <c r="I14" i="4"/>
  <c r="J12" i="4"/>
  <c r="I12" i="4"/>
  <c r="J10" i="4"/>
  <c r="I10" i="4"/>
  <c r="J8" i="4"/>
  <c r="L8" i="4" s="1"/>
  <c r="I8" i="4"/>
  <c r="J6" i="4"/>
  <c r="L6" i="4" s="1"/>
  <c r="I6" i="4"/>
  <c r="J4" i="4"/>
  <c r="I4" i="4"/>
  <c r="L16" i="4" l="1"/>
  <c r="L46" i="4"/>
  <c r="L54" i="4"/>
  <c r="L92" i="4"/>
  <c r="L100" i="4"/>
  <c r="L122" i="4"/>
  <c r="L130" i="4"/>
  <c r="L160" i="4"/>
  <c r="L190" i="4"/>
  <c r="L198" i="4"/>
  <c r="L220" i="4"/>
  <c r="L228" i="4"/>
  <c r="L250" i="4"/>
  <c r="L258" i="4"/>
  <c r="L288" i="4"/>
  <c r="L318" i="4"/>
  <c r="L326" i="4"/>
  <c r="L333" i="4"/>
  <c r="L341" i="4"/>
  <c r="L363" i="4"/>
  <c r="L10" i="4"/>
  <c r="L48" i="4"/>
  <c r="L94" i="4"/>
  <c r="L132" i="4"/>
  <c r="L154" i="4"/>
  <c r="L230" i="4"/>
  <c r="L252" i="4"/>
  <c r="L282" i="4"/>
  <c r="L80" i="4"/>
  <c r="L110" i="4"/>
  <c r="L118" i="4"/>
  <c r="L140" i="4"/>
  <c r="L148" i="4"/>
  <c r="L170" i="4"/>
  <c r="L178" i="4"/>
  <c r="L208" i="4"/>
  <c r="L238" i="4"/>
  <c r="L246" i="4"/>
  <c r="L268" i="4"/>
  <c r="L276" i="4"/>
  <c r="L298" i="4"/>
  <c r="L306" i="4"/>
  <c r="L351" i="4"/>
  <c r="L18" i="4"/>
  <c r="L102" i="4"/>
  <c r="L124" i="4"/>
  <c r="L162" i="4"/>
  <c r="L192" i="4"/>
  <c r="L222" i="4"/>
  <c r="L260" i="4"/>
  <c r="L290" i="4"/>
  <c r="L4" i="4"/>
  <c r="L26" i="4"/>
  <c r="L34" i="4"/>
  <c r="L64" i="4"/>
  <c r="L12" i="4"/>
  <c r="L20" i="4"/>
  <c r="L42" i="4"/>
  <c r="L50" i="4"/>
  <c r="L14" i="4"/>
  <c r="L22" i="4"/>
  <c r="L44" i="4"/>
  <c r="L52" i="4"/>
  <c r="L90" i="4"/>
  <c r="L98" i="4"/>
  <c r="L128" i="4"/>
  <c r="L158" i="4"/>
  <c r="L166" i="4"/>
  <c r="L188" i="4"/>
  <c r="L196" i="4"/>
  <c r="L218" i="4"/>
  <c r="L226" i="4"/>
  <c r="L256" i="4"/>
  <c r="L286" i="4"/>
  <c r="L294" i="4"/>
  <c r="L324" i="4"/>
  <c r="L339" i="4"/>
  <c r="L361" i="4"/>
  <c r="L351" i="6"/>
  <c r="L345" i="6"/>
  <c r="L318" i="6"/>
  <c r="L270" i="6"/>
  <c r="L136" i="6"/>
  <c r="L190" i="6"/>
  <c r="L20" i="6"/>
  <c r="L52" i="6"/>
  <c r="L84" i="6"/>
  <c r="L110" i="6"/>
  <c r="L184" i="6"/>
  <c r="L238" i="6"/>
  <c r="L312" i="6"/>
  <c r="L367" i="6"/>
  <c r="L142" i="6"/>
  <c r="L216" i="6"/>
  <c r="L14" i="6"/>
  <c r="L46" i="6"/>
  <c r="L78" i="6"/>
  <c r="L104" i="6"/>
  <c r="L158" i="6"/>
  <c r="L232" i="6"/>
  <c r="L286" i="6"/>
  <c r="L361" i="6"/>
  <c r="L264" i="6"/>
  <c r="L152" i="6"/>
  <c r="R344" i="3"/>
  <c r="R384" i="3" s="1"/>
  <c r="R320" i="3"/>
  <c r="R383" i="3" s="1"/>
  <c r="R296" i="3"/>
  <c r="R382" i="3" s="1"/>
  <c r="R272" i="3"/>
  <c r="R381" i="3" s="1"/>
  <c r="R248" i="3"/>
  <c r="R380" i="3" s="1"/>
  <c r="R224" i="3"/>
  <c r="R379" i="3" s="1"/>
  <c r="R200" i="3"/>
  <c r="R378" i="3" s="1"/>
  <c r="R176" i="3"/>
  <c r="R152" i="3"/>
  <c r="R376" i="3" s="1"/>
  <c r="R128" i="3"/>
  <c r="R375" i="3" s="1"/>
  <c r="R104" i="3"/>
  <c r="Q104" i="3"/>
  <c r="R374" i="3"/>
  <c r="R80" i="3"/>
  <c r="R373" i="3" s="1"/>
  <c r="Q56" i="3"/>
  <c r="Q32" i="3"/>
  <c r="Q8" i="3"/>
  <c r="Q2" i="3"/>
  <c r="R369" i="3"/>
  <c r="R370" i="3"/>
  <c r="R371" i="3"/>
  <c r="R372" i="3"/>
  <c r="R377" i="3"/>
  <c r="M260" i="4" l="1"/>
  <c r="M238" i="4"/>
  <c r="Q344" i="3"/>
  <c r="Q320" i="3"/>
  <c r="Q296" i="3"/>
  <c r="Q272" i="3"/>
  <c r="Q248" i="3"/>
  <c r="Q224" i="3"/>
  <c r="Q200" i="3"/>
  <c r="Q176" i="3"/>
  <c r="Q152" i="3"/>
  <c r="Q128" i="3"/>
  <c r="Q80" i="3"/>
  <c r="M228" i="4" l="1"/>
  <c r="M341" i="4"/>
  <c r="M276" i="4"/>
  <c r="M94" i="4"/>
  <c r="M48" i="4"/>
  <c r="M294" i="4"/>
  <c r="M170" i="4"/>
  <c r="M10" i="4"/>
  <c r="M128" i="4"/>
  <c r="M20" i="4"/>
  <c r="M4" i="4"/>
  <c r="N4" i="4" s="1"/>
  <c r="M166" i="4"/>
  <c r="M22" i="4"/>
  <c r="M90" i="4"/>
  <c r="M339" i="4"/>
  <c r="M286" i="4"/>
  <c r="M130" i="4"/>
  <c r="M98" i="4"/>
  <c r="M26" i="4"/>
  <c r="M363" i="4"/>
  <c r="M318" i="4"/>
  <c r="M158" i="4"/>
  <c r="M154" i="4"/>
  <c r="M192" i="4"/>
  <c r="M208" i="4"/>
  <c r="M178" i="4"/>
  <c r="M42" i="4"/>
  <c r="M44" i="4"/>
  <c r="M102" i="4"/>
  <c r="M122" i="4"/>
  <c r="M290" i="4"/>
  <c r="M250" i="4"/>
  <c r="M52" i="4"/>
  <c r="M50" i="4"/>
  <c r="M258" i="4"/>
  <c r="M188" i="4"/>
  <c r="M361" i="4"/>
  <c r="M46" i="4"/>
  <c r="M226" i="4"/>
  <c r="M230" i="4"/>
  <c r="M16" i="4"/>
  <c r="M54" i="4"/>
  <c r="M100" i="4"/>
  <c r="M252" i="4"/>
  <c r="M288" i="4"/>
  <c r="M324" i="4"/>
  <c r="M198" i="4"/>
  <c r="M92" i="4"/>
  <c r="M268" i="4"/>
  <c r="M190" i="4"/>
  <c r="M220" i="4"/>
  <c r="M256" i="4"/>
  <c r="M118" i="4"/>
  <c r="M140" i="4"/>
  <c r="M282" i="4"/>
  <c r="M160" i="4"/>
  <c r="M306" i="4"/>
  <c r="M34" i="4"/>
  <c r="M222" i="4"/>
  <c r="M333" i="4"/>
  <c r="M326" i="4"/>
  <c r="M162" i="4"/>
  <c r="M148" i="4"/>
  <c r="M110" i="4"/>
  <c r="M132" i="4"/>
  <c r="M298" i="4"/>
  <c r="M246" i="4"/>
  <c r="M80" i="4"/>
  <c r="M18" i="4"/>
  <c r="M124" i="4"/>
  <c r="M12" i="4"/>
  <c r="M351" i="4"/>
  <c r="M457" i="4"/>
  <c r="M455" i="4"/>
  <c r="M453" i="4"/>
  <c r="M451" i="4"/>
  <c r="M447" i="4"/>
  <c r="M461" i="4"/>
  <c r="M445" i="4"/>
  <c r="M459" i="4"/>
  <c r="M443" i="4"/>
  <c r="M449" i="4"/>
  <c r="M407" i="4"/>
  <c r="M399" i="4"/>
  <c r="M423" i="4"/>
  <c r="M475" i="4"/>
  <c r="M485" i="4"/>
  <c r="M375" i="4"/>
  <c r="M383" i="4"/>
  <c r="M379" i="4"/>
  <c r="M403" i="4"/>
  <c r="M427" i="4"/>
  <c r="M477" i="4"/>
  <c r="M385" i="4"/>
  <c r="M395" i="4"/>
  <c r="M471" i="4"/>
  <c r="M429" i="4"/>
  <c r="M389" i="4"/>
  <c r="M401" i="4"/>
  <c r="M479" i="4"/>
  <c r="M387" i="4"/>
  <c r="M413" i="4"/>
  <c r="M371" i="4"/>
  <c r="M435" i="4"/>
  <c r="M411" i="4"/>
  <c r="M405" i="4"/>
  <c r="M425" i="4"/>
  <c r="M439" i="4"/>
  <c r="M417" i="4"/>
  <c r="M489" i="4"/>
  <c r="M393" i="4"/>
  <c r="M397" i="4"/>
  <c r="M381" i="4"/>
  <c r="M391" i="4"/>
  <c r="M409" i="4"/>
  <c r="M473" i="4"/>
  <c r="M431" i="4"/>
  <c r="M415" i="4"/>
  <c r="M377" i="4"/>
  <c r="M441" i="4"/>
  <c r="M280" i="4"/>
  <c r="M8" i="4"/>
  <c r="M28" i="4"/>
  <c r="M242" i="4"/>
  <c r="M236" i="4"/>
  <c r="M76" i="4"/>
  <c r="M365" i="4"/>
  <c r="M36" i="4"/>
  <c r="M312" i="4"/>
  <c r="M194" i="4"/>
  <c r="M337" i="4"/>
  <c r="M180" i="4"/>
  <c r="M308" i="4"/>
  <c r="M56" i="4"/>
  <c r="M60" i="4"/>
  <c r="M272" i="4"/>
  <c r="M266" i="4"/>
  <c r="M136" i="4"/>
  <c r="M254" i="4"/>
  <c r="M210" i="4"/>
  <c r="M168" i="4"/>
  <c r="M106" i="4"/>
  <c r="M302" i="4"/>
  <c r="M274" i="4"/>
  <c r="M262" i="4"/>
  <c r="M232" i="4"/>
  <c r="M86" i="4"/>
  <c r="M314" i="4"/>
  <c r="M343" i="4"/>
  <c r="M355" i="4"/>
  <c r="M200" i="4"/>
  <c r="M234" i="4"/>
  <c r="M214" i="4"/>
  <c r="M58" i="4"/>
  <c r="M335" i="4"/>
  <c r="M138" i="4"/>
  <c r="M186" i="4"/>
  <c r="M172" i="4"/>
  <c r="M329" i="4"/>
  <c r="M40" i="4"/>
  <c r="M38" i="4"/>
  <c r="M264" i="4"/>
  <c r="M244" i="4"/>
  <c r="M114" i="4"/>
  <c r="M30" i="4"/>
  <c r="M357" i="4"/>
  <c r="M224" i="4"/>
  <c r="M359" i="4"/>
  <c r="M202" i="4"/>
  <c r="M345" i="4"/>
  <c r="M296" i="4"/>
  <c r="M84" i="4"/>
  <c r="M96" i="4"/>
  <c r="M82" i="4"/>
  <c r="M353" i="4"/>
  <c r="M120" i="4"/>
  <c r="M116" i="4"/>
  <c r="M32" i="4"/>
  <c r="M174" i="4"/>
  <c r="M126" i="4"/>
  <c r="M104" i="4"/>
  <c r="M367" i="4"/>
  <c r="M320" i="4"/>
  <c r="M24" i="4"/>
  <c r="M216" i="4"/>
  <c r="M144" i="4"/>
  <c r="M310" i="4"/>
  <c r="M146" i="4"/>
  <c r="M304" i="4"/>
  <c r="M78" i="4"/>
  <c r="M212" i="4"/>
  <c r="M134" i="4"/>
  <c r="M284" i="4"/>
  <c r="M112" i="4"/>
  <c r="M240" i="4"/>
  <c r="M316" i="4"/>
  <c r="M88" i="4"/>
  <c r="M152" i="4"/>
  <c r="M182" i="4"/>
  <c r="M347" i="4"/>
  <c r="M176" i="4"/>
  <c r="M349" i="4"/>
  <c r="M108" i="4"/>
  <c r="M62" i="4"/>
  <c r="M156" i="4"/>
  <c r="M292" i="4"/>
  <c r="M142" i="4"/>
  <c r="M270" i="4"/>
  <c r="M248" i="4"/>
  <c r="M331" i="4"/>
  <c r="M184" i="4"/>
  <c r="M204" i="4"/>
  <c r="M369" i="4"/>
  <c r="M206" i="4"/>
  <c r="M6" i="4"/>
  <c r="M164" i="4"/>
  <c r="M150" i="4"/>
  <c r="M278" i="4"/>
  <c r="M322" i="4"/>
  <c r="M300" i="4"/>
  <c r="M218" i="4"/>
  <c r="M14" i="4"/>
  <c r="M64" i="4"/>
  <c r="M196" i="4"/>
  <c r="Q369" i="3"/>
  <c r="Q370" i="3"/>
  <c r="Q371" i="3"/>
  <c r="Q372" i="3"/>
  <c r="Q373" i="3"/>
  <c r="Q374" i="3"/>
  <c r="V374" i="3" s="1"/>
  <c r="Q375" i="3"/>
  <c r="Q376" i="3"/>
  <c r="V376" i="3" s="1"/>
  <c r="Q377" i="3"/>
  <c r="Q378" i="3"/>
  <c r="Q379" i="3"/>
  <c r="Q380" i="3"/>
  <c r="Q381" i="3"/>
  <c r="Q382" i="3"/>
  <c r="V382" i="3" s="1"/>
  <c r="Q383" i="3"/>
  <c r="Q384" i="3"/>
  <c r="V384" i="3" s="1"/>
  <c r="P344" i="3"/>
  <c r="P384" i="3" s="1"/>
  <c r="O344" i="3"/>
  <c r="O384" i="3" s="1"/>
  <c r="T384" i="3" s="1"/>
  <c r="N344" i="3"/>
  <c r="N384" i="3" s="1"/>
  <c r="S384" i="3" s="1"/>
  <c r="M344" i="3"/>
  <c r="M384" i="3" s="1"/>
  <c r="P320" i="3"/>
  <c r="P383" i="3" s="1"/>
  <c r="O320" i="3"/>
  <c r="O383" i="3" s="1"/>
  <c r="N320" i="3"/>
  <c r="N383" i="3" s="1"/>
  <c r="M320" i="3"/>
  <c r="M383" i="3" s="1"/>
  <c r="P296" i="3"/>
  <c r="P382" i="3" s="1"/>
  <c r="O296" i="3"/>
  <c r="O382" i="3" s="1"/>
  <c r="T382" i="3" s="1"/>
  <c r="N296" i="3"/>
  <c r="N382" i="3" s="1"/>
  <c r="S382" i="3" s="1"/>
  <c r="M296" i="3"/>
  <c r="M382" i="3" s="1"/>
  <c r="P272" i="3"/>
  <c r="P381" i="3" s="1"/>
  <c r="O272" i="3"/>
  <c r="O381" i="3" s="1"/>
  <c r="N272" i="3"/>
  <c r="N381" i="3" s="1"/>
  <c r="M272" i="3"/>
  <c r="M381" i="3" s="1"/>
  <c r="P248" i="3"/>
  <c r="P380" i="3" s="1"/>
  <c r="O248" i="3"/>
  <c r="O380" i="3" s="1"/>
  <c r="T380" i="3" s="1"/>
  <c r="N248" i="3"/>
  <c r="N380" i="3" s="1"/>
  <c r="S380" i="3" s="1"/>
  <c r="M248" i="3"/>
  <c r="M380" i="3" s="1"/>
  <c r="P224" i="3"/>
  <c r="P379" i="3" s="1"/>
  <c r="O224" i="3"/>
  <c r="O379" i="3" s="1"/>
  <c r="N224" i="3"/>
  <c r="N379" i="3" s="1"/>
  <c r="M224" i="3"/>
  <c r="M379" i="3" s="1"/>
  <c r="P200" i="3"/>
  <c r="P378" i="3" s="1"/>
  <c r="O200" i="3"/>
  <c r="O378" i="3" s="1"/>
  <c r="T378" i="3" s="1"/>
  <c r="N200" i="3"/>
  <c r="N378" i="3" s="1"/>
  <c r="S378" i="3" s="1"/>
  <c r="M200" i="3"/>
  <c r="M378" i="3" s="1"/>
  <c r="P176" i="3"/>
  <c r="P377" i="3" s="1"/>
  <c r="O176" i="3"/>
  <c r="O377" i="3" s="1"/>
  <c r="N176" i="3"/>
  <c r="N377" i="3" s="1"/>
  <c r="M176" i="3"/>
  <c r="M377" i="3" s="1"/>
  <c r="P152" i="3"/>
  <c r="P376" i="3" s="1"/>
  <c r="O152" i="3"/>
  <c r="O376" i="3" s="1"/>
  <c r="T376" i="3" s="1"/>
  <c r="N152" i="3"/>
  <c r="N376" i="3" s="1"/>
  <c r="S376" i="3" s="1"/>
  <c r="M152" i="3"/>
  <c r="M376" i="3" s="1"/>
  <c r="P128" i="3"/>
  <c r="P375" i="3" s="1"/>
  <c r="O128" i="3"/>
  <c r="O375" i="3" s="1"/>
  <c r="N128" i="3"/>
  <c r="N375" i="3" s="1"/>
  <c r="M128" i="3"/>
  <c r="M375" i="3" s="1"/>
  <c r="P104" i="3"/>
  <c r="P374" i="3" s="1"/>
  <c r="O104" i="3"/>
  <c r="O374" i="3" s="1"/>
  <c r="T374" i="3" s="1"/>
  <c r="N104" i="3"/>
  <c r="N374" i="3" s="1"/>
  <c r="S374" i="3" s="1"/>
  <c r="M104" i="3"/>
  <c r="M374" i="3" s="1"/>
  <c r="P80" i="3"/>
  <c r="P373" i="3" s="1"/>
  <c r="O80" i="3"/>
  <c r="O373" i="3" s="1"/>
  <c r="N80" i="3"/>
  <c r="N373" i="3" s="1"/>
  <c r="M80" i="3"/>
  <c r="M373" i="3" s="1"/>
  <c r="P56" i="3"/>
  <c r="P372" i="3" s="1"/>
  <c r="O56" i="3"/>
  <c r="O372" i="3" s="1"/>
  <c r="T372" i="3" s="1"/>
  <c r="N56" i="3"/>
  <c r="N372" i="3" s="1"/>
  <c r="S372" i="3" s="1"/>
  <c r="M56" i="3"/>
  <c r="M372" i="3" s="1"/>
  <c r="P32" i="3"/>
  <c r="P371" i="3" s="1"/>
  <c r="O32" i="3"/>
  <c r="O371" i="3" s="1"/>
  <c r="N32" i="3"/>
  <c r="N371" i="3" s="1"/>
  <c r="M32" i="3"/>
  <c r="M371" i="3" s="1"/>
  <c r="P8" i="3"/>
  <c r="P370" i="3" s="1"/>
  <c r="O8" i="3"/>
  <c r="O370" i="3" s="1"/>
  <c r="T370" i="3" s="1"/>
  <c r="N8" i="3"/>
  <c r="N370" i="3" s="1"/>
  <c r="S370" i="3" s="1"/>
  <c r="M8" i="3"/>
  <c r="M370" i="3" s="1"/>
  <c r="P2" i="3"/>
  <c r="P369" i="3" s="1"/>
  <c r="O2" i="3"/>
  <c r="O369" i="3" s="1"/>
  <c r="N2" i="3"/>
  <c r="N369" i="3" s="1"/>
  <c r="M2" i="3"/>
  <c r="M369" i="3" s="1"/>
  <c r="N6" i="4" l="1"/>
  <c r="N8" i="4" s="1"/>
  <c r="N10" i="4" s="1"/>
  <c r="N12" i="4" s="1"/>
  <c r="N14" i="4" s="1"/>
  <c r="N16" i="4" s="1"/>
  <c r="N18" i="4" s="1"/>
  <c r="N20" i="4" s="1"/>
  <c r="N22" i="4" s="1"/>
  <c r="N24" i="4" s="1"/>
  <c r="N26" i="4" s="1"/>
  <c r="N28" i="4" s="1"/>
  <c r="N30" i="4" s="1"/>
  <c r="N32" i="4" s="1"/>
  <c r="N34" i="4" s="1"/>
  <c r="N36" i="4" s="1"/>
  <c r="N38" i="4" s="1"/>
  <c r="N40" i="4" s="1"/>
  <c r="N42" i="4" s="1"/>
  <c r="N44" i="4" s="1"/>
  <c r="N46" i="4" s="1"/>
  <c r="N48" i="4" s="1"/>
  <c r="N50" i="4" s="1"/>
  <c r="N52" i="4" s="1"/>
  <c r="N54" i="4" s="1"/>
  <c r="N56" i="4" s="1"/>
  <c r="N58" i="4" s="1"/>
  <c r="N60" i="4" s="1"/>
  <c r="N62" i="4" s="1"/>
  <c r="N64" i="4" s="1"/>
  <c r="N76" i="4" s="1"/>
  <c r="N78" i="4" s="1"/>
  <c r="N80" i="4" s="1"/>
  <c r="N82" i="4" s="1"/>
  <c r="N84" i="4" s="1"/>
  <c r="N86" i="4" s="1"/>
  <c r="N88" i="4" s="1"/>
  <c r="N90" i="4" s="1"/>
  <c r="N92" i="4" s="1"/>
  <c r="N94" i="4" s="1"/>
  <c r="N96" i="4" s="1"/>
  <c r="N98" i="4" s="1"/>
  <c r="N100" i="4" s="1"/>
  <c r="N102" i="4" s="1"/>
  <c r="N104" i="4" s="1"/>
  <c r="N106" i="4" s="1"/>
  <c r="N108" i="4" s="1"/>
  <c r="N110" i="4" s="1"/>
  <c r="N112" i="4" s="1"/>
  <c r="N114" i="4" s="1"/>
  <c r="N116" i="4" s="1"/>
  <c r="N118" i="4" s="1"/>
  <c r="N120" i="4" s="1"/>
  <c r="N122" i="4" s="1"/>
  <c r="N124" i="4" s="1"/>
  <c r="N126" i="4" s="1"/>
  <c r="N128" i="4" s="1"/>
  <c r="N130" i="4" s="1"/>
  <c r="N132" i="4" s="1"/>
  <c r="N134" i="4" s="1"/>
  <c r="N136" i="4" s="1"/>
  <c r="N138" i="4" s="1"/>
  <c r="N140" i="4" s="1"/>
  <c r="N142" i="4" s="1"/>
  <c r="N144" i="4" s="1"/>
  <c r="N146" i="4" s="1"/>
  <c r="N148" i="4" s="1"/>
  <c r="N150" i="4" s="1"/>
  <c r="N152" i="4" s="1"/>
  <c r="N154" i="4" s="1"/>
  <c r="N156" i="4" s="1"/>
  <c r="N158" i="4" s="1"/>
  <c r="N160" i="4" s="1"/>
  <c r="N162" i="4" s="1"/>
  <c r="N164" i="4" s="1"/>
  <c r="N166" i="4" s="1"/>
  <c r="N168" i="4" s="1"/>
  <c r="N170" i="4" s="1"/>
  <c r="N172" i="4" s="1"/>
  <c r="N174" i="4" s="1"/>
  <c r="N176" i="4" s="1"/>
  <c r="N178" i="4" s="1"/>
  <c r="N180" i="4" s="1"/>
  <c r="N182" i="4" s="1"/>
  <c r="N184" i="4" s="1"/>
  <c r="N186" i="4" s="1"/>
  <c r="N188" i="4" s="1"/>
  <c r="N190" i="4" s="1"/>
  <c r="N192" i="4" s="1"/>
  <c r="N194" i="4" s="1"/>
  <c r="N196" i="4" s="1"/>
  <c r="N198" i="4" s="1"/>
  <c r="N200" i="4" s="1"/>
  <c r="N202" i="4" s="1"/>
  <c r="N204" i="4" s="1"/>
  <c r="N206" i="4" s="1"/>
  <c r="N208" i="4" s="1"/>
  <c r="N210" i="4" s="1"/>
  <c r="N212" i="4" s="1"/>
  <c r="N214" i="4" s="1"/>
  <c r="N216" i="4" s="1"/>
  <c r="N218" i="4" s="1"/>
  <c r="N220" i="4" s="1"/>
  <c r="N222" i="4" s="1"/>
  <c r="N224" i="4" s="1"/>
  <c r="N226" i="4" s="1"/>
  <c r="N228" i="4" s="1"/>
  <c r="N230" i="4" s="1"/>
  <c r="N232" i="4" s="1"/>
  <c r="N234" i="4" s="1"/>
  <c r="N236" i="4" s="1"/>
  <c r="N238" i="4" s="1"/>
  <c r="N240" i="4" s="1"/>
  <c r="N242" i="4" s="1"/>
  <c r="N244" i="4" s="1"/>
  <c r="N246" i="4" s="1"/>
  <c r="N248" i="4" s="1"/>
  <c r="N250" i="4" s="1"/>
  <c r="N252" i="4" s="1"/>
  <c r="N254" i="4" s="1"/>
  <c r="N256" i="4" s="1"/>
  <c r="N258" i="4" s="1"/>
  <c r="N260" i="4" s="1"/>
  <c r="N262" i="4" s="1"/>
  <c r="N264" i="4" s="1"/>
  <c r="N266" i="4" s="1"/>
  <c r="N268" i="4" s="1"/>
  <c r="N270" i="4" s="1"/>
  <c r="N272" i="4" s="1"/>
  <c r="N274" i="4" s="1"/>
  <c r="N276" i="4" s="1"/>
  <c r="N278" i="4" s="1"/>
  <c r="N280" i="4" s="1"/>
  <c r="N282" i="4" s="1"/>
  <c r="N284" i="4" s="1"/>
  <c r="N286" i="4" s="1"/>
  <c r="N288" i="4" s="1"/>
  <c r="N290" i="4" s="1"/>
  <c r="N292" i="4" s="1"/>
  <c r="N294" i="4" s="1"/>
  <c r="N296" i="4" s="1"/>
  <c r="N298" i="4" s="1"/>
  <c r="N300" i="4" s="1"/>
  <c r="N302" i="4" s="1"/>
  <c r="N304" i="4" s="1"/>
  <c r="N306" i="4" s="1"/>
  <c r="N308" i="4" s="1"/>
  <c r="N310" i="4" s="1"/>
  <c r="N312" i="4" s="1"/>
  <c r="N314" i="4" s="1"/>
  <c r="N316" i="4" s="1"/>
  <c r="N318" i="4" s="1"/>
  <c r="N320" i="4" s="1"/>
  <c r="N322" i="4" s="1"/>
  <c r="N324" i="4" s="1"/>
  <c r="N326" i="4" s="1"/>
  <c r="N329" i="4" s="1"/>
  <c r="N331" i="4" s="1"/>
  <c r="N333" i="4" s="1"/>
  <c r="N335" i="4" s="1"/>
  <c r="N337" i="4" s="1"/>
  <c r="N339" i="4" s="1"/>
  <c r="N341" i="4" s="1"/>
  <c r="N343" i="4" s="1"/>
  <c r="N345" i="4" s="1"/>
  <c r="N347" i="4" s="1"/>
  <c r="N349" i="4" s="1"/>
  <c r="N351" i="4" s="1"/>
  <c r="N353" i="4" s="1"/>
  <c r="N355" i="4" s="1"/>
  <c r="N357" i="4" s="1"/>
  <c r="N359" i="4" s="1"/>
  <c r="N361" i="4" s="1"/>
  <c r="N363" i="4" s="1"/>
  <c r="N365" i="4" s="1"/>
  <c r="N367" i="4" s="1"/>
  <c r="N369" i="4" s="1"/>
  <c r="N371" i="4" s="1"/>
  <c r="N375" i="4" s="1"/>
  <c r="N377" i="4" s="1"/>
  <c r="N379" i="4" s="1"/>
  <c r="N381" i="4" s="1"/>
  <c r="N383" i="4" s="1"/>
  <c r="N385" i="4" s="1"/>
  <c r="N387" i="4" s="1"/>
  <c r="N389" i="4" s="1"/>
  <c r="N391" i="4" s="1"/>
  <c r="N393" i="4" s="1"/>
  <c r="N395" i="4" s="1"/>
  <c r="N397" i="4" s="1"/>
  <c r="N399" i="4" s="1"/>
  <c r="N401" i="4" s="1"/>
  <c r="N403" i="4" s="1"/>
  <c r="N405" i="4" s="1"/>
  <c r="N407" i="4" s="1"/>
  <c r="N409" i="4" s="1"/>
  <c r="N411" i="4" s="1"/>
  <c r="N413" i="4" s="1"/>
  <c r="N415" i="4" s="1"/>
  <c r="N417" i="4" s="1"/>
  <c r="N423" i="4" s="1"/>
  <c r="N425" i="4" s="1"/>
  <c r="N427" i="4" s="1"/>
  <c r="N429" i="4" s="1"/>
  <c r="N431" i="4" s="1"/>
  <c r="N435" i="4" s="1"/>
  <c r="N439" i="4" s="1"/>
  <c r="N441" i="4" s="1"/>
  <c r="N443" i="4" s="1"/>
  <c r="N445" i="4" s="1"/>
  <c r="N447" i="4" s="1"/>
  <c r="N449" i="4" s="1"/>
  <c r="N451" i="4" s="1"/>
  <c r="N453" i="4" s="1"/>
  <c r="N455" i="4" s="1"/>
  <c r="N457" i="4" s="1"/>
  <c r="N459" i="4" s="1"/>
  <c r="N461" i="4" s="1"/>
  <c r="N471" i="4" s="1"/>
  <c r="N473" i="4" s="1"/>
  <c r="N475" i="4" s="1"/>
  <c r="N477" i="4" s="1"/>
  <c r="N479" i="4" s="1"/>
  <c r="N485" i="4" s="1"/>
  <c r="N489" i="4" s="1"/>
  <c r="N493" i="4" s="1"/>
  <c r="N501" i="4" s="1"/>
  <c r="N503" i="4" s="1"/>
  <c r="N505" i="4" s="1"/>
  <c r="N507" i="4" s="1"/>
  <c r="N509" i="4" s="1"/>
  <c r="N511" i="4" s="1"/>
  <c r="N517" i="4" s="1"/>
  <c r="N519" i="4" s="1"/>
  <c r="N521" i="4" s="1"/>
  <c r="N523" i="4" s="1"/>
  <c r="N525" i="4" s="1"/>
  <c r="N529" i="4" s="1"/>
  <c r="N531" i="4" s="1"/>
  <c r="N533" i="4" s="1"/>
  <c r="N535" i="4" s="1"/>
  <c r="N537" i="4" s="1"/>
  <c r="N563" i="4" s="1"/>
  <c r="T381" i="3"/>
  <c r="S369" i="3"/>
  <c r="S375" i="3"/>
  <c r="S379" i="3"/>
  <c r="V383" i="3"/>
  <c r="T369" i="3"/>
  <c r="T373" i="3"/>
  <c r="T375" i="3"/>
  <c r="T377" i="3"/>
  <c r="T379" i="3"/>
  <c r="T383" i="3"/>
  <c r="U369" i="3"/>
  <c r="U371" i="3"/>
  <c r="U373" i="3"/>
  <c r="U375" i="3"/>
  <c r="U377" i="3"/>
  <c r="U379" i="3"/>
  <c r="U381" i="3"/>
  <c r="U383" i="3"/>
  <c r="V381" i="3"/>
  <c r="V373" i="3"/>
  <c r="V380" i="3"/>
  <c r="V372" i="3"/>
  <c r="V371" i="3"/>
  <c r="S373" i="3"/>
  <c r="S381" i="3"/>
  <c r="V375" i="3"/>
  <c r="V378" i="3"/>
  <c r="V370" i="3"/>
  <c r="S371" i="3"/>
  <c r="S377" i="3"/>
  <c r="S383" i="3"/>
  <c r="T371" i="3"/>
  <c r="V379" i="3"/>
  <c r="U370" i="3"/>
  <c r="U372" i="3"/>
  <c r="U374" i="3"/>
  <c r="U376" i="3"/>
  <c r="U378" i="3"/>
  <c r="U380" i="3"/>
  <c r="U382" i="3"/>
  <c r="U384" i="3"/>
  <c r="V377" i="3"/>
  <c r="V369" i="3"/>
</calcChain>
</file>

<file path=xl/sharedStrings.xml><?xml version="1.0" encoding="utf-8"?>
<sst xmlns="http://schemas.openxmlformats.org/spreadsheetml/2006/main" count="3577" uniqueCount="101">
  <si>
    <t>ug/l</t>
  </si>
  <si>
    <t>ug/L</t>
  </si>
  <si>
    <t>STA</t>
  </si>
  <si>
    <t>DATE</t>
  </si>
  <si>
    <t>YEAR</t>
  </si>
  <si>
    <t>MONTH</t>
  </si>
  <si>
    <t>MONTH#</t>
  </si>
  <si>
    <t>[TChl a]</t>
  </si>
  <si>
    <t>Perid</t>
  </si>
  <si>
    <t>But fuco</t>
  </si>
  <si>
    <t>Fuco</t>
  </si>
  <si>
    <t>Zea</t>
  </si>
  <si>
    <t>Gyr diester</t>
  </si>
  <si>
    <t>duplicate</t>
  </si>
  <si>
    <t>OCTOBER</t>
  </si>
  <si>
    <t>no data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</si>
  <si>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</si>
  <si>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</si>
  <si>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</si>
  <si>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</si>
  <si>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</si>
  <si>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</si>
  <si>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</si>
  <si>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</si>
  <si>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</si>
  <si>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</si>
  <si>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</si>
  <si>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 xml:space="preserve"> no data</t>
  </si>
  <si>
    <t>February</t>
  </si>
  <si>
    <t>March</t>
  </si>
  <si>
    <t>April</t>
  </si>
  <si>
    <t>May</t>
  </si>
  <si>
    <t>June</t>
  </si>
  <si>
    <t>July</t>
  </si>
  <si>
    <t>August</t>
  </si>
  <si>
    <t>Septemeber</t>
  </si>
  <si>
    <t>October</t>
  </si>
  <si>
    <t>November</t>
  </si>
  <si>
    <t>December</t>
  </si>
  <si>
    <t>January</t>
  </si>
  <si>
    <t>September</t>
  </si>
  <si>
    <t>dup</t>
    <phoneticPr fontId="1" type="noConversion"/>
  </si>
  <si>
    <t>Average</t>
    <phoneticPr fontId="1" type="noConversion"/>
  </si>
  <si>
    <t>1999</t>
    <phoneticPr fontId="1" type="noConversion"/>
  </si>
  <si>
    <t>2000</t>
    <phoneticPr fontId="1" type="noConversion"/>
  </si>
  <si>
    <t>2000</t>
    <phoneticPr fontId="1" type="noConversion"/>
  </si>
  <si>
    <t>2001</t>
    <phoneticPr fontId="1" type="noConversion"/>
  </si>
  <si>
    <t>2002</t>
    <phoneticPr fontId="1" type="noConversion"/>
  </si>
  <si>
    <t>2003</t>
    <phoneticPr fontId="1" type="noConversion"/>
  </si>
  <si>
    <t>2004</t>
    <phoneticPr fontId="1" type="noConversion"/>
  </si>
  <si>
    <t>2005</t>
    <phoneticPr fontId="1" type="noConversion"/>
  </si>
  <si>
    <t>Average</t>
    <phoneticPr fontId="1" type="noConversion"/>
  </si>
  <si>
    <t>2006</t>
    <phoneticPr fontId="1" type="noConversion"/>
  </si>
  <si>
    <t>2007</t>
    <phoneticPr fontId="1" type="noConversion"/>
  </si>
  <si>
    <t>2008</t>
    <phoneticPr fontId="1" type="noConversion"/>
  </si>
  <si>
    <t>2009</t>
    <phoneticPr fontId="1" type="noConversion"/>
  </si>
  <si>
    <t>2010</t>
    <phoneticPr fontId="1" type="noConversion"/>
  </si>
  <si>
    <t>2011</t>
    <phoneticPr fontId="1" type="noConversion"/>
  </si>
  <si>
    <t>2012</t>
    <phoneticPr fontId="1" type="noConversion"/>
  </si>
  <si>
    <t>2013</t>
    <phoneticPr fontId="1" type="noConversion"/>
  </si>
  <si>
    <t>2014</t>
    <phoneticPr fontId="1" type="noConversion"/>
  </si>
  <si>
    <t>Year</t>
    <phoneticPr fontId="1" type="noConversion"/>
  </si>
  <si>
    <t>1999</t>
    <phoneticPr fontId="1" type="noConversion"/>
  </si>
  <si>
    <t>2001</t>
    <phoneticPr fontId="1" type="noConversion"/>
  </si>
  <si>
    <t>2002</t>
    <phoneticPr fontId="1" type="noConversion"/>
  </si>
  <si>
    <t>2003</t>
    <phoneticPr fontId="1" type="noConversion"/>
  </si>
  <si>
    <t>2004</t>
    <phoneticPr fontId="1" type="noConversion"/>
  </si>
  <si>
    <t>2005</t>
    <phoneticPr fontId="1" type="noConversion"/>
  </si>
  <si>
    <t>2006</t>
    <phoneticPr fontId="1" type="noConversion"/>
  </si>
  <si>
    <t>2007</t>
    <phoneticPr fontId="1" type="noConversion"/>
  </si>
  <si>
    <t>2008</t>
    <phoneticPr fontId="1" type="noConversion"/>
  </si>
  <si>
    <t>2009</t>
    <phoneticPr fontId="1" type="noConversion"/>
  </si>
  <si>
    <t>2010</t>
    <phoneticPr fontId="1" type="noConversion"/>
  </si>
  <si>
    <t>2011</t>
    <phoneticPr fontId="1" type="noConversion"/>
  </si>
  <si>
    <t>2012</t>
    <phoneticPr fontId="1" type="noConversion"/>
  </si>
  <si>
    <t>2013</t>
    <phoneticPr fontId="1" type="noConversion"/>
  </si>
  <si>
    <t>2014</t>
    <phoneticPr fontId="1" type="noConversion"/>
  </si>
  <si>
    <t>Perid/Chl a</t>
    <phoneticPr fontId="1" type="noConversion"/>
  </si>
  <si>
    <t>But fuco/Chl a</t>
    <phoneticPr fontId="1" type="noConversion"/>
  </si>
  <si>
    <t>Fuco/Chl a</t>
    <phoneticPr fontId="1" type="noConversion"/>
  </si>
  <si>
    <t>Zea/Chl a</t>
    <phoneticPr fontId="1" type="noConversion"/>
  </si>
  <si>
    <t>average</t>
  </si>
  <si>
    <t>zea/chl</t>
  </si>
  <si>
    <t>fuco/CHL</t>
  </si>
  <si>
    <t>butfuco/chl</t>
  </si>
  <si>
    <t>z score</t>
  </si>
  <si>
    <t>CUSUM</t>
  </si>
  <si>
    <t>peridin</t>
  </si>
  <si>
    <t>perid/chl</t>
  </si>
  <si>
    <t>mean</t>
  </si>
  <si>
    <t>stdev</t>
  </si>
  <si>
    <t>chlorophyll</t>
  </si>
  <si>
    <t>graphs not updated for 2020-2024 data</t>
  </si>
  <si>
    <t>values in</t>
  </si>
  <si>
    <t>2022 not yet</t>
  </si>
  <si>
    <t>available</t>
  </si>
  <si>
    <t>unassigned</t>
  </si>
  <si>
    <t>values in July</t>
  </si>
  <si>
    <t>remaining</t>
  </si>
  <si>
    <t>dates unavail.</t>
  </si>
  <si>
    <t>replicate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</si>
</sst>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[$-409]mmm\-yy;@"/>
  </numFmts>
  <fonts count="16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4"/>
      <color indexed="41"/>
      <name val="Geneva"/>
      <family val="2"/>
    </font>
    <font>
      <sz val="10"/>
      <color indexed="12"/>
      <name val="Geneva"/>
      <family val="2"/>
    </font>
    <font>
      <sz val="11"/>
      <color rgb="FF0070C0"/>
      <name val="Calibri"/>
      <family val="3"/>
      <charset val="134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neva"/>
      <family val="2"/>
    </font>
    <font>
      <sz val="8"/>
      <name val="Arial"/>
      <family val="2"/>
    </font>
    <font>
      <sz val="10"/>
      <color indexed="8"/>
      <name val="Helv"/>
    </font>
    <font>
      <sz val="10"/>
      <name val="Geneva"/>
      <family val="2"/>
    </font>
    <font>
      <sz val="10"/>
      <name val="Geneva"/>
      <family val="2"/>
    </font>
    <font>
      <sz val="10"/>
      <name val="Helv"/>
    </font>
    <font>
      <b/>
      <sz val="14"/>
      <color rgb="FFCCFFFF"/>
      <name val="Geneva"/>
      <family val="2"/>
      <charset val="1"/>
    </font>
    <font>
      <sz val="10"/>
      <name val="Geneva"/>
      <family val="2"/>
      <charset val="1"/>
    </font>
    <font>
      <sz val="10"/>
      <name val="Geneva"/>
    </font>
  </fonts>
  <fills count="10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/>
      <bottom style="hair">
        <color indexed="22"/>
      </bottom>
      <diagonal/>
    </border>
    <border>
      <left style="hair">
        <color indexed="22"/>
      </left>
      <right/>
      <top/>
      <bottom style="hair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 style="hair">
        <color rgb="FFC0C0C0"/>
      </right>
      <top/>
      <bottom style="hair">
        <color rgb="FFC0C0C0"/>
      </bottom>
      <diagonal/>
    </border>
    <border>
      <left/>
      <right style="hair">
        <color indexed="22"/>
      </right>
      <top/>
      <bottom style="hair">
        <color indexed="22"/>
      </bottom>
      <diagonal/>
    </border>
    <border>
      <left style="hair">
        <color indexed="22"/>
      </left>
      <right style="hair">
        <color indexed="22"/>
      </right>
      <top/>
      <bottom/>
      <diagonal/>
    </border>
  </borders>
  <cellStyleXfs count="3">
    <xf numFmtId="0" fontId="0" fillId="0" borderId="0"/>
    <xf numFmtId="0" fontId="5" fillId="0" borderId="0"/>
    <xf numFmtId="0" fontId="12" fillId="0" borderId="0"/>
  </cellStyleXfs>
  <cellXfs count="98">
    <xf numFmtId="0" fontId="0" fillId="0" borderId="0" xfId="0"/>
    <xf numFmtId="164" fontId="2" fillId="2" borderId="0" xfId="0" applyNumberFormat="1" applyFont="1" applyFill="1" applyAlignment="1">
      <alignment horizontal="center"/>
    </xf>
    <xf numFmtId="1" fontId="0" fillId="0" borderId="0" xfId="0" quotePrefix="1" applyNumberFormat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horizontal="right"/>
    </xf>
    <xf numFmtId="14" fontId="5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164" fontId="0" fillId="0" borderId="0" xfId="0" applyNumberFormat="1" applyAlignment="1">
      <alignment horizontal="center"/>
    </xf>
    <xf numFmtId="164" fontId="7" fillId="0" borderId="0" xfId="0" applyNumberFormat="1" applyFont="1" applyAlignment="1">
      <alignment horizontal="center" vertical="center" wrapText="1"/>
    </xf>
    <xf numFmtId="0" fontId="5" fillId="0" borderId="0" xfId="0" applyFont="1"/>
    <xf numFmtId="164" fontId="7" fillId="4" borderId="0" xfId="0" applyNumberFormat="1" applyFont="1" applyFill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/>
    </xf>
    <xf numFmtId="14" fontId="0" fillId="0" borderId="0" xfId="0" applyNumberFormat="1"/>
    <xf numFmtId="164" fontId="0" fillId="5" borderId="0" xfId="0" applyNumberFormat="1" applyFill="1" applyAlignment="1">
      <alignment horizontal="center"/>
    </xf>
    <xf numFmtId="164" fontId="9" fillId="0" borderId="0" xfId="0" applyNumberFormat="1" applyFont="1" applyAlignment="1">
      <alignment horizontal="center" vertical="center"/>
    </xf>
    <xf numFmtId="14" fontId="5" fillId="0" borderId="0" xfId="0" applyNumberFormat="1" applyFont="1"/>
    <xf numFmtId="164" fontId="7" fillId="0" borderId="2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164" fontId="0" fillId="0" borderId="0" xfId="0" applyNumberFormat="1"/>
    <xf numFmtId="164" fontId="5" fillId="0" borderId="0" xfId="0" applyNumberFormat="1" applyFont="1" applyAlignment="1">
      <alignment horizontal="center" vertical="center" wrapText="1"/>
    </xf>
    <xf numFmtId="14" fontId="5" fillId="0" borderId="0" xfId="1" applyNumberFormat="1"/>
    <xf numFmtId="164" fontId="5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164" fontId="11" fillId="0" borderId="0" xfId="1" applyNumberFormat="1" applyFont="1" applyAlignment="1">
      <alignment horizontal="center" vertical="center" wrapText="1"/>
    </xf>
    <xf numFmtId="164" fontId="11" fillId="0" borderId="3" xfId="2" applyNumberFormat="1" applyFont="1" applyBorder="1" applyAlignment="1">
      <alignment horizontal="center" vertical="center" wrapText="1"/>
    </xf>
    <xf numFmtId="49" fontId="0" fillId="0" borderId="0" xfId="0" applyNumberFormat="1"/>
    <xf numFmtId="2" fontId="0" fillId="0" borderId="0" xfId="0" applyNumberFormat="1"/>
    <xf numFmtId="0" fontId="0" fillId="6" borderId="0" xfId="0" applyFill="1" applyAlignment="1">
      <alignment horizontal="right"/>
    </xf>
    <xf numFmtId="164" fontId="5" fillId="0" borderId="0" xfId="0" applyNumberFormat="1" applyFont="1" applyAlignment="1">
      <alignment horizontal="center"/>
    </xf>
    <xf numFmtId="0" fontId="6" fillId="6" borderId="0" xfId="0" applyFont="1" applyFill="1" applyAlignment="1">
      <alignment horizontal="right"/>
    </xf>
    <xf numFmtId="164" fontId="5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right"/>
    </xf>
    <xf numFmtId="14" fontId="5" fillId="6" borderId="0" xfId="0" applyNumberFormat="1" applyFont="1" applyFill="1" applyAlignment="1">
      <alignment horizontal="right"/>
    </xf>
    <xf numFmtId="0" fontId="5" fillId="6" borderId="0" xfId="0" applyFont="1" applyFill="1" applyAlignment="1">
      <alignment horizontal="left"/>
    </xf>
    <xf numFmtId="164" fontId="5" fillId="0" borderId="0" xfId="0" applyNumberFormat="1" applyFont="1" applyAlignment="1" applyProtection="1">
      <alignment horizontal="center"/>
      <protection locked="0"/>
    </xf>
    <xf numFmtId="164" fontId="5" fillId="6" borderId="0" xfId="0" applyNumberFormat="1" applyFont="1" applyFill="1" applyAlignment="1" applyProtection="1">
      <alignment horizontal="center"/>
      <protection locked="0"/>
    </xf>
    <xf numFmtId="164" fontId="5" fillId="0" borderId="0" xfId="0" applyNumberFormat="1" applyFont="1"/>
    <xf numFmtId="0" fontId="5" fillId="6" borderId="0" xfId="0" applyFont="1" applyFill="1"/>
    <xf numFmtId="164" fontId="5" fillId="6" borderId="0" xfId="0" applyNumberFormat="1" applyFont="1" applyFill="1"/>
    <xf numFmtId="164" fontId="0" fillId="6" borderId="0" xfId="0" applyNumberFormat="1" applyFill="1"/>
    <xf numFmtId="164" fontId="6" fillId="0" borderId="0" xfId="0" applyNumberFormat="1" applyFont="1" applyAlignment="1">
      <alignment horizontal="right" vertical="center"/>
    </xf>
    <xf numFmtId="14" fontId="0" fillId="6" borderId="0" xfId="0" applyNumberFormat="1" applyFill="1"/>
    <xf numFmtId="164" fontId="6" fillId="6" borderId="0" xfId="0" applyNumberFormat="1" applyFont="1" applyFill="1" applyAlignment="1">
      <alignment horizontal="right" vertical="center"/>
    </xf>
    <xf numFmtId="164" fontId="0" fillId="6" borderId="0" xfId="0" applyNumberFormat="1" applyFill="1" applyAlignment="1">
      <alignment horizontal="center"/>
    </xf>
    <xf numFmtId="14" fontId="5" fillId="6" borderId="0" xfId="0" applyNumberFormat="1" applyFont="1" applyFill="1"/>
    <xf numFmtId="164" fontId="5" fillId="6" borderId="0" xfId="0" applyNumberFormat="1" applyFont="1" applyFill="1" applyAlignment="1">
      <alignment horizontal="center" vertical="center"/>
    </xf>
    <xf numFmtId="165" fontId="0" fillId="0" borderId="0" xfId="0" applyNumberFormat="1"/>
    <xf numFmtId="165" fontId="6" fillId="0" borderId="0" xfId="0" applyNumberFormat="1" applyFont="1" applyAlignment="1">
      <alignment horizontal="center" vertical="center" wrapText="1"/>
    </xf>
    <xf numFmtId="165" fontId="6" fillId="6" borderId="0" xfId="0" applyNumberFormat="1" applyFont="1" applyFill="1" applyAlignment="1">
      <alignment horizontal="center" vertical="center" wrapText="1"/>
    </xf>
    <xf numFmtId="164" fontId="11" fillId="6" borderId="0" xfId="0" applyNumberFormat="1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6" borderId="3" xfId="0" applyNumberFormat="1" applyFont="1" applyFill="1" applyBorder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 vertical="center" wrapText="1"/>
    </xf>
    <xf numFmtId="164" fontId="11" fillId="6" borderId="4" xfId="0" applyNumberFormat="1" applyFont="1" applyFill="1" applyBorder="1" applyAlignment="1">
      <alignment horizontal="center" vertical="center" wrapText="1"/>
    </xf>
    <xf numFmtId="164" fontId="5" fillId="6" borderId="3" xfId="0" applyNumberFormat="1" applyFont="1" applyFill="1" applyBorder="1" applyAlignment="1">
      <alignment horizontal="center" vertical="center" wrapText="1"/>
    </xf>
    <xf numFmtId="164" fontId="11" fillId="0" borderId="4" xfId="2" applyNumberFormat="1" applyFont="1" applyBorder="1" applyAlignment="1">
      <alignment horizontal="center" vertical="center" wrapText="1"/>
    </xf>
    <xf numFmtId="164" fontId="5" fillId="6" borderId="0" xfId="0" applyNumberFormat="1" applyFont="1" applyFill="1" applyAlignment="1">
      <alignment horizontal="center" vertical="center" wrapText="1"/>
    </xf>
    <xf numFmtId="164" fontId="11" fillId="0" borderId="0" xfId="2" applyNumberFormat="1" applyFont="1" applyAlignment="1">
      <alignment horizontal="center" vertical="center" wrapText="1"/>
    </xf>
    <xf numFmtId="164" fontId="3" fillId="3" borderId="5" xfId="0" applyNumberFormat="1" applyFont="1" applyFill="1" applyBorder="1" applyAlignment="1">
      <alignment horizontal="center" vertical="center" wrapText="1"/>
    </xf>
    <xf numFmtId="164" fontId="13" fillId="7" borderId="0" xfId="0" applyNumberFormat="1" applyFont="1" applyFill="1" applyAlignment="1">
      <alignment horizontal="center"/>
    </xf>
    <xf numFmtId="164" fontId="3" fillId="3" borderId="6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166" fontId="10" fillId="0" borderId="0" xfId="0" applyNumberFormat="1" applyFont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6" fontId="5" fillId="0" borderId="0" xfId="0" applyNumberFormat="1" applyFont="1" applyAlignment="1">
      <alignment horizontal="right"/>
    </xf>
    <xf numFmtId="166" fontId="5" fillId="0" borderId="0" xfId="0" applyNumberFormat="1" applyFont="1"/>
    <xf numFmtId="166" fontId="5" fillId="0" borderId="0" xfId="1" applyNumberFormat="1"/>
    <xf numFmtId="0" fontId="14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164" fontId="14" fillId="0" borderId="3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 wrapText="1"/>
    </xf>
    <xf numFmtId="0" fontId="0" fillId="4" borderId="0" xfId="0" applyFill="1"/>
    <xf numFmtId="0" fontId="0" fillId="8" borderId="0" xfId="0" applyFill="1" applyAlignment="1">
      <alignment horizontal="right"/>
    </xf>
    <xf numFmtId="164" fontId="15" fillId="9" borderId="3" xfId="0" applyNumberFormat="1" applyFont="1" applyFill="1" applyBorder="1" applyAlignment="1">
      <alignment horizontal="center" vertical="center" wrapText="1"/>
    </xf>
    <xf numFmtId="164" fontId="15" fillId="9" borderId="10" xfId="0" applyNumberFormat="1" applyFont="1" applyFill="1" applyBorder="1" applyAlignment="1">
      <alignment horizontal="center" vertical="center" wrapText="1"/>
    </xf>
    <xf numFmtId="166" fontId="0" fillId="8" borderId="0" xfId="0" applyNumberFormat="1" applyFill="1" applyAlignment="1">
      <alignment horizontal="center"/>
    </xf>
    <xf numFmtId="0" fontId="0" fillId="8" borderId="0" xfId="0" applyFill="1"/>
    <xf numFmtId="0" fontId="5" fillId="8" borderId="0" xfId="0" applyFont="1" applyFill="1" applyAlignment="1">
      <alignment horizontal="left"/>
    </xf>
    <xf numFmtId="0" fontId="5" fillId="8" borderId="0" xfId="0" applyFont="1" applyFill="1"/>
    <xf numFmtId="164" fontId="15" fillId="0" borderId="10" xfId="0" applyNumberFormat="1" applyFont="1" applyBorder="1" applyAlignment="1">
      <alignment horizontal="center" vertical="center" wrapText="1"/>
    </xf>
    <xf numFmtId="0" fontId="0" fillId="9" borderId="0" xfId="0" applyFill="1"/>
    <xf numFmtId="164" fontId="0" fillId="4" borderId="0" xfId="0" applyNumberFormat="1" applyFill="1"/>
    <xf numFmtId="164" fontId="15" fillId="0" borderId="3" xfId="0" applyNumberFormat="1" applyFont="1" applyBorder="1" applyAlignment="1">
      <alignment horizontal="center" vertical="center" wrapText="1"/>
    </xf>
    <xf numFmtId="164" fontId="15" fillId="0" borderId="9" xfId="0" applyNumberFormat="1" applyFont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center"/>
    </xf>
  </cellXfs>
  <cellStyles count="3">
    <cellStyle name="Normal" xfId="0" builtinId="0"/>
    <cellStyle name="Normal 2" xfId="1" xr:uid="{00000000-0005-0000-0000-000000000000}"/>
    <cellStyle name="Normal 3" xfId="2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Zea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'Zea update'!$B$4:$B$489</c:f>
              <c:numCache>
                <c:formatCode>[$-409]mmm\-yy;@</c:formatCode>
                <c:ptCount val="486"/>
                <c:pt idx="0">
                  <c:v>36446</c:v>
                </c:pt>
                <c:pt idx="1">
                  <c:v>36473</c:v>
                </c:pt>
                <c:pt idx="2">
                  <c:v>36473</c:v>
                </c:pt>
                <c:pt idx="3">
                  <c:v>36502</c:v>
                </c:pt>
                <c:pt idx="4">
                  <c:v>36502</c:v>
                </c:pt>
                <c:pt idx="5">
                  <c:v>36531</c:v>
                </c:pt>
                <c:pt idx="6">
                  <c:v>36531</c:v>
                </c:pt>
                <c:pt idx="7">
                  <c:v>36578</c:v>
                </c:pt>
                <c:pt idx="8">
                  <c:v>36578</c:v>
                </c:pt>
                <c:pt idx="9">
                  <c:v>36599</c:v>
                </c:pt>
                <c:pt idx="10">
                  <c:v>36599</c:v>
                </c:pt>
                <c:pt idx="11">
                  <c:v>36626</c:v>
                </c:pt>
                <c:pt idx="12">
                  <c:v>36626</c:v>
                </c:pt>
                <c:pt idx="13">
                  <c:v>36663</c:v>
                </c:pt>
                <c:pt idx="14">
                  <c:v>36663</c:v>
                </c:pt>
                <c:pt idx="15">
                  <c:v>36692</c:v>
                </c:pt>
                <c:pt idx="16">
                  <c:v>36692</c:v>
                </c:pt>
                <c:pt idx="17">
                  <c:v>36719</c:v>
                </c:pt>
                <c:pt idx="18">
                  <c:v>36719</c:v>
                </c:pt>
                <c:pt idx="19">
                  <c:v>36755</c:v>
                </c:pt>
                <c:pt idx="20">
                  <c:v>36755</c:v>
                </c:pt>
                <c:pt idx="21">
                  <c:v>36783</c:v>
                </c:pt>
                <c:pt idx="22">
                  <c:v>36783</c:v>
                </c:pt>
                <c:pt idx="23">
                  <c:v>36815</c:v>
                </c:pt>
                <c:pt idx="24">
                  <c:v>36815</c:v>
                </c:pt>
                <c:pt idx="25">
                  <c:v>36846</c:v>
                </c:pt>
                <c:pt idx="26">
                  <c:v>36846</c:v>
                </c:pt>
                <c:pt idx="27">
                  <c:v>36873</c:v>
                </c:pt>
                <c:pt idx="28">
                  <c:v>36873</c:v>
                </c:pt>
                <c:pt idx="29">
                  <c:v>36902</c:v>
                </c:pt>
                <c:pt idx="30">
                  <c:v>36902</c:v>
                </c:pt>
                <c:pt idx="31">
                  <c:v>36929</c:v>
                </c:pt>
                <c:pt idx="32">
                  <c:v>36929</c:v>
                </c:pt>
                <c:pt idx="33">
                  <c:v>36962</c:v>
                </c:pt>
                <c:pt idx="34">
                  <c:v>36962</c:v>
                </c:pt>
                <c:pt idx="35">
                  <c:v>36998</c:v>
                </c:pt>
                <c:pt idx="36">
                  <c:v>36998</c:v>
                </c:pt>
                <c:pt idx="37">
                  <c:v>37025</c:v>
                </c:pt>
                <c:pt idx="38">
                  <c:v>37025</c:v>
                </c:pt>
                <c:pt idx="39">
                  <c:v>37054</c:v>
                </c:pt>
                <c:pt idx="40">
                  <c:v>37054</c:v>
                </c:pt>
                <c:pt idx="41">
                  <c:v>37090</c:v>
                </c:pt>
                <c:pt idx="42">
                  <c:v>37090</c:v>
                </c:pt>
                <c:pt idx="43">
                  <c:v>37117</c:v>
                </c:pt>
                <c:pt idx="44">
                  <c:v>37117</c:v>
                </c:pt>
                <c:pt idx="45">
                  <c:v>37145</c:v>
                </c:pt>
                <c:pt idx="46">
                  <c:v>37145</c:v>
                </c:pt>
                <c:pt idx="47">
                  <c:v>37182</c:v>
                </c:pt>
                <c:pt idx="48">
                  <c:v>37182</c:v>
                </c:pt>
                <c:pt idx="49">
                  <c:v>37202</c:v>
                </c:pt>
                <c:pt idx="50">
                  <c:v>37202</c:v>
                </c:pt>
                <c:pt idx="51">
                  <c:v>37230</c:v>
                </c:pt>
                <c:pt idx="52">
                  <c:v>37230</c:v>
                </c:pt>
                <c:pt idx="53">
                  <c:v>37272</c:v>
                </c:pt>
                <c:pt idx="54">
                  <c:v>37272</c:v>
                </c:pt>
                <c:pt idx="55">
                  <c:v>37301</c:v>
                </c:pt>
                <c:pt idx="56">
                  <c:v>37301</c:v>
                </c:pt>
                <c:pt idx="57">
                  <c:v>37336</c:v>
                </c:pt>
                <c:pt idx="58">
                  <c:v>37336</c:v>
                </c:pt>
                <c:pt idx="59">
                  <c:v>37363</c:v>
                </c:pt>
                <c:pt idx="60">
                  <c:v>37363</c:v>
                </c:pt>
                <c:pt idx="61">
                  <c:v>37391</c:v>
                </c:pt>
                <c:pt idx="62">
                  <c:v>37391</c:v>
                </c:pt>
                <c:pt idx="63">
                  <c:v>37420</c:v>
                </c:pt>
                <c:pt idx="64">
                  <c:v>37420</c:v>
                </c:pt>
                <c:pt idx="65">
                  <c:v>37453</c:v>
                </c:pt>
                <c:pt idx="66">
                  <c:v>37453</c:v>
                </c:pt>
                <c:pt idx="67">
                  <c:v>37481</c:v>
                </c:pt>
                <c:pt idx="68">
                  <c:v>37481</c:v>
                </c:pt>
                <c:pt idx="69">
                  <c:v>37518</c:v>
                </c:pt>
                <c:pt idx="70">
                  <c:v>37518</c:v>
                </c:pt>
                <c:pt idx="71">
                  <c:v>37546</c:v>
                </c:pt>
                <c:pt idx="72">
                  <c:v>37546</c:v>
                </c:pt>
                <c:pt idx="73">
                  <c:v>37574</c:v>
                </c:pt>
                <c:pt idx="74">
                  <c:v>37574</c:v>
                </c:pt>
                <c:pt idx="75">
                  <c:v>37608</c:v>
                </c:pt>
                <c:pt idx="76">
                  <c:v>37608</c:v>
                </c:pt>
                <c:pt idx="77">
                  <c:v>37636</c:v>
                </c:pt>
                <c:pt idx="78">
                  <c:v>37636</c:v>
                </c:pt>
                <c:pt idx="79">
                  <c:v>37663</c:v>
                </c:pt>
                <c:pt idx="80">
                  <c:v>37663</c:v>
                </c:pt>
                <c:pt idx="81">
                  <c:v>37691</c:v>
                </c:pt>
                <c:pt idx="82">
                  <c:v>37691</c:v>
                </c:pt>
                <c:pt idx="83">
                  <c:v>37727</c:v>
                </c:pt>
                <c:pt idx="84">
                  <c:v>37727</c:v>
                </c:pt>
                <c:pt idx="85">
                  <c:v>37756</c:v>
                </c:pt>
                <c:pt idx="86">
                  <c:v>37756</c:v>
                </c:pt>
                <c:pt idx="87">
                  <c:v>37790</c:v>
                </c:pt>
                <c:pt idx="88">
                  <c:v>37790</c:v>
                </c:pt>
                <c:pt idx="89">
                  <c:v>37818</c:v>
                </c:pt>
                <c:pt idx="90">
                  <c:v>37818</c:v>
                </c:pt>
                <c:pt idx="91">
                  <c:v>37846</c:v>
                </c:pt>
                <c:pt idx="92">
                  <c:v>37846</c:v>
                </c:pt>
                <c:pt idx="93">
                  <c:v>37886</c:v>
                </c:pt>
                <c:pt idx="94">
                  <c:v>37886</c:v>
                </c:pt>
                <c:pt idx="95">
                  <c:v>37910</c:v>
                </c:pt>
                <c:pt idx="96">
                  <c:v>37910</c:v>
                </c:pt>
                <c:pt idx="97">
                  <c:v>37942</c:v>
                </c:pt>
                <c:pt idx="98">
                  <c:v>37942</c:v>
                </c:pt>
                <c:pt idx="99">
                  <c:v>37971</c:v>
                </c:pt>
                <c:pt idx="100">
                  <c:v>37971</c:v>
                </c:pt>
                <c:pt idx="101">
                  <c:v>37998</c:v>
                </c:pt>
                <c:pt idx="102">
                  <c:v>37998</c:v>
                </c:pt>
                <c:pt idx="103">
                  <c:v>38026</c:v>
                </c:pt>
                <c:pt idx="104">
                  <c:v>38026</c:v>
                </c:pt>
                <c:pt idx="105">
                  <c:v>38061</c:v>
                </c:pt>
                <c:pt idx="106">
                  <c:v>38061</c:v>
                </c:pt>
                <c:pt idx="107">
                  <c:v>38093</c:v>
                </c:pt>
                <c:pt idx="108">
                  <c:v>38093</c:v>
                </c:pt>
                <c:pt idx="109">
                  <c:v>38117</c:v>
                </c:pt>
                <c:pt idx="110">
                  <c:v>38117</c:v>
                </c:pt>
                <c:pt idx="111">
                  <c:v>38160</c:v>
                </c:pt>
                <c:pt idx="112">
                  <c:v>38160</c:v>
                </c:pt>
                <c:pt idx="113">
                  <c:v>38182</c:v>
                </c:pt>
                <c:pt idx="114">
                  <c:v>38183</c:v>
                </c:pt>
                <c:pt idx="115">
                  <c:v>38218</c:v>
                </c:pt>
                <c:pt idx="116">
                  <c:v>38218</c:v>
                </c:pt>
                <c:pt idx="117">
                  <c:v>38246</c:v>
                </c:pt>
                <c:pt idx="118">
                  <c:v>38246</c:v>
                </c:pt>
                <c:pt idx="119">
                  <c:v>38274</c:v>
                </c:pt>
                <c:pt idx="120">
                  <c:v>38274</c:v>
                </c:pt>
                <c:pt idx="121">
                  <c:v>38309</c:v>
                </c:pt>
                <c:pt idx="122">
                  <c:v>38309</c:v>
                </c:pt>
                <c:pt idx="123">
                  <c:v>38337</c:v>
                </c:pt>
                <c:pt idx="124">
                  <c:v>38337</c:v>
                </c:pt>
                <c:pt idx="125">
                  <c:v>38364</c:v>
                </c:pt>
                <c:pt idx="126">
                  <c:v>38364</c:v>
                </c:pt>
                <c:pt idx="127">
                  <c:v>38398</c:v>
                </c:pt>
                <c:pt idx="128">
                  <c:v>38398</c:v>
                </c:pt>
                <c:pt idx="129">
                  <c:v>38427</c:v>
                </c:pt>
                <c:pt idx="130">
                  <c:v>38427</c:v>
                </c:pt>
                <c:pt idx="131">
                  <c:v>38470</c:v>
                </c:pt>
                <c:pt idx="132">
                  <c:v>38470</c:v>
                </c:pt>
                <c:pt idx="133">
                  <c:v>38488</c:v>
                </c:pt>
                <c:pt idx="134">
                  <c:v>38488</c:v>
                </c:pt>
                <c:pt idx="135">
                  <c:v>38525</c:v>
                </c:pt>
                <c:pt idx="136">
                  <c:v>38525</c:v>
                </c:pt>
                <c:pt idx="137">
                  <c:v>38546</c:v>
                </c:pt>
                <c:pt idx="138">
                  <c:v>38546</c:v>
                </c:pt>
                <c:pt idx="139">
                  <c:v>38594</c:v>
                </c:pt>
                <c:pt idx="140">
                  <c:v>38594</c:v>
                </c:pt>
                <c:pt idx="141">
                  <c:v>38609</c:v>
                </c:pt>
                <c:pt idx="142">
                  <c:v>38609</c:v>
                </c:pt>
                <c:pt idx="143">
                  <c:v>38643</c:v>
                </c:pt>
                <c:pt idx="144">
                  <c:v>38643</c:v>
                </c:pt>
                <c:pt idx="145">
                  <c:v>38670</c:v>
                </c:pt>
                <c:pt idx="146">
                  <c:v>38670</c:v>
                </c:pt>
                <c:pt idx="147">
                  <c:v>38706</c:v>
                </c:pt>
                <c:pt idx="148">
                  <c:v>38706</c:v>
                </c:pt>
                <c:pt idx="149">
                  <c:v>38737</c:v>
                </c:pt>
                <c:pt idx="150">
                  <c:v>38737</c:v>
                </c:pt>
                <c:pt idx="151">
                  <c:v>38763</c:v>
                </c:pt>
                <c:pt idx="152">
                  <c:v>38763</c:v>
                </c:pt>
                <c:pt idx="153">
                  <c:v>38792</c:v>
                </c:pt>
                <c:pt idx="154">
                  <c:v>38792</c:v>
                </c:pt>
                <c:pt idx="155">
                  <c:v>38826</c:v>
                </c:pt>
                <c:pt idx="156">
                  <c:v>38826</c:v>
                </c:pt>
                <c:pt idx="157">
                  <c:v>38853</c:v>
                </c:pt>
                <c:pt idx="158">
                  <c:v>38853</c:v>
                </c:pt>
                <c:pt idx="159">
                  <c:v>38884</c:v>
                </c:pt>
                <c:pt idx="160">
                  <c:v>38884</c:v>
                </c:pt>
                <c:pt idx="161">
                  <c:v>38915</c:v>
                </c:pt>
                <c:pt idx="162">
                  <c:v>38915</c:v>
                </c:pt>
                <c:pt idx="163">
                  <c:v>38952</c:v>
                </c:pt>
                <c:pt idx="164">
                  <c:v>38952</c:v>
                </c:pt>
                <c:pt idx="165">
                  <c:v>38975</c:v>
                </c:pt>
                <c:pt idx="166">
                  <c:v>38975</c:v>
                </c:pt>
                <c:pt idx="167">
                  <c:v>39006</c:v>
                </c:pt>
                <c:pt idx="168">
                  <c:v>39006</c:v>
                </c:pt>
                <c:pt idx="169">
                  <c:v>39041</c:v>
                </c:pt>
                <c:pt idx="170">
                  <c:v>39041</c:v>
                </c:pt>
                <c:pt idx="171">
                  <c:v>39062</c:v>
                </c:pt>
                <c:pt idx="172">
                  <c:v>39062</c:v>
                </c:pt>
                <c:pt idx="173">
                  <c:v>39100</c:v>
                </c:pt>
                <c:pt idx="174">
                  <c:v>39100</c:v>
                </c:pt>
                <c:pt idx="175">
                  <c:v>39135</c:v>
                </c:pt>
                <c:pt idx="176">
                  <c:v>39135</c:v>
                </c:pt>
                <c:pt idx="177">
                  <c:v>39153</c:v>
                </c:pt>
                <c:pt idx="178">
                  <c:v>39153</c:v>
                </c:pt>
                <c:pt idx="179">
                  <c:v>39191</c:v>
                </c:pt>
                <c:pt idx="180">
                  <c:v>39191</c:v>
                </c:pt>
                <c:pt idx="181">
                  <c:v>39216</c:v>
                </c:pt>
                <c:pt idx="182">
                  <c:v>39216</c:v>
                </c:pt>
                <c:pt idx="183">
                  <c:v>39248</c:v>
                </c:pt>
                <c:pt idx="184">
                  <c:v>39248</c:v>
                </c:pt>
                <c:pt idx="185">
                  <c:v>39279</c:v>
                </c:pt>
                <c:pt idx="186">
                  <c:v>39279</c:v>
                </c:pt>
                <c:pt idx="187">
                  <c:v>39308</c:v>
                </c:pt>
                <c:pt idx="188">
                  <c:v>39308</c:v>
                </c:pt>
                <c:pt idx="189">
                  <c:v>39335</c:v>
                </c:pt>
                <c:pt idx="190">
                  <c:v>39335</c:v>
                </c:pt>
                <c:pt idx="191">
                  <c:v>39370</c:v>
                </c:pt>
                <c:pt idx="192">
                  <c:v>39370</c:v>
                </c:pt>
                <c:pt idx="193">
                  <c:v>39400</c:v>
                </c:pt>
                <c:pt idx="194">
                  <c:v>39400</c:v>
                </c:pt>
                <c:pt idx="195">
                  <c:v>39434</c:v>
                </c:pt>
                <c:pt idx="196">
                  <c:v>39434</c:v>
                </c:pt>
                <c:pt idx="197">
                  <c:v>39463</c:v>
                </c:pt>
                <c:pt idx="198">
                  <c:v>39463</c:v>
                </c:pt>
                <c:pt idx="199">
                  <c:v>39493</c:v>
                </c:pt>
                <c:pt idx="200">
                  <c:v>39493</c:v>
                </c:pt>
                <c:pt idx="201">
                  <c:v>39517</c:v>
                </c:pt>
                <c:pt idx="202">
                  <c:v>39517</c:v>
                </c:pt>
                <c:pt idx="203">
                  <c:v>39552</c:v>
                </c:pt>
                <c:pt idx="204">
                  <c:v>39552</c:v>
                </c:pt>
                <c:pt idx="205">
                  <c:v>39583</c:v>
                </c:pt>
                <c:pt idx="206">
                  <c:v>39583</c:v>
                </c:pt>
                <c:pt idx="207">
                  <c:v>39617</c:v>
                </c:pt>
                <c:pt idx="208">
                  <c:v>39617</c:v>
                </c:pt>
                <c:pt idx="209">
                  <c:v>39645</c:v>
                </c:pt>
                <c:pt idx="210">
                  <c:v>39645</c:v>
                </c:pt>
                <c:pt idx="211">
                  <c:v>39672</c:v>
                </c:pt>
                <c:pt idx="212">
                  <c:v>39672</c:v>
                </c:pt>
                <c:pt idx="213">
                  <c:v>39709</c:v>
                </c:pt>
                <c:pt idx="214">
                  <c:v>39709</c:v>
                </c:pt>
                <c:pt idx="215">
                  <c:v>39735</c:v>
                </c:pt>
                <c:pt idx="216">
                  <c:v>39735</c:v>
                </c:pt>
                <c:pt idx="217">
                  <c:v>39769</c:v>
                </c:pt>
                <c:pt idx="218">
                  <c:v>39769</c:v>
                </c:pt>
                <c:pt idx="219">
                  <c:v>39797</c:v>
                </c:pt>
                <c:pt idx="220">
                  <c:v>39797</c:v>
                </c:pt>
                <c:pt idx="221">
                  <c:v>39826</c:v>
                </c:pt>
                <c:pt idx="222">
                  <c:v>39826</c:v>
                </c:pt>
                <c:pt idx="223">
                  <c:v>39861</c:v>
                </c:pt>
                <c:pt idx="224">
                  <c:v>39861</c:v>
                </c:pt>
                <c:pt idx="225">
                  <c:v>39888</c:v>
                </c:pt>
                <c:pt idx="226">
                  <c:v>39888</c:v>
                </c:pt>
                <c:pt idx="227">
                  <c:v>39916</c:v>
                </c:pt>
                <c:pt idx="228">
                  <c:v>39916</c:v>
                </c:pt>
                <c:pt idx="229">
                  <c:v>39946</c:v>
                </c:pt>
                <c:pt idx="230">
                  <c:v>39946</c:v>
                </c:pt>
                <c:pt idx="231">
                  <c:v>39983</c:v>
                </c:pt>
                <c:pt idx="232">
                  <c:v>39983</c:v>
                </c:pt>
                <c:pt idx="233">
                  <c:v>40007</c:v>
                </c:pt>
                <c:pt idx="234">
                  <c:v>40007</c:v>
                </c:pt>
                <c:pt idx="235">
                  <c:v>40042</c:v>
                </c:pt>
                <c:pt idx="236">
                  <c:v>40042</c:v>
                </c:pt>
                <c:pt idx="237">
                  <c:v>40071</c:v>
                </c:pt>
                <c:pt idx="238">
                  <c:v>40071</c:v>
                </c:pt>
                <c:pt idx="239">
                  <c:v>40100</c:v>
                </c:pt>
                <c:pt idx="240">
                  <c:v>40100</c:v>
                </c:pt>
                <c:pt idx="241">
                  <c:v>40133</c:v>
                </c:pt>
                <c:pt idx="242">
                  <c:v>40133</c:v>
                </c:pt>
                <c:pt idx="243">
                  <c:v>40161</c:v>
                </c:pt>
                <c:pt idx="244">
                  <c:v>40161</c:v>
                </c:pt>
                <c:pt idx="245">
                  <c:v>40197</c:v>
                </c:pt>
                <c:pt idx="246">
                  <c:v>40197</c:v>
                </c:pt>
                <c:pt idx="247">
                  <c:v>40225</c:v>
                </c:pt>
                <c:pt idx="248">
                  <c:v>40225</c:v>
                </c:pt>
                <c:pt idx="249">
                  <c:v>40255</c:v>
                </c:pt>
                <c:pt idx="250">
                  <c:v>40255</c:v>
                </c:pt>
                <c:pt idx="251">
                  <c:v>40281</c:v>
                </c:pt>
                <c:pt idx="252">
                  <c:v>40281</c:v>
                </c:pt>
                <c:pt idx="253">
                  <c:v>40317</c:v>
                </c:pt>
                <c:pt idx="254">
                  <c:v>40317</c:v>
                </c:pt>
                <c:pt idx="255">
                  <c:v>40345</c:v>
                </c:pt>
                <c:pt idx="256">
                  <c:v>40345</c:v>
                </c:pt>
                <c:pt idx="257">
                  <c:v>40373</c:v>
                </c:pt>
                <c:pt idx="258">
                  <c:v>40373</c:v>
                </c:pt>
                <c:pt idx="259">
                  <c:v>40409</c:v>
                </c:pt>
                <c:pt idx="260">
                  <c:v>40409</c:v>
                </c:pt>
                <c:pt idx="261">
                  <c:v>40434</c:v>
                </c:pt>
                <c:pt idx="262">
                  <c:v>40434</c:v>
                </c:pt>
                <c:pt idx="263">
                  <c:v>40463</c:v>
                </c:pt>
                <c:pt idx="264">
                  <c:v>40463</c:v>
                </c:pt>
                <c:pt idx="265">
                  <c:v>40500</c:v>
                </c:pt>
                <c:pt idx="266">
                  <c:v>40500</c:v>
                </c:pt>
                <c:pt idx="267">
                  <c:v>40521</c:v>
                </c:pt>
                <c:pt idx="268">
                  <c:v>40521</c:v>
                </c:pt>
                <c:pt idx="269">
                  <c:v>40563</c:v>
                </c:pt>
                <c:pt idx="270">
                  <c:v>40563</c:v>
                </c:pt>
                <c:pt idx="271">
                  <c:v>40598</c:v>
                </c:pt>
                <c:pt idx="272">
                  <c:v>40598</c:v>
                </c:pt>
                <c:pt idx="273">
                  <c:v>40617</c:v>
                </c:pt>
                <c:pt idx="274">
                  <c:v>40617</c:v>
                </c:pt>
                <c:pt idx="275">
                  <c:v>40647</c:v>
                </c:pt>
                <c:pt idx="276">
                  <c:v>40647</c:v>
                </c:pt>
                <c:pt idx="277">
                  <c:v>40682</c:v>
                </c:pt>
                <c:pt idx="278">
                  <c:v>40682</c:v>
                </c:pt>
                <c:pt idx="279">
                  <c:v>40709</c:v>
                </c:pt>
                <c:pt idx="280">
                  <c:v>40709</c:v>
                </c:pt>
                <c:pt idx="281">
                  <c:v>40736</c:v>
                </c:pt>
                <c:pt idx="282">
                  <c:v>40736</c:v>
                </c:pt>
                <c:pt idx="283">
                  <c:v>40772</c:v>
                </c:pt>
                <c:pt idx="284">
                  <c:v>40772</c:v>
                </c:pt>
                <c:pt idx="285">
                  <c:v>40798</c:v>
                </c:pt>
                <c:pt idx="286">
                  <c:v>40798</c:v>
                </c:pt>
                <c:pt idx="287">
                  <c:v>40829</c:v>
                </c:pt>
                <c:pt idx="288">
                  <c:v>40829</c:v>
                </c:pt>
                <c:pt idx="289">
                  <c:v>40877</c:v>
                </c:pt>
                <c:pt idx="290">
                  <c:v>40877</c:v>
                </c:pt>
                <c:pt idx="291">
                  <c:v>40891</c:v>
                </c:pt>
                <c:pt idx="292">
                  <c:v>40891</c:v>
                </c:pt>
                <c:pt idx="293">
                  <c:v>40919</c:v>
                </c:pt>
                <c:pt idx="294">
                  <c:v>40919</c:v>
                </c:pt>
                <c:pt idx="295">
                  <c:v>40960</c:v>
                </c:pt>
                <c:pt idx="296">
                  <c:v>40960</c:v>
                </c:pt>
                <c:pt idx="297">
                  <c:v>40982</c:v>
                </c:pt>
                <c:pt idx="298">
                  <c:v>40982</c:v>
                </c:pt>
                <c:pt idx="299">
                  <c:v>41016</c:v>
                </c:pt>
                <c:pt idx="300">
                  <c:v>41016</c:v>
                </c:pt>
                <c:pt idx="301">
                  <c:v>41051</c:v>
                </c:pt>
                <c:pt idx="302">
                  <c:v>41051</c:v>
                </c:pt>
                <c:pt idx="303">
                  <c:v>41080</c:v>
                </c:pt>
                <c:pt idx="304">
                  <c:v>41080</c:v>
                </c:pt>
                <c:pt idx="305">
                  <c:v>41106</c:v>
                </c:pt>
                <c:pt idx="306">
                  <c:v>41106</c:v>
                </c:pt>
                <c:pt idx="307">
                  <c:v>41137</c:v>
                </c:pt>
                <c:pt idx="308">
                  <c:v>41137</c:v>
                </c:pt>
                <c:pt idx="309">
                  <c:v>41163</c:v>
                </c:pt>
                <c:pt idx="310">
                  <c:v>41163</c:v>
                </c:pt>
                <c:pt idx="311">
                  <c:v>41199</c:v>
                </c:pt>
                <c:pt idx="312">
                  <c:v>41199</c:v>
                </c:pt>
                <c:pt idx="313">
                  <c:v>41225</c:v>
                </c:pt>
                <c:pt idx="314">
                  <c:v>41225</c:v>
                </c:pt>
                <c:pt idx="315">
                  <c:v>41255</c:v>
                </c:pt>
                <c:pt idx="316">
                  <c:v>41255</c:v>
                </c:pt>
                <c:pt idx="317">
                  <c:v>41297</c:v>
                </c:pt>
                <c:pt idx="318">
                  <c:v>41297</c:v>
                </c:pt>
                <c:pt idx="319">
                  <c:v>41319</c:v>
                </c:pt>
                <c:pt idx="320">
                  <c:v>41319</c:v>
                </c:pt>
                <c:pt idx="321">
                  <c:v>41346</c:v>
                </c:pt>
                <c:pt idx="322">
                  <c:v>41346</c:v>
                </c:pt>
                <c:pt idx="323">
                  <c:v>41380</c:v>
                </c:pt>
                <c:pt idx="324">
                  <c:v>41380</c:v>
                </c:pt>
                <c:pt idx="325">
                  <c:v>41380</c:v>
                </c:pt>
                <c:pt idx="326">
                  <c:v>41407</c:v>
                </c:pt>
                <c:pt idx="327">
                  <c:v>41407</c:v>
                </c:pt>
                <c:pt idx="328">
                  <c:v>41437</c:v>
                </c:pt>
                <c:pt idx="329">
                  <c:v>41437</c:v>
                </c:pt>
                <c:pt idx="330">
                  <c:v>41470</c:v>
                </c:pt>
                <c:pt idx="331">
                  <c:v>41470</c:v>
                </c:pt>
                <c:pt idx="332">
                  <c:v>41498</c:v>
                </c:pt>
                <c:pt idx="333">
                  <c:v>41498</c:v>
                </c:pt>
                <c:pt idx="334">
                  <c:v>41535</c:v>
                </c:pt>
                <c:pt idx="335">
                  <c:v>41535</c:v>
                </c:pt>
                <c:pt idx="336">
                  <c:v>406810</c:v>
                </c:pt>
                <c:pt idx="337">
                  <c:v>406810</c:v>
                </c:pt>
                <c:pt idx="338">
                  <c:v>41599</c:v>
                </c:pt>
                <c:pt idx="339">
                  <c:v>41599</c:v>
                </c:pt>
                <c:pt idx="340">
                  <c:v>41627</c:v>
                </c:pt>
                <c:pt idx="341">
                  <c:v>41627</c:v>
                </c:pt>
                <c:pt idx="342">
                  <c:v>41655</c:v>
                </c:pt>
                <c:pt idx="343">
                  <c:v>41655</c:v>
                </c:pt>
                <c:pt idx="344">
                  <c:v>41690</c:v>
                </c:pt>
                <c:pt idx="345">
                  <c:v>41690</c:v>
                </c:pt>
                <c:pt idx="346">
                  <c:v>41718</c:v>
                </c:pt>
                <c:pt idx="347">
                  <c:v>41718</c:v>
                </c:pt>
                <c:pt idx="348">
                  <c:v>41750</c:v>
                </c:pt>
                <c:pt idx="349">
                  <c:v>41750</c:v>
                </c:pt>
                <c:pt idx="350">
                  <c:v>41406</c:v>
                </c:pt>
                <c:pt idx="351">
                  <c:v>41406</c:v>
                </c:pt>
                <c:pt idx="352">
                  <c:v>41807</c:v>
                </c:pt>
                <c:pt idx="353">
                  <c:v>41807</c:v>
                </c:pt>
                <c:pt idx="354">
                  <c:v>41837</c:v>
                </c:pt>
                <c:pt idx="355">
                  <c:v>41837</c:v>
                </c:pt>
                <c:pt idx="356">
                  <c:v>41862</c:v>
                </c:pt>
                <c:pt idx="357">
                  <c:v>41862</c:v>
                </c:pt>
                <c:pt idx="358">
                  <c:v>41897</c:v>
                </c:pt>
                <c:pt idx="359">
                  <c:v>41897</c:v>
                </c:pt>
                <c:pt idx="360">
                  <c:v>41928</c:v>
                </c:pt>
                <c:pt idx="361">
                  <c:v>41928</c:v>
                </c:pt>
                <c:pt idx="362">
                  <c:v>41955</c:v>
                </c:pt>
                <c:pt idx="363">
                  <c:v>41955</c:v>
                </c:pt>
                <c:pt idx="364">
                  <c:v>41992</c:v>
                </c:pt>
                <c:pt idx="365">
                  <c:v>41992</c:v>
                </c:pt>
                <c:pt idx="366">
                  <c:v>42014</c:v>
                </c:pt>
                <c:pt idx="367">
                  <c:v>42009</c:v>
                </c:pt>
                <c:pt idx="368">
                  <c:v>42036</c:v>
                </c:pt>
                <c:pt idx="369">
                  <c:v>42036</c:v>
                </c:pt>
                <c:pt idx="370">
                  <c:v>42064</c:v>
                </c:pt>
                <c:pt idx="371">
                  <c:v>42064</c:v>
                </c:pt>
                <c:pt idx="372">
                  <c:v>42095</c:v>
                </c:pt>
                <c:pt idx="373">
                  <c:v>42095</c:v>
                </c:pt>
                <c:pt idx="374">
                  <c:v>42125</c:v>
                </c:pt>
                <c:pt idx="375">
                  <c:v>42125</c:v>
                </c:pt>
                <c:pt idx="376">
                  <c:v>42156</c:v>
                </c:pt>
                <c:pt idx="377">
                  <c:v>42156</c:v>
                </c:pt>
                <c:pt idx="378">
                  <c:v>42186</c:v>
                </c:pt>
                <c:pt idx="379">
                  <c:v>42186</c:v>
                </c:pt>
                <c:pt idx="380">
                  <c:v>42217</c:v>
                </c:pt>
                <c:pt idx="381">
                  <c:v>42217</c:v>
                </c:pt>
                <c:pt idx="382">
                  <c:v>42248</c:v>
                </c:pt>
                <c:pt idx="383">
                  <c:v>42248</c:v>
                </c:pt>
                <c:pt idx="384">
                  <c:v>42278</c:v>
                </c:pt>
                <c:pt idx="385">
                  <c:v>42278</c:v>
                </c:pt>
                <c:pt idx="386">
                  <c:v>42309</c:v>
                </c:pt>
                <c:pt idx="387">
                  <c:v>42309</c:v>
                </c:pt>
                <c:pt idx="388">
                  <c:v>42339</c:v>
                </c:pt>
                <c:pt idx="389">
                  <c:v>42339</c:v>
                </c:pt>
                <c:pt idx="390">
                  <c:v>42379</c:v>
                </c:pt>
                <c:pt idx="391">
                  <c:v>42374</c:v>
                </c:pt>
                <c:pt idx="392">
                  <c:v>42401</c:v>
                </c:pt>
                <c:pt idx="393">
                  <c:v>42401</c:v>
                </c:pt>
                <c:pt idx="394">
                  <c:v>42430</c:v>
                </c:pt>
                <c:pt idx="395">
                  <c:v>42430</c:v>
                </c:pt>
                <c:pt idx="396">
                  <c:v>42461</c:v>
                </c:pt>
                <c:pt idx="397">
                  <c:v>42461</c:v>
                </c:pt>
                <c:pt idx="398">
                  <c:v>42491</c:v>
                </c:pt>
                <c:pt idx="399">
                  <c:v>42491</c:v>
                </c:pt>
                <c:pt idx="400">
                  <c:v>42522</c:v>
                </c:pt>
                <c:pt idx="401">
                  <c:v>42522</c:v>
                </c:pt>
                <c:pt idx="402">
                  <c:v>42552</c:v>
                </c:pt>
                <c:pt idx="403">
                  <c:v>42552</c:v>
                </c:pt>
                <c:pt idx="404">
                  <c:v>42583</c:v>
                </c:pt>
                <c:pt idx="405">
                  <c:v>42583</c:v>
                </c:pt>
                <c:pt idx="406">
                  <c:v>42614</c:v>
                </c:pt>
                <c:pt idx="407">
                  <c:v>42614</c:v>
                </c:pt>
                <c:pt idx="408">
                  <c:v>42644</c:v>
                </c:pt>
                <c:pt idx="409">
                  <c:v>42644</c:v>
                </c:pt>
                <c:pt idx="410">
                  <c:v>42675</c:v>
                </c:pt>
                <c:pt idx="411">
                  <c:v>42675</c:v>
                </c:pt>
                <c:pt idx="412">
                  <c:v>42705</c:v>
                </c:pt>
                <c:pt idx="413">
                  <c:v>42705</c:v>
                </c:pt>
                <c:pt idx="414">
                  <c:v>42745</c:v>
                </c:pt>
                <c:pt idx="415">
                  <c:v>42740</c:v>
                </c:pt>
                <c:pt idx="416">
                  <c:v>42767</c:v>
                </c:pt>
                <c:pt idx="417">
                  <c:v>42767</c:v>
                </c:pt>
                <c:pt idx="418">
                  <c:v>42795</c:v>
                </c:pt>
                <c:pt idx="419">
                  <c:v>42795</c:v>
                </c:pt>
                <c:pt idx="420">
                  <c:v>42826</c:v>
                </c:pt>
                <c:pt idx="421">
                  <c:v>42826</c:v>
                </c:pt>
                <c:pt idx="422">
                  <c:v>42856</c:v>
                </c:pt>
                <c:pt idx="423">
                  <c:v>42856</c:v>
                </c:pt>
                <c:pt idx="424">
                  <c:v>42887</c:v>
                </c:pt>
                <c:pt idx="425">
                  <c:v>42887</c:v>
                </c:pt>
                <c:pt idx="426">
                  <c:v>42917</c:v>
                </c:pt>
                <c:pt idx="427">
                  <c:v>42917</c:v>
                </c:pt>
                <c:pt idx="428">
                  <c:v>42948</c:v>
                </c:pt>
                <c:pt idx="429">
                  <c:v>42948</c:v>
                </c:pt>
                <c:pt idx="430">
                  <c:v>42979</c:v>
                </c:pt>
                <c:pt idx="431">
                  <c:v>42979</c:v>
                </c:pt>
                <c:pt idx="432">
                  <c:v>43009</c:v>
                </c:pt>
                <c:pt idx="433">
                  <c:v>43009</c:v>
                </c:pt>
                <c:pt idx="434">
                  <c:v>43040</c:v>
                </c:pt>
                <c:pt idx="435">
                  <c:v>43040</c:v>
                </c:pt>
                <c:pt idx="436">
                  <c:v>43070</c:v>
                </c:pt>
                <c:pt idx="437">
                  <c:v>43070</c:v>
                </c:pt>
                <c:pt idx="438">
                  <c:v>43110</c:v>
                </c:pt>
                <c:pt idx="439">
                  <c:v>43105</c:v>
                </c:pt>
                <c:pt idx="440">
                  <c:v>43132</c:v>
                </c:pt>
                <c:pt idx="441">
                  <c:v>43132</c:v>
                </c:pt>
                <c:pt idx="442">
                  <c:v>43160</c:v>
                </c:pt>
                <c:pt idx="443">
                  <c:v>43160</c:v>
                </c:pt>
                <c:pt idx="444">
                  <c:v>43191</c:v>
                </c:pt>
                <c:pt idx="445">
                  <c:v>43191</c:v>
                </c:pt>
                <c:pt idx="446">
                  <c:v>43221</c:v>
                </c:pt>
                <c:pt idx="447">
                  <c:v>43221</c:v>
                </c:pt>
                <c:pt idx="448">
                  <c:v>43252</c:v>
                </c:pt>
                <c:pt idx="449">
                  <c:v>43252</c:v>
                </c:pt>
                <c:pt idx="450">
                  <c:v>43282</c:v>
                </c:pt>
                <c:pt idx="451">
                  <c:v>43282</c:v>
                </c:pt>
                <c:pt idx="452">
                  <c:v>43313</c:v>
                </c:pt>
                <c:pt idx="453">
                  <c:v>43313</c:v>
                </c:pt>
                <c:pt idx="454">
                  <c:v>43344</c:v>
                </c:pt>
                <c:pt idx="455">
                  <c:v>43344</c:v>
                </c:pt>
                <c:pt idx="456">
                  <c:v>43374</c:v>
                </c:pt>
                <c:pt idx="457">
                  <c:v>43374</c:v>
                </c:pt>
                <c:pt idx="458">
                  <c:v>43405</c:v>
                </c:pt>
                <c:pt idx="459">
                  <c:v>43405</c:v>
                </c:pt>
                <c:pt idx="460">
                  <c:v>43435</c:v>
                </c:pt>
                <c:pt idx="461">
                  <c:v>43435</c:v>
                </c:pt>
                <c:pt idx="462">
                  <c:v>43475</c:v>
                </c:pt>
                <c:pt idx="463">
                  <c:v>43470</c:v>
                </c:pt>
                <c:pt idx="464">
                  <c:v>43497</c:v>
                </c:pt>
                <c:pt idx="465">
                  <c:v>43497</c:v>
                </c:pt>
                <c:pt idx="466">
                  <c:v>43525</c:v>
                </c:pt>
                <c:pt idx="467">
                  <c:v>43525</c:v>
                </c:pt>
                <c:pt idx="468">
                  <c:v>43556</c:v>
                </c:pt>
                <c:pt idx="469">
                  <c:v>43556</c:v>
                </c:pt>
                <c:pt idx="470">
                  <c:v>43586</c:v>
                </c:pt>
                <c:pt idx="471">
                  <c:v>43586</c:v>
                </c:pt>
                <c:pt idx="472">
                  <c:v>43617</c:v>
                </c:pt>
                <c:pt idx="473">
                  <c:v>43617</c:v>
                </c:pt>
                <c:pt idx="474">
                  <c:v>43647</c:v>
                </c:pt>
                <c:pt idx="475">
                  <c:v>43647</c:v>
                </c:pt>
                <c:pt idx="476">
                  <c:v>43678</c:v>
                </c:pt>
                <c:pt idx="477">
                  <c:v>43678</c:v>
                </c:pt>
                <c:pt idx="478">
                  <c:v>43709</c:v>
                </c:pt>
                <c:pt idx="479">
                  <c:v>43709</c:v>
                </c:pt>
                <c:pt idx="480">
                  <c:v>43739</c:v>
                </c:pt>
                <c:pt idx="481">
                  <c:v>43739</c:v>
                </c:pt>
                <c:pt idx="482">
                  <c:v>43770</c:v>
                </c:pt>
                <c:pt idx="483">
                  <c:v>43770</c:v>
                </c:pt>
                <c:pt idx="484">
                  <c:v>43800</c:v>
                </c:pt>
                <c:pt idx="485">
                  <c:v>43800</c:v>
                </c:pt>
              </c:numCache>
            </c:numRef>
          </c:xVal>
          <c:yVal>
            <c:numRef>
              <c:f>'Zea update'!$N$4:$N$489</c:f>
              <c:numCache>
                <c:formatCode>General</c:formatCode>
                <c:ptCount val="486"/>
                <c:pt idx="0">
                  <c:v>-0.99641990985860229</c:v>
                </c:pt>
                <c:pt idx="2">
                  <c:v>-1.9928398197172046</c:v>
                </c:pt>
                <c:pt idx="4">
                  <c:v>-2.989259729575807</c:v>
                </c:pt>
                <c:pt idx="6">
                  <c:v>-3.0060530869179498</c:v>
                </c:pt>
                <c:pt idx="8">
                  <c:v>-3.2752789260219144</c:v>
                </c:pt>
                <c:pt idx="10">
                  <c:v>-3.331898153419611</c:v>
                </c:pt>
                <c:pt idx="12">
                  <c:v>-3.9791889711804793</c:v>
                </c:pt>
                <c:pt idx="14">
                  <c:v>-4.6431046821260802</c:v>
                </c:pt>
                <c:pt idx="16">
                  <c:v>-4.4472070091732894</c:v>
                </c:pt>
                <c:pt idx="18">
                  <c:v>-4.8968509049637419</c:v>
                </c:pt>
                <c:pt idx="20">
                  <c:v>-1.6215489569103863</c:v>
                </c:pt>
                <c:pt idx="22">
                  <c:v>-1.5454275181235666</c:v>
                </c:pt>
                <c:pt idx="24">
                  <c:v>-2.541847427982169</c:v>
                </c:pt>
                <c:pt idx="26">
                  <c:v>-3.5382673378407712</c:v>
                </c:pt>
                <c:pt idx="28">
                  <c:v>-4.1509095551586936</c:v>
                </c:pt>
                <c:pt idx="30">
                  <c:v>-4.2204196663426439</c:v>
                </c:pt>
                <c:pt idx="32">
                  <c:v>-4.3111194900597445</c:v>
                </c:pt>
                <c:pt idx="34">
                  <c:v>-4.7077337264787475</c:v>
                </c:pt>
                <c:pt idx="36">
                  <c:v>-5.7041536363373497</c:v>
                </c:pt>
                <c:pt idx="38">
                  <c:v>-6.7005735461959519</c:v>
                </c:pt>
                <c:pt idx="40">
                  <c:v>-6.1243611756292315</c:v>
                </c:pt>
                <c:pt idx="42">
                  <c:v>-2.6578533840973897</c:v>
                </c:pt>
                <c:pt idx="44">
                  <c:v>-0.6240568163260134</c:v>
                </c:pt>
                <c:pt idx="46">
                  <c:v>-0.33238915955466286</c:v>
                </c:pt>
                <c:pt idx="48">
                  <c:v>-0.79737965465149752</c:v>
                </c:pt>
                <c:pt idx="50">
                  <c:v>-1.7937995645100999</c:v>
                </c:pt>
                <c:pt idx="52">
                  <c:v>-2.144026323258104</c:v>
                </c:pt>
                <c:pt idx="54">
                  <c:v>-2.6166227234352464</c:v>
                </c:pt>
                <c:pt idx="56">
                  <c:v>-1.71784188973674</c:v>
                </c:pt>
                <c:pt idx="58">
                  <c:v>-2.2928264060990102</c:v>
                </c:pt>
                <c:pt idx="60">
                  <c:v>-2.6253316267896518</c:v>
                </c:pt>
                <c:pt idx="72">
                  <c:v>-3.2085158509507412</c:v>
                </c:pt>
                <c:pt idx="74">
                  <c:v>-3.6955362315967797</c:v>
                </c:pt>
                <c:pt idx="76">
                  <c:v>-4.3031473919231233</c:v>
                </c:pt>
                <c:pt idx="78">
                  <c:v>-4.6501167243275692</c:v>
                </c:pt>
                <c:pt idx="80">
                  <c:v>-5.1805722277427062</c:v>
                </c:pt>
                <c:pt idx="82">
                  <c:v>-5.6105793864303246</c:v>
                </c:pt>
                <c:pt idx="84">
                  <c:v>-6.1271934895299562</c:v>
                </c:pt>
                <c:pt idx="86">
                  <c:v>-6.1651348307296994</c:v>
                </c:pt>
                <c:pt idx="88">
                  <c:v>-6.1979159342263053</c:v>
                </c:pt>
                <c:pt idx="90">
                  <c:v>-4.3939996056284398</c:v>
                </c:pt>
                <c:pt idx="92">
                  <c:v>-2.7811873972061045</c:v>
                </c:pt>
                <c:pt idx="94">
                  <c:v>-2.8805116315720865</c:v>
                </c:pt>
                <c:pt idx="96">
                  <c:v>-3.1672827723866899</c:v>
                </c:pt>
                <c:pt idx="98">
                  <c:v>-3.0761944012770708</c:v>
                </c:pt>
                <c:pt idx="100">
                  <c:v>-3.5696719019988477</c:v>
                </c:pt>
                <c:pt idx="102">
                  <c:v>-4.3342635308573207</c:v>
                </c:pt>
                <c:pt idx="104">
                  <c:v>-5.0780255777755228</c:v>
                </c:pt>
                <c:pt idx="106">
                  <c:v>-5.4855659594027228</c:v>
                </c:pt>
                <c:pt idx="108">
                  <c:v>-5.3642228072486997</c:v>
                </c:pt>
                <c:pt idx="110">
                  <c:v>-5.8839516857632361</c:v>
                </c:pt>
                <c:pt idx="112">
                  <c:v>-3.9309287577472936</c:v>
                </c:pt>
                <c:pt idx="114">
                  <c:v>-0.74323729159230822</c:v>
                </c:pt>
                <c:pt idx="116">
                  <c:v>0.20324197581347803</c:v>
                </c:pt>
                <c:pt idx="118">
                  <c:v>1.3262834460965212</c:v>
                </c:pt>
                <c:pt idx="120">
                  <c:v>1.1448152195039067</c:v>
                </c:pt>
                <c:pt idx="122">
                  <c:v>0.38763740433502136</c:v>
                </c:pt>
                <c:pt idx="124">
                  <c:v>0.14969799082530122</c:v>
                </c:pt>
                <c:pt idx="126">
                  <c:v>-0.54866624785188345</c:v>
                </c:pt>
                <c:pt idx="128">
                  <c:v>-1.058775072227172</c:v>
                </c:pt>
                <c:pt idx="130">
                  <c:v>-1.3885789814295091</c:v>
                </c:pt>
                <c:pt idx="132">
                  <c:v>-1.5694643315958841</c:v>
                </c:pt>
                <c:pt idx="134">
                  <c:v>-2.2397402776558892</c:v>
                </c:pt>
                <c:pt idx="136">
                  <c:v>-0.66349269958998391</c:v>
                </c:pt>
                <c:pt idx="138">
                  <c:v>2.4175730072188046</c:v>
                </c:pt>
                <c:pt idx="140">
                  <c:v>7.7678148379376655</c:v>
                </c:pt>
                <c:pt idx="142">
                  <c:v>9.8783419648937176</c:v>
                </c:pt>
                <c:pt idx="144">
                  <c:v>9.7138571181455458</c:v>
                </c:pt>
                <c:pt idx="146">
                  <c:v>8.8944305566405966</c:v>
                </c:pt>
                <c:pt idx="148">
                  <c:v>8.1216924211442425</c:v>
                </c:pt>
                <c:pt idx="150">
                  <c:v>7.8745683183803683</c:v>
                </c:pt>
                <c:pt idx="152">
                  <c:v>7.6674930469879659</c:v>
                </c:pt>
                <c:pt idx="154">
                  <c:v>7.9961134089546917</c:v>
                </c:pt>
                <c:pt idx="156">
                  <c:v>8.6443995918765051</c:v>
                </c:pt>
                <c:pt idx="158">
                  <c:v>8.3678991372195775</c:v>
                </c:pt>
                <c:pt idx="160">
                  <c:v>9.9921662896223165</c:v>
                </c:pt>
                <c:pt idx="162">
                  <c:v>13.758680025588571</c:v>
                </c:pt>
                <c:pt idx="164">
                  <c:v>16.812086640917958</c:v>
                </c:pt>
                <c:pt idx="166">
                  <c:v>16.641015757827851</c:v>
                </c:pt>
                <c:pt idx="168">
                  <c:v>16.47349039396186</c:v>
                </c:pt>
                <c:pt idx="170">
                  <c:v>16.363474376643492</c:v>
                </c:pt>
                <c:pt idx="172">
                  <c:v>17.736532802204113</c:v>
                </c:pt>
                <c:pt idx="174">
                  <c:v>17.340884638421379</c:v>
                </c:pt>
                <c:pt idx="176">
                  <c:v>16.616888748671247</c:v>
                </c:pt>
                <c:pt idx="178">
                  <c:v>16.703361713532633</c:v>
                </c:pt>
                <c:pt idx="180">
                  <c:v>15.865141795858662</c:v>
                </c:pt>
                <c:pt idx="182">
                  <c:v>15.638066671660882</c:v>
                </c:pt>
                <c:pt idx="184">
                  <c:v>15.046787196910632</c:v>
                </c:pt>
                <c:pt idx="186">
                  <c:v>15.569344765540924</c:v>
                </c:pt>
                <c:pt idx="188">
                  <c:v>16.129355972418143</c:v>
                </c:pt>
                <c:pt idx="190">
                  <c:v>17.471742930411772</c:v>
                </c:pt>
                <c:pt idx="192">
                  <c:v>18.332778513485998</c:v>
                </c:pt>
                <c:pt idx="194">
                  <c:v>17.574313322437174</c:v>
                </c:pt>
                <c:pt idx="196">
                  <c:v>17.297069449006006</c:v>
                </c:pt>
                <c:pt idx="198">
                  <c:v>17.8871634428289</c:v>
                </c:pt>
                <c:pt idx="200">
                  <c:v>17.506487339412384</c:v>
                </c:pt>
                <c:pt idx="202">
                  <c:v>17.404045547305813</c:v>
                </c:pt>
                <c:pt idx="204">
                  <c:v>17.052412570064288</c:v>
                </c:pt>
                <c:pt idx="206">
                  <c:v>16.449456870899326</c:v>
                </c:pt>
                <c:pt idx="208">
                  <c:v>16.944475399910552</c:v>
                </c:pt>
                <c:pt idx="210">
                  <c:v>16.80694064459805</c:v>
                </c:pt>
                <c:pt idx="212">
                  <c:v>17.833357700634682</c:v>
                </c:pt>
                <c:pt idx="214">
                  <c:v>18.021896027376801</c:v>
                </c:pt>
                <c:pt idx="216">
                  <c:v>18.977471607000798</c:v>
                </c:pt>
                <c:pt idx="218">
                  <c:v>18.524212097491894</c:v>
                </c:pt>
                <c:pt idx="220">
                  <c:v>18.541744752703046</c:v>
                </c:pt>
                <c:pt idx="222">
                  <c:v>17.584881559418225</c:v>
                </c:pt>
                <c:pt idx="224">
                  <c:v>17.36171281167773</c:v>
                </c:pt>
                <c:pt idx="226">
                  <c:v>16.673978643223013</c:v>
                </c:pt>
                <c:pt idx="228">
                  <c:v>16.712602551591562</c:v>
                </c:pt>
                <c:pt idx="230">
                  <c:v>16.044163564756623</c:v>
                </c:pt>
                <c:pt idx="232">
                  <c:v>15.974839418094724</c:v>
                </c:pt>
                <c:pt idx="234">
                  <c:v>15.671741953573008</c:v>
                </c:pt>
                <c:pt idx="236">
                  <c:v>16.873614469845005</c:v>
                </c:pt>
                <c:pt idx="238">
                  <c:v>16.734332550762339</c:v>
                </c:pt>
                <c:pt idx="240">
                  <c:v>15.836180283421742</c:v>
                </c:pt>
                <c:pt idx="242">
                  <c:v>15.856957594879034</c:v>
                </c:pt>
                <c:pt idx="244">
                  <c:v>15.471842826066776</c:v>
                </c:pt>
                <c:pt idx="246">
                  <c:v>14.701150380570676</c:v>
                </c:pt>
                <c:pt idx="248">
                  <c:v>14.417429065239162</c:v>
                </c:pt>
                <c:pt idx="250">
                  <c:v>15.154357126079251</c:v>
                </c:pt>
                <c:pt idx="252">
                  <c:v>14.515156569379581</c:v>
                </c:pt>
                <c:pt idx="254">
                  <c:v>14.252306120263848</c:v>
                </c:pt>
                <c:pt idx="256">
                  <c:v>14.606006119183341</c:v>
                </c:pt>
                <c:pt idx="258">
                  <c:v>14.59773698049028</c:v>
                </c:pt>
                <c:pt idx="260">
                  <c:v>16.096595603715176</c:v>
                </c:pt>
                <c:pt idx="262">
                  <c:v>15.971931359364403</c:v>
                </c:pt>
                <c:pt idx="264">
                  <c:v>14.975511449505801</c:v>
                </c:pt>
                <c:pt idx="266">
                  <c:v>13.979091539647198</c:v>
                </c:pt>
                <c:pt idx="268">
                  <c:v>15.916245820490133</c:v>
                </c:pt>
                <c:pt idx="270">
                  <c:v>15.429567974215811</c:v>
                </c:pt>
                <c:pt idx="272">
                  <c:v>14.751253847315336</c:v>
                </c:pt>
                <c:pt idx="274">
                  <c:v>14.230532924383706</c:v>
                </c:pt>
                <c:pt idx="276">
                  <c:v>13.427340337506022</c:v>
                </c:pt>
                <c:pt idx="278">
                  <c:v>12.631321685327347</c:v>
                </c:pt>
                <c:pt idx="280">
                  <c:v>14.41092062490587</c:v>
                </c:pt>
                <c:pt idx="282">
                  <c:v>15.723233892871511</c:v>
                </c:pt>
                <c:pt idx="284">
                  <c:v>17.430315752815567</c:v>
                </c:pt>
                <c:pt idx="286">
                  <c:v>19.866473992118564</c:v>
                </c:pt>
                <c:pt idx="288">
                  <c:v>21.264463434607631</c:v>
                </c:pt>
                <c:pt idx="290">
                  <c:v>20.268043524749029</c:v>
                </c:pt>
                <c:pt idx="292">
                  <c:v>19.271623614890427</c:v>
                </c:pt>
                <c:pt idx="294">
                  <c:v>18.973599338805993</c:v>
                </c:pt>
                <c:pt idx="296">
                  <c:v>19.177329776458077</c:v>
                </c:pt>
                <c:pt idx="298">
                  <c:v>19.577003417162658</c:v>
                </c:pt>
                <c:pt idx="300">
                  <c:v>20.204447218026512</c:v>
                </c:pt>
                <c:pt idx="302">
                  <c:v>19.754055710563851</c:v>
                </c:pt>
                <c:pt idx="304">
                  <c:v>20.703042078694935</c:v>
                </c:pt>
                <c:pt idx="306">
                  <c:v>21.017996494963551</c:v>
                </c:pt>
                <c:pt idx="308">
                  <c:v>22.544572815809747</c:v>
                </c:pt>
                <c:pt idx="310">
                  <c:v>22.553690350149424</c:v>
                </c:pt>
                <c:pt idx="312">
                  <c:v>21.557270440290822</c:v>
                </c:pt>
                <c:pt idx="314">
                  <c:v>21.037436274808794</c:v>
                </c:pt>
                <c:pt idx="316">
                  <c:v>20.041016364950192</c:v>
                </c:pt>
                <c:pt idx="318">
                  <c:v>19.93062899335834</c:v>
                </c:pt>
                <c:pt idx="320">
                  <c:v>18.934209083499738</c:v>
                </c:pt>
                <c:pt idx="322">
                  <c:v>18.638311801029349</c:v>
                </c:pt>
                <c:pt idx="325">
                  <c:v>18.433466599031775</c:v>
                </c:pt>
                <c:pt idx="327">
                  <c:v>18.333476439466914</c:v>
                </c:pt>
                <c:pt idx="329">
                  <c:v>17.981847970937643</c:v>
                </c:pt>
                <c:pt idx="331">
                  <c:v>18.928158847572483</c:v>
                </c:pt>
                <c:pt idx="333">
                  <c:v>20.434433653761413</c:v>
                </c:pt>
                <c:pt idx="335">
                  <c:v>21.432854270652559</c:v>
                </c:pt>
                <c:pt idx="337">
                  <c:v>20.436434360793957</c:v>
                </c:pt>
                <c:pt idx="339">
                  <c:v>19.440014450935355</c:v>
                </c:pt>
                <c:pt idx="341">
                  <c:v>18.443594541076752</c:v>
                </c:pt>
                <c:pt idx="343">
                  <c:v>17.44717463121815</c:v>
                </c:pt>
                <c:pt idx="345">
                  <c:v>17.296035350132371</c:v>
                </c:pt>
                <c:pt idx="347">
                  <c:v>17.062733818456667</c:v>
                </c:pt>
                <c:pt idx="349">
                  <c:v>16.649675489031299</c:v>
                </c:pt>
                <c:pt idx="351">
                  <c:v>16.246175729797013</c:v>
                </c:pt>
                <c:pt idx="353">
                  <c:v>16.2817890766066</c:v>
                </c:pt>
                <c:pt idx="355">
                  <c:v>17.383134375783463</c:v>
                </c:pt>
                <c:pt idx="357">
                  <c:v>17.292782015315733</c:v>
                </c:pt>
                <c:pt idx="359">
                  <c:v>17.354924329663628</c:v>
                </c:pt>
                <c:pt idx="361">
                  <c:v>19.693226906657795</c:v>
                </c:pt>
                <c:pt idx="363">
                  <c:v>18.696806996799193</c:v>
                </c:pt>
                <c:pt idx="365">
                  <c:v>17.700387086940591</c:v>
                </c:pt>
                <c:pt idx="367">
                  <c:v>17.020708639457354</c:v>
                </c:pt>
                <c:pt idx="371">
                  <c:v>16.695911054727006</c:v>
                </c:pt>
                <c:pt idx="373">
                  <c:v>16.302571621129694</c:v>
                </c:pt>
                <c:pt idx="375">
                  <c:v>15.893176800477173</c:v>
                </c:pt>
                <c:pt idx="377">
                  <c:v>16.929591101935742</c:v>
                </c:pt>
                <c:pt idx="379">
                  <c:v>17.112721928612547</c:v>
                </c:pt>
                <c:pt idx="381">
                  <c:v>17.53425247505756</c:v>
                </c:pt>
                <c:pt idx="383">
                  <c:v>17.895771383590862</c:v>
                </c:pt>
                <c:pt idx="385">
                  <c:v>17.310424071876316</c:v>
                </c:pt>
                <c:pt idx="387">
                  <c:v>16.541763578069638</c:v>
                </c:pt>
                <c:pt idx="389">
                  <c:v>15.857452677010006</c:v>
                </c:pt>
                <c:pt idx="391">
                  <c:v>15.034082681139335</c:v>
                </c:pt>
                <c:pt idx="393">
                  <c:v>14.362837244291889</c:v>
                </c:pt>
                <c:pt idx="395">
                  <c:v>13.898100373958354</c:v>
                </c:pt>
                <c:pt idx="397">
                  <c:v>13.088230725987451</c:v>
                </c:pt>
                <c:pt idx="399">
                  <c:v>12.813217208618621</c:v>
                </c:pt>
                <c:pt idx="401">
                  <c:v>13.404150627787377</c:v>
                </c:pt>
                <c:pt idx="403">
                  <c:v>13.349817390015833</c:v>
                </c:pt>
                <c:pt idx="405">
                  <c:v>13.382245864864693</c:v>
                </c:pt>
                <c:pt idx="407">
                  <c:v>13.121281322290947</c:v>
                </c:pt>
                <c:pt idx="409">
                  <c:v>12.36231841338679</c:v>
                </c:pt>
                <c:pt idx="411">
                  <c:v>11.792755476533365</c:v>
                </c:pt>
                <c:pt idx="413">
                  <c:v>11.205754424481459</c:v>
                </c:pt>
                <c:pt idx="419">
                  <c:v>10.652767172455036</c:v>
                </c:pt>
                <c:pt idx="421">
                  <c:v>10.455058307321526</c:v>
                </c:pt>
                <c:pt idx="423">
                  <c:v>10.575790484513206</c:v>
                </c:pt>
                <c:pt idx="425">
                  <c:v>11.296940135978904</c:v>
                </c:pt>
                <c:pt idx="427">
                  <c:v>11.397818457831278</c:v>
                </c:pt>
                <c:pt idx="431">
                  <c:v>10.875921072160368</c:v>
                </c:pt>
                <c:pt idx="435">
                  <c:v>10.384690930885021</c:v>
                </c:pt>
                <c:pt idx="437">
                  <c:v>9.4647717672959732</c:v>
                </c:pt>
                <c:pt idx="439">
                  <c:v>8.6467501076304849</c:v>
                </c:pt>
                <c:pt idx="441">
                  <c:v>8.3581843198857406</c:v>
                </c:pt>
                <c:pt idx="443">
                  <c:v>7.8190422196189697</c:v>
                </c:pt>
                <c:pt idx="445">
                  <c:v>7.9473727539421706</c:v>
                </c:pt>
                <c:pt idx="447">
                  <c:v>7.4141696282073175</c:v>
                </c:pt>
                <c:pt idx="449">
                  <c:v>8.7134084338154896</c:v>
                </c:pt>
                <c:pt idx="451">
                  <c:v>9.6133492865645085</c:v>
                </c:pt>
                <c:pt idx="453">
                  <c:v>9.5173535851617768</c:v>
                </c:pt>
                <c:pt idx="455">
                  <c:v>9.0059643562111908</c:v>
                </c:pt>
                <c:pt idx="457">
                  <c:v>8.1529039580411204</c:v>
                </c:pt>
                <c:pt idx="467">
                  <c:v>7.653780340983058</c:v>
                </c:pt>
                <c:pt idx="469">
                  <c:v>6.7635457864981596</c:v>
                </c:pt>
                <c:pt idx="471">
                  <c:v>5.91860223468366</c:v>
                </c:pt>
                <c:pt idx="473">
                  <c:v>5.7600627780108526</c:v>
                </c:pt>
                <c:pt idx="475">
                  <c:v>5.9860698192815507</c:v>
                </c:pt>
                <c:pt idx="481">
                  <c:v>5.0307649208920617</c:v>
                </c:pt>
                <c:pt idx="485">
                  <c:v>4.5304590916140208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BE-F243-B002-8341E9E1C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874416"/>
        <c:axId val="1128957088"/>
      </c:scatterChart>
      <c:valAx>
        <c:axId val="1128874416"/>
        <c:scaling>
          <c:orientation val="minMax"/>
          <c:max val="45150"/>
          <c:min val="343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7088"/>
        <c:crosses val="autoZero"/>
        <c:crossBetween val="midCat"/>
        <c:majorUnit val="1462"/>
        <c:minorUnit val="730"/>
      </c:valAx>
      <c:valAx>
        <c:axId val="11289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Zea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'Zea update'!$B$4:$B$489</c:f>
              <c:numCache>
                <c:formatCode>[$-409]mmm\-yy;@</c:formatCode>
                <c:ptCount val="486"/>
                <c:pt idx="0">
                  <c:v>36446</c:v>
                </c:pt>
                <c:pt idx="1">
                  <c:v>36473</c:v>
                </c:pt>
                <c:pt idx="2">
                  <c:v>36473</c:v>
                </c:pt>
                <c:pt idx="3">
                  <c:v>36502</c:v>
                </c:pt>
                <c:pt idx="4">
                  <c:v>36502</c:v>
                </c:pt>
                <c:pt idx="5">
                  <c:v>36531</c:v>
                </c:pt>
                <c:pt idx="6">
                  <c:v>36531</c:v>
                </c:pt>
                <c:pt idx="7">
                  <c:v>36578</c:v>
                </c:pt>
                <c:pt idx="8">
                  <c:v>36578</c:v>
                </c:pt>
                <c:pt idx="9">
                  <c:v>36599</c:v>
                </c:pt>
                <c:pt idx="10">
                  <c:v>36599</c:v>
                </c:pt>
                <c:pt idx="11">
                  <c:v>36626</c:v>
                </c:pt>
                <c:pt idx="12">
                  <c:v>36626</c:v>
                </c:pt>
                <c:pt idx="13">
                  <c:v>36663</c:v>
                </c:pt>
                <c:pt idx="14">
                  <c:v>36663</c:v>
                </c:pt>
                <c:pt idx="15">
                  <c:v>36692</c:v>
                </c:pt>
                <c:pt idx="16">
                  <c:v>36692</c:v>
                </c:pt>
                <c:pt idx="17">
                  <c:v>36719</c:v>
                </c:pt>
                <c:pt idx="18">
                  <c:v>36719</c:v>
                </c:pt>
                <c:pt idx="19">
                  <c:v>36755</c:v>
                </c:pt>
                <c:pt idx="20">
                  <c:v>36755</c:v>
                </c:pt>
                <c:pt idx="21">
                  <c:v>36783</c:v>
                </c:pt>
                <c:pt idx="22">
                  <c:v>36783</c:v>
                </c:pt>
                <c:pt idx="23">
                  <c:v>36815</c:v>
                </c:pt>
                <c:pt idx="24">
                  <c:v>36815</c:v>
                </c:pt>
                <c:pt idx="25">
                  <c:v>36846</c:v>
                </c:pt>
                <c:pt idx="26">
                  <c:v>36846</c:v>
                </c:pt>
                <c:pt idx="27">
                  <c:v>36873</c:v>
                </c:pt>
                <c:pt idx="28">
                  <c:v>36873</c:v>
                </c:pt>
                <c:pt idx="29">
                  <c:v>36902</c:v>
                </c:pt>
                <c:pt idx="30">
                  <c:v>36902</c:v>
                </c:pt>
                <c:pt idx="31">
                  <c:v>36929</c:v>
                </c:pt>
                <c:pt idx="32">
                  <c:v>36929</c:v>
                </c:pt>
                <c:pt idx="33">
                  <c:v>36962</c:v>
                </c:pt>
                <c:pt idx="34">
                  <c:v>36962</c:v>
                </c:pt>
                <c:pt idx="35">
                  <c:v>36998</c:v>
                </c:pt>
                <c:pt idx="36">
                  <c:v>36998</c:v>
                </c:pt>
                <c:pt idx="37">
                  <c:v>37025</c:v>
                </c:pt>
                <c:pt idx="38">
                  <c:v>37025</c:v>
                </c:pt>
                <c:pt idx="39">
                  <c:v>37054</c:v>
                </c:pt>
                <c:pt idx="40">
                  <c:v>37054</c:v>
                </c:pt>
                <c:pt idx="41">
                  <c:v>37090</c:v>
                </c:pt>
                <c:pt idx="42">
                  <c:v>37090</c:v>
                </c:pt>
                <c:pt idx="43">
                  <c:v>37117</c:v>
                </c:pt>
                <c:pt idx="44">
                  <c:v>37117</c:v>
                </c:pt>
                <c:pt idx="45">
                  <c:v>37145</c:v>
                </c:pt>
                <c:pt idx="46">
                  <c:v>37145</c:v>
                </c:pt>
                <c:pt idx="47">
                  <c:v>37182</c:v>
                </c:pt>
                <c:pt idx="48">
                  <c:v>37182</c:v>
                </c:pt>
                <c:pt idx="49">
                  <c:v>37202</c:v>
                </c:pt>
                <c:pt idx="50">
                  <c:v>37202</c:v>
                </c:pt>
                <c:pt idx="51">
                  <c:v>37230</c:v>
                </c:pt>
                <c:pt idx="52">
                  <c:v>37230</c:v>
                </c:pt>
                <c:pt idx="53">
                  <c:v>37272</c:v>
                </c:pt>
                <c:pt idx="54">
                  <c:v>37272</c:v>
                </c:pt>
                <c:pt idx="55">
                  <c:v>37301</c:v>
                </c:pt>
                <c:pt idx="56">
                  <c:v>37301</c:v>
                </c:pt>
                <c:pt idx="57">
                  <c:v>37336</c:v>
                </c:pt>
                <c:pt idx="58">
                  <c:v>37336</c:v>
                </c:pt>
                <c:pt idx="59">
                  <c:v>37363</c:v>
                </c:pt>
                <c:pt idx="60">
                  <c:v>37363</c:v>
                </c:pt>
                <c:pt idx="61">
                  <c:v>37391</c:v>
                </c:pt>
                <c:pt idx="62">
                  <c:v>37391</c:v>
                </c:pt>
                <c:pt idx="63">
                  <c:v>37420</c:v>
                </c:pt>
                <c:pt idx="64">
                  <c:v>37420</c:v>
                </c:pt>
                <c:pt idx="65">
                  <c:v>37453</c:v>
                </c:pt>
                <c:pt idx="66">
                  <c:v>37453</c:v>
                </c:pt>
                <c:pt idx="67">
                  <c:v>37481</c:v>
                </c:pt>
                <c:pt idx="68">
                  <c:v>37481</c:v>
                </c:pt>
                <c:pt idx="69">
                  <c:v>37518</c:v>
                </c:pt>
                <c:pt idx="70">
                  <c:v>37518</c:v>
                </c:pt>
                <c:pt idx="71">
                  <c:v>37546</c:v>
                </c:pt>
                <c:pt idx="72">
                  <c:v>37546</c:v>
                </c:pt>
                <c:pt idx="73">
                  <c:v>37574</c:v>
                </c:pt>
                <c:pt idx="74">
                  <c:v>37574</c:v>
                </c:pt>
                <c:pt idx="75">
                  <c:v>37608</c:v>
                </c:pt>
                <c:pt idx="76">
                  <c:v>37608</c:v>
                </c:pt>
                <c:pt idx="77">
                  <c:v>37636</c:v>
                </c:pt>
                <c:pt idx="78">
                  <c:v>37636</c:v>
                </c:pt>
                <c:pt idx="79">
                  <c:v>37663</c:v>
                </c:pt>
                <c:pt idx="80">
                  <c:v>37663</c:v>
                </c:pt>
                <c:pt idx="81">
                  <c:v>37691</c:v>
                </c:pt>
                <c:pt idx="82">
                  <c:v>37691</c:v>
                </c:pt>
                <c:pt idx="83">
                  <c:v>37727</c:v>
                </c:pt>
                <c:pt idx="84">
                  <c:v>37727</c:v>
                </c:pt>
                <c:pt idx="85">
                  <c:v>37756</c:v>
                </c:pt>
                <c:pt idx="86">
                  <c:v>37756</c:v>
                </c:pt>
                <c:pt idx="87">
                  <c:v>37790</c:v>
                </c:pt>
                <c:pt idx="88">
                  <c:v>37790</c:v>
                </c:pt>
                <c:pt idx="89">
                  <c:v>37818</c:v>
                </c:pt>
                <c:pt idx="90">
                  <c:v>37818</c:v>
                </c:pt>
                <c:pt idx="91">
                  <c:v>37846</c:v>
                </c:pt>
                <c:pt idx="92">
                  <c:v>37846</c:v>
                </c:pt>
                <c:pt idx="93">
                  <c:v>37886</c:v>
                </c:pt>
                <c:pt idx="94">
                  <c:v>37886</c:v>
                </c:pt>
                <c:pt idx="95">
                  <c:v>37910</c:v>
                </c:pt>
                <c:pt idx="96">
                  <c:v>37910</c:v>
                </c:pt>
                <c:pt idx="97">
                  <c:v>37942</c:v>
                </c:pt>
                <c:pt idx="98">
                  <c:v>37942</c:v>
                </c:pt>
                <c:pt idx="99">
                  <c:v>37971</c:v>
                </c:pt>
                <c:pt idx="100">
                  <c:v>37971</c:v>
                </c:pt>
                <c:pt idx="101">
                  <c:v>37998</c:v>
                </c:pt>
                <c:pt idx="102">
                  <c:v>37998</c:v>
                </c:pt>
                <c:pt idx="103">
                  <c:v>38026</c:v>
                </c:pt>
                <c:pt idx="104">
                  <c:v>38026</c:v>
                </c:pt>
                <c:pt idx="105">
                  <c:v>38061</c:v>
                </c:pt>
                <c:pt idx="106">
                  <c:v>38061</c:v>
                </c:pt>
                <c:pt idx="107">
                  <c:v>38093</c:v>
                </c:pt>
                <c:pt idx="108">
                  <c:v>38093</c:v>
                </c:pt>
                <c:pt idx="109">
                  <c:v>38117</c:v>
                </c:pt>
                <c:pt idx="110">
                  <c:v>38117</c:v>
                </c:pt>
                <c:pt idx="111">
                  <c:v>38160</c:v>
                </c:pt>
                <c:pt idx="112">
                  <c:v>38160</c:v>
                </c:pt>
                <c:pt idx="113">
                  <c:v>38182</c:v>
                </c:pt>
                <c:pt idx="114">
                  <c:v>38183</c:v>
                </c:pt>
                <c:pt idx="115">
                  <c:v>38218</c:v>
                </c:pt>
                <c:pt idx="116">
                  <c:v>38218</c:v>
                </c:pt>
                <c:pt idx="117">
                  <c:v>38246</c:v>
                </c:pt>
                <c:pt idx="118">
                  <c:v>38246</c:v>
                </c:pt>
                <c:pt idx="119">
                  <c:v>38274</c:v>
                </c:pt>
                <c:pt idx="120">
                  <c:v>38274</c:v>
                </c:pt>
                <c:pt idx="121">
                  <c:v>38309</c:v>
                </c:pt>
                <c:pt idx="122">
                  <c:v>38309</c:v>
                </c:pt>
                <c:pt idx="123">
                  <c:v>38337</c:v>
                </c:pt>
                <c:pt idx="124">
                  <c:v>38337</c:v>
                </c:pt>
                <c:pt idx="125">
                  <c:v>38364</c:v>
                </c:pt>
                <c:pt idx="126">
                  <c:v>38364</c:v>
                </c:pt>
                <c:pt idx="127">
                  <c:v>38398</c:v>
                </c:pt>
                <c:pt idx="128">
                  <c:v>38398</c:v>
                </c:pt>
                <c:pt idx="129">
                  <c:v>38427</c:v>
                </c:pt>
                <c:pt idx="130">
                  <c:v>38427</c:v>
                </c:pt>
                <c:pt idx="131">
                  <c:v>38470</c:v>
                </c:pt>
                <c:pt idx="132">
                  <c:v>38470</c:v>
                </c:pt>
                <c:pt idx="133">
                  <c:v>38488</c:v>
                </c:pt>
                <c:pt idx="134">
                  <c:v>38488</c:v>
                </c:pt>
                <c:pt idx="135">
                  <c:v>38525</c:v>
                </c:pt>
                <c:pt idx="136">
                  <c:v>38525</c:v>
                </c:pt>
                <c:pt idx="137">
                  <c:v>38546</c:v>
                </c:pt>
                <c:pt idx="138">
                  <c:v>38546</c:v>
                </c:pt>
                <c:pt idx="139">
                  <c:v>38594</c:v>
                </c:pt>
                <c:pt idx="140">
                  <c:v>38594</c:v>
                </c:pt>
                <c:pt idx="141">
                  <c:v>38609</c:v>
                </c:pt>
                <c:pt idx="142">
                  <c:v>38609</c:v>
                </c:pt>
                <c:pt idx="143">
                  <c:v>38643</c:v>
                </c:pt>
                <c:pt idx="144">
                  <c:v>38643</c:v>
                </c:pt>
                <c:pt idx="145">
                  <c:v>38670</c:v>
                </c:pt>
                <c:pt idx="146">
                  <c:v>38670</c:v>
                </c:pt>
                <c:pt idx="147">
                  <c:v>38706</c:v>
                </c:pt>
                <c:pt idx="148">
                  <c:v>38706</c:v>
                </c:pt>
                <c:pt idx="149">
                  <c:v>38737</c:v>
                </c:pt>
                <c:pt idx="150">
                  <c:v>38737</c:v>
                </c:pt>
                <c:pt idx="151">
                  <c:v>38763</c:v>
                </c:pt>
                <c:pt idx="152">
                  <c:v>38763</c:v>
                </c:pt>
                <c:pt idx="153">
                  <c:v>38792</c:v>
                </c:pt>
                <c:pt idx="154">
                  <c:v>38792</c:v>
                </c:pt>
                <c:pt idx="155">
                  <c:v>38826</c:v>
                </c:pt>
                <c:pt idx="156">
                  <c:v>38826</c:v>
                </c:pt>
                <c:pt idx="157">
                  <c:v>38853</c:v>
                </c:pt>
                <c:pt idx="158">
                  <c:v>38853</c:v>
                </c:pt>
                <c:pt idx="159">
                  <c:v>38884</c:v>
                </c:pt>
                <c:pt idx="160">
                  <c:v>38884</c:v>
                </c:pt>
                <c:pt idx="161">
                  <c:v>38915</c:v>
                </c:pt>
                <c:pt idx="162">
                  <c:v>38915</c:v>
                </c:pt>
                <c:pt idx="163">
                  <c:v>38952</c:v>
                </c:pt>
                <c:pt idx="164">
                  <c:v>38952</c:v>
                </c:pt>
                <c:pt idx="165">
                  <c:v>38975</c:v>
                </c:pt>
                <c:pt idx="166">
                  <c:v>38975</c:v>
                </c:pt>
                <c:pt idx="167">
                  <c:v>39006</c:v>
                </c:pt>
                <c:pt idx="168">
                  <c:v>39006</c:v>
                </c:pt>
                <c:pt idx="169">
                  <c:v>39041</c:v>
                </c:pt>
                <c:pt idx="170">
                  <c:v>39041</c:v>
                </c:pt>
                <c:pt idx="171">
                  <c:v>39062</c:v>
                </c:pt>
                <c:pt idx="172">
                  <c:v>39062</c:v>
                </c:pt>
                <c:pt idx="173">
                  <c:v>39100</c:v>
                </c:pt>
                <c:pt idx="174">
                  <c:v>39100</c:v>
                </c:pt>
                <c:pt idx="175">
                  <c:v>39135</c:v>
                </c:pt>
                <c:pt idx="176">
                  <c:v>39135</c:v>
                </c:pt>
                <c:pt idx="177">
                  <c:v>39153</c:v>
                </c:pt>
                <c:pt idx="178">
                  <c:v>39153</c:v>
                </c:pt>
                <c:pt idx="179">
                  <c:v>39191</c:v>
                </c:pt>
                <c:pt idx="180">
                  <c:v>39191</c:v>
                </c:pt>
                <c:pt idx="181">
                  <c:v>39216</c:v>
                </c:pt>
                <c:pt idx="182">
                  <c:v>39216</c:v>
                </c:pt>
                <c:pt idx="183">
                  <c:v>39248</c:v>
                </c:pt>
                <c:pt idx="184">
                  <c:v>39248</c:v>
                </c:pt>
                <c:pt idx="185">
                  <c:v>39279</c:v>
                </c:pt>
                <c:pt idx="186">
                  <c:v>39279</c:v>
                </c:pt>
                <c:pt idx="187">
                  <c:v>39308</c:v>
                </c:pt>
                <c:pt idx="188">
                  <c:v>39308</c:v>
                </c:pt>
                <c:pt idx="189">
                  <c:v>39335</c:v>
                </c:pt>
                <c:pt idx="190">
                  <c:v>39335</c:v>
                </c:pt>
                <c:pt idx="191">
                  <c:v>39370</c:v>
                </c:pt>
                <c:pt idx="192">
                  <c:v>39370</c:v>
                </c:pt>
                <c:pt idx="193">
                  <c:v>39400</c:v>
                </c:pt>
                <c:pt idx="194">
                  <c:v>39400</c:v>
                </c:pt>
                <c:pt idx="195">
                  <c:v>39434</c:v>
                </c:pt>
                <c:pt idx="196">
                  <c:v>39434</c:v>
                </c:pt>
                <c:pt idx="197">
                  <c:v>39463</c:v>
                </c:pt>
                <c:pt idx="198">
                  <c:v>39463</c:v>
                </c:pt>
                <c:pt idx="199">
                  <c:v>39493</c:v>
                </c:pt>
                <c:pt idx="200">
                  <c:v>39493</c:v>
                </c:pt>
                <c:pt idx="201">
                  <c:v>39517</c:v>
                </c:pt>
                <c:pt idx="202">
                  <c:v>39517</c:v>
                </c:pt>
                <c:pt idx="203">
                  <c:v>39552</c:v>
                </c:pt>
                <c:pt idx="204">
                  <c:v>39552</c:v>
                </c:pt>
                <c:pt idx="205">
                  <c:v>39583</c:v>
                </c:pt>
                <c:pt idx="206">
                  <c:v>39583</c:v>
                </c:pt>
                <c:pt idx="207">
                  <c:v>39617</c:v>
                </c:pt>
                <c:pt idx="208">
                  <c:v>39617</c:v>
                </c:pt>
                <c:pt idx="209">
                  <c:v>39645</c:v>
                </c:pt>
                <c:pt idx="210">
                  <c:v>39645</c:v>
                </c:pt>
                <c:pt idx="211">
                  <c:v>39672</c:v>
                </c:pt>
                <c:pt idx="212">
                  <c:v>39672</c:v>
                </c:pt>
                <c:pt idx="213">
                  <c:v>39709</c:v>
                </c:pt>
                <c:pt idx="214">
                  <c:v>39709</c:v>
                </c:pt>
                <c:pt idx="215">
                  <c:v>39735</c:v>
                </c:pt>
                <c:pt idx="216">
                  <c:v>39735</c:v>
                </c:pt>
                <c:pt idx="217">
                  <c:v>39769</c:v>
                </c:pt>
                <c:pt idx="218">
                  <c:v>39769</c:v>
                </c:pt>
                <c:pt idx="219">
                  <c:v>39797</c:v>
                </c:pt>
                <c:pt idx="220">
                  <c:v>39797</c:v>
                </c:pt>
                <c:pt idx="221">
                  <c:v>39826</c:v>
                </c:pt>
                <c:pt idx="222">
                  <c:v>39826</c:v>
                </c:pt>
                <c:pt idx="223">
                  <c:v>39861</c:v>
                </c:pt>
                <c:pt idx="224">
                  <c:v>39861</c:v>
                </c:pt>
                <c:pt idx="225">
                  <c:v>39888</c:v>
                </c:pt>
                <c:pt idx="226">
                  <c:v>39888</c:v>
                </c:pt>
                <c:pt idx="227">
                  <c:v>39916</c:v>
                </c:pt>
                <c:pt idx="228">
                  <c:v>39916</c:v>
                </c:pt>
                <c:pt idx="229">
                  <c:v>39946</c:v>
                </c:pt>
                <c:pt idx="230">
                  <c:v>39946</c:v>
                </c:pt>
                <c:pt idx="231">
                  <c:v>39983</c:v>
                </c:pt>
                <c:pt idx="232">
                  <c:v>39983</c:v>
                </c:pt>
                <c:pt idx="233">
                  <c:v>40007</c:v>
                </c:pt>
                <c:pt idx="234">
                  <c:v>40007</c:v>
                </c:pt>
                <c:pt idx="235">
                  <c:v>40042</c:v>
                </c:pt>
                <c:pt idx="236">
                  <c:v>40042</c:v>
                </c:pt>
                <c:pt idx="237">
                  <c:v>40071</c:v>
                </c:pt>
                <c:pt idx="238">
                  <c:v>40071</c:v>
                </c:pt>
                <c:pt idx="239">
                  <c:v>40100</c:v>
                </c:pt>
                <c:pt idx="240">
                  <c:v>40100</c:v>
                </c:pt>
                <c:pt idx="241">
                  <c:v>40133</c:v>
                </c:pt>
                <c:pt idx="242">
                  <c:v>40133</c:v>
                </c:pt>
                <c:pt idx="243">
                  <c:v>40161</c:v>
                </c:pt>
                <c:pt idx="244">
                  <c:v>40161</c:v>
                </c:pt>
                <c:pt idx="245">
                  <c:v>40197</c:v>
                </c:pt>
                <c:pt idx="246">
                  <c:v>40197</c:v>
                </c:pt>
                <c:pt idx="247">
                  <c:v>40225</c:v>
                </c:pt>
                <c:pt idx="248">
                  <c:v>40225</c:v>
                </c:pt>
                <c:pt idx="249">
                  <c:v>40255</c:v>
                </c:pt>
                <c:pt idx="250">
                  <c:v>40255</c:v>
                </c:pt>
                <c:pt idx="251">
                  <c:v>40281</c:v>
                </c:pt>
                <c:pt idx="252">
                  <c:v>40281</c:v>
                </c:pt>
                <c:pt idx="253">
                  <c:v>40317</c:v>
                </c:pt>
                <c:pt idx="254">
                  <c:v>40317</c:v>
                </c:pt>
                <c:pt idx="255">
                  <c:v>40345</c:v>
                </c:pt>
                <c:pt idx="256">
                  <c:v>40345</c:v>
                </c:pt>
                <c:pt idx="257">
                  <c:v>40373</c:v>
                </c:pt>
                <c:pt idx="258">
                  <c:v>40373</c:v>
                </c:pt>
                <c:pt idx="259">
                  <c:v>40409</c:v>
                </c:pt>
                <c:pt idx="260">
                  <c:v>40409</c:v>
                </c:pt>
                <c:pt idx="261">
                  <c:v>40434</c:v>
                </c:pt>
                <c:pt idx="262">
                  <c:v>40434</c:v>
                </c:pt>
                <c:pt idx="263">
                  <c:v>40463</c:v>
                </c:pt>
                <c:pt idx="264">
                  <c:v>40463</c:v>
                </c:pt>
                <c:pt idx="265">
                  <c:v>40500</c:v>
                </c:pt>
                <c:pt idx="266">
                  <c:v>40500</c:v>
                </c:pt>
                <c:pt idx="267">
                  <c:v>40521</c:v>
                </c:pt>
                <c:pt idx="268">
                  <c:v>40521</c:v>
                </c:pt>
                <c:pt idx="269">
                  <c:v>40563</c:v>
                </c:pt>
                <c:pt idx="270">
                  <c:v>40563</c:v>
                </c:pt>
                <c:pt idx="271">
                  <c:v>40598</c:v>
                </c:pt>
                <c:pt idx="272">
                  <c:v>40598</c:v>
                </c:pt>
                <c:pt idx="273">
                  <c:v>40617</c:v>
                </c:pt>
                <c:pt idx="274">
                  <c:v>40617</c:v>
                </c:pt>
                <c:pt idx="275">
                  <c:v>40647</c:v>
                </c:pt>
                <c:pt idx="276">
                  <c:v>40647</c:v>
                </c:pt>
                <c:pt idx="277">
                  <c:v>40682</c:v>
                </c:pt>
                <c:pt idx="278">
                  <c:v>40682</c:v>
                </c:pt>
                <c:pt idx="279">
                  <c:v>40709</c:v>
                </c:pt>
                <c:pt idx="280">
                  <c:v>40709</c:v>
                </c:pt>
                <c:pt idx="281">
                  <c:v>40736</c:v>
                </c:pt>
                <c:pt idx="282">
                  <c:v>40736</c:v>
                </c:pt>
                <c:pt idx="283">
                  <c:v>40772</c:v>
                </c:pt>
                <c:pt idx="284">
                  <c:v>40772</c:v>
                </c:pt>
                <c:pt idx="285">
                  <c:v>40798</c:v>
                </c:pt>
                <c:pt idx="286">
                  <c:v>40798</c:v>
                </c:pt>
                <c:pt idx="287">
                  <c:v>40829</c:v>
                </c:pt>
                <c:pt idx="288">
                  <c:v>40829</c:v>
                </c:pt>
                <c:pt idx="289">
                  <c:v>40877</c:v>
                </c:pt>
                <c:pt idx="290">
                  <c:v>40877</c:v>
                </c:pt>
                <c:pt idx="291">
                  <c:v>40891</c:v>
                </c:pt>
                <c:pt idx="292">
                  <c:v>40891</c:v>
                </c:pt>
                <c:pt idx="293">
                  <c:v>40919</c:v>
                </c:pt>
                <c:pt idx="294">
                  <c:v>40919</c:v>
                </c:pt>
                <c:pt idx="295">
                  <c:v>40960</c:v>
                </c:pt>
                <c:pt idx="296">
                  <c:v>40960</c:v>
                </c:pt>
                <c:pt idx="297">
                  <c:v>40982</c:v>
                </c:pt>
                <c:pt idx="298">
                  <c:v>40982</c:v>
                </c:pt>
                <c:pt idx="299">
                  <c:v>41016</c:v>
                </c:pt>
                <c:pt idx="300">
                  <c:v>41016</c:v>
                </c:pt>
                <c:pt idx="301">
                  <c:v>41051</c:v>
                </c:pt>
                <c:pt idx="302">
                  <c:v>41051</c:v>
                </c:pt>
                <c:pt idx="303">
                  <c:v>41080</c:v>
                </c:pt>
                <c:pt idx="304">
                  <c:v>41080</c:v>
                </c:pt>
                <c:pt idx="305">
                  <c:v>41106</c:v>
                </c:pt>
                <c:pt idx="306">
                  <c:v>41106</c:v>
                </c:pt>
                <c:pt idx="307">
                  <c:v>41137</c:v>
                </c:pt>
                <c:pt idx="308">
                  <c:v>41137</c:v>
                </c:pt>
                <c:pt idx="309">
                  <c:v>41163</c:v>
                </c:pt>
                <c:pt idx="310">
                  <c:v>41163</c:v>
                </c:pt>
                <c:pt idx="311">
                  <c:v>41199</c:v>
                </c:pt>
                <c:pt idx="312">
                  <c:v>41199</c:v>
                </c:pt>
                <c:pt idx="313">
                  <c:v>41225</c:v>
                </c:pt>
                <c:pt idx="314">
                  <c:v>41225</c:v>
                </c:pt>
                <c:pt idx="315">
                  <c:v>41255</c:v>
                </c:pt>
                <c:pt idx="316">
                  <c:v>41255</c:v>
                </c:pt>
                <c:pt idx="317">
                  <c:v>41297</c:v>
                </c:pt>
                <c:pt idx="318">
                  <c:v>41297</c:v>
                </c:pt>
                <c:pt idx="319">
                  <c:v>41319</c:v>
                </c:pt>
                <c:pt idx="320">
                  <c:v>41319</c:v>
                </c:pt>
                <c:pt idx="321">
                  <c:v>41346</c:v>
                </c:pt>
                <c:pt idx="322">
                  <c:v>41346</c:v>
                </c:pt>
                <c:pt idx="323">
                  <c:v>41380</c:v>
                </c:pt>
                <c:pt idx="324">
                  <c:v>41380</c:v>
                </c:pt>
                <c:pt idx="325">
                  <c:v>41380</c:v>
                </c:pt>
                <c:pt idx="326">
                  <c:v>41407</c:v>
                </c:pt>
                <c:pt idx="327">
                  <c:v>41407</c:v>
                </c:pt>
                <c:pt idx="328">
                  <c:v>41437</c:v>
                </c:pt>
                <c:pt idx="329">
                  <c:v>41437</c:v>
                </c:pt>
                <c:pt idx="330">
                  <c:v>41470</c:v>
                </c:pt>
                <c:pt idx="331">
                  <c:v>41470</c:v>
                </c:pt>
                <c:pt idx="332">
                  <c:v>41498</c:v>
                </c:pt>
                <c:pt idx="333">
                  <c:v>41498</c:v>
                </c:pt>
                <c:pt idx="334">
                  <c:v>41535</c:v>
                </c:pt>
                <c:pt idx="335">
                  <c:v>41535</c:v>
                </c:pt>
                <c:pt idx="336">
                  <c:v>406810</c:v>
                </c:pt>
                <c:pt idx="337">
                  <c:v>406810</c:v>
                </c:pt>
                <c:pt idx="338">
                  <c:v>41599</c:v>
                </c:pt>
                <c:pt idx="339">
                  <c:v>41599</c:v>
                </c:pt>
                <c:pt idx="340">
                  <c:v>41627</c:v>
                </c:pt>
                <c:pt idx="341">
                  <c:v>41627</c:v>
                </c:pt>
                <c:pt idx="342">
                  <c:v>41655</c:v>
                </c:pt>
                <c:pt idx="343">
                  <c:v>41655</c:v>
                </c:pt>
                <c:pt idx="344">
                  <c:v>41690</c:v>
                </c:pt>
                <c:pt idx="345">
                  <c:v>41690</c:v>
                </c:pt>
                <c:pt idx="346">
                  <c:v>41718</c:v>
                </c:pt>
                <c:pt idx="347">
                  <c:v>41718</c:v>
                </c:pt>
                <c:pt idx="348">
                  <c:v>41750</c:v>
                </c:pt>
                <c:pt idx="349">
                  <c:v>41750</c:v>
                </c:pt>
                <c:pt idx="350">
                  <c:v>41406</c:v>
                </c:pt>
                <c:pt idx="351">
                  <c:v>41406</c:v>
                </c:pt>
                <c:pt idx="352">
                  <c:v>41807</c:v>
                </c:pt>
                <c:pt idx="353">
                  <c:v>41807</c:v>
                </c:pt>
                <c:pt idx="354">
                  <c:v>41837</c:v>
                </c:pt>
                <c:pt idx="355">
                  <c:v>41837</c:v>
                </c:pt>
                <c:pt idx="356">
                  <c:v>41862</c:v>
                </c:pt>
                <c:pt idx="357">
                  <c:v>41862</c:v>
                </c:pt>
                <c:pt idx="358">
                  <c:v>41897</c:v>
                </c:pt>
                <c:pt idx="359">
                  <c:v>41897</c:v>
                </c:pt>
                <c:pt idx="360">
                  <c:v>41928</c:v>
                </c:pt>
                <c:pt idx="361">
                  <c:v>41928</c:v>
                </c:pt>
                <c:pt idx="362">
                  <c:v>41955</c:v>
                </c:pt>
                <c:pt idx="363">
                  <c:v>41955</c:v>
                </c:pt>
                <c:pt idx="364">
                  <c:v>41992</c:v>
                </c:pt>
                <c:pt idx="365">
                  <c:v>41992</c:v>
                </c:pt>
                <c:pt idx="366">
                  <c:v>42014</c:v>
                </c:pt>
                <c:pt idx="367">
                  <c:v>42009</c:v>
                </c:pt>
                <c:pt idx="368">
                  <c:v>42036</c:v>
                </c:pt>
                <c:pt idx="369">
                  <c:v>42036</c:v>
                </c:pt>
                <c:pt idx="370">
                  <c:v>42064</c:v>
                </c:pt>
                <c:pt idx="371">
                  <c:v>42064</c:v>
                </c:pt>
                <c:pt idx="372">
                  <c:v>42095</c:v>
                </c:pt>
                <c:pt idx="373">
                  <c:v>42095</c:v>
                </c:pt>
                <c:pt idx="374">
                  <c:v>42125</c:v>
                </c:pt>
                <c:pt idx="375">
                  <c:v>42125</c:v>
                </c:pt>
                <c:pt idx="376">
                  <c:v>42156</c:v>
                </c:pt>
                <c:pt idx="377">
                  <c:v>42156</c:v>
                </c:pt>
                <c:pt idx="378">
                  <c:v>42186</c:v>
                </c:pt>
                <c:pt idx="379">
                  <c:v>42186</c:v>
                </c:pt>
                <c:pt idx="380">
                  <c:v>42217</c:v>
                </c:pt>
                <c:pt idx="381">
                  <c:v>42217</c:v>
                </c:pt>
                <c:pt idx="382">
                  <c:v>42248</c:v>
                </c:pt>
                <c:pt idx="383">
                  <c:v>42248</c:v>
                </c:pt>
                <c:pt idx="384">
                  <c:v>42278</c:v>
                </c:pt>
                <c:pt idx="385">
                  <c:v>42278</c:v>
                </c:pt>
                <c:pt idx="386">
                  <c:v>42309</c:v>
                </c:pt>
                <c:pt idx="387">
                  <c:v>42309</c:v>
                </c:pt>
                <c:pt idx="388">
                  <c:v>42339</c:v>
                </c:pt>
                <c:pt idx="389">
                  <c:v>42339</c:v>
                </c:pt>
                <c:pt idx="390">
                  <c:v>42379</c:v>
                </c:pt>
                <c:pt idx="391">
                  <c:v>42374</c:v>
                </c:pt>
                <c:pt idx="392">
                  <c:v>42401</c:v>
                </c:pt>
                <c:pt idx="393">
                  <c:v>42401</c:v>
                </c:pt>
                <c:pt idx="394">
                  <c:v>42430</c:v>
                </c:pt>
                <c:pt idx="395">
                  <c:v>42430</c:v>
                </c:pt>
                <c:pt idx="396">
                  <c:v>42461</c:v>
                </c:pt>
                <c:pt idx="397">
                  <c:v>42461</c:v>
                </c:pt>
                <c:pt idx="398">
                  <c:v>42491</c:v>
                </c:pt>
                <c:pt idx="399">
                  <c:v>42491</c:v>
                </c:pt>
                <c:pt idx="400">
                  <c:v>42522</c:v>
                </c:pt>
                <c:pt idx="401">
                  <c:v>42522</c:v>
                </c:pt>
                <c:pt idx="402">
                  <c:v>42552</c:v>
                </c:pt>
                <c:pt idx="403">
                  <c:v>42552</c:v>
                </c:pt>
                <c:pt idx="404">
                  <c:v>42583</c:v>
                </c:pt>
                <c:pt idx="405">
                  <c:v>42583</c:v>
                </c:pt>
                <c:pt idx="406">
                  <c:v>42614</c:v>
                </c:pt>
                <c:pt idx="407">
                  <c:v>42614</c:v>
                </c:pt>
                <c:pt idx="408">
                  <c:v>42644</c:v>
                </c:pt>
                <c:pt idx="409">
                  <c:v>42644</c:v>
                </c:pt>
                <c:pt idx="410">
                  <c:v>42675</c:v>
                </c:pt>
                <c:pt idx="411">
                  <c:v>42675</c:v>
                </c:pt>
                <c:pt idx="412">
                  <c:v>42705</c:v>
                </c:pt>
                <c:pt idx="413">
                  <c:v>42705</c:v>
                </c:pt>
                <c:pt idx="414">
                  <c:v>42745</c:v>
                </c:pt>
                <c:pt idx="415">
                  <c:v>42740</c:v>
                </c:pt>
                <c:pt idx="416">
                  <c:v>42767</c:v>
                </c:pt>
                <c:pt idx="417">
                  <c:v>42767</c:v>
                </c:pt>
                <c:pt idx="418">
                  <c:v>42795</c:v>
                </c:pt>
                <c:pt idx="419">
                  <c:v>42795</c:v>
                </c:pt>
                <c:pt idx="420">
                  <c:v>42826</c:v>
                </c:pt>
                <c:pt idx="421">
                  <c:v>42826</c:v>
                </c:pt>
                <c:pt idx="422">
                  <c:v>42856</c:v>
                </c:pt>
                <c:pt idx="423">
                  <c:v>42856</c:v>
                </c:pt>
                <c:pt idx="424">
                  <c:v>42887</c:v>
                </c:pt>
                <c:pt idx="425">
                  <c:v>42887</c:v>
                </c:pt>
                <c:pt idx="426">
                  <c:v>42917</c:v>
                </c:pt>
                <c:pt idx="427">
                  <c:v>42917</c:v>
                </c:pt>
                <c:pt idx="428">
                  <c:v>42948</c:v>
                </c:pt>
                <c:pt idx="429">
                  <c:v>42948</c:v>
                </c:pt>
                <c:pt idx="430">
                  <c:v>42979</c:v>
                </c:pt>
                <c:pt idx="431">
                  <c:v>42979</c:v>
                </c:pt>
                <c:pt idx="432">
                  <c:v>43009</c:v>
                </c:pt>
                <c:pt idx="433">
                  <c:v>43009</c:v>
                </c:pt>
                <c:pt idx="434">
                  <c:v>43040</c:v>
                </c:pt>
                <c:pt idx="435">
                  <c:v>43040</c:v>
                </c:pt>
                <c:pt idx="436">
                  <c:v>43070</c:v>
                </c:pt>
                <c:pt idx="437">
                  <c:v>43070</c:v>
                </c:pt>
                <c:pt idx="438">
                  <c:v>43110</c:v>
                </c:pt>
                <c:pt idx="439">
                  <c:v>43105</c:v>
                </c:pt>
                <c:pt idx="440">
                  <c:v>43132</c:v>
                </c:pt>
                <c:pt idx="441">
                  <c:v>43132</c:v>
                </c:pt>
                <c:pt idx="442">
                  <c:v>43160</c:v>
                </c:pt>
                <c:pt idx="443">
                  <c:v>43160</c:v>
                </c:pt>
                <c:pt idx="444">
                  <c:v>43191</c:v>
                </c:pt>
                <c:pt idx="445">
                  <c:v>43191</c:v>
                </c:pt>
                <c:pt idx="446">
                  <c:v>43221</c:v>
                </c:pt>
                <c:pt idx="447">
                  <c:v>43221</c:v>
                </c:pt>
                <c:pt idx="448">
                  <c:v>43252</c:v>
                </c:pt>
                <c:pt idx="449">
                  <c:v>43252</c:v>
                </c:pt>
                <c:pt idx="450">
                  <c:v>43282</c:v>
                </c:pt>
                <c:pt idx="451">
                  <c:v>43282</c:v>
                </c:pt>
                <c:pt idx="452">
                  <c:v>43313</c:v>
                </c:pt>
                <c:pt idx="453">
                  <c:v>43313</c:v>
                </c:pt>
                <c:pt idx="454">
                  <c:v>43344</c:v>
                </c:pt>
                <c:pt idx="455">
                  <c:v>43344</c:v>
                </c:pt>
                <c:pt idx="456">
                  <c:v>43374</c:v>
                </c:pt>
                <c:pt idx="457">
                  <c:v>43374</c:v>
                </c:pt>
                <c:pt idx="458">
                  <c:v>43405</c:v>
                </c:pt>
                <c:pt idx="459">
                  <c:v>43405</c:v>
                </c:pt>
                <c:pt idx="460">
                  <c:v>43435</c:v>
                </c:pt>
                <c:pt idx="461">
                  <c:v>43435</c:v>
                </c:pt>
                <c:pt idx="462">
                  <c:v>43475</c:v>
                </c:pt>
                <c:pt idx="463">
                  <c:v>43470</c:v>
                </c:pt>
                <c:pt idx="464">
                  <c:v>43497</c:v>
                </c:pt>
                <c:pt idx="465">
                  <c:v>43497</c:v>
                </c:pt>
                <c:pt idx="466">
                  <c:v>43525</c:v>
                </c:pt>
                <c:pt idx="467">
                  <c:v>43525</c:v>
                </c:pt>
                <c:pt idx="468">
                  <c:v>43556</c:v>
                </c:pt>
                <c:pt idx="469">
                  <c:v>43556</c:v>
                </c:pt>
                <c:pt idx="470">
                  <c:v>43586</c:v>
                </c:pt>
                <c:pt idx="471">
                  <c:v>43586</c:v>
                </c:pt>
                <c:pt idx="472">
                  <c:v>43617</c:v>
                </c:pt>
                <c:pt idx="473">
                  <c:v>43617</c:v>
                </c:pt>
                <c:pt idx="474">
                  <c:v>43647</c:v>
                </c:pt>
                <c:pt idx="475">
                  <c:v>43647</c:v>
                </c:pt>
                <c:pt idx="476">
                  <c:v>43678</c:v>
                </c:pt>
                <c:pt idx="477">
                  <c:v>43678</c:v>
                </c:pt>
                <c:pt idx="478">
                  <c:v>43709</c:v>
                </c:pt>
                <c:pt idx="479">
                  <c:v>43709</c:v>
                </c:pt>
                <c:pt idx="480">
                  <c:v>43739</c:v>
                </c:pt>
                <c:pt idx="481">
                  <c:v>43739</c:v>
                </c:pt>
                <c:pt idx="482">
                  <c:v>43770</c:v>
                </c:pt>
                <c:pt idx="483">
                  <c:v>43770</c:v>
                </c:pt>
                <c:pt idx="484">
                  <c:v>43800</c:v>
                </c:pt>
                <c:pt idx="485">
                  <c:v>43800</c:v>
                </c:pt>
              </c:numCache>
            </c:numRef>
          </c:xVal>
          <c:yVal>
            <c:numRef>
              <c:f>'Zea update'!$L$4:$L$489</c:f>
              <c:numCache>
                <c:formatCode>General</c:formatCode>
                <c:ptCount val="486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1.031346789013581E-2</c:v>
                </c:pt>
                <c:pt idx="8">
                  <c:v>7.6558691466247194E-3</c:v>
                </c:pt>
                <c:pt idx="10">
                  <c:v>9.8941827748441086E-3</c:v>
                </c:pt>
                <c:pt idx="12">
                  <c:v>3.6756166639345432E-3</c:v>
                </c:pt>
                <c:pt idx="14">
                  <c:v>3.5005904750289528E-3</c:v>
                </c:pt>
                <c:pt idx="16">
                  <c:v>1.2552670273770512E-2</c:v>
                </c:pt>
                <c:pt idx="18">
                  <c:v>5.7564352963917435E-3</c:v>
                </c:pt>
                <c:pt idx="20">
                  <c:v>4.4972511314637968E-2</c:v>
                </c:pt>
                <c:pt idx="22">
                  <c:v>1.129167102676268E-2</c:v>
                </c:pt>
                <c:pt idx="24">
                  <c:v>0</c:v>
                </c:pt>
                <c:pt idx="26">
                  <c:v>0</c:v>
                </c:pt>
                <c:pt idx="28">
                  <c:v>4.040395698545759E-3</c:v>
                </c:pt>
                <c:pt idx="30">
                  <c:v>9.7584680826856753E-3</c:v>
                </c:pt>
                <c:pt idx="32">
                  <c:v>9.5353836641891843E-3</c:v>
                </c:pt>
                <c:pt idx="34">
                  <c:v>6.3147293603361722E-3</c:v>
                </c:pt>
                <c:pt idx="36">
                  <c:v>0</c:v>
                </c:pt>
                <c:pt idx="38">
                  <c:v>0</c:v>
                </c:pt>
                <c:pt idx="40">
                  <c:v>1.6556607704735628E-2</c:v>
                </c:pt>
                <c:pt idx="42">
                  <c:v>4.6985518538723563E-2</c:v>
                </c:pt>
                <c:pt idx="44">
                  <c:v>3.1901993940361396E-2</c:v>
                </c:pt>
                <c:pt idx="46">
                  <c:v>1.3560932708485341E-2</c:v>
                </c:pt>
                <c:pt idx="48">
                  <c:v>5.5948669326488744E-3</c:v>
                </c:pt>
                <c:pt idx="50">
                  <c:v>0</c:v>
                </c:pt>
                <c:pt idx="52">
                  <c:v>6.8030948096344671E-3</c:v>
                </c:pt>
                <c:pt idx="54">
                  <c:v>5.5147922780576239E-3</c:v>
                </c:pt>
                <c:pt idx="56">
                  <c:v>1.9952595163767104E-2</c:v>
                </c:pt>
                <c:pt idx="58">
                  <c:v>4.4368544190906273E-3</c:v>
                </c:pt>
                <c:pt idx="60">
                  <c:v>6.9896664304719457E-3</c:v>
                </c:pt>
                <c:pt idx="72">
                  <c:v>4.3505282340006229E-3</c:v>
                </c:pt>
                <c:pt idx="74">
                  <c:v>5.3629372073352444E-3</c:v>
                </c:pt>
                <c:pt idx="76">
                  <c:v>4.0933624587900638E-3</c:v>
                </c:pt>
                <c:pt idx="78">
                  <c:v>6.8373888596604425E-3</c:v>
                </c:pt>
                <c:pt idx="80">
                  <c:v>4.9056540285234143E-3</c:v>
                </c:pt>
                <c:pt idx="82">
                  <c:v>5.9631700536896971E-3</c:v>
                </c:pt>
                <c:pt idx="84">
                  <c:v>5.0513757194491785E-3</c:v>
                </c:pt>
                <c:pt idx="86">
                  <c:v>1.009082278941228E-2</c:v>
                </c:pt>
                <c:pt idx="88">
                  <c:v>1.0145149558853204E-2</c:v>
                </c:pt>
                <c:pt idx="90">
                  <c:v>2.9481824275500348E-2</c:v>
                </c:pt>
                <c:pt idx="92">
                  <c:v>2.7469887990147501E-2</c:v>
                </c:pt>
                <c:pt idx="94">
                  <c:v>9.4445862250322997E-3</c:v>
                </c:pt>
                <c:pt idx="96">
                  <c:v>7.4711529347676721E-3</c:v>
                </c:pt>
                <c:pt idx="98">
                  <c:v>1.1449242272181158E-2</c:v>
                </c:pt>
                <c:pt idx="100">
                  <c:v>5.2949569138317585E-3</c:v>
                </c:pt>
                <c:pt idx="102">
                  <c:v>2.4406785687651491E-3</c:v>
                </c:pt>
                <c:pt idx="104">
                  <c:v>2.6599715472517996E-3</c:v>
                </c:pt>
                <c:pt idx="106">
                  <c:v>6.1996993547914709E-3</c:v>
                </c:pt>
                <c:pt idx="108">
                  <c:v>1.176776335761214E-2</c:v>
                </c:pt>
                <c:pt idx="110">
                  <c:v>5.0185834925091438E-3</c:v>
                </c:pt>
                <c:pt idx="112">
                  <c:v>3.1051612396652616E-2</c:v>
                </c:pt>
                <c:pt idx="114">
                  <c:v>4.4050151779183269E-2</c:v>
                </c:pt>
                <c:pt idx="116">
                  <c:v>2.045476230407799E-2</c:v>
                </c:pt>
                <c:pt idx="118">
                  <c:v>2.2313601884639111E-2</c:v>
                </c:pt>
                <c:pt idx="120">
                  <c:v>8.5797776670969474E-3</c:v>
                </c:pt>
                <c:pt idx="122">
                  <c:v>2.5187308931275305E-3</c:v>
                </c:pt>
                <c:pt idx="124">
                  <c:v>7.9852513432735212E-3</c:v>
                </c:pt>
                <c:pt idx="126">
                  <c:v>3.1379177976607357E-3</c:v>
                </c:pt>
                <c:pt idx="128">
                  <c:v>5.1198630252164146E-3</c:v>
                </c:pt>
                <c:pt idx="130">
                  <c:v>7.0181057262671829E-3</c:v>
                </c:pt>
                <c:pt idx="132">
                  <c:v>8.5859141660418713E-3</c:v>
                </c:pt>
                <c:pt idx="134">
                  <c:v>3.4336301823974218E-3</c:v>
                </c:pt>
                <c:pt idx="136">
                  <c:v>2.708493707173169E-2</c:v>
                </c:pt>
                <c:pt idx="138">
                  <c:v>4.2927600188014683E-2</c:v>
                </c:pt>
                <c:pt idx="140">
                  <c:v>6.6817392712412549E-2</c:v>
                </c:pt>
                <c:pt idx="142">
                  <c:v>3.2709810098784708E-2</c:v>
                </c:pt>
                <c:pt idx="144">
                  <c:v>8.7585779887518703E-3</c:v>
                </c:pt>
                <c:pt idx="146">
                  <c:v>1.8633786623319987E-3</c:v>
                </c:pt>
                <c:pt idx="148">
                  <c:v>2.3549124833005006E-3</c:v>
                </c:pt>
                <c:pt idx="150">
                  <c:v>7.8885553140976509E-3</c:v>
                </c:pt>
                <c:pt idx="152">
                  <c:v>8.3101877569158981E-3</c:v>
                </c:pt>
                <c:pt idx="154">
                  <c:v>1.3949969262779591E-2</c:v>
                </c:pt>
                <c:pt idx="156">
                  <c:v>1.7315397824842586E-2</c:v>
                </c:pt>
                <c:pt idx="158">
                  <c:v>7.5792822944963914E-3</c:v>
                </c:pt>
                <c:pt idx="160">
                  <c:v>2.7590485167328666E-2</c:v>
                </c:pt>
                <c:pt idx="162">
                  <c:v>5.0143968732653151E-2</c:v>
                </c:pt>
                <c:pt idx="164">
                  <c:v>4.263640641513218E-2</c:v>
                </c:pt>
                <c:pt idx="166">
                  <c:v>8.689240470121597E-3</c:v>
                </c:pt>
                <c:pt idx="168">
                  <c:v>8.7265675500969603E-3</c:v>
                </c:pt>
                <c:pt idx="170">
                  <c:v>9.3320235756385057E-3</c:v>
                </c:pt>
                <c:pt idx="172">
                  <c:v>2.4945770065075923E-2</c:v>
                </c:pt>
                <c:pt idx="174">
                  <c:v>6.3249001331557924E-3</c:v>
                </c:pt>
                <c:pt idx="176">
                  <c:v>2.8680688336520078E-3</c:v>
                </c:pt>
                <c:pt idx="178">
                  <c:v>1.1400651465798045E-2</c:v>
                </c:pt>
                <c:pt idx="180">
                  <c:v>1.6655229846768821E-3</c:v>
                </c:pt>
                <c:pt idx="182">
                  <c:v>8.0996301324968382E-3</c:v>
                </c:pt>
                <c:pt idx="184">
                  <c:v>4.2653017701002344E-3</c:v>
                </c:pt>
                <c:pt idx="186">
                  <c:v>1.5991732165683052E-2</c:v>
                </c:pt>
                <c:pt idx="188">
                  <c:v>1.6386042522457456E-2</c:v>
                </c:pt>
                <c:pt idx="190">
                  <c:v>2.462286212114265E-2</c:v>
                </c:pt>
                <c:pt idx="192">
                  <c:v>1.9555214723926382E-2</c:v>
                </c:pt>
                <c:pt idx="194">
                  <c:v>2.5051774530271396E-3</c:v>
                </c:pt>
                <c:pt idx="196">
                  <c:v>7.5714556123414739E-3</c:v>
                </c:pt>
                <c:pt idx="198">
                  <c:v>1.6702752861119705E-2</c:v>
                </c:pt>
                <c:pt idx="200">
                  <c:v>6.4825253664036074E-3</c:v>
                </c:pt>
                <c:pt idx="202">
                  <c:v>9.4117647058823539E-3</c:v>
                </c:pt>
                <c:pt idx="204">
                  <c:v>6.7882901994060245E-3</c:v>
                </c:pt>
                <c:pt idx="206">
                  <c:v>4.1423749616446761E-3</c:v>
                </c:pt>
                <c:pt idx="208">
                  <c:v>1.5701802293828507E-2</c:v>
                </c:pt>
                <c:pt idx="210">
                  <c:v>9.0423074384529088E-3</c:v>
                </c:pt>
                <c:pt idx="212">
                  <c:v>2.1296344041664517E-2</c:v>
                </c:pt>
                <c:pt idx="214">
                  <c:v>1.2475191380776863E-2</c:v>
                </c:pt>
                <c:pt idx="216">
                  <c:v>2.055052790346908E-2</c:v>
                </c:pt>
                <c:pt idx="218">
                  <c:v>5.7183702644746249E-3</c:v>
                </c:pt>
                <c:pt idx="220">
                  <c:v>1.067485073276642E-2</c:v>
                </c:pt>
                <c:pt idx="222">
                  <c:v>4.1645147855060396E-4</c:v>
                </c:pt>
                <c:pt idx="224">
                  <c:v>8.140756302521009E-3</c:v>
                </c:pt>
                <c:pt idx="226">
                  <c:v>3.249830737982397E-3</c:v>
                </c:pt>
                <c:pt idx="228">
                  <c:v>1.0896898575020957E-2</c:v>
                </c:pt>
                <c:pt idx="230">
                  <c:v>3.4529696132596685E-3</c:v>
                </c:pt>
                <c:pt idx="232">
                  <c:v>9.7604259094942331E-3</c:v>
                </c:pt>
                <c:pt idx="234">
                  <c:v>7.2992700729926996E-3</c:v>
                </c:pt>
                <c:pt idx="236">
                  <c:v>2.3143531881395958E-2</c:v>
                </c:pt>
                <c:pt idx="238">
                  <c:v>9.0239133704316434E-3</c:v>
                </c:pt>
                <c:pt idx="240">
                  <c:v>1.0345576823590273E-3</c:v>
                </c:pt>
                <c:pt idx="242">
                  <c:v>1.0709010339734119E-2</c:v>
                </c:pt>
                <c:pt idx="244">
                  <c:v>6.4357952804167942E-3</c:v>
                </c:pt>
                <c:pt idx="246">
                  <c:v>2.3764494231441552E-3</c:v>
                </c:pt>
                <c:pt idx="248">
                  <c:v>7.5032613715077358E-3</c:v>
                </c:pt>
                <c:pt idx="250">
                  <c:v>1.8248615855002204E-2</c:v>
                </c:pt>
                <c:pt idx="252">
                  <c:v>3.760790598290598E-3</c:v>
                </c:pt>
                <c:pt idx="254">
                  <c:v>7.7229889891420704E-3</c:v>
                </c:pt>
                <c:pt idx="256">
                  <c:v>1.4214006644927089E-2</c:v>
                </c:pt>
                <c:pt idx="258">
                  <c:v>1.0403210512056352E-2</c:v>
                </c:pt>
                <c:pt idx="260">
                  <c:v>2.6270189351027675E-2</c:v>
                </c:pt>
                <c:pt idx="262">
                  <c:v>9.1778076463560343E-3</c:v>
                </c:pt>
                <c:pt idx="264">
                  <c:v>0</c:v>
                </c:pt>
                <c:pt idx="266">
                  <c:v>0</c:v>
                </c:pt>
                <c:pt idx="268">
                  <c:v>3.0884547934528443E-2</c:v>
                </c:pt>
                <c:pt idx="270">
                  <c:v>5.3665433950553431E-3</c:v>
                </c:pt>
                <c:pt idx="272">
                  <c:v>3.3490045464544984E-3</c:v>
                </c:pt>
                <c:pt idx="274">
                  <c:v>5.0081392898535457E-3</c:v>
                </c:pt>
                <c:pt idx="276">
                  <c:v>2.0342892768079796E-3</c:v>
                </c:pt>
                <c:pt idx="278">
                  <c:v>2.1098161650636052E-3</c:v>
                </c:pt>
                <c:pt idx="280">
                  <c:v>2.9225811808118077E-2</c:v>
                </c:pt>
                <c:pt idx="282">
                  <c:v>2.4306247554454149E-2</c:v>
                </c:pt>
                <c:pt idx="284">
                  <c:v>2.8462354988399077E-2</c:v>
                </c:pt>
                <c:pt idx="286">
                  <c:v>3.613804100227791E-2</c:v>
                </c:pt>
                <c:pt idx="288">
                  <c:v>2.5208242781744793E-2</c:v>
                </c:pt>
                <c:pt idx="290">
                  <c:v>0</c:v>
                </c:pt>
                <c:pt idx="292">
                  <c:v>0</c:v>
                </c:pt>
                <c:pt idx="294">
                  <c:v>7.3526803913575205E-3</c:v>
                </c:pt>
                <c:pt idx="296">
                  <c:v>1.2635133297062024E-2</c:v>
                </c:pt>
                <c:pt idx="298">
                  <c:v>1.4698015247108308E-2</c:v>
                </c:pt>
                <c:pt idx="300">
                  <c:v>1.7095970087245529E-2</c:v>
                </c:pt>
                <c:pt idx="302">
                  <c:v>5.748564471580171E-3</c:v>
                </c:pt>
                <c:pt idx="304">
                  <c:v>2.0481156956980426E-2</c:v>
                </c:pt>
                <c:pt idx="306">
                  <c:v>1.3806094750820183E-2</c:v>
                </c:pt>
                <c:pt idx="308">
                  <c:v>2.6562000126951878E-2</c:v>
                </c:pt>
                <c:pt idx="310">
                  <c:v>1.0586256687743188E-2</c:v>
                </c:pt>
                <c:pt idx="312">
                  <c:v>0</c:v>
                </c:pt>
                <c:pt idx="314">
                  <c:v>5.0174750356633381E-3</c:v>
                </c:pt>
                <c:pt idx="316">
                  <c:v>0</c:v>
                </c:pt>
                <c:pt idx="318">
                  <c:v>9.3281139731827781E-3</c:v>
                </c:pt>
                <c:pt idx="320">
                  <c:v>0</c:v>
                </c:pt>
                <c:pt idx="322">
                  <c:v>7.3750732922896502E-3</c:v>
                </c:pt>
                <c:pt idx="325">
                  <c:v>8.3336658354114714E-3</c:v>
                </c:pt>
                <c:pt idx="327">
                  <c:v>9.4375753920385996E-3</c:v>
                </c:pt>
                <c:pt idx="329">
                  <c:v>6.7883376669424407E-3</c:v>
                </c:pt>
                <c:pt idx="331">
                  <c:v>2.045298949299533E-2</c:v>
                </c:pt>
                <c:pt idx="333">
                  <c:v>2.6348266619013575E-2</c:v>
                </c:pt>
                <c:pt idx="335">
                  <c:v>2.1001598686484619E-2</c:v>
                </c:pt>
                <c:pt idx="337">
                  <c:v>0</c:v>
                </c:pt>
                <c:pt idx="339">
                  <c:v>0</c:v>
                </c:pt>
                <c:pt idx="341">
                  <c:v>0</c:v>
                </c:pt>
                <c:pt idx="343">
                  <c:v>0</c:v>
                </c:pt>
                <c:pt idx="345">
                  <c:v>8.8990795529257059E-3</c:v>
                </c:pt>
                <c:pt idx="347">
                  <c:v>8.0340787716955946E-3</c:v>
                </c:pt>
                <c:pt idx="349">
                  <c:v>6.1416066282420747E-3</c:v>
                </c:pt>
                <c:pt idx="351">
                  <c:v>6.2422388604821029E-3</c:v>
                </c:pt>
                <c:pt idx="353">
                  <c:v>1.0865203507252653E-2</c:v>
                </c:pt>
                <c:pt idx="355">
                  <c:v>2.2085185491200525E-2</c:v>
                </c:pt>
                <c:pt idx="357">
                  <c:v>9.5390417429296794E-3</c:v>
                </c:pt>
                <c:pt idx="359">
                  <c:v>1.1144499381953027E-2</c:v>
                </c:pt>
                <c:pt idx="361">
                  <c:v>3.5107820630547903E-2</c:v>
                </c:pt>
                <c:pt idx="363">
                  <c:v>0</c:v>
                </c:pt>
                <c:pt idx="365">
                  <c:v>0</c:v>
                </c:pt>
                <c:pt idx="367">
                  <c:v>3.3346410357002749E-3</c:v>
                </c:pt>
                <c:pt idx="371">
                  <c:v>7.0708121035666007E-3</c:v>
                </c:pt>
                <c:pt idx="373">
                  <c:v>6.3492063492063501E-3</c:v>
                </c:pt>
                <c:pt idx="375">
                  <c:v>6.1801758973140013E-3</c:v>
                </c:pt>
                <c:pt idx="377">
                  <c:v>2.1401594628619389E-2</c:v>
                </c:pt>
                <c:pt idx="379">
                  <c:v>1.2418261443397924E-2</c:v>
                </c:pt>
                <c:pt idx="381">
                  <c:v>1.4928123848138589E-2</c:v>
                </c:pt>
                <c:pt idx="383">
                  <c:v>1.4296323802450798E-2</c:v>
                </c:pt>
                <c:pt idx="385">
                  <c:v>4.3277553375649161E-3</c:v>
                </c:pt>
                <c:pt idx="387">
                  <c:v>2.3978417266187053E-3</c:v>
                </c:pt>
                <c:pt idx="389">
                  <c:v>3.2858707557502738E-3</c:v>
                </c:pt>
                <c:pt idx="391">
                  <c:v>1.8218623481781381E-3</c:v>
                </c:pt>
                <c:pt idx="393">
                  <c:v>3.423423423423424E-3</c:v>
                </c:pt>
                <c:pt idx="395">
                  <c:v>5.5975370836831798E-3</c:v>
                </c:pt>
                <c:pt idx="397">
                  <c:v>1.9639934533551557E-3</c:v>
                </c:pt>
                <c:pt idx="399">
                  <c:v>7.5949367088607592E-3</c:v>
                </c:pt>
                <c:pt idx="401">
                  <c:v>1.6711590296495958E-2</c:v>
                </c:pt>
                <c:pt idx="403">
                  <c:v>9.9182495792257755E-3</c:v>
                </c:pt>
                <c:pt idx="405">
                  <c:v>1.0831673306772907E-2</c:v>
                </c:pt>
                <c:pt idx="407">
                  <c:v>7.7428437353355226E-3</c:v>
                </c:pt>
                <c:pt idx="409">
                  <c:v>2.4999374999999996E-3</c:v>
                </c:pt>
                <c:pt idx="411">
                  <c:v>4.493932584269663E-3</c:v>
                </c:pt>
                <c:pt idx="413">
                  <c:v>4.3103448275862077E-3</c:v>
                </c:pt>
                <c:pt idx="419">
                  <c:v>4.6684407096171795E-3</c:v>
                </c:pt>
                <c:pt idx="421">
                  <c:v>8.4087968952134551E-3</c:v>
                </c:pt>
                <c:pt idx="423">
                  <c:v>1.1761331038439472E-2</c:v>
                </c:pt>
                <c:pt idx="425">
                  <c:v>1.8082501412695424E-2</c:v>
                </c:pt>
                <c:pt idx="427">
                  <c:v>1.1552310469314079E-2</c:v>
                </c:pt>
                <c:pt idx="431">
                  <c:v>4.9957535387177348E-3</c:v>
                </c:pt>
                <c:pt idx="435">
                  <c:v>5.3186170212765954E-3</c:v>
                </c:pt>
                <c:pt idx="437">
                  <c:v>8.0539669754329439E-4</c:v>
                </c:pt>
                <c:pt idx="439">
                  <c:v>1.8781694108808613E-3</c:v>
                </c:pt>
                <c:pt idx="441">
                  <c:v>7.4522589659990679E-3</c:v>
                </c:pt>
                <c:pt idx="443">
                  <c:v>4.8142018955919961E-3</c:v>
                </c:pt>
                <c:pt idx="445">
                  <c:v>1.1841326228537596E-2</c:v>
                </c:pt>
                <c:pt idx="447">
                  <c:v>4.8767271742075329E-3</c:v>
                </c:pt>
                <c:pt idx="449">
                  <c:v>2.4168600154679039E-2</c:v>
                </c:pt>
                <c:pt idx="451">
                  <c:v>1.9964807796426638E-2</c:v>
                </c:pt>
                <c:pt idx="453">
                  <c:v>9.4796288826139562E-3</c:v>
                </c:pt>
                <c:pt idx="455">
                  <c:v>5.1063829787234049E-3</c:v>
                </c:pt>
                <c:pt idx="457">
                  <c:v>1.5092830188679245E-3</c:v>
                </c:pt>
                <c:pt idx="467">
                  <c:v>5.2355148342059336E-3</c:v>
                </c:pt>
                <c:pt idx="469">
                  <c:v>1.1179150363331469E-3</c:v>
                </c:pt>
                <c:pt idx="471">
                  <c:v>1.5947368421052632E-3</c:v>
                </c:pt>
                <c:pt idx="473">
                  <c:v>8.8211708099438652E-3</c:v>
                </c:pt>
                <c:pt idx="475">
                  <c:v>1.2869660460021907E-2</c:v>
                </c:pt>
                <c:pt idx="481">
                  <c:v>4.3285714285714282E-4</c:v>
                </c:pt>
                <c:pt idx="485">
                  <c:v>5.2230685527747548E-3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54-FE40-B471-6C7210E04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874416"/>
        <c:axId val="1128957088"/>
      </c:scatterChart>
      <c:valAx>
        <c:axId val="1128874416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7088"/>
        <c:crosses val="autoZero"/>
        <c:crossBetween val="midCat"/>
        <c:majorUnit val="1095"/>
      </c:valAx>
      <c:valAx>
        <c:axId val="11289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Chl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'Zea update'!$B$4:$B$489</c:f>
              <c:numCache>
                <c:formatCode>[$-409]mmm\-yy;@</c:formatCode>
                <c:ptCount val="486"/>
                <c:pt idx="0">
                  <c:v>36446</c:v>
                </c:pt>
                <c:pt idx="1">
                  <c:v>36473</c:v>
                </c:pt>
                <c:pt idx="2">
                  <c:v>36473</c:v>
                </c:pt>
                <c:pt idx="3">
                  <c:v>36502</c:v>
                </c:pt>
                <c:pt idx="4">
                  <c:v>36502</c:v>
                </c:pt>
                <c:pt idx="5">
                  <c:v>36531</c:v>
                </c:pt>
                <c:pt idx="6">
                  <c:v>36531</c:v>
                </c:pt>
                <c:pt idx="7">
                  <c:v>36578</c:v>
                </c:pt>
                <c:pt idx="8">
                  <c:v>36578</c:v>
                </c:pt>
                <c:pt idx="9">
                  <c:v>36599</c:v>
                </c:pt>
                <c:pt idx="10">
                  <c:v>36599</c:v>
                </c:pt>
                <c:pt idx="11">
                  <c:v>36626</c:v>
                </c:pt>
                <c:pt idx="12">
                  <c:v>36626</c:v>
                </c:pt>
                <c:pt idx="13">
                  <c:v>36663</c:v>
                </c:pt>
                <c:pt idx="14">
                  <c:v>36663</c:v>
                </c:pt>
                <c:pt idx="15">
                  <c:v>36692</c:v>
                </c:pt>
                <c:pt idx="16">
                  <c:v>36692</c:v>
                </c:pt>
                <c:pt idx="17">
                  <c:v>36719</c:v>
                </c:pt>
                <c:pt idx="18">
                  <c:v>36719</c:v>
                </c:pt>
                <c:pt idx="19">
                  <c:v>36755</c:v>
                </c:pt>
                <c:pt idx="20">
                  <c:v>36755</c:v>
                </c:pt>
                <c:pt idx="21">
                  <c:v>36783</c:v>
                </c:pt>
                <c:pt idx="22">
                  <c:v>36783</c:v>
                </c:pt>
                <c:pt idx="23">
                  <c:v>36815</c:v>
                </c:pt>
                <c:pt idx="24">
                  <c:v>36815</c:v>
                </c:pt>
                <c:pt idx="25">
                  <c:v>36846</c:v>
                </c:pt>
                <c:pt idx="26">
                  <c:v>36846</c:v>
                </c:pt>
                <c:pt idx="27">
                  <c:v>36873</c:v>
                </c:pt>
                <c:pt idx="28">
                  <c:v>36873</c:v>
                </c:pt>
                <c:pt idx="29">
                  <c:v>36902</c:v>
                </c:pt>
                <c:pt idx="30">
                  <c:v>36902</c:v>
                </c:pt>
                <c:pt idx="31">
                  <c:v>36929</c:v>
                </c:pt>
                <c:pt idx="32">
                  <c:v>36929</c:v>
                </c:pt>
                <c:pt idx="33">
                  <c:v>36962</c:v>
                </c:pt>
                <c:pt idx="34">
                  <c:v>36962</c:v>
                </c:pt>
                <c:pt idx="35">
                  <c:v>36998</c:v>
                </c:pt>
                <c:pt idx="36">
                  <c:v>36998</c:v>
                </c:pt>
                <c:pt idx="37">
                  <c:v>37025</c:v>
                </c:pt>
                <c:pt idx="38">
                  <c:v>37025</c:v>
                </c:pt>
                <c:pt idx="39">
                  <c:v>37054</c:v>
                </c:pt>
                <c:pt idx="40">
                  <c:v>37054</c:v>
                </c:pt>
                <c:pt idx="41">
                  <c:v>37090</c:v>
                </c:pt>
                <c:pt idx="42">
                  <c:v>37090</c:v>
                </c:pt>
                <c:pt idx="43">
                  <c:v>37117</c:v>
                </c:pt>
                <c:pt idx="44">
                  <c:v>37117</c:v>
                </c:pt>
                <c:pt idx="45">
                  <c:v>37145</c:v>
                </c:pt>
                <c:pt idx="46">
                  <c:v>37145</c:v>
                </c:pt>
                <c:pt idx="47">
                  <c:v>37182</c:v>
                </c:pt>
                <c:pt idx="48">
                  <c:v>37182</c:v>
                </c:pt>
                <c:pt idx="49">
                  <c:v>37202</c:v>
                </c:pt>
                <c:pt idx="50">
                  <c:v>37202</c:v>
                </c:pt>
                <c:pt idx="51">
                  <c:v>37230</c:v>
                </c:pt>
                <c:pt idx="52">
                  <c:v>37230</c:v>
                </c:pt>
                <c:pt idx="53">
                  <c:v>37272</c:v>
                </c:pt>
                <c:pt idx="54">
                  <c:v>37272</c:v>
                </c:pt>
                <c:pt idx="55">
                  <c:v>37301</c:v>
                </c:pt>
                <c:pt idx="56">
                  <c:v>37301</c:v>
                </c:pt>
                <c:pt idx="57">
                  <c:v>37336</c:v>
                </c:pt>
                <c:pt idx="58">
                  <c:v>37336</c:v>
                </c:pt>
                <c:pt idx="59">
                  <c:v>37363</c:v>
                </c:pt>
                <c:pt idx="60">
                  <c:v>37363</c:v>
                </c:pt>
                <c:pt idx="61">
                  <c:v>37391</c:v>
                </c:pt>
                <c:pt idx="62">
                  <c:v>37391</c:v>
                </c:pt>
                <c:pt idx="63">
                  <c:v>37420</c:v>
                </c:pt>
                <c:pt idx="64">
                  <c:v>37420</c:v>
                </c:pt>
                <c:pt idx="65">
                  <c:v>37453</c:v>
                </c:pt>
                <c:pt idx="66">
                  <c:v>37453</c:v>
                </c:pt>
                <c:pt idx="67">
                  <c:v>37481</c:v>
                </c:pt>
                <c:pt idx="68">
                  <c:v>37481</c:v>
                </c:pt>
                <c:pt idx="69">
                  <c:v>37518</c:v>
                </c:pt>
                <c:pt idx="70">
                  <c:v>37518</c:v>
                </c:pt>
                <c:pt idx="71">
                  <c:v>37546</c:v>
                </c:pt>
                <c:pt idx="72">
                  <c:v>37546</c:v>
                </c:pt>
                <c:pt idx="73">
                  <c:v>37574</c:v>
                </c:pt>
                <c:pt idx="74">
                  <c:v>37574</c:v>
                </c:pt>
                <c:pt idx="75">
                  <c:v>37608</c:v>
                </c:pt>
                <c:pt idx="76">
                  <c:v>37608</c:v>
                </c:pt>
                <c:pt idx="77">
                  <c:v>37636</c:v>
                </c:pt>
                <c:pt idx="78">
                  <c:v>37636</c:v>
                </c:pt>
                <c:pt idx="79">
                  <c:v>37663</c:v>
                </c:pt>
                <c:pt idx="80">
                  <c:v>37663</c:v>
                </c:pt>
                <c:pt idx="81">
                  <c:v>37691</c:v>
                </c:pt>
                <c:pt idx="82">
                  <c:v>37691</c:v>
                </c:pt>
                <c:pt idx="83">
                  <c:v>37727</c:v>
                </c:pt>
                <c:pt idx="84">
                  <c:v>37727</c:v>
                </c:pt>
                <c:pt idx="85">
                  <c:v>37756</c:v>
                </c:pt>
                <c:pt idx="86">
                  <c:v>37756</c:v>
                </c:pt>
                <c:pt idx="87">
                  <c:v>37790</c:v>
                </c:pt>
                <c:pt idx="88">
                  <c:v>37790</c:v>
                </c:pt>
                <c:pt idx="89">
                  <c:v>37818</c:v>
                </c:pt>
                <c:pt idx="90">
                  <c:v>37818</c:v>
                </c:pt>
                <c:pt idx="91">
                  <c:v>37846</c:v>
                </c:pt>
                <c:pt idx="92">
                  <c:v>37846</c:v>
                </c:pt>
                <c:pt idx="93">
                  <c:v>37886</c:v>
                </c:pt>
                <c:pt idx="94">
                  <c:v>37886</c:v>
                </c:pt>
                <c:pt idx="95">
                  <c:v>37910</c:v>
                </c:pt>
                <c:pt idx="96">
                  <c:v>37910</c:v>
                </c:pt>
                <c:pt idx="97">
                  <c:v>37942</c:v>
                </c:pt>
                <c:pt idx="98">
                  <c:v>37942</c:v>
                </c:pt>
                <c:pt idx="99">
                  <c:v>37971</c:v>
                </c:pt>
                <c:pt idx="100">
                  <c:v>37971</c:v>
                </c:pt>
                <c:pt idx="101">
                  <c:v>37998</c:v>
                </c:pt>
                <c:pt idx="102">
                  <c:v>37998</c:v>
                </c:pt>
                <c:pt idx="103">
                  <c:v>38026</c:v>
                </c:pt>
                <c:pt idx="104">
                  <c:v>38026</c:v>
                </c:pt>
                <c:pt idx="105">
                  <c:v>38061</c:v>
                </c:pt>
                <c:pt idx="106">
                  <c:v>38061</c:v>
                </c:pt>
                <c:pt idx="107">
                  <c:v>38093</c:v>
                </c:pt>
                <c:pt idx="108">
                  <c:v>38093</c:v>
                </c:pt>
                <c:pt idx="109">
                  <c:v>38117</c:v>
                </c:pt>
                <c:pt idx="110">
                  <c:v>38117</c:v>
                </c:pt>
                <c:pt idx="111">
                  <c:v>38160</c:v>
                </c:pt>
                <c:pt idx="112">
                  <c:v>38160</c:v>
                </c:pt>
                <c:pt idx="113">
                  <c:v>38182</c:v>
                </c:pt>
                <c:pt idx="114">
                  <c:v>38183</c:v>
                </c:pt>
                <c:pt idx="115">
                  <c:v>38218</c:v>
                </c:pt>
                <c:pt idx="116">
                  <c:v>38218</c:v>
                </c:pt>
                <c:pt idx="117">
                  <c:v>38246</c:v>
                </c:pt>
                <c:pt idx="118">
                  <c:v>38246</c:v>
                </c:pt>
                <c:pt idx="119">
                  <c:v>38274</c:v>
                </c:pt>
                <c:pt idx="120">
                  <c:v>38274</c:v>
                </c:pt>
                <c:pt idx="121">
                  <c:v>38309</c:v>
                </c:pt>
                <c:pt idx="122">
                  <c:v>38309</c:v>
                </c:pt>
                <c:pt idx="123">
                  <c:v>38337</c:v>
                </c:pt>
                <c:pt idx="124">
                  <c:v>38337</c:v>
                </c:pt>
                <c:pt idx="125">
                  <c:v>38364</c:v>
                </c:pt>
                <c:pt idx="126">
                  <c:v>38364</c:v>
                </c:pt>
                <c:pt idx="127">
                  <c:v>38398</c:v>
                </c:pt>
                <c:pt idx="128">
                  <c:v>38398</c:v>
                </c:pt>
                <c:pt idx="129">
                  <c:v>38427</c:v>
                </c:pt>
                <c:pt idx="130">
                  <c:v>38427</c:v>
                </c:pt>
                <c:pt idx="131">
                  <c:v>38470</c:v>
                </c:pt>
                <c:pt idx="132">
                  <c:v>38470</c:v>
                </c:pt>
                <c:pt idx="133">
                  <c:v>38488</c:v>
                </c:pt>
                <c:pt idx="134">
                  <c:v>38488</c:v>
                </c:pt>
                <c:pt idx="135">
                  <c:v>38525</c:v>
                </c:pt>
                <c:pt idx="136">
                  <c:v>38525</c:v>
                </c:pt>
                <c:pt idx="137">
                  <c:v>38546</c:v>
                </c:pt>
                <c:pt idx="138">
                  <c:v>38546</c:v>
                </c:pt>
                <c:pt idx="139">
                  <c:v>38594</c:v>
                </c:pt>
                <c:pt idx="140">
                  <c:v>38594</c:v>
                </c:pt>
                <c:pt idx="141">
                  <c:v>38609</c:v>
                </c:pt>
                <c:pt idx="142">
                  <c:v>38609</c:v>
                </c:pt>
                <c:pt idx="143">
                  <c:v>38643</c:v>
                </c:pt>
                <c:pt idx="144">
                  <c:v>38643</c:v>
                </c:pt>
                <c:pt idx="145">
                  <c:v>38670</c:v>
                </c:pt>
                <c:pt idx="146">
                  <c:v>38670</c:v>
                </c:pt>
                <c:pt idx="147">
                  <c:v>38706</c:v>
                </c:pt>
                <c:pt idx="148">
                  <c:v>38706</c:v>
                </c:pt>
                <c:pt idx="149">
                  <c:v>38737</c:v>
                </c:pt>
                <c:pt idx="150">
                  <c:v>38737</c:v>
                </c:pt>
                <c:pt idx="151">
                  <c:v>38763</c:v>
                </c:pt>
                <c:pt idx="152">
                  <c:v>38763</c:v>
                </c:pt>
                <c:pt idx="153">
                  <c:v>38792</c:v>
                </c:pt>
                <c:pt idx="154">
                  <c:v>38792</c:v>
                </c:pt>
                <c:pt idx="155">
                  <c:v>38826</c:v>
                </c:pt>
                <c:pt idx="156">
                  <c:v>38826</c:v>
                </c:pt>
                <c:pt idx="157">
                  <c:v>38853</c:v>
                </c:pt>
                <c:pt idx="158">
                  <c:v>38853</c:v>
                </c:pt>
                <c:pt idx="159">
                  <c:v>38884</c:v>
                </c:pt>
                <c:pt idx="160">
                  <c:v>38884</c:v>
                </c:pt>
                <c:pt idx="161">
                  <c:v>38915</c:v>
                </c:pt>
                <c:pt idx="162">
                  <c:v>38915</c:v>
                </c:pt>
                <c:pt idx="163">
                  <c:v>38952</c:v>
                </c:pt>
                <c:pt idx="164">
                  <c:v>38952</c:v>
                </c:pt>
                <c:pt idx="165">
                  <c:v>38975</c:v>
                </c:pt>
                <c:pt idx="166">
                  <c:v>38975</c:v>
                </c:pt>
                <c:pt idx="167">
                  <c:v>39006</c:v>
                </c:pt>
                <c:pt idx="168">
                  <c:v>39006</c:v>
                </c:pt>
                <c:pt idx="169">
                  <c:v>39041</c:v>
                </c:pt>
                <c:pt idx="170">
                  <c:v>39041</c:v>
                </c:pt>
                <c:pt idx="171">
                  <c:v>39062</c:v>
                </c:pt>
                <c:pt idx="172">
                  <c:v>39062</c:v>
                </c:pt>
                <c:pt idx="173">
                  <c:v>39100</c:v>
                </c:pt>
                <c:pt idx="174">
                  <c:v>39100</c:v>
                </c:pt>
                <c:pt idx="175">
                  <c:v>39135</c:v>
                </c:pt>
                <c:pt idx="176">
                  <c:v>39135</c:v>
                </c:pt>
                <c:pt idx="177">
                  <c:v>39153</c:v>
                </c:pt>
                <c:pt idx="178">
                  <c:v>39153</c:v>
                </c:pt>
                <c:pt idx="179">
                  <c:v>39191</c:v>
                </c:pt>
                <c:pt idx="180">
                  <c:v>39191</c:v>
                </c:pt>
                <c:pt idx="181">
                  <c:v>39216</c:v>
                </c:pt>
                <c:pt idx="182">
                  <c:v>39216</c:v>
                </c:pt>
                <c:pt idx="183">
                  <c:v>39248</c:v>
                </c:pt>
                <c:pt idx="184">
                  <c:v>39248</c:v>
                </c:pt>
                <c:pt idx="185">
                  <c:v>39279</c:v>
                </c:pt>
                <c:pt idx="186">
                  <c:v>39279</c:v>
                </c:pt>
                <c:pt idx="187">
                  <c:v>39308</c:v>
                </c:pt>
                <c:pt idx="188">
                  <c:v>39308</c:v>
                </c:pt>
                <c:pt idx="189">
                  <c:v>39335</c:v>
                </c:pt>
                <c:pt idx="190">
                  <c:v>39335</c:v>
                </c:pt>
                <c:pt idx="191">
                  <c:v>39370</c:v>
                </c:pt>
                <c:pt idx="192">
                  <c:v>39370</c:v>
                </c:pt>
                <c:pt idx="193">
                  <c:v>39400</c:v>
                </c:pt>
                <c:pt idx="194">
                  <c:v>39400</c:v>
                </c:pt>
                <c:pt idx="195">
                  <c:v>39434</c:v>
                </c:pt>
                <c:pt idx="196">
                  <c:v>39434</c:v>
                </c:pt>
                <c:pt idx="197">
                  <c:v>39463</c:v>
                </c:pt>
                <c:pt idx="198">
                  <c:v>39463</c:v>
                </c:pt>
                <c:pt idx="199">
                  <c:v>39493</c:v>
                </c:pt>
                <c:pt idx="200">
                  <c:v>39493</c:v>
                </c:pt>
                <c:pt idx="201">
                  <c:v>39517</c:v>
                </c:pt>
                <c:pt idx="202">
                  <c:v>39517</c:v>
                </c:pt>
                <c:pt idx="203">
                  <c:v>39552</c:v>
                </c:pt>
                <c:pt idx="204">
                  <c:v>39552</c:v>
                </c:pt>
                <c:pt idx="205">
                  <c:v>39583</c:v>
                </c:pt>
                <c:pt idx="206">
                  <c:v>39583</c:v>
                </c:pt>
                <c:pt idx="207">
                  <c:v>39617</c:v>
                </c:pt>
                <c:pt idx="208">
                  <c:v>39617</c:v>
                </c:pt>
                <c:pt idx="209">
                  <c:v>39645</c:v>
                </c:pt>
                <c:pt idx="210">
                  <c:v>39645</c:v>
                </c:pt>
                <c:pt idx="211">
                  <c:v>39672</c:v>
                </c:pt>
                <c:pt idx="212">
                  <c:v>39672</c:v>
                </c:pt>
                <c:pt idx="213">
                  <c:v>39709</c:v>
                </c:pt>
                <c:pt idx="214">
                  <c:v>39709</c:v>
                </c:pt>
                <c:pt idx="215">
                  <c:v>39735</c:v>
                </c:pt>
                <c:pt idx="216">
                  <c:v>39735</c:v>
                </c:pt>
                <c:pt idx="217">
                  <c:v>39769</c:v>
                </c:pt>
                <c:pt idx="218">
                  <c:v>39769</c:v>
                </c:pt>
                <c:pt idx="219">
                  <c:v>39797</c:v>
                </c:pt>
                <c:pt idx="220">
                  <c:v>39797</c:v>
                </c:pt>
                <c:pt idx="221">
                  <c:v>39826</c:v>
                </c:pt>
                <c:pt idx="222">
                  <c:v>39826</c:v>
                </c:pt>
                <c:pt idx="223">
                  <c:v>39861</c:v>
                </c:pt>
                <c:pt idx="224">
                  <c:v>39861</c:v>
                </c:pt>
                <c:pt idx="225">
                  <c:v>39888</c:v>
                </c:pt>
                <c:pt idx="226">
                  <c:v>39888</c:v>
                </c:pt>
                <c:pt idx="227">
                  <c:v>39916</c:v>
                </c:pt>
                <c:pt idx="228">
                  <c:v>39916</c:v>
                </c:pt>
                <c:pt idx="229">
                  <c:v>39946</c:v>
                </c:pt>
                <c:pt idx="230">
                  <c:v>39946</c:v>
                </c:pt>
                <c:pt idx="231">
                  <c:v>39983</c:v>
                </c:pt>
                <c:pt idx="232">
                  <c:v>39983</c:v>
                </c:pt>
                <c:pt idx="233">
                  <c:v>40007</c:v>
                </c:pt>
                <c:pt idx="234">
                  <c:v>40007</c:v>
                </c:pt>
                <c:pt idx="235">
                  <c:v>40042</c:v>
                </c:pt>
                <c:pt idx="236">
                  <c:v>40042</c:v>
                </c:pt>
                <c:pt idx="237">
                  <c:v>40071</c:v>
                </c:pt>
                <c:pt idx="238">
                  <c:v>40071</c:v>
                </c:pt>
                <c:pt idx="239">
                  <c:v>40100</c:v>
                </c:pt>
                <c:pt idx="240">
                  <c:v>40100</c:v>
                </c:pt>
                <c:pt idx="241">
                  <c:v>40133</c:v>
                </c:pt>
                <c:pt idx="242">
                  <c:v>40133</c:v>
                </c:pt>
                <c:pt idx="243">
                  <c:v>40161</c:v>
                </c:pt>
                <c:pt idx="244">
                  <c:v>40161</c:v>
                </c:pt>
                <c:pt idx="245">
                  <c:v>40197</c:v>
                </c:pt>
                <c:pt idx="246">
                  <c:v>40197</c:v>
                </c:pt>
                <c:pt idx="247">
                  <c:v>40225</c:v>
                </c:pt>
                <c:pt idx="248">
                  <c:v>40225</c:v>
                </c:pt>
                <c:pt idx="249">
                  <c:v>40255</c:v>
                </c:pt>
                <c:pt idx="250">
                  <c:v>40255</c:v>
                </c:pt>
                <c:pt idx="251">
                  <c:v>40281</c:v>
                </c:pt>
                <c:pt idx="252">
                  <c:v>40281</c:v>
                </c:pt>
                <c:pt idx="253">
                  <c:v>40317</c:v>
                </c:pt>
                <c:pt idx="254">
                  <c:v>40317</c:v>
                </c:pt>
                <c:pt idx="255">
                  <c:v>40345</c:v>
                </c:pt>
                <c:pt idx="256">
                  <c:v>40345</c:v>
                </c:pt>
                <c:pt idx="257">
                  <c:v>40373</c:v>
                </c:pt>
                <c:pt idx="258">
                  <c:v>40373</c:v>
                </c:pt>
                <c:pt idx="259">
                  <c:v>40409</c:v>
                </c:pt>
                <c:pt idx="260">
                  <c:v>40409</c:v>
                </c:pt>
                <c:pt idx="261">
                  <c:v>40434</c:v>
                </c:pt>
                <c:pt idx="262">
                  <c:v>40434</c:v>
                </c:pt>
                <c:pt idx="263">
                  <c:v>40463</c:v>
                </c:pt>
                <c:pt idx="264">
                  <c:v>40463</c:v>
                </c:pt>
                <c:pt idx="265">
                  <c:v>40500</c:v>
                </c:pt>
                <c:pt idx="266">
                  <c:v>40500</c:v>
                </c:pt>
                <c:pt idx="267">
                  <c:v>40521</c:v>
                </c:pt>
                <c:pt idx="268">
                  <c:v>40521</c:v>
                </c:pt>
                <c:pt idx="269">
                  <c:v>40563</c:v>
                </c:pt>
                <c:pt idx="270">
                  <c:v>40563</c:v>
                </c:pt>
                <c:pt idx="271">
                  <c:v>40598</c:v>
                </c:pt>
                <c:pt idx="272">
                  <c:v>40598</c:v>
                </c:pt>
                <c:pt idx="273">
                  <c:v>40617</c:v>
                </c:pt>
                <c:pt idx="274">
                  <c:v>40617</c:v>
                </c:pt>
                <c:pt idx="275">
                  <c:v>40647</c:v>
                </c:pt>
                <c:pt idx="276">
                  <c:v>40647</c:v>
                </c:pt>
                <c:pt idx="277">
                  <c:v>40682</c:v>
                </c:pt>
                <c:pt idx="278">
                  <c:v>40682</c:v>
                </c:pt>
                <c:pt idx="279">
                  <c:v>40709</c:v>
                </c:pt>
                <c:pt idx="280">
                  <c:v>40709</c:v>
                </c:pt>
                <c:pt idx="281">
                  <c:v>40736</c:v>
                </c:pt>
                <c:pt idx="282">
                  <c:v>40736</c:v>
                </c:pt>
                <c:pt idx="283">
                  <c:v>40772</c:v>
                </c:pt>
                <c:pt idx="284">
                  <c:v>40772</c:v>
                </c:pt>
                <c:pt idx="285">
                  <c:v>40798</c:v>
                </c:pt>
                <c:pt idx="286">
                  <c:v>40798</c:v>
                </c:pt>
                <c:pt idx="287">
                  <c:v>40829</c:v>
                </c:pt>
                <c:pt idx="288">
                  <c:v>40829</c:v>
                </c:pt>
                <c:pt idx="289">
                  <c:v>40877</c:v>
                </c:pt>
                <c:pt idx="290">
                  <c:v>40877</c:v>
                </c:pt>
                <c:pt idx="291">
                  <c:v>40891</c:v>
                </c:pt>
                <c:pt idx="292">
                  <c:v>40891</c:v>
                </c:pt>
                <c:pt idx="293">
                  <c:v>40919</c:v>
                </c:pt>
                <c:pt idx="294">
                  <c:v>40919</c:v>
                </c:pt>
                <c:pt idx="295">
                  <c:v>40960</c:v>
                </c:pt>
                <c:pt idx="296">
                  <c:v>40960</c:v>
                </c:pt>
                <c:pt idx="297">
                  <c:v>40982</c:v>
                </c:pt>
                <c:pt idx="298">
                  <c:v>40982</c:v>
                </c:pt>
                <c:pt idx="299">
                  <c:v>41016</c:v>
                </c:pt>
                <c:pt idx="300">
                  <c:v>41016</c:v>
                </c:pt>
                <c:pt idx="301">
                  <c:v>41051</c:v>
                </c:pt>
                <c:pt idx="302">
                  <c:v>41051</c:v>
                </c:pt>
                <c:pt idx="303">
                  <c:v>41080</c:v>
                </c:pt>
                <c:pt idx="304">
                  <c:v>41080</c:v>
                </c:pt>
                <c:pt idx="305">
                  <c:v>41106</c:v>
                </c:pt>
                <c:pt idx="306">
                  <c:v>41106</c:v>
                </c:pt>
                <c:pt idx="307">
                  <c:v>41137</c:v>
                </c:pt>
                <c:pt idx="308">
                  <c:v>41137</c:v>
                </c:pt>
                <c:pt idx="309">
                  <c:v>41163</c:v>
                </c:pt>
                <c:pt idx="310">
                  <c:v>41163</c:v>
                </c:pt>
                <c:pt idx="311">
                  <c:v>41199</c:v>
                </c:pt>
                <c:pt idx="312">
                  <c:v>41199</c:v>
                </c:pt>
                <c:pt idx="313">
                  <c:v>41225</c:v>
                </c:pt>
                <c:pt idx="314">
                  <c:v>41225</c:v>
                </c:pt>
                <c:pt idx="315">
                  <c:v>41255</c:v>
                </c:pt>
                <c:pt idx="316">
                  <c:v>41255</c:v>
                </c:pt>
                <c:pt idx="317">
                  <c:v>41297</c:v>
                </c:pt>
                <c:pt idx="318">
                  <c:v>41297</c:v>
                </c:pt>
                <c:pt idx="319">
                  <c:v>41319</c:v>
                </c:pt>
                <c:pt idx="320">
                  <c:v>41319</c:v>
                </c:pt>
                <c:pt idx="321">
                  <c:v>41346</c:v>
                </c:pt>
                <c:pt idx="322">
                  <c:v>41346</c:v>
                </c:pt>
                <c:pt idx="323">
                  <c:v>41380</c:v>
                </c:pt>
                <c:pt idx="324">
                  <c:v>41380</c:v>
                </c:pt>
                <c:pt idx="325">
                  <c:v>41380</c:v>
                </c:pt>
                <c:pt idx="326">
                  <c:v>41407</c:v>
                </c:pt>
                <c:pt idx="327">
                  <c:v>41407</c:v>
                </c:pt>
                <c:pt idx="328">
                  <c:v>41437</c:v>
                </c:pt>
                <c:pt idx="329">
                  <c:v>41437</c:v>
                </c:pt>
                <c:pt idx="330">
                  <c:v>41470</c:v>
                </c:pt>
                <c:pt idx="331">
                  <c:v>41470</c:v>
                </c:pt>
                <c:pt idx="332">
                  <c:v>41498</c:v>
                </c:pt>
                <c:pt idx="333">
                  <c:v>41498</c:v>
                </c:pt>
                <c:pt idx="334">
                  <c:v>41535</c:v>
                </c:pt>
                <c:pt idx="335">
                  <c:v>41535</c:v>
                </c:pt>
                <c:pt idx="336">
                  <c:v>406810</c:v>
                </c:pt>
                <c:pt idx="337">
                  <c:v>406810</c:v>
                </c:pt>
                <c:pt idx="338">
                  <c:v>41599</c:v>
                </c:pt>
                <c:pt idx="339">
                  <c:v>41599</c:v>
                </c:pt>
                <c:pt idx="340">
                  <c:v>41627</c:v>
                </c:pt>
                <c:pt idx="341">
                  <c:v>41627</c:v>
                </c:pt>
                <c:pt idx="342">
                  <c:v>41655</c:v>
                </c:pt>
                <c:pt idx="343">
                  <c:v>41655</c:v>
                </c:pt>
                <c:pt idx="344">
                  <c:v>41690</c:v>
                </c:pt>
                <c:pt idx="345">
                  <c:v>41690</c:v>
                </c:pt>
                <c:pt idx="346">
                  <c:v>41718</c:v>
                </c:pt>
                <c:pt idx="347">
                  <c:v>41718</c:v>
                </c:pt>
                <c:pt idx="348">
                  <c:v>41750</c:v>
                </c:pt>
                <c:pt idx="349">
                  <c:v>41750</c:v>
                </c:pt>
                <c:pt idx="350">
                  <c:v>41406</c:v>
                </c:pt>
                <c:pt idx="351">
                  <c:v>41406</c:v>
                </c:pt>
                <c:pt idx="352">
                  <c:v>41807</c:v>
                </c:pt>
                <c:pt idx="353">
                  <c:v>41807</c:v>
                </c:pt>
                <c:pt idx="354">
                  <c:v>41837</c:v>
                </c:pt>
                <c:pt idx="355">
                  <c:v>41837</c:v>
                </c:pt>
                <c:pt idx="356">
                  <c:v>41862</c:v>
                </c:pt>
                <c:pt idx="357">
                  <c:v>41862</c:v>
                </c:pt>
                <c:pt idx="358">
                  <c:v>41897</c:v>
                </c:pt>
                <c:pt idx="359">
                  <c:v>41897</c:v>
                </c:pt>
                <c:pt idx="360">
                  <c:v>41928</c:v>
                </c:pt>
                <c:pt idx="361">
                  <c:v>41928</c:v>
                </c:pt>
                <c:pt idx="362">
                  <c:v>41955</c:v>
                </c:pt>
                <c:pt idx="363">
                  <c:v>41955</c:v>
                </c:pt>
                <c:pt idx="364">
                  <c:v>41992</c:v>
                </c:pt>
                <c:pt idx="365">
                  <c:v>41992</c:v>
                </c:pt>
                <c:pt idx="366">
                  <c:v>42014</c:v>
                </c:pt>
                <c:pt idx="367">
                  <c:v>42009</c:v>
                </c:pt>
                <c:pt idx="368">
                  <c:v>42036</c:v>
                </c:pt>
                <c:pt idx="369">
                  <c:v>42036</c:v>
                </c:pt>
                <c:pt idx="370">
                  <c:v>42064</c:v>
                </c:pt>
                <c:pt idx="371">
                  <c:v>42064</c:v>
                </c:pt>
                <c:pt idx="372">
                  <c:v>42095</c:v>
                </c:pt>
                <c:pt idx="373">
                  <c:v>42095</c:v>
                </c:pt>
                <c:pt idx="374">
                  <c:v>42125</c:v>
                </c:pt>
                <c:pt idx="375">
                  <c:v>42125</c:v>
                </c:pt>
                <c:pt idx="376">
                  <c:v>42156</c:v>
                </c:pt>
                <c:pt idx="377">
                  <c:v>42156</c:v>
                </c:pt>
                <c:pt idx="378">
                  <c:v>42186</c:v>
                </c:pt>
                <c:pt idx="379">
                  <c:v>42186</c:v>
                </c:pt>
                <c:pt idx="380">
                  <c:v>42217</c:v>
                </c:pt>
                <c:pt idx="381">
                  <c:v>42217</c:v>
                </c:pt>
                <c:pt idx="382">
                  <c:v>42248</c:v>
                </c:pt>
                <c:pt idx="383">
                  <c:v>42248</c:v>
                </c:pt>
                <c:pt idx="384">
                  <c:v>42278</c:v>
                </c:pt>
                <c:pt idx="385">
                  <c:v>42278</c:v>
                </c:pt>
                <c:pt idx="386">
                  <c:v>42309</c:v>
                </c:pt>
                <c:pt idx="387">
                  <c:v>42309</c:v>
                </c:pt>
                <c:pt idx="388">
                  <c:v>42339</c:v>
                </c:pt>
                <c:pt idx="389">
                  <c:v>42339</c:v>
                </c:pt>
                <c:pt idx="390">
                  <c:v>42379</c:v>
                </c:pt>
                <c:pt idx="391">
                  <c:v>42374</c:v>
                </c:pt>
                <c:pt idx="392">
                  <c:v>42401</c:v>
                </c:pt>
                <c:pt idx="393">
                  <c:v>42401</c:v>
                </c:pt>
                <c:pt idx="394">
                  <c:v>42430</c:v>
                </c:pt>
                <c:pt idx="395">
                  <c:v>42430</c:v>
                </c:pt>
                <c:pt idx="396">
                  <c:v>42461</c:v>
                </c:pt>
                <c:pt idx="397">
                  <c:v>42461</c:v>
                </c:pt>
                <c:pt idx="398">
                  <c:v>42491</c:v>
                </c:pt>
                <c:pt idx="399">
                  <c:v>42491</c:v>
                </c:pt>
                <c:pt idx="400">
                  <c:v>42522</c:v>
                </c:pt>
                <c:pt idx="401">
                  <c:v>42522</c:v>
                </c:pt>
                <c:pt idx="402">
                  <c:v>42552</c:v>
                </c:pt>
                <c:pt idx="403">
                  <c:v>42552</c:v>
                </c:pt>
                <c:pt idx="404">
                  <c:v>42583</c:v>
                </c:pt>
                <c:pt idx="405">
                  <c:v>42583</c:v>
                </c:pt>
                <c:pt idx="406">
                  <c:v>42614</c:v>
                </c:pt>
                <c:pt idx="407">
                  <c:v>42614</c:v>
                </c:pt>
                <c:pt idx="408">
                  <c:v>42644</c:v>
                </c:pt>
                <c:pt idx="409">
                  <c:v>42644</c:v>
                </c:pt>
                <c:pt idx="410">
                  <c:v>42675</c:v>
                </c:pt>
                <c:pt idx="411">
                  <c:v>42675</c:v>
                </c:pt>
                <c:pt idx="412">
                  <c:v>42705</c:v>
                </c:pt>
                <c:pt idx="413">
                  <c:v>42705</c:v>
                </c:pt>
                <c:pt idx="414">
                  <c:v>42745</c:v>
                </c:pt>
                <c:pt idx="415">
                  <c:v>42740</c:v>
                </c:pt>
                <c:pt idx="416">
                  <c:v>42767</c:v>
                </c:pt>
                <c:pt idx="417">
                  <c:v>42767</c:v>
                </c:pt>
                <c:pt idx="418">
                  <c:v>42795</c:v>
                </c:pt>
                <c:pt idx="419">
                  <c:v>42795</c:v>
                </c:pt>
                <c:pt idx="420">
                  <c:v>42826</c:v>
                </c:pt>
                <c:pt idx="421">
                  <c:v>42826</c:v>
                </c:pt>
                <c:pt idx="422">
                  <c:v>42856</c:v>
                </c:pt>
                <c:pt idx="423">
                  <c:v>42856</c:v>
                </c:pt>
                <c:pt idx="424">
                  <c:v>42887</c:v>
                </c:pt>
                <c:pt idx="425">
                  <c:v>42887</c:v>
                </c:pt>
                <c:pt idx="426">
                  <c:v>42917</c:v>
                </c:pt>
                <c:pt idx="427">
                  <c:v>42917</c:v>
                </c:pt>
                <c:pt idx="428">
                  <c:v>42948</c:v>
                </c:pt>
                <c:pt idx="429">
                  <c:v>42948</c:v>
                </c:pt>
                <c:pt idx="430">
                  <c:v>42979</c:v>
                </c:pt>
                <c:pt idx="431">
                  <c:v>42979</c:v>
                </c:pt>
                <c:pt idx="432">
                  <c:v>43009</c:v>
                </c:pt>
                <c:pt idx="433">
                  <c:v>43009</c:v>
                </c:pt>
                <c:pt idx="434">
                  <c:v>43040</c:v>
                </c:pt>
                <c:pt idx="435">
                  <c:v>43040</c:v>
                </c:pt>
                <c:pt idx="436">
                  <c:v>43070</c:v>
                </c:pt>
                <c:pt idx="437">
                  <c:v>43070</c:v>
                </c:pt>
                <c:pt idx="438">
                  <c:v>43110</c:v>
                </c:pt>
                <c:pt idx="439">
                  <c:v>43105</c:v>
                </c:pt>
                <c:pt idx="440">
                  <c:v>43132</c:v>
                </c:pt>
                <c:pt idx="441">
                  <c:v>43132</c:v>
                </c:pt>
                <c:pt idx="442">
                  <c:v>43160</c:v>
                </c:pt>
                <c:pt idx="443">
                  <c:v>43160</c:v>
                </c:pt>
                <c:pt idx="444">
                  <c:v>43191</c:v>
                </c:pt>
                <c:pt idx="445">
                  <c:v>43191</c:v>
                </c:pt>
                <c:pt idx="446">
                  <c:v>43221</c:v>
                </c:pt>
                <c:pt idx="447">
                  <c:v>43221</c:v>
                </c:pt>
                <c:pt idx="448">
                  <c:v>43252</c:v>
                </c:pt>
                <c:pt idx="449">
                  <c:v>43252</c:v>
                </c:pt>
                <c:pt idx="450">
                  <c:v>43282</c:v>
                </c:pt>
                <c:pt idx="451">
                  <c:v>43282</c:v>
                </c:pt>
                <c:pt idx="452">
                  <c:v>43313</c:v>
                </c:pt>
                <c:pt idx="453">
                  <c:v>43313</c:v>
                </c:pt>
                <c:pt idx="454">
                  <c:v>43344</c:v>
                </c:pt>
                <c:pt idx="455">
                  <c:v>43344</c:v>
                </c:pt>
                <c:pt idx="456">
                  <c:v>43374</c:v>
                </c:pt>
                <c:pt idx="457">
                  <c:v>43374</c:v>
                </c:pt>
                <c:pt idx="458">
                  <c:v>43405</c:v>
                </c:pt>
                <c:pt idx="459">
                  <c:v>43405</c:v>
                </c:pt>
                <c:pt idx="460">
                  <c:v>43435</c:v>
                </c:pt>
                <c:pt idx="461">
                  <c:v>43435</c:v>
                </c:pt>
                <c:pt idx="462">
                  <c:v>43475</c:v>
                </c:pt>
                <c:pt idx="463">
                  <c:v>43470</c:v>
                </c:pt>
                <c:pt idx="464">
                  <c:v>43497</c:v>
                </c:pt>
                <c:pt idx="465">
                  <c:v>43497</c:v>
                </c:pt>
                <c:pt idx="466">
                  <c:v>43525</c:v>
                </c:pt>
                <c:pt idx="467">
                  <c:v>43525</c:v>
                </c:pt>
                <c:pt idx="468">
                  <c:v>43556</c:v>
                </c:pt>
                <c:pt idx="469">
                  <c:v>43556</c:v>
                </c:pt>
                <c:pt idx="470">
                  <c:v>43586</c:v>
                </c:pt>
                <c:pt idx="471">
                  <c:v>43586</c:v>
                </c:pt>
                <c:pt idx="472">
                  <c:v>43617</c:v>
                </c:pt>
                <c:pt idx="473">
                  <c:v>43617</c:v>
                </c:pt>
                <c:pt idx="474">
                  <c:v>43647</c:v>
                </c:pt>
                <c:pt idx="475">
                  <c:v>43647</c:v>
                </c:pt>
                <c:pt idx="476">
                  <c:v>43678</c:v>
                </c:pt>
                <c:pt idx="477">
                  <c:v>43678</c:v>
                </c:pt>
                <c:pt idx="478">
                  <c:v>43709</c:v>
                </c:pt>
                <c:pt idx="479">
                  <c:v>43709</c:v>
                </c:pt>
                <c:pt idx="480">
                  <c:v>43739</c:v>
                </c:pt>
                <c:pt idx="481">
                  <c:v>43739</c:v>
                </c:pt>
                <c:pt idx="482">
                  <c:v>43770</c:v>
                </c:pt>
                <c:pt idx="483">
                  <c:v>43770</c:v>
                </c:pt>
                <c:pt idx="484">
                  <c:v>43800</c:v>
                </c:pt>
                <c:pt idx="485">
                  <c:v>43800</c:v>
                </c:pt>
              </c:numCache>
            </c:numRef>
          </c:xVal>
          <c:yVal>
            <c:numRef>
              <c:f>'Zea update'!$AA$4:$AA$489</c:f>
              <c:numCache>
                <c:formatCode>General</c:formatCode>
                <c:ptCount val="486"/>
                <c:pt idx="0">
                  <c:v>-0.64149741897245205</c:v>
                </c:pt>
                <c:pt idx="2">
                  <c:v>-1.360524600092289</c:v>
                </c:pt>
                <c:pt idx="4">
                  <c:v>-2.0991993686551629</c:v>
                </c:pt>
                <c:pt idx="6">
                  <c:v>-2.7237232126452384</c:v>
                </c:pt>
                <c:pt idx="8">
                  <c:v>-2.5968027219203482</c:v>
                </c:pt>
                <c:pt idx="10">
                  <c:v>-3.1531773243442998</c:v>
                </c:pt>
                <c:pt idx="12">
                  <c:v>-3.7363886173665084</c:v>
                </c:pt>
                <c:pt idx="14">
                  <c:v>-4.1283704506094274</c:v>
                </c:pt>
                <c:pt idx="16">
                  <c:v>-4.1329877056259692</c:v>
                </c:pt>
                <c:pt idx="18">
                  <c:v>-3.694707030575167</c:v>
                </c:pt>
                <c:pt idx="20">
                  <c:v>-4.0771667333250079</c:v>
                </c:pt>
                <c:pt idx="22">
                  <c:v>-4.6033575918387779</c:v>
                </c:pt>
                <c:pt idx="24">
                  <c:v>-5.2315579183714407</c:v>
                </c:pt>
                <c:pt idx="26">
                  <c:v>-5.968033316409656</c:v>
                </c:pt>
                <c:pt idx="28">
                  <c:v>-6.1200580700024965</c:v>
                </c:pt>
                <c:pt idx="30">
                  <c:v>-6.1656085552083546</c:v>
                </c:pt>
                <c:pt idx="32">
                  <c:v>-6.3633905079733948</c:v>
                </c:pt>
                <c:pt idx="34">
                  <c:v>-5.7201955501817583</c:v>
                </c:pt>
                <c:pt idx="36">
                  <c:v>-6.3048178624602702</c:v>
                </c:pt>
                <c:pt idx="38">
                  <c:v>-7.0411511933768498</c:v>
                </c:pt>
                <c:pt idx="40">
                  <c:v>-7.3414901425083805</c:v>
                </c:pt>
                <c:pt idx="42">
                  <c:v>-7.2667637940865424</c:v>
                </c:pt>
                <c:pt idx="44">
                  <c:v>-7.593740897805362</c:v>
                </c:pt>
                <c:pt idx="46">
                  <c:v>-7.8436155622471819</c:v>
                </c:pt>
                <c:pt idx="48">
                  <c:v>-8.5041477565998953</c:v>
                </c:pt>
                <c:pt idx="50">
                  <c:v>-9.2555364260164268</c:v>
                </c:pt>
                <c:pt idx="52">
                  <c:v>-9.9675727596313717</c:v>
                </c:pt>
                <c:pt idx="54">
                  <c:v>-10.511716482027069</c:v>
                </c:pt>
                <c:pt idx="56">
                  <c:v>-11.173954352293807</c:v>
                </c:pt>
                <c:pt idx="58">
                  <c:v>-11.737709571753381</c:v>
                </c:pt>
                <c:pt idx="60">
                  <c:v>-12.370087064235967</c:v>
                </c:pt>
                <c:pt idx="62">
                  <c:v>-12.757587969869045</c:v>
                </c:pt>
                <c:pt idx="64">
                  <c:v>-12.617051804769138</c:v>
                </c:pt>
                <c:pt idx="66">
                  <c:v>-11.50368271924685</c:v>
                </c:pt>
                <c:pt idx="68">
                  <c:v>-11.053807057204626</c:v>
                </c:pt>
                <c:pt idx="70">
                  <c:v>-11.510633606579953</c:v>
                </c:pt>
                <c:pt idx="72">
                  <c:v>-11.95710971948319</c:v>
                </c:pt>
                <c:pt idx="74">
                  <c:v>-12.568912279173716</c:v>
                </c:pt>
                <c:pt idx="76">
                  <c:v>-12.849023286612313</c:v>
                </c:pt>
                <c:pt idx="78">
                  <c:v>-13.028318496046255</c:v>
                </c:pt>
                <c:pt idx="80">
                  <c:v>-13.128092361546164</c:v>
                </c:pt>
                <c:pt idx="82">
                  <c:v>-12.672397867790311</c:v>
                </c:pt>
                <c:pt idx="84">
                  <c:v>-10.920476060385873</c:v>
                </c:pt>
                <c:pt idx="86">
                  <c:v>-11.142871552063315</c:v>
                </c:pt>
                <c:pt idx="88">
                  <c:v>-6.9550286454449184</c:v>
                </c:pt>
                <c:pt idx="90">
                  <c:v>-4.2801269545148699</c:v>
                </c:pt>
                <c:pt idx="92">
                  <c:v>-0.73959240241758417</c:v>
                </c:pt>
                <c:pt idx="94">
                  <c:v>0.9589123203692651</c:v>
                </c:pt>
                <c:pt idx="96">
                  <c:v>0.52800409682751348</c:v>
                </c:pt>
                <c:pt idx="98">
                  <c:v>-8.2392934317724209E-2</c:v>
                </c:pt>
                <c:pt idx="100">
                  <c:v>-8.5625909340260653E-2</c:v>
                </c:pt>
                <c:pt idx="102">
                  <c:v>0.26792625318527347</c:v>
                </c:pt>
                <c:pt idx="104">
                  <c:v>3.6624753796856075</c:v>
                </c:pt>
                <c:pt idx="106">
                  <c:v>4.8788487038650876</c:v>
                </c:pt>
                <c:pt idx="108">
                  <c:v>4.340580127553892</c:v>
                </c:pt>
                <c:pt idx="110">
                  <c:v>3.9411786199993157</c:v>
                </c:pt>
                <c:pt idx="112">
                  <c:v>7.9227027375133021</c:v>
                </c:pt>
                <c:pt idx="114">
                  <c:v>9.6715030205817296</c:v>
                </c:pt>
                <c:pt idx="116">
                  <c:v>13.198727496524192</c:v>
                </c:pt>
                <c:pt idx="118">
                  <c:v>13.160556983992681</c:v>
                </c:pt>
                <c:pt idx="120">
                  <c:v>12.642420630777156</c:v>
                </c:pt>
                <c:pt idx="122">
                  <c:v>12.116564929137583</c:v>
                </c:pt>
                <c:pt idx="124">
                  <c:v>11.845463966066864</c:v>
                </c:pt>
                <c:pt idx="126">
                  <c:v>11.661755568494335</c:v>
                </c:pt>
                <c:pt idx="128">
                  <c:v>11.886413390503392</c:v>
                </c:pt>
                <c:pt idx="130">
                  <c:v>11.570098665933553</c:v>
                </c:pt>
                <c:pt idx="132">
                  <c:v>11.418835892604905</c:v>
                </c:pt>
                <c:pt idx="134">
                  <c:v>11.603207952667603</c:v>
                </c:pt>
                <c:pt idx="136">
                  <c:v>13.049949776640426</c:v>
                </c:pt>
                <c:pt idx="138">
                  <c:v>15.557535111340069</c:v>
                </c:pt>
                <c:pt idx="140">
                  <c:v>21.138014914843669</c:v>
                </c:pt>
                <c:pt idx="142">
                  <c:v>24.180205475587819</c:v>
                </c:pt>
                <c:pt idx="144">
                  <c:v>24.13570113870837</c:v>
                </c:pt>
                <c:pt idx="146">
                  <c:v>23.560322847948363</c:v>
                </c:pt>
                <c:pt idx="148">
                  <c:v>23.177192366723503</c:v>
                </c:pt>
                <c:pt idx="150">
                  <c:v>23.15385152946817</c:v>
                </c:pt>
                <c:pt idx="152">
                  <c:v>23.23608458170466</c:v>
                </c:pt>
                <c:pt idx="154">
                  <c:v>22.619333425492421</c:v>
                </c:pt>
                <c:pt idx="156">
                  <c:v>22.000724753485834</c:v>
                </c:pt>
                <c:pt idx="158">
                  <c:v>21.84563224950578</c:v>
                </c:pt>
                <c:pt idx="160">
                  <c:v>24.384871480405813</c:v>
                </c:pt>
                <c:pt idx="162">
                  <c:v>26.680319376067452</c:v>
                </c:pt>
                <c:pt idx="164">
                  <c:v>28.48052107980568</c:v>
                </c:pt>
                <c:pt idx="166">
                  <c:v>29.245984982497308</c:v>
                </c:pt>
                <c:pt idx="168">
                  <c:v>28.728636297181463</c:v>
                </c:pt>
                <c:pt idx="170">
                  <c:v>28.103896808017581</c:v>
                </c:pt>
                <c:pt idx="172">
                  <c:v>27.553254943436936</c:v>
                </c:pt>
                <c:pt idx="174">
                  <c:v>27.026770934542338</c:v>
                </c:pt>
                <c:pt idx="176">
                  <c:v>27.363270493054195</c:v>
                </c:pt>
                <c:pt idx="178">
                  <c:v>27.030455344029217</c:v>
                </c:pt>
                <c:pt idx="180">
                  <c:v>26.503768327943977</c:v>
                </c:pt>
                <c:pt idx="182">
                  <c:v>27.840382811138948</c:v>
                </c:pt>
                <c:pt idx="184">
                  <c:v>31.292535227983105</c:v>
                </c:pt>
                <c:pt idx="186">
                  <c:v>34.193320115051691</c:v>
                </c:pt>
                <c:pt idx="188">
                  <c:v>35.610528452930346</c:v>
                </c:pt>
                <c:pt idx="190">
                  <c:v>36.992819554019093</c:v>
                </c:pt>
                <c:pt idx="192">
                  <c:v>36.426140121377969</c:v>
                </c:pt>
                <c:pt idx="194">
                  <c:v>35.837840422933787</c:v>
                </c:pt>
                <c:pt idx="196">
                  <c:v>35.542683107772348</c:v>
                </c:pt>
                <c:pt idx="198">
                  <c:v>35.039443422205913</c:v>
                </c:pt>
                <c:pt idx="200">
                  <c:v>34.568177369165127</c:v>
                </c:pt>
                <c:pt idx="202">
                  <c:v>34.081888784017053</c:v>
                </c:pt>
                <c:pt idx="204">
                  <c:v>33.489731948950734</c:v>
                </c:pt>
                <c:pt idx="206">
                  <c:v>33.319931574008884</c:v>
                </c:pt>
                <c:pt idx="208">
                  <c:v>33.975355429014634</c:v>
                </c:pt>
                <c:pt idx="210">
                  <c:v>34.681835592466101</c:v>
                </c:pt>
                <c:pt idx="212">
                  <c:v>35.818894007262919</c:v>
                </c:pt>
                <c:pt idx="214">
                  <c:v>35.345496378720419</c:v>
                </c:pt>
                <c:pt idx="216">
                  <c:v>35.052470639060687</c:v>
                </c:pt>
                <c:pt idx="218">
                  <c:v>34.363073359678275</c:v>
                </c:pt>
                <c:pt idx="220">
                  <c:v>34.092682921774795</c:v>
                </c:pt>
                <c:pt idx="222">
                  <c:v>33.748702377264671</c:v>
                </c:pt>
                <c:pt idx="224">
                  <c:v>33.303827259006958</c:v>
                </c:pt>
                <c:pt idx="226">
                  <c:v>33.222030501207122</c:v>
                </c:pt>
                <c:pt idx="228">
                  <c:v>32.511723481188895</c:v>
                </c:pt>
                <c:pt idx="230">
                  <c:v>31.82729987797714</c:v>
                </c:pt>
                <c:pt idx="232">
                  <c:v>31.567871828368165</c:v>
                </c:pt>
                <c:pt idx="234">
                  <c:v>31.5291125949838</c:v>
                </c:pt>
                <c:pt idx="236">
                  <c:v>32.631862794562622</c:v>
                </c:pt>
                <c:pt idx="238">
                  <c:v>32.475359390607629</c:v>
                </c:pt>
                <c:pt idx="240">
                  <c:v>31.840165031125835</c:v>
                </c:pt>
                <c:pt idx="242">
                  <c:v>31.28363595801666</c:v>
                </c:pt>
                <c:pt idx="244">
                  <c:v>30.783441380309814</c:v>
                </c:pt>
                <c:pt idx="246">
                  <c:v>31.694045273948809</c:v>
                </c:pt>
                <c:pt idx="248">
                  <c:v>31.741868607371984</c:v>
                </c:pt>
                <c:pt idx="250">
                  <c:v>32.752961060377288</c:v>
                </c:pt>
                <c:pt idx="252">
                  <c:v>32.396597077238184</c:v>
                </c:pt>
                <c:pt idx="254">
                  <c:v>32.228928277798047</c:v>
                </c:pt>
                <c:pt idx="256">
                  <c:v>33.047265403291611</c:v>
                </c:pt>
                <c:pt idx="258">
                  <c:v>34.089113445678727</c:v>
                </c:pt>
                <c:pt idx="260">
                  <c:v>34.512094067402806</c:v>
                </c:pt>
                <c:pt idx="262">
                  <c:v>34.105485804580546</c:v>
                </c:pt>
                <c:pt idx="264">
                  <c:v>33.435475711904161</c:v>
                </c:pt>
                <c:pt idx="266">
                  <c:v>32.77886409380995</c:v>
                </c:pt>
                <c:pt idx="268">
                  <c:v>32.468379735755263</c:v>
                </c:pt>
                <c:pt idx="270">
                  <c:v>32.618214182474546</c:v>
                </c:pt>
                <c:pt idx="272">
                  <c:v>33.171017902612277</c:v>
                </c:pt>
                <c:pt idx="274">
                  <c:v>33.302987716555329</c:v>
                </c:pt>
                <c:pt idx="276">
                  <c:v>32.675101615936541</c:v>
                </c:pt>
                <c:pt idx="278">
                  <c:v>32.497992982131684</c:v>
                </c:pt>
                <c:pt idx="280">
                  <c:v>32.354279031186948</c:v>
                </c:pt>
                <c:pt idx="282">
                  <c:v>33.857562417896553</c:v>
                </c:pt>
                <c:pt idx="284">
                  <c:v>34.11986284822985</c:v>
                </c:pt>
                <c:pt idx="286">
                  <c:v>33.734062822448088</c:v>
                </c:pt>
                <c:pt idx="288">
                  <c:v>33.229605093737824</c:v>
                </c:pt>
                <c:pt idx="290">
                  <c:v>32.559899511847398</c:v>
                </c:pt>
                <c:pt idx="292">
                  <c:v>31.807773010557533</c:v>
                </c:pt>
                <c:pt idx="294">
                  <c:v>31.225360520641882</c:v>
                </c:pt>
                <c:pt idx="296">
                  <c:v>30.767086927801991</c:v>
                </c:pt>
                <c:pt idx="298">
                  <c:v>30.128745956865291</c:v>
                </c:pt>
                <c:pt idx="300">
                  <c:v>29.541664301564946</c:v>
                </c:pt>
                <c:pt idx="302">
                  <c:v>29.408506724533439</c:v>
                </c:pt>
                <c:pt idx="304">
                  <c:v>29.443033086969759</c:v>
                </c:pt>
                <c:pt idx="306">
                  <c:v>29.911081305015699</c:v>
                </c:pt>
                <c:pt idx="308">
                  <c:v>29.87922431611306</c:v>
                </c:pt>
                <c:pt idx="310">
                  <c:v>29.882589074786292</c:v>
                </c:pt>
                <c:pt idx="312">
                  <c:v>29.179894824417026</c:v>
                </c:pt>
                <c:pt idx="314">
                  <c:v>28.633110096458523</c:v>
                </c:pt>
                <c:pt idx="316">
                  <c:v>28.019942017161064</c:v>
                </c:pt>
                <c:pt idx="318">
                  <c:v>27.476202397062146</c:v>
                </c:pt>
                <c:pt idx="320">
                  <c:v>27.184293196950929</c:v>
                </c:pt>
                <c:pt idx="322">
                  <c:v>28.084036205890737</c:v>
                </c:pt>
                <c:pt idx="325">
                  <c:v>27.388311869066744</c:v>
                </c:pt>
                <c:pt idx="327">
                  <c:v>26.893496981911831</c:v>
                </c:pt>
                <c:pt idx="329">
                  <c:v>26.920918092675787</c:v>
                </c:pt>
                <c:pt idx="331">
                  <c:v>27.915363956048694</c:v>
                </c:pt>
                <c:pt idx="333">
                  <c:v>27.793980796074251</c:v>
                </c:pt>
                <c:pt idx="335">
                  <c:v>27.256229888099185</c:v>
                </c:pt>
                <c:pt idx="337">
                  <c:v>26.580231083298948</c:v>
                </c:pt>
                <c:pt idx="339">
                  <c:v>25.811254985186043</c:v>
                </c:pt>
                <c:pt idx="341">
                  <c:v>25.18235384861406</c:v>
                </c:pt>
                <c:pt idx="343">
                  <c:v>24.736463694403149</c:v>
                </c:pt>
                <c:pt idx="345">
                  <c:v>24.676997727573603</c:v>
                </c:pt>
                <c:pt idx="347">
                  <c:v>24.985989811753875</c:v>
                </c:pt>
                <c:pt idx="349">
                  <c:v>24.506806478278165</c:v>
                </c:pt>
                <c:pt idx="351">
                  <c:v>24.09228093502098</c:v>
                </c:pt>
                <c:pt idx="353">
                  <c:v>24.198570339348194</c:v>
                </c:pt>
                <c:pt idx="355">
                  <c:v>24.595667544265797</c:v>
                </c:pt>
                <c:pt idx="357">
                  <c:v>25.483433128957902</c:v>
                </c:pt>
                <c:pt idx="359">
                  <c:v>25.06261436279091</c:v>
                </c:pt>
                <c:pt idx="361">
                  <c:v>24.56282579946534</c:v>
                </c:pt>
                <c:pt idx="363">
                  <c:v>23.84267293070112</c:v>
                </c:pt>
                <c:pt idx="365">
                  <c:v>23.237726642624541</c:v>
                </c:pt>
                <c:pt idx="367">
                  <c:v>23.441256491267843</c:v>
                </c:pt>
                <c:pt idx="371">
                  <c:v>24.562175834408858</c:v>
                </c:pt>
                <c:pt idx="373">
                  <c:v>24.018537717905261</c:v>
                </c:pt>
                <c:pt idx="375">
                  <c:v>23.614162534180029</c:v>
                </c:pt>
                <c:pt idx="377">
                  <c:v>23.750293995531177</c:v>
                </c:pt>
                <c:pt idx="379">
                  <c:v>24.610856616677655</c:v>
                </c:pt>
                <c:pt idx="381">
                  <c:v>24.880972823850552</c:v>
                </c:pt>
                <c:pt idx="383">
                  <c:v>24.59627037900702</c:v>
                </c:pt>
                <c:pt idx="385">
                  <c:v>24.116681031150033</c:v>
                </c:pt>
                <c:pt idx="387">
                  <c:v>23.369934220412102</c:v>
                </c:pt>
                <c:pt idx="389">
                  <c:v>22.909224541284541</c:v>
                </c:pt>
                <c:pt idx="391">
                  <c:v>22.579251492928506</c:v>
                </c:pt>
                <c:pt idx="393">
                  <c:v>22.874540591740644</c:v>
                </c:pt>
                <c:pt idx="395">
                  <c:v>22.405812128582845</c:v>
                </c:pt>
                <c:pt idx="397">
                  <c:v>21.884504803049538</c:v>
                </c:pt>
                <c:pt idx="399">
                  <c:v>21.37385535502478</c:v>
                </c:pt>
                <c:pt idx="401">
                  <c:v>20.919032884425754</c:v>
                </c:pt>
                <c:pt idx="403">
                  <c:v>21.776245886926688</c:v>
                </c:pt>
                <c:pt idx="405">
                  <c:v>21.760121955298573</c:v>
                </c:pt>
                <c:pt idx="407">
                  <c:v>21.361329469315912</c:v>
                </c:pt>
                <c:pt idx="409">
                  <c:v>20.692334412592722</c:v>
                </c:pt>
                <c:pt idx="411">
                  <c:v>19.906102703275501</c:v>
                </c:pt>
                <c:pt idx="413">
                  <c:v>19.263092566954104</c:v>
                </c:pt>
                <c:pt idx="419">
                  <c:v>18.540402108306893</c:v>
                </c:pt>
                <c:pt idx="421">
                  <c:v>17.865925857436448</c:v>
                </c:pt>
                <c:pt idx="423">
                  <c:v>17.388366581485851</c:v>
                </c:pt>
                <c:pt idx="425">
                  <c:v>17.095848359802716</c:v>
                </c:pt>
                <c:pt idx="427">
                  <c:v>16.545612509603352</c:v>
                </c:pt>
                <c:pt idx="431">
                  <c:v>15.836117518347679</c:v>
                </c:pt>
                <c:pt idx="435">
                  <c:v>15.042882060953412</c:v>
                </c:pt>
                <c:pt idx="437">
                  <c:v>14.463514678897347</c:v>
                </c:pt>
                <c:pt idx="439">
                  <c:v>15.253430797701446</c:v>
                </c:pt>
                <c:pt idx="441">
                  <c:v>14.639958207618028</c:v>
                </c:pt>
                <c:pt idx="443">
                  <c:v>14.483251796472395</c:v>
                </c:pt>
                <c:pt idx="445">
                  <c:v>13.823290559732641</c:v>
                </c:pt>
                <c:pt idx="447">
                  <c:v>13.366539520822542</c:v>
                </c:pt>
                <c:pt idx="449">
                  <c:v>13.060115306580634</c:v>
                </c:pt>
                <c:pt idx="451">
                  <c:v>13.728531621787283</c:v>
                </c:pt>
                <c:pt idx="453">
                  <c:v>13.400385638147002</c:v>
                </c:pt>
                <c:pt idx="455">
                  <c:v>13.046051726914287</c:v>
                </c:pt>
                <c:pt idx="457">
                  <c:v>12.349143181478233</c:v>
                </c:pt>
                <c:pt idx="467">
                  <c:v>11.634065492479987</c:v>
                </c:pt>
                <c:pt idx="469">
                  <c:v>11.165844547298784</c:v>
                </c:pt>
                <c:pt idx="471">
                  <c:v>10.461729246595045</c:v>
                </c:pt>
                <c:pt idx="473">
                  <c:v>10.010053387450922</c:v>
                </c:pt>
                <c:pt idx="475">
                  <c:v>10.29072596853705</c:v>
                </c:pt>
                <c:pt idx="481">
                  <c:v>9.9282717696787746</c:v>
                </c:pt>
                <c:pt idx="485">
                  <c:v>9.5632799809375122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97-4B4D-B491-DAD777617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874416"/>
        <c:axId val="1128957088"/>
      </c:scatterChart>
      <c:valAx>
        <c:axId val="1128874416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7088"/>
        <c:crosses val="autoZero"/>
        <c:crossBetween val="midCat"/>
        <c:majorUnit val="1095"/>
      </c:valAx>
      <c:valAx>
        <c:axId val="11289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Chl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'Zea update'!$B$4:$B$489</c:f>
              <c:numCache>
                <c:formatCode>[$-409]mmm\-yy;@</c:formatCode>
                <c:ptCount val="486"/>
                <c:pt idx="0">
                  <c:v>36446</c:v>
                </c:pt>
                <c:pt idx="1">
                  <c:v>36473</c:v>
                </c:pt>
                <c:pt idx="2">
                  <c:v>36473</c:v>
                </c:pt>
                <c:pt idx="3">
                  <c:v>36502</c:v>
                </c:pt>
                <c:pt idx="4">
                  <c:v>36502</c:v>
                </c:pt>
                <c:pt idx="5">
                  <c:v>36531</c:v>
                </c:pt>
                <c:pt idx="6">
                  <c:v>36531</c:v>
                </c:pt>
                <c:pt idx="7">
                  <c:v>36578</c:v>
                </c:pt>
                <c:pt idx="8">
                  <c:v>36578</c:v>
                </c:pt>
                <c:pt idx="9">
                  <c:v>36599</c:v>
                </c:pt>
                <c:pt idx="10">
                  <c:v>36599</c:v>
                </c:pt>
                <c:pt idx="11">
                  <c:v>36626</c:v>
                </c:pt>
                <c:pt idx="12">
                  <c:v>36626</c:v>
                </c:pt>
                <c:pt idx="13">
                  <c:v>36663</c:v>
                </c:pt>
                <c:pt idx="14">
                  <c:v>36663</c:v>
                </c:pt>
                <c:pt idx="15">
                  <c:v>36692</c:v>
                </c:pt>
                <c:pt idx="16">
                  <c:v>36692</c:v>
                </c:pt>
                <c:pt idx="17">
                  <c:v>36719</c:v>
                </c:pt>
                <c:pt idx="18">
                  <c:v>36719</c:v>
                </c:pt>
                <c:pt idx="19">
                  <c:v>36755</c:v>
                </c:pt>
                <c:pt idx="20">
                  <c:v>36755</c:v>
                </c:pt>
                <c:pt idx="21">
                  <c:v>36783</c:v>
                </c:pt>
                <c:pt idx="22">
                  <c:v>36783</c:v>
                </c:pt>
                <c:pt idx="23">
                  <c:v>36815</c:v>
                </c:pt>
                <c:pt idx="24">
                  <c:v>36815</c:v>
                </c:pt>
                <c:pt idx="25">
                  <c:v>36846</c:v>
                </c:pt>
                <c:pt idx="26">
                  <c:v>36846</c:v>
                </c:pt>
                <c:pt idx="27">
                  <c:v>36873</c:v>
                </c:pt>
                <c:pt idx="28">
                  <c:v>36873</c:v>
                </c:pt>
                <c:pt idx="29">
                  <c:v>36902</c:v>
                </c:pt>
                <c:pt idx="30">
                  <c:v>36902</c:v>
                </c:pt>
                <c:pt idx="31">
                  <c:v>36929</c:v>
                </c:pt>
                <c:pt idx="32">
                  <c:v>36929</c:v>
                </c:pt>
                <c:pt idx="33">
                  <c:v>36962</c:v>
                </c:pt>
                <c:pt idx="34">
                  <c:v>36962</c:v>
                </c:pt>
                <c:pt idx="35">
                  <c:v>36998</c:v>
                </c:pt>
                <c:pt idx="36">
                  <c:v>36998</c:v>
                </c:pt>
                <c:pt idx="37">
                  <c:v>37025</c:v>
                </c:pt>
                <c:pt idx="38">
                  <c:v>37025</c:v>
                </c:pt>
                <c:pt idx="39">
                  <c:v>37054</c:v>
                </c:pt>
                <c:pt idx="40">
                  <c:v>37054</c:v>
                </c:pt>
                <c:pt idx="41">
                  <c:v>37090</c:v>
                </c:pt>
                <c:pt idx="42">
                  <c:v>37090</c:v>
                </c:pt>
                <c:pt idx="43">
                  <c:v>37117</c:v>
                </c:pt>
                <c:pt idx="44">
                  <c:v>37117</c:v>
                </c:pt>
                <c:pt idx="45">
                  <c:v>37145</c:v>
                </c:pt>
                <c:pt idx="46">
                  <c:v>37145</c:v>
                </c:pt>
                <c:pt idx="47">
                  <c:v>37182</c:v>
                </c:pt>
                <c:pt idx="48">
                  <c:v>37182</c:v>
                </c:pt>
                <c:pt idx="49">
                  <c:v>37202</c:v>
                </c:pt>
                <c:pt idx="50">
                  <c:v>37202</c:v>
                </c:pt>
                <c:pt idx="51">
                  <c:v>37230</c:v>
                </c:pt>
                <c:pt idx="52">
                  <c:v>37230</c:v>
                </c:pt>
                <c:pt idx="53">
                  <c:v>37272</c:v>
                </c:pt>
                <c:pt idx="54">
                  <c:v>37272</c:v>
                </c:pt>
                <c:pt idx="55">
                  <c:v>37301</c:v>
                </c:pt>
                <c:pt idx="56">
                  <c:v>37301</c:v>
                </c:pt>
                <c:pt idx="57">
                  <c:v>37336</c:v>
                </c:pt>
                <c:pt idx="58">
                  <c:v>37336</c:v>
                </c:pt>
                <c:pt idx="59">
                  <c:v>37363</c:v>
                </c:pt>
                <c:pt idx="60">
                  <c:v>37363</c:v>
                </c:pt>
                <c:pt idx="61">
                  <c:v>37391</c:v>
                </c:pt>
                <c:pt idx="62">
                  <c:v>37391</c:v>
                </c:pt>
                <c:pt idx="63">
                  <c:v>37420</c:v>
                </c:pt>
                <c:pt idx="64">
                  <c:v>37420</c:v>
                </c:pt>
                <c:pt idx="65">
                  <c:v>37453</c:v>
                </c:pt>
                <c:pt idx="66">
                  <c:v>37453</c:v>
                </c:pt>
                <c:pt idx="67">
                  <c:v>37481</c:v>
                </c:pt>
                <c:pt idx="68">
                  <c:v>37481</c:v>
                </c:pt>
                <c:pt idx="69">
                  <c:v>37518</c:v>
                </c:pt>
                <c:pt idx="70">
                  <c:v>37518</c:v>
                </c:pt>
                <c:pt idx="71">
                  <c:v>37546</c:v>
                </c:pt>
                <c:pt idx="72">
                  <c:v>37546</c:v>
                </c:pt>
                <c:pt idx="73">
                  <c:v>37574</c:v>
                </c:pt>
                <c:pt idx="74">
                  <c:v>37574</c:v>
                </c:pt>
                <c:pt idx="75">
                  <c:v>37608</c:v>
                </c:pt>
                <c:pt idx="76">
                  <c:v>37608</c:v>
                </c:pt>
                <c:pt idx="77">
                  <c:v>37636</c:v>
                </c:pt>
                <c:pt idx="78">
                  <c:v>37636</c:v>
                </c:pt>
                <c:pt idx="79">
                  <c:v>37663</c:v>
                </c:pt>
                <c:pt idx="80">
                  <c:v>37663</c:v>
                </c:pt>
                <c:pt idx="81">
                  <c:v>37691</c:v>
                </c:pt>
                <c:pt idx="82">
                  <c:v>37691</c:v>
                </c:pt>
                <c:pt idx="83">
                  <c:v>37727</c:v>
                </c:pt>
                <c:pt idx="84">
                  <c:v>37727</c:v>
                </c:pt>
                <c:pt idx="85">
                  <c:v>37756</c:v>
                </c:pt>
                <c:pt idx="86">
                  <c:v>37756</c:v>
                </c:pt>
                <c:pt idx="87">
                  <c:v>37790</c:v>
                </c:pt>
                <c:pt idx="88">
                  <c:v>37790</c:v>
                </c:pt>
                <c:pt idx="89">
                  <c:v>37818</c:v>
                </c:pt>
                <c:pt idx="90">
                  <c:v>37818</c:v>
                </c:pt>
                <c:pt idx="91">
                  <c:v>37846</c:v>
                </c:pt>
                <c:pt idx="92">
                  <c:v>37846</c:v>
                </c:pt>
                <c:pt idx="93">
                  <c:v>37886</c:v>
                </c:pt>
                <c:pt idx="94">
                  <c:v>37886</c:v>
                </c:pt>
                <c:pt idx="95">
                  <c:v>37910</c:v>
                </c:pt>
                <c:pt idx="96">
                  <c:v>37910</c:v>
                </c:pt>
                <c:pt idx="97">
                  <c:v>37942</c:v>
                </c:pt>
                <c:pt idx="98">
                  <c:v>37942</c:v>
                </c:pt>
                <c:pt idx="99">
                  <c:v>37971</c:v>
                </c:pt>
                <c:pt idx="100">
                  <c:v>37971</c:v>
                </c:pt>
                <c:pt idx="101">
                  <c:v>37998</c:v>
                </c:pt>
                <c:pt idx="102">
                  <c:v>37998</c:v>
                </c:pt>
                <c:pt idx="103">
                  <c:v>38026</c:v>
                </c:pt>
                <c:pt idx="104">
                  <c:v>38026</c:v>
                </c:pt>
                <c:pt idx="105">
                  <c:v>38061</c:v>
                </c:pt>
                <c:pt idx="106">
                  <c:v>38061</c:v>
                </c:pt>
                <c:pt idx="107">
                  <c:v>38093</c:v>
                </c:pt>
                <c:pt idx="108">
                  <c:v>38093</c:v>
                </c:pt>
                <c:pt idx="109">
                  <c:v>38117</c:v>
                </c:pt>
                <c:pt idx="110">
                  <c:v>38117</c:v>
                </c:pt>
                <c:pt idx="111">
                  <c:v>38160</c:v>
                </c:pt>
                <c:pt idx="112">
                  <c:v>38160</c:v>
                </c:pt>
                <c:pt idx="113">
                  <c:v>38182</c:v>
                </c:pt>
                <c:pt idx="114">
                  <c:v>38183</c:v>
                </c:pt>
                <c:pt idx="115">
                  <c:v>38218</c:v>
                </c:pt>
                <c:pt idx="116">
                  <c:v>38218</c:v>
                </c:pt>
                <c:pt idx="117">
                  <c:v>38246</c:v>
                </c:pt>
                <c:pt idx="118">
                  <c:v>38246</c:v>
                </c:pt>
                <c:pt idx="119">
                  <c:v>38274</c:v>
                </c:pt>
                <c:pt idx="120">
                  <c:v>38274</c:v>
                </c:pt>
                <c:pt idx="121">
                  <c:v>38309</c:v>
                </c:pt>
                <c:pt idx="122">
                  <c:v>38309</c:v>
                </c:pt>
                <c:pt idx="123">
                  <c:v>38337</c:v>
                </c:pt>
                <c:pt idx="124">
                  <c:v>38337</c:v>
                </c:pt>
                <c:pt idx="125">
                  <c:v>38364</c:v>
                </c:pt>
                <c:pt idx="126">
                  <c:v>38364</c:v>
                </c:pt>
                <c:pt idx="127">
                  <c:v>38398</c:v>
                </c:pt>
                <c:pt idx="128">
                  <c:v>38398</c:v>
                </c:pt>
                <c:pt idx="129">
                  <c:v>38427</c:v>
                </c:pt>
                <c:pt idx="130">
                  <c:v>38427</c:v>
                </c:pt>
                <c:pt idx="131">
                  <c:v>38470</c:v>
                </c:pt>
                <c:pt idx="132">
                  <c:v>38470</c:v>
                </c:pt>
                <c:pt idx="133">
                  <c:v>38488</c:v>
                </c:pt>
                <c:pt idx="134">
                  <c:v>38488</c:v>
                </c:pt>
                <c:pt idx="135">
                  <c:v>38525</c:v>
                </c:pt>
                <c:pt idx="136">
                  <c:v>38525</c:v>
                </c:pt>
                <c:pt idx="137">
                  <c:v>38546</c:v>
                </c:pt>
                <c:pt idx="138">
                  <c:v>38546</c:v>
                </c:pt>
                <c:pt idx="139">
                  <c:v>38594</c:v>
                </c:pt>
                <c:pt idx="140">
                  <c:v>38594</c:v>
                </c:pt>
                <c:pt idx="141">
                  <c:v>38609</c:v>
                </c:pt>
                <c:pt idx="142">
                  <c:v>38609</c:v>
                </c:pt>
                <c:pt idx="143">
                  <c:v>38643</c:v>
                </c:pt>
                <c:pt idx="144">
                  <c:v>38643</c:v>
                </c:pt>
                <c:pt idx="145">
                  <c:v>38670</c:v>
                </c:pt>
                <c:pt idx="146">
                  <c:v>38670</c:v>
                </c:pt>
                <c:pt idx="147">
                  <c:v>38706</c:v>
                </c:pt>
                <c:pt idx="148">
                  <c:v>38706</c:v>
                </c:pt>
                <c:pt idx="149">
                  <c:v>38737</c:v>
                </c:pt>
                <c:pt idx="150">
                  <c:v>38737</c:v>
                </c:pt>
                <c:pt idx="151">
                  <c:v>38763</c:v>
                </c:pt>
                <c:pt idx="152">
                  <c:v>38763</c:v>
                </c:pt>
                <c:pt idx="153">
                  <c:v>38792</c:v>
                </c:pt>
                <c:pt idx="154">
                  <c:v>38792</c:v>
                </c:pt>
                <c:pt idx="155">
                  <c:v>38826</c:v>
                </c:pt>
                <c:pt idx="156">
                  <c:v>38826</c:v>
                </c:pt>
                <c:pt idx="157">
                  <c:v>38853</c:v>
                </c:pt>
                <c:pt idx="158">
                  <c:v>38853</c:v>
                </c:pt>
                <c:pt idx="159">
                  <c:v>38884</c:v>
                </c:pt>
                <c:pt idx="160">
                  <c:v>38884</c:v>
                </c:pt>
                <c:pt idx="161">
                  <c:v>38915</c:v>
                </c:pt>
                <c:pt idx="162">
                  <c:v>38915</c:v>
                </c:pt>
                <c:pt idx="163">
                  <c:v>38952</c:v>
                </c:pt>
                <c:pt idx="164">
                  <c:v>38952</c:v>
                </c:pt>
                <c:pt idx="165">
                  <c:v>38975</c:v>
                </c:pt>
                <c:pt idx="166">
                  <c:v>38975</c:v>
                </c:pt>
                <c:pt idx="167">
                  <c:v>39006</c:v>
                </c:pt>
                <c:pt idx="168">
                  <c:v>39006</c:v>
                </c:pt>
                <c:pt idx="169">
                  <c:v>39041</c:v>
                </c:pt>
                <c:pt idx="170">
                  <c:v>39041</c:v>
                </c:pt>
                <c:pt idx="171">
                  <c:v>39062</c:v>
                </c:pt>
                <c:pt idx="172">
                  <c:v>39062</c:v>
                </c:pt>
                <c:pt idx="173">
                  <c:v>39100</c:v>
                </c:pt>
                <c:pt idx="174">
                  <c:v>39100</c:v>
                </c:pt>
                <c:pt idx="175">
                  <c:v>39135</c:v>
                </c:pt>
                <c:pt idx="176">
                  <c:v>39135</c:v>
                </c:pt>
                <c:pt idx="177">
                  <c:v>39153</c:v>
                </c:pt>
                <c:pt idx="178">
                  <c:v>39153</c:v>
                </c:pt>
                <c:pt idx="179">
                  <c:v>39191</c:v>
                </c:pt>
                <c:pt idx="180">
                  <c:v>39191</c:v>
                </c:pt>
                <c:pt idx="181">
                  <c:v>39216</c:v>
                </c:pt>
                <c:pt idx="182">
                  <c:v>39216</c:v>
                </c:pt>
                <c:pt idx="183">
                  <c:v>39248</c:v>
                </c:pt>
                <c:pt idx="184">
                  <c:v>39248</c:v>
                </c:pt>
                <c:pt idx="185">
                  <c:v>39279</c:v>
                </c:pt>
                <c:pt idx="186">
                  <c:v>39279</c:v>
                </c:pt>
                <c:pt idx="187">
                  <c:v>39308</c:v>
                </c:pt>
                <c:pt idx="188">
                  <c:v>39308</c:v>
                </c:pt>
                <c:pt idx="189">
                  <c:v>39335</c:v>
                </c:pt>
                <c:pt idx="190">
                  <c:v>39335</c:v>
                </c:pt>
                <c:pt idx="191">
                  <c:v>39370</c:v>
                </c:pt>
                <c:pt idx="192">
                  <c:v>39370</c:v>
                </c:pt>
                <c:pt idx="193">
                  <c:v>39400</c:v>
                </c:pt>
                <c:pt idx="194">
                  <c:v>39400</c:v>
                </c:pt>
                <c:pt idx="195">
                  <c:v>39434</c:v>
                </c:pt>
                <c:pt idx="196">
                  <c:v>39434</c:v>
                </c:pt>
                <c:pt idx="197">
                  <c:v>39463</c:v>
                </c:pt>
                <c:pt idx="198">
                  <c:v>39463</c:v>
                </c:pt>
                <c:pt idx="199">
                  <c:v>39493</c:v>
                </c:pt>
                <c:pt idx="200">
                  <c:v>39493</c:v>
                </c:pt>
                <c:pt idx="201">
                  <c:v>39517</c:v>
                </c:pt>
                <c:pt idx="202">
                  <c:v>39517</c:v>
                </c:pt>
                <c:pt idx="203">
                  <c:v>39552</c:v>
                </c:pt>
                <c:pt idx="204">
                  <c:v>39552</c:v>
                </c:pt>
                <c:pt idx="205">
                  <c:v>39583</c:v>
                </c:pt>
                <c:pt idx="206">
                  <c:v>39583</c:v>
                </c:pt>
                <c:pt idx="207">
                  <c:v>39617</c:v>
                </c:pt>
                <c:pt idx="208">
                  <c:v>39617</c:v>
                </c:pt>
                <c:pt idx="209">
                  <c:v>39645</c:v>
                </c:pt>
                <c:pt idx="210">
                  <c:v>39645</c:v>
                </c:pt>
                <c:pt idx="211">
                  <c:v>39672</c:v>
                </c:pt>
                <c:pt idx="212">
                  <c:v>39672</c:v>
                </c:pt>
                <c:pt idx="213">
                  <c:v>39709</c:v>
                </c:pt>
                <c:pt idx="214">
                  <c:v>39709</c:v>
                </c:pt>
                <c:pt idx="215">
                  <c:v>39735</c:v>
                </c:pt>
                <c:pt idx="216">
                  <c:v>39735</c:v>
                </c:pt>
                <c:pt idx="217">
                  <c:v>39769</c:v>
                </c:pt>
                <c:pt idx="218">
                  <c:v>39769</c:v>
                </c:pt>
                <c:pt idx="219">
                  <c:v>39797</c:v>
                </c:pt>
                <c:pt idx="220">
                  <c:v>39797</c:v>
                </c:pt>
                <c:pt idx="221">
                  <c:v>39826</c:v>
                </c:pt>
                <c:pt idx="222">
                  <c:v>39826</c:v>
                </c:pt>
                <c:pt idx="223">
                  <c:v>39861</c:v>
                </c:pt>
                <c:pt idx="224">
                  <c:v>39861</c:v>
                </c:pt>
                <c:pt idx="225">
                  <c:v>39888</c:v>
                </c:pt>
                <c:pt idx="226">
                  <c:v>39888</c:v>
                </c:pt>
                <c:pt idx="227">
                  <c:v>39916</c:v>
                </c:pt>
                <c:pt idx="228">
                  <c:v>39916</c:v>
                </c:pt>
                <c:pt idx="229">
                  <c:v>39946</c:v>
                </c:pt>
                <c:pt idx="230">
                  <c:v>39946</c:v>
                </c:pt>
                <c:pt idx="231">
                  <c:v>39983</c:v>
                </c:pt>
                <c:pt idx="232">
                  <c:v>39983</c:v>
                </c:pt>
                <c:pt idx="233">
                  <c:v>40007</c:v>
                </c:pt>
                <c:pt idx="234">
                  <c:v>40007</c:v>
                </c:pt>
                <c:pt idx="235">
                  <c:v>40042</c:v>
                </c:pt>
                <c:pt idx="236">
                  <c:v>40042</c:v>
                </c:pt>
                <c:pt idx="237">
                  <c:v>40071</c:v>
                </c:pt>
                <c:pt idx="238">
                  <c:v>40071</c:v>
                </c:pt>
                <c:pt idx="239">
                  <c:v>40100</c:v>
                </c:pt>
                <c:pt idx="240">
                  <c:v>40100</c:v>
                </c:pt>
                <c:pt idx="241">
                  <c:v>40133</c:v>
                </c:pt>
                <c:pt idx="242">
                  <c:v>40133</c:v>
                </c:pt>
                <c:pt idx="243">
                  <c:v>40161</c:v>
                </c:pt>
                <c:pt idx="244">
                  <c:v>40161</c:v>
                </c:pt>
                <c:pt idx="245">
                  <c:v>40197</c:v>
                </c:pt>
                <c:pt idx="246">
                  <c:v>40197</c:v>
                </c:pt>
                <c:pt idx="247">
                  <c:v>40225</c:v>
                </c:pt>
                <c:pt idx="248">
                  <c:v>40225</c:v>
                </c:pt>
                <c:pt idx="249">
                  <c:v>40255</c:v>
                </c:pt>
                <c:pt idx="250">
                  <c:v>40255</c:v>
                </c:pt>
                <c:pt idx="251">
                  <c:v>40281</c:v>
                </c:pt>
                <c:pt idx="252">
                  <c:v>40281</c:v>
                </c:pt>
                <c:pt idx="253">
                  <c:v>40317</c:v>
                </c:pt>
                <c:pt idx="254">
                  <c:v>40317</c:v>
                </c:pt>
                <c:pt idx="255">
                  <c:v>40345</c:v>
                </c:pt>
                <c:pt idx="256">
                  <c:v>40345</c:v>
                </c:pt>
                <c:pt idx="257">
                  <c:v>40373</c:v>
                </c:pt>
                <c:pt idx="258">
                  <c:v>40373</c:v>
                </c:pt>
                <c:pt idx="259">
                  <c:v>40409</c:v>
                </c:pt>
                <c:pt idx="260">
                  <c:v>40409</c:v>
                </c:pt>
                <c:pt idx="261">
                  <c:v>40434</c:v>
                </c:pt>
                <c:pt idx="262">
                  <c:v>40434</c:v>
                </c:pt>
                <c:pt idx="263">
                  <c:v>40463</c:v>
                </c:pt>
                <c:pt idx="264">
                  <c:v>40463</c:v>
                </c:pt>
                <c:pt idx="265">
                  <c:v>40500</c:v>
                </c:pt>
                <c:pt idx="266">
                  <c:v>40500</c:v>
                </c:pt>
                <c:pt idx="267">
                  <c:v>40521</c:v>
                </c:pt>
                <c:pt idx="268">
                  <c:v>40521</c:v>
                </c:pt>
                <c:pt idx="269">
                  <c:v>40563</c:v>
                </c:pt>
                <c:pt idx="270">
                  <c:v>40563</c:v>
                </c:pt>
                <c:pt idx="271">
                  <c:v>40598</c:v>
                </c:pt>
                <c:pt idx="272">
                  <c:v>40598</c:v>
                </c:pt>
                <c:pt idx="273">
                  <c:v>40617</c:v>
                </c:pt>
                <c:pt idx="274">
                  <c:v>40617</c:v>
                </c:pt>
                <c:pt idx="275">
                  <c:v>40647</c:v>
                </c:pt>
                <c:pt idx="276">
                  <c:v>40647</c:v>
                </c:pt>
                <c:pt idx="277">
                  <c:v>40682</c:v>
                </c:pt>
                <c:pt idx="278">
                  <c:v>40682</c:v>
                </c:pt>
                <c:pt idx="279">
                  <c:v>40709</c:v>
                </c:pt>
                <c:pt idx="280">
                  <c:v>40709</c:v>
                </c:pt>
                <c:pt idx="281">
                  <c:v>40736</c:v>
                </c:pt>
                <c:pt idx="282">
                  <c:v>40736</c:v>
                </c:pt>
                <c:pt idx="283">
                  <c:v>40772</c:v>
                </c:pt>
                <c:pt idx="284">
                  <c:v>40772</c:v>
                </c:pt>
                <c:pt idx="285">
                  <c:v>40798</c:v>
                </c:pt>
                <c:pt idx="286">
                  <c:v>40798</c:v>
                </c:pt>
                <c:pt idx="287">
                  <c:v>40829</c:v>
                </c:pt>
                <c:pt idx="288">
                  <c:v>40829</c:v>
                </c:pt>
                <c:pt idx="289">
                  <c:v>40877</c:v>
                </c:pt>
                <c:pt idx="290">
                  <c:v>40877</c:v>
                </c:pt>
                <c:pt idx="291">
                  <c:v>40891</c:v>
                </c:pt>
                <c:pt idx="292">
                  <c:v>40891</c:v>
                </c:pt>
                <c:pt idx="293">
                  <c:v>40919</c:v>
                </c:pt>
                <c:pt idx="294">
                  <c:v>40919</c:v>
                </c:pt>
                <c:pt idx="295">
                  <c:v>40960</c:v>
                </c:pt>
                <c:pt idx="296">
                  <c:v>40960</c:v>
                </c:pt>
                <c:pt idx="297">
                  <c:v>40982</c:v>
                </c:pt>
                <c:pt idx="298">
                  <c:v>40982</c:v>
                </c:pt>
                <c:pt idx="299">
                  <c:v>41016</c:v>
                </c:pt>
                <c:pt idx="300">
                  <c:v>41016</c:v>
                </c:pt>
                <c:pt idx="301">
                  <c:v>41051</c:v>
                </c:pt>
                <c:pt idx="302">
                  <c:v>41051</c:v>
                </c:pt>
                <c:pt idx="303">
                  <c:v>41080</c:v>
                </c:pt>
                <c:pt idx="304">
                  <c:v>41080</c:v>
                </c:pt>
                <c:pt idx="305">
                  <c:v>41106</c:v>
                </c:pt>
                <c:pt idx="306">
                  <c:v>41106</c:v>
                </c:pt>
                <c:pt idx="307">
                  <c:v>41137</c:v>
                </c:pt>
                <c:pt idx="308">
                  <c:v>41137</c:v>
                </c:pt>
                <c:pt idx="309">
                  <c:v>41163</c:v>
                </c:pt>
                <c:pt idx="310">
                  <c:v>41163</c:v>
                </c:pt>
                <c:pt idx="311">
                  <c:v>41199</c:v>
                </c:pt>
                <c:pt idx="312">
                  <c:v>41199</c:v>
                </c:pt>
                <c:pt idx="313">
                  <c:v>41225</c:v>
                </c:pt>
                <c:pt idx="314">
                  <c:v>41225</c:v>
                </c:pt>
                <c:pt idx="315">
                  <c:v>41255</c:v>
                </c:pt>
                <c:pt idx="316">
                  <c:v>41255</c:v>
                </c:pt>
                <c:pt idx="317">
                  <c:v>41297</c:v>
                </c:pt>
                <c:pt idx="318">
                  <c:v>41297</c:v>
                </c:pt>
                <c:pt idx="319">
                  <c:v>41319</c:v>
                </c:pt>
                <c:pt idx="320">
                  <c:v>41319</c:v>
                </c:pt>
                <c:pt idx="321">
                  <c:v>41346</c:v>
                </c:pt>
                <c:pt idx="322">
                  <c:v>41346</c:v>
                </c:pt>
                <c:pt idx="323">
                  <c:v>41380</c:v>
                </c:pt>
                <c:pt idx="324">
                  <c:v>41380</c:v>
                </c:pt>
                <c:pt idx="325">
                  <c:v>41380</c:v>
                </c:pt>
                <c:pt idx="326">
                  <c:v>41407</c:v>
                </c:pt>
                <c:pt idx="327">
                  <c:v>41407</c:v>
                </c:pt>
                <c:pt idx="328">
                  <c:v>41437</c:v>
                </c:pt>
                <c:pt idx="329">
                  <c:v>41437</c:v>
                </c:pt>
                <c:pt idx="330">
                  <c:v>41470</c:v>
                </c:pt>
                <c:pt idx="331">
                  <c:v>41470</c:v>
                </c:pt>
                <c:pt idx="332">
                  <c:v>41498</c:v>
                </c:pt>
                <c:pt idx="333">
                  <c:v>41498</c:v>
                </c:pt>
                <c:pt idx="334">
                  <c:v>41535</c:v>
                </c:pt>
                <c:pt idx="335">
                  <c:v>41535</c:v>
                </c:pt>
                <c:pt idx="336">
                  <c:v>406810</c:v>
                </c:pt>
                <c:pt idx="337">
                  <c:v>406810</c:v>
                </c:pt>
                <c:pt idx="338">
                  <c:v>41599</c:v>
                </c:pt>
                <c:pt idx="339">
                  <c:v>41599</c:v>
                </c:pt>
                <c:pt idx="340">
                  <c:v>41627</c:v>
                </c:pt>
                <c:pt idx="341">
                  <c:v>41627</c:v>
                </c:pt>
                <c:pt idx="342">
                  <c:v>41655</c:v>
                </c:pt>
                <c:pt idx="343">
                  <c:v>41655</c:v>
                </c:pt>
                <c:pt idx="344">
                  <c:v>41690</c:v>
                </c:pt>
                <c:pt idx="345">
                  <c:v>41690</c:v>
                </c:pt>
                <c:pt idx="346">
                  <c:v>41718</c:v>
                </c:pt>
                <c:pt idx="347">
                  <c:v>41718</c:v>
                </c:pt>
                <c:pt idx="348">
                  <c:v>41750</c:v>
                </c:pt>
                <c:pt idx="349">
                  <c:v>41750</c:v>
                </c:pt>
                <c:pt idx="350">
                  <c:v>41406</c:v>
                </c:pt>
                <c:pt idx="351">
                  <c:v>41406</c:v>
                </c:pt>
                <c:pt idx="352">
                  <c:v>41807</c:v>
                </c:pt>
                <c:pt idx="353">
                  <c:v>41807</c:v>
                </c:pt>
                <c:pt idx="354">
                  <c:v>41837</c:v>
                </c:pt>
                <c:pt idx="355">
                  <c:v>41837</c:v>
                </c:pt>
                <c:pt idx="356">
                  <c:v>41862</c:v>
                </c:pt>
                <c:pt idx="357">
                  <c:v>41862</c:v>
                </c:pt>
                <c:pt idx="358">
                  <c:v>41897</c:v>
                </c:pt>
                <c:pt idx="359">
                  <c:v>41897</c:v>
                </c:pt>
                <c:pt idx="360">
                  <c:v>41928</c:v>
                </c:pt>
                <c:pt idx="361">
                  <c:v>41928</c:v>
                </c:pt>
                <c:pt idx="362">
                  <c:v>41955</c:v>
                </c:pt>
                <c:pt idx="363">
                  <c:v>41955</c:v>
                </c:pt>
                <c:pt idx="364">
                  <c:v>41992</c:v>
                </c:pt>
                <c:pt idx="365">
                  <c:v>41992</c:v>
                </c:pt>
                <c:pt idx="366">
                  <c:v>42014</c:v>
                </c:pt>
                <c:pt idx="367">
                  <c:v>42009</c:v>
                </c:pt>
                <c:pt idx="368">
                  <c:v>42036</c:v>
                </c:pt>
                <c:pt idx="369">
                  <c:v>42036</c:v>
                </c:pt>
                <c:pt idx="370">
                  <c:v>42064</c:v>
                </c:pt>
                <c:pt idx="371">
                  <c:v>42064</c:v>
                </c:pt>
                <c:pt idx="372">
                  <c:v>42095</c:v>
                </c:pt>
                <c:pt idx="373">
                  <c:v>42095</c:v>
                </c:pt>
                <c:pt idx="374">
                  <c:v>42125</c:v>
                </c:pt>
                <c:pt idx="375">
                  <c:v>42125</c:v>
                </c:pt>
                <c:pt idx="376">
                  <c:v>42156</c:v>
                </c:pt>
                <c:pt idx="377">
                  <c:v>42156</c:v>
                </c:pt>
                <c:pt idx="378">
                  <c:v>42186</c:v>
                </c:pt>
                <c:pt idx="379">
                  <c:v>42186</c:v>
                </c:pt>
                <c:pt idx="380">
                  <c:v>42217</c:v>
                </c:pt>
                <c:pt idx="381">
                  <c:v>42217</c:v>
                </c:pt>
                <c:pt idx="382">
                  <c:v>42248</c:v>
                </c:pt>
                <c:pt idx="383">
                  <c:v>42248</c:v>
                </c:pt>
                <c:pt idx="384">
                  <c:v>42278</c:v>
                </c:pt>
                <c:pt idx="385">
                  <c:v>42278</c:v>
                </c:pt>
                <c:pt idx="386">
                  <c:v>42309</c:v>
                </c:pt>
                <c:pt idx="387">
                  <c:v>42309</c:v>
                </c:pt>
                <c:pt idx="388">
                  <c:v>42339</c:v>
                </c:pt>
                <c:pt idx="389">
                  <c:v>42339</c:v>
                </c:pt>
                <c:pt idx="390">
                  <c:v>42379</c:v>
                </c:pt>
                <c:pt idx="391">
                  <c:v>42374</c:v>
                </c:pt>
                <c:pt idx="392">
                  <c:v>42401</c:v>
                </c:pt>
                <c:pt idx="393">
                  <c:v>42401</c:v>
                </c:pt>
                <c:pt idx="394">
                  <c:v>42430</c:v>
                </c:pt>
                <c:pt idx="395">
                  <c:v>42430</c:v>
                </c:pt>
                <c:pt idx="396">
                  <c:v>42461</c:v>
                </c:pt>
                <c:pt idx="397">
                  <c:v>42461</c:v>
                </c:pt>
                <c:pt idx="398">
                  <c:v>42491</c:v>
                </c:pt>
                <c:pt idx="399">
                  <c:v>42491</c:v>
                </c:pt>
                <c:pt idx="400">
                  <c:v>42522</c:v>
                </c:pt>
                <c:pt idx="401">
                  <c:v>42522</c:v>
                </c:pt>
                <c:pt idx="402">
                  <c:v>42552</c:v>
                </c:pt>
                <c:pt idx="403">
                  <c:v>42552</c:v>
                </c:pt>
                <c:pt idx="404">
                  <c:v>42583</c:v>
                </c:pt>
                <c:pt idx="405">
                  <c:v>42583</c:v>
                </c:pt>
                <c:pt idx="406">
                  <c:v>42614</c:v>
                </c:pt>
                <c:pt idx="407">
                  <c:v>42614</c:v>
                </c:pt>
                <c:pt idx="408">
                  <c:v>42644</c:v>
                </c:pt>
                <c:pt idx="409">
                  <c:v>42644</c:v>
                </c:pt>
                <c:pt idx="410">
                  <c:v>42675</c:v>
                </c:pt>
                <c:pt idx="411">
                  <c:v>42675</c:v>
                </c:pt>
                <c:pt idx="412">
                  <c:v>42705</c:v>
                </c:pt>
                <c:pt idx="413">
                  <c:v>42705</c:v>
                </c:pt>
                <c:pt idx="414">
                  <c:v>42745</c:v>
                </c:pt>
                <c:pt idx="415">
                  <c:v>42740</c:v>
                </c:pt>
                <c:pt idx="416">
                  <c:v>42767</c:v>
                </c:pt>
                <c:pt idx="417">
                  <c:v>42767</c:v>
                </c:pt>
                <c:pt idx="418">
                  <c:v>42795</c:v>
                </c:pt>
                <c:pt idx="419">
                  <c:v>42795</c:v>
                </c:pt>
                <c:pt idx="420">
                  <c:v>42826</c:v>
                </c:pt>
                <c:pt idx="421">
                  <c:v>42826</c:v>
                </c:pt>
                <c:pt idx="422">
                  <c:v>42856</c:v>
                </c:pt>
                <c:pt idx="423">
                  <c:v>42856</c:v>
                </c:pt>
                <c:pt idx="424">
                  <c:v>42887</c:v>
                </c:pt>
                <c:pt idx="425">
                  <c:v>42887</c:v>
                </c:pt>
                <c:pt idx="426">
                  <c:v>42917</c:v>
                </c:pt>
                <c:pt idx="427">
                  <c:v>42917</c:v>
                </c:pt>
                <c:pt idx="428">
                  <c:v>42948</c:v>
                </c:pt>
                <c:pt idx="429">
                  <c:v>42948</c:v>
                </c:pt>
                <c:pt idx="430">
                  <c:v>42979</c:v>
                </c:pt>
                <c:pt idx="431">
                  <c:v>42979</c:v>
                </c:pt>
                <c:pt idx="432">
                  <c:v>43009</c:v>
                </c:pt>
                <c:pt idx="433">
                  <c:v>43009</c:v>
                </c:pt>
                <c:pt idx="434">
                  <c:v>43040</c:v>
                </c:pt>
                <c:pt idx="435">
                  <c:v>43040</c:v>
                </c:pt>
                <c:pt idx="436">
                  <c:v>43070</c:v>
                </c:pt>
                <c:pt idx="437">
                  <c:v>43070</c:v>
                </c:pt>
                <c:pt idx="438">
                  <c:v>43110</c:v>
                </c:pt>
                <c:pt idx="439">
                  <c:v>43105</c:v>
                </c:pt>
                <c:pt idx="440">
                  <c:v>43132</c:v>
                </c:pt>
                <c:pt idx="441">
                  <c:v>43132</c:v>
                </c:pt>
                <c:pt idx="442">
                  <c:v>43160</c:v>
                </c:pt>
                <c:pt idx="443">
                  <c:v>43160</c:v>
                </c:pt>
                <c:pt idx="444">
                  <c:v>43191</c:v>
                </c:pt>
                <c:pt idx="445">
                  <c:v>43191</c:v>
                </c:pt>
                <c:pt idx="446">
                  <c:v>43221</c:v>
                </c:pt>
                <c:pt idx="447">
                  <c:v>43221</c:v>
                </c:pt>
                <c:pt idx="448">
                  <c:v>43252</c:v>
                </c:pt>
                <c:pt idx="449">
                  <c:v>43252</c:v>
                </c:pt>
                <c:pt idx="450">
                  <c:v>43282</c:v>
                </c:pt>
                <c:pt idx="451">
                  <c:v>43282</c:v>
                </c:pt>
                <c:pt idx="452">
                  <c:v>43313</c:v>
                </c:pt>
                <c:pt idx="453">
                  <c:v>43313</c:v>
                </c:pt>
                <c:pt idx="454">
                  <c:v>43344</c:v>
                </c:pt>
                <c:pt idx="455">
                  <c:v>43344</c:v>
                </c:pt>
                <c:pt idx="456">
                  <c:v>43374</c:v>
                </c:pt>
                <c:pt idx="457">
                  <c:v>43374</c:v>
                </c:pt>
                <c:pt idx="458">
                  <c:v>43405</c:v>
                </c:pt>
                <c:pt idx="459">
                  <c:v>43405</c:v>
                </c:pt>
                <c:pt idx="460">
                  <c:v>43435</c:v>
                </c:pt>
                <c:pt idx="461">
                  <c:v>43435</c:v>
                </c:pt>
                <c:pt idx="462">
                  <c:v>43475</c:v>
                </c:pt>
                <c:pt idx="463">
                  <c:v>43470</c:v>
                </c:pt>
                <c:pt idx="464">
                  <c:v>43497</c:v>
                </c:pt>
                <c:pt idx="465">
                  <c:v>43497</c:v>
                </c:pt>
                <c:pt idx="466">
                  <c:v>43525</c:v>
                </c:pt>
                <c:pt idx="467">
                  <c:v>43525</c:v>
                </c:pt>
                <c:pt idx="468">
                  <c:v>43556</c:v>
                </c:pt>
                <c:pt idx="469">
                  <c:v>43556</c:v>
                </c:pt>
                <c:pt idx="470">
                  <c:v>43586</c:v>
                </c:pt>
                <c:pt idx="471">
                  <c:v>43586</c:v>
                </c:pt>
                <c:pt idx="472">
                  <c:v>43617</c:v>
                </c:pt>
                <c:pt idx="473">
                  <c:v>43617</c:v>
                </c:pt>
                <c:pt idx="474">
                  <c:v>43647</c:v>
                </c:pt>
                <c:pt idx="475">
                  <c:v>43647</c:v>
                </c:pt>
                <c:pt idx="476">
                  <c:v>43678</c:v>
                </c:pt>
                <c:pt idx="477">
                  <c:v>43678</c:v>
                </c:pt>
                <c:pt idx="478">
                  <c:v>43709</c:v>
                </c:pt>
                <c:pt idx="479">
                  <c:v>43709</c:v>
                </c:pt>
                <c:pt idx="480">
                  <c:v>43739</c:v>
                </c:pt>
                <c:pt idx="481">
                  <c:v>43739</c:v>
                </c:pt>
                <c:pt idx="482">
                  <c:v>43770</c:v>
                </c:pt>
                <c:pt idx="483">
                  <c:v>43770</c:v>
                </c:pt>
                <c:pt idx="484">
                  <c:v>43800</c:v>
                </c:pt>
                <c:pt idx="485">
                  <c:v>43800</c:v>
                </c:pt>
              </c:numCache>
            </c:numRef>
          </c:xVal>
          <c:yVal>
            <c:numRef>
              <c:f>'Zea update'!$Z$4:$Z$489</c:f>
              <c:numCache>
                <c:formatCode>General</c:formatCode>
                <c:ptCount val="486"/>
                <c:pt idx="0">
                  <c:v>-0.64149741897245205</c:v>
                </c:pt>
                <c:pt idx="2">
                  <c:v>-0.7190271811198371</c:v>
                </c:pt>
                <c:pt idx="4">
                  <c:v>-0.73867476856287362</c:v>
                </c:pt>
                <c:pt idx="6">
                  <c:v>-0.62452384399007543</c:v>
                </c:pt>
                <c:pt idx="8">
                  <c:v>0.12692049072489034</c:v>
                </c:pt>
                <c:pt idx="10">
                  <c:v>-0.55637460242395154</c:v>
                </c:pt>
                <c:pt idx="12">
                  <c:v>-0.58321129302220853</c:v>
                </c:pt>
                <c:pt idx="14">
                  <c:v>-0.39198183324291941</c:v>
                </c:pt>
                <c:pt idx="16">
                  <c:v>-4.6172550165420323E-3</c:v>
                </c:pt>
                <c:pt idx="18">
                  <c:v>0.43828067505080232</c:v>
                </c:pt>
                <c:pt idx="20">
                  <c:v>-0.38245970274984115</c:v>
                </c:pt>
                <c:pt idx="22">
                  <c:v>-0.52619085851376979</c:v>
                </c:pt>
                <c:pt idx="24">
                  <c:v>-0.62820032653266289</c:v>
                </c:pt>
                <c:pt idx="26">
                  <c:v>-0.73647539803821571</c:v>
                </c:pt>
                <c:pt idx="28">
                  <c:v>-0.15202475359284046</c:v>
                </c:pt>
                <c:pt idx="30">
                  <c:v>-4.5550485205858048E-2</c:v>
                </c:pt>
                <c:pt idx="32">
                  <c:v>-0.19778195276503979</c:v>
                </c:pt>
                <c:pt idx="34">
                  <c:v>0.64319495779163605</c:v>
                </c:pt>
                <c:pt idx="36">
                  <c:v>-0.58462231227851158</c:v>
                </c:pt>
                <c:pt idx="38">
                  <c:v>-0.73633333091657982</c:v>
                </c:pt>
                <c:pt idx="40">
                  <c:v>-0.30033894913153081</c:v>
                </c:pt>
                <c:pt idx="42">
                  <c:v>7.4726348421838104E-2</c:v>
                </c:pt>
                <c:pt idx="44">
                  <c:v>-0.32697710371881966</c:v>
                </c:pt>
                <c:pt idx="46">
                  <c:v>-0.24987466444181999</c:v>
                </c:pt>
                <c:pt idx="48">
                  <c:v>-0.66053219435271282</c:v>
                </c:pt>
                <c:pt idx="50">
                  <c:v>-0.75138866941653126</c:v>
                </c:pt>
                <c:pt idx="52">
                  <c:v>-0.71203633361494501</c:v>
                </c:pt>
                <c:pt idx="54">
                  <c:v>-0.54414372239569664</c:v>
                </c:pt>
                <c:pt idx="56">
                  <c:v>-0.66223787026673753</c:v>
                </c:pt>
                <c:pt idx="58">
                  <c:v>-0.56375521945957519</c:v>
                </c:pt>
                <c:pt idx="60">
                  <c:v>-0.63237749248258635</c:v>
                </c:pt>
                <c:pt idx="62">
                  <c:v>-0.38750090563307688</c:v>
                </c:pt>
                <c:pt idx="64">
                  <c:v>0.14053616509990535</c:v>
                </c:pt>
                <c:pt idx="66">
                  <c:v>1.1133690855222889</c:v>
                </c:pt>
                <c:pt idx="68">
                  <c:v>0.44987566204222479</c:v>
                </c:pt>
                <c:pt idx="70">
                  <c:v>-0.45682654937532674</c:v>
                </c:pt>
                <c:pt idx="72">
                  <c:v>-0.44647611290323702</c:v>
                </c:pt>
                <c:pt idx="74">
                  <c:v>-0.61180255969052677</c:v>
                </c:pt>
                <c:pt idx="76">
                  <c:v>-0.2801110074385964</c:v>
                </c:pt>
                <c:pt idx="78">
                  <c:v>-0.17929520943394234</c:v>
                </c:pt>
                <c:pt idx="80">
                  <c:v>-9.977386549990859E-2</c:v>
                </c:pt>
                <c:pt idx="82">
                  <c:v>0.45569449375585325</c:v>
                </c:pt>
                <c:pt idx="84">
                  <c:v>1.7519218074044385</c:v>
                </c:pt>
                <c:pt idx="86">
                  <c:v>-0.22239549167744296</c:v>
                </c:pt>
                <c:pt idx="88">
                  <c:v>4.1878429066183971</c:v>
                </c:pt>
                <c:pt idx="90">
                  <c:v>2.674901690930048</c:v>
                </c:pt>
                <c:pt idx="92">
                  <c:v>3.5405345520972857</c:v>
                </c:pt>
                <c:pt idx="94">
                  <c:v>1.6985047227868493</c:v>
                </c:pt>
                <c:pt idx="96">
                  <c:v>-0.43090822354175162</c:v>
                </c:pt>
                <c:pt idx="98">
                  <c:v>-0.61039703114523769</c:v>
                </c:pt>
                <c:pt idx="100">
                  <c:v>-3.2329750225364396E-3</c:v>
                </c:pt>
                <c:pt idx="102">
                  <c:v>0.35355216252553412</c:v>
                </c:pt>
                <c:pt idx="104">
                  <c:v>3.3945491265003342</c:v>
                </c:pt>
                <c:pt idx="106">
                  <c:v>1.2163733241794801</c:v>
                </c:pt>
                <c:pt idx="108">
                  <c:v>-0.53826857631119529</c:v>
                </c:pt>
                <c:pt idx="110">
                  <c:v>-0.39940150755457632</c:v>
                </c:pt>
                <c:pt idx="112">
                  <c:v>3.9815241175139864</c:v>
                </c:pt>
                <c:pt idx="114">
                  <c:v>1.7488002830684277</c:v>
                </c:pt>
                <c:pt idx="116">
                  <c:v>3.5272244759424636</c:v>
                </c:pt>
                <c:pt idx="118">
                  <c:v>-3.8170512531511172E-2</c:v>
                </c:pt>
                <c:pt idx="120">
                  <c:v>-0.51813635321552398</c:v>
                </c:pt>
                <c:pt idx="122">
                  <c:v>-0.52585570163957263</c:v>
                </c:pt>
                <c:pt idx="124">
                  <c:v>-0.27110096307071824</c:v>
                </c:pt>
                <c:pt idx="126">
                  <c:v>-0.18370839757252816</c:v>
                </c:pt>
                <c:pt idx="128">
                  <c:v>0.22465782200905707</c:v>
                </c:pt>
                <c:pt idx="130">
                  <c:v>-0.31631472456983983</c:v>
                </c:pt>
                <c:pt idx="132">
                  <c:v>-0.1512627733286474</c:v>
                </c:pt>
                <c:pt idx="134">
                  <c:v>0.18437206006269727</c:v>
                </c:pt>
                <c:pt idx="136">
                  <c:v>1.4467418239728229</c:v>
                </c:pt>
                <c:pt idx="138">
                  <c:v>2.5075853346996437</c:v>
                </c:pt>
                <c:pt idx="140">
                  <c:v>5.5804798035035992</c:v>
                </c:pt>
                <c:pt idx="142">
                  <c:v>3.0421905607441477</c:v>
                </c:pt>
                <c:pt idx="144">
                  <c:v>-4.4504336879448499E-2</c:v>
                </c:pt>
                <c:pt idx="146">
                  <c:v>-0.57537829076000746</c:v>
                </c:pt>
                <c:pt idx="148">
                  <c:v>-0.38313048122485921</c:v>
                </c:pt>
                <c:pt idx="150">
                  <c:v>-2.3340837255330996E-2</c:v>
                </c:pt>
                <c:pt idx="152">
                  <c:v>8.2233052236489371E-2</c:v>
                </c:pt>
                <c:pt idx="154">
                  <c:v>-0.61675115621223886</c:v>
                </c:pt>
                <c:pt idx="156">
                  <c:v>-0.61860867200658587</c:v>
                </c:pt>
                <c:pt idx="158">
                  <c:v>-0.1550925039800525</c:v>
                </c:pt>
                <c:pt idx="160">
                  <c:v>2.5392392309000327</c:v>
                </c:pt>
                <c:pt idx="162">
                  <c:v>2.2954478956616384</c:v>
                </c:pt>
                <c:pt idx="164">
                  <c:v>1.8002017037382265</c:v>
                </c:pt>
                <c:pt idx="166">
                  <c:v>0.76546390269162978</c:v>
                </c:pt>
                <c:pt idx="168">
                  <c:v>-0.51734868531584466</c:v>
                </c:pt>
                <c:pt idx="170">
                  <c:v>-0.62473948916388422</c:v>
                </c:pt>
                <c:pt idx="172">
                  <c:v>-0.55064186458064324</c:v>
                </c:pt>
                <c:pt idx="174">
                  <c:v>-0.52648400889460045</c:v>
                </c:pt>
                <c:pt idx="176">
                  <c:v>0.33649955851185687</c:v>
                </c:pt>
                <c:pt idx="178">
                  <c:v>-0.33281514902497905</c:v>
                </c:pt>
                <c:pt idx="180">
                  <c:v>-0.52668701608523938</c:v>
                </c:pt>
                <c:pt idx="182">
                  <c:v>1.3366144831949696</c:v>
                </c:pt>
                <c:pt idx="184">
                  <c:v>3.452152416844156</c:v>
                </c:pt>
                <c:pt idx="186">
                  <c:v>2.9007848870685877</c:v>
                </c:pt>
                <c:pt idx="188">
                  <c:v>1.4172083378786586</c:v>
                </c:pt>
                <c:pt idx="190">
                  <c:v>1.3822911010887478</c:v>
                </c:pt>
                <c:pt idx="192">
                  <c:v>-0.56667943264112552</c:v>
                </c:pt>
                <c:pt idx="194">
                  <c:v>-0.58829969844418084</c:v>
                </c:pt>
                <c:pt idx="196">
                  <c:v>-0.29515731516144161</c:v>
                </c:pt>
                <c:pt idx="198">
                  <c:v>-0.50323968556643306</c:v>
                </c:pt>
                <c:pt idx="200">
                  <c:v>-0.471266053040788</c:v>
                </c:pt>
                <c:pt idx="202">
                  <c:v>-0.48628858514807516</c:v>
                </c:pt>
                <c:pt idx="204">
                  <c:v>-0.592156835066322</c:v>
                </c:pt>
                <c:pt idx="206">
                  <c:v>-0.16980037494184919</c:v>
                </c:pt>
                <c:pt idx="208">
                  <c:v>0.65542385500575107</c:v>
                </c:pt>
                <c:pt idx="210">
                  <c:v>0.70648016345146358</c:v>
                </c:pt>
                <c:pt idx="212">
                  <c:v>1.1370584147968168</c:v>
                </c:pt>
                <c:pt idx="214">
                  <c:v>-0.47339762854249767</c:v>
                </c:pt>
                <c:pt idx="216">
                  <c:v>-0.29302573965973189</c:v>
                </c:pt>
                <c:pt idx="218">
                  <c:v>-0.6893972793824108</c:v>
                </c:pt>
                <c:pt idx="220">
                  <c:v>-0.27039043790348161</c:v>
                </c:pt>
                <c:pt idx="222">
                  <c:v>-0.343980544510125</c:v>
                </c:pt>
                <c:pt idx="224">
                  <c:v>-0.44487511825771592</c:v>
                </c:pt>
                <c:pt idx="226">
                  <c:v>-8.1796757799835737E-2</c:v>
                </c:pt>
                <c:pt idx="228">
                  <c:v>-0.71030702001822943</c:v>
                </c:pt>
                <c:pt idx="230">
                  <c:v>-0.68442360321175477</c:v>
                </c:pt>
                <c:pt idx="232">
                  <c:v>-0.25942804960897481</c:v>
                </c:pt>
                <c:pt idx="234">
                  <c:v>-3.8759233384364301E-2</c:v>
                </c:pt>
                <c:pt idx="236">
                  <c:v>1.1027501995788229</c:v>
                </c:pt>
                <c:pt idx="238">
                  <c:v>-0.15650340395499363</c:v>
                </c:pt>
                <c:pt idx="240">
                  <c:v>-0.63519435948179348</c:v>
                </c:pt>
                <c:pt idx="242">
                  <c:v>-0.55652907310917477</c:v>
                </c:pt>
                <c:pt idx="244">
                  <c:v>-0.50019457770684783</c:v>
                </c:pt>
                <c:pt idx="246">
                  <c:v>0.91060389363899419</c:v>
                </c:pt>
                <c:pt idx="248">
                  <c:v>4.7823333423175927E-2</c:v>
                </c:pt>
                <c:pt idx="250">
                  <c:v>1.0110924530053074</c:v>
                </c:pt>
                <c:pt idx="252">
                  <c:v>-0.35636398313910495</c:v>
                </c:pt>
                <c:pt idx="254">
                  <c:v>-0.16766879944013954</c:v>
                </c:pt>
                <c:pt idx="256">
                  <c:v>0.81833712549356141</c:v>
                </c:pt>
                <c:pt idx="258">
                  <c:v>1.0418480423871184</c:v>
                </c:pt>
                <c:pt idx="260">
                  <c:v>0.42298062172407774</c:v>
                </c:pt>
                <c:pt idx="262">
                  <c:v>-0.40660826282226142</c:v>
                </c:pt>
                <c:pt idx="264">
                  <c:v>-0.67001009267638478</c:v>
                </c:pt>
                <c:pt idx="266">
                  <c:v>-0.65661161809420976</c:v>
                </c:pt>
                <c:pt idx="268">
                  <c:v>-0.31048435805468733</c:v>
                </c:pt>
                <c:pt idx="270">
                  <c:v>0.14983444671928156</c:v>
                </c:pt>
                <c:pt idx="272">
                  <c:v>0.55280372013772849</c:v>
                </c:pt>
                <c:pt idx="274">
                  <c:v>0.13196981394304813</c:v>
                </c:pt>
                <c:pt idx="276">
                  <c:v>-0.62788610061878891</c:v>
                </c:pt>
                <c:pt idx="278">
                  <c:v>-0.1771086338048537</c:v>
                </c:pt>
                <c:pt idx="280">
                  <c:v>-0.14371395094473557</c:v>
                </c:pt>
                <c:pt idx="282">
                  <c:v>1.5032833867096016</c:v>
                </c:pt>
                <c:pt idx="284">
                  <c:v>0.26230043033329636</c:v>
                </c:pt>
                <c:pt idx="286">
                  <c:v>-0.38580002578176231</c:v>
                </c:pt>
                <c:pt idx="288">
                  <c:v>-0.50445772871026717</c:v>
                </c:pt>
                <c:pt idx="290">
                  <c:v>-0.66970558189042617</c:v>
                </c:pt>
                <c:pt idx="292">
                  <c:v>-0.75212650128986669</c:v>
                </c:pt>
                <c:pt idx="294">
                  <c:v>-0.58241248991564931</c:v>
                </c:pt>
                <c:pt idx="296">
                  <c:v>-0.45827359283989094</c:v>
                </c:pt>
                <c:pt idx="298">
                  <c:v>-0.63834097093669817</c:v>
                </c:pt>
                <c:pt idx="300">
                  <c:v>-0.58708165530034662</c:v>
                </c:pt>
                <c:pt idx="302">
                  <c:v>-0.13315757703150682</c:v>
                </c:pt>
                <c:pt idx="304">
                  <c:v>3.4526362436320353E-2</c:v>
                </c:pt>
                <c:pt idx="306">
                  <c:v>0.46804821804593921</c:v>
                </c:pt>
                <c:pt idx="308">
                  <c:v>-3.1856988902637703E-2</c:v>
                </c:pt>
                <c:pt idx="310">
                  <c:v>3.3647586732315315E-3</c:v>
                </c:pt>
                <c:pt idx="312">
                  <c:v>-0.70269425036926636</c:v>
                </c:pt>
                <c:pt idx="314">
                  <c:v>-0.54678472795850197</c:v>
                </c:pt>
                <c:pt idx="316">
                  <c:v>-0.6131680792974602</c:v>
                </c:pt>
                <c:pt idx="318">
                  <c:v>-0.54373962009891674</c:v>
                </c:pt>
                <c:pt idx="320">
                  <c:v>-0.2919092001112174</c:v>
                </c:pt>
                <c:pt idx="322">
                  <c:v>0.89974300893980685</c:v>
                </c:pt>
                <c:pt idx="325">
                  <c:v>-0.69572433682399337</c:v>
                </c:pt>
                <c:pt idx="327">
                  <c:v>-0.4948148871549139</c:v>
                </c:pt>
                <c:pt idx="329">
                  <c:v>2.7421110763954943E-2</c:v>
                </c:pt>
                <c:pt idx="331">
                  <c:v>0.99444586337290786</c:v>
                </c:pt>
                <c:pt idx="333">
                  <c:v>-0.12138315997444384</c:v>
                </c:pt>
                <c:pt idx="335">
                  <c:v>-0.53775090797506575</c:v>
                </c:pt>
                <c:pt idx="337">
                  <c:v>-0.67599880480023566</c:v>
                </c:pt>
                <c:pt idx="339">
                  <c:v>-0.76897609811290502</c:v>
                </c:pt>
                <c:pt idx="341">
                  <c:v>-0.62890113657198399</c:v>
                </c:pt>
                <c:pt idx="343">
                  <c:v>-0.44589015421091099</c:v>
                </c:pt>
                <c:pt idx="345">
                  <c:v>-5.9465966829543915E-2</c:v>
                </c:pt>
                <c:pt idx="347">
                  <c:v>0.30899208418027013</c:v>
                </c:pt>
                <c:pt idx="349">
                  <c:v>-0.47918333347570957</c:v>
                </c:pt>
                <c:pt idx="351">
                  <c:v>-0.41452554325718299</c:v>
                </c:pt>
                <c:pt idx="353">
                  <c:v>0.10628940432721261</c:v>
                </c:pt>
                <c:pt idx="355">
                  <c:v>0.39709720491760331</c:v>
                </c:pt>
                <c:pt idx="357">
                  <c:v>0.88776558469210509</c:v>
                </c:pt>
                <c:pt idx="359">
                  <c:v>-0.42081876616699254</c:v>
                </c:pt>
                <c:pt idx="361">
                  <c:v>-0.49978856332556981</c:v>
                </c:pt>
                <c:pt idx="363">
                  <c:v>-0.72015286876422169</c:v>
                </c:pt>
                <c:pt idx="365">
                  <c:v>-0.60494628807658013</c:v>
                </c:pt>
                <c:pt idx="367">
                  <c:v>0.20352984864330131</c:v>
                </c:pt>
                <c:pt idx="371">
                  <c:v>1.1209193431410149</c:v>
                </c:pt>
                <c:pt idx="373">
                  <c:v>-0.54363811650359728</c:v>
                </c:pt>
                <c:pt idx="375">
                  <c:v>-0.40437518372523223</c:v>
                </c:pt>
                <c:pt idx="377">
                  <c:v>0.13613146135114801</c:v>
                </c:pt>
                <c:pt idx="379">
                  <c:v>0.86056262114647686</c:v>
                </c:pt>
                <c:pt idx="381">
                  <c:v>0.27011620717289864</c:v>
                </c:pt>
                <c:pt idx="383">
                  <c:v>-0.28470244484353224</c:v>
                </c:pt>
                <c:pt idx="385">
                  <c:v>-0.47958934785698765</c:v>
                </c:pt>
                <c:pt idx="387">
                  <c:v>-0.74674681073793281</c:v>
                </c:pt>
                <c:pt idx="389">
                  <c:v>-0.46070967912755917</c:v>
                </c:pt>
                <c:pt idx="391">
                  <c:v>-0.32997304835603292</c:v>
                </c:pt>
                <c:pt idx="393">
                  <c:v>0.29528909881213655</c:v>
                </c:pt>
                <c:pt idx="395">
                  <c:v>-0.46872846315780026</c:v>
                </c:pt>
                <c:pt idx="397">
                  <c:v>-0.5213073255333055</c:v>
                </c:pt>
                <c:pt idx="399">
                  <c:v>-0.51064944802475709</c:v>
                </c:pt>
                <c:pt idx="401">
                  <c:v>-0.4548224705990277</c:v>
                </c:pt>
                <c:pt idx="403">
                  <c:v>0.85721300250093291</c:v>
                </c:pt>
                <c:pt idx="405">
                  <c:v>-1.6123931628114027E-2</c:v>
                </c:pt>
                <c:pt idx="407">
                  <c:v>-0.39879248598265926</c:v>
                </c:pt>
                <c:pt idx="409">
                  <c:v>-0.66899505672318971</c:v>
                </c:pt>
                <c:pt idx="411">
                  <c:v>-0.78623170931722142</c:v>
                </c:pt>
                <c:pt idx="413">
                  <c:v>-0.64301013632139559</c:v>
                </c:pt>
                <c:pt idx="419">
                  <c:v>-0.72269045864720938</c:v>
                </c:pt>
                <c:pt idx="421">
                  <c:v>-0.67447625087044316</c:v>
                </c:pt>
                <c:pt idx="423">
                  <c:v>-0.47755927595059755</c:v>
                </c:pt>
                <c:pt idx="425">
                  <c:v>-0.29251822168313435</c:v>
                </c:pt>
                <c:pt idx="427">
                  <c:v>-0.55023585019936527</c:v>
                </c:pt>
                <c:pt idx="431">
                  <c:v>-0.70949499125567328</c:v>
                </c:pt>
                <c:pt idx="435">
                  <c:v>-0.79323545739426737</c:v>
                </c:pt>
                <c:pt idx="437">
                  <c:v>-0.57936738205606397</c:v>
                </c:pt>
                <c:pt idx="439">
                  <c:v>0.78991611880409929</c:v>
                </c:pt>
                <c:pt idx="441">
                  <c:v>-0.6134725900834187</c:v>
                </c:pt>
                <c:pt idx="443">
                  <c:v>-0.15670641114563261</c:v>
                </c:pt>
                <c:pt idx="445">
                  <c:v>-0.65996123673975338</c:v>
                </c:pt>
                <c:pt idx="447">
                  <c:v>-0.45675103891009838</c:v>
                </c:pt>
                <c:pt idx="449">
                  <c:v>-0.30642421424190691</c:v>
                </c:pt>
                <c:pt idx="451">
                  <c:v>0.66841631520664802</c:v>
                </c:pt>
                <c:pt idx="453">
                  <c:v>-0.32814598364028169</c:v>
                </c:pt>
                <c:pt idx="455">
                  <c:v>-0.35433391123271485</c:v>
                </c:pt>
                <c:pt idx="457">
                  <c:v>-0.69690854543605429</c:v>
                </c:pt>
                <c:pt idx="467">
                  <c:v>-0.71507768899824631</c:v>
                </c:pt>
                <c:pt idx="469">
                  <c:v>-0.46822094518120272</c:v>
                </c:pt>
                <c:pt idx="471">
                  <c:v>-0.70411530070373951</c:v>
                </c:pt>
                <c:pt idx="473">
                  <c:v>-0.451675859144123</c:v>
                </c:pt>
                <c:pt idx="475">
                  <c:v>0.28067258108612736</c:v>
                </c:pt>
                <c:pt idx="481">
                  <c:v>-0.3624541988582754</c:v>
                </c:pt>
                <c:pt idx="485">
                  <c:v>-0.36499178874126303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23-3747-B4CD-E0E21563A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874416"/>
        <c:axId val="1128957088"/>
      </c:scatterChart>
      <c:valAx>
        <c:axId val="1128874416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7088"/>
        <c:crosses val="autoZero"/>
        <c:crossBetween val="midCat"/>
        <c:majorUnit val="1095"/>
      </c:valAx>
      <c:valAx>
        <c:axId val="11289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Fuco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'Fuco update'!$B$4:$B$489</c:f>
              <c:numCache>
                <c:formatCode>[$-409]mmm\-yy;@</c:formatCode>
                <c:ptCount val="486"/>
                <c:pt idx="0">
                  <c:v>36446</c:v>
                </c:pt>
                <c:pt idx="1">
                  <c:v>36473</c:v>
                </c:pt>
                <c:pt idx="2">
                  <c:v>36473</c:v>
                </c:pt>
                <c:pt idx="3">
                  <c:v>36502</c:v>
                </c:pt>
                <c:pt idx="4">
                  <c:v>36502</c:v>
                </c:pt>
                <c:pt idx="5">
                  <c:v>36531</c:v>
                </c:pt>
                <c:pt idx="6">
                  <c:v>36531</c:v>
                </c:pt>
                <c:pt idx="7">
                  <c:v>36578</c:v>
                </c:pt>
                <c:pt idx="8">
                  <c:v>36578</c:v>
                </c:pt>
                <c:pt idx="9">
                  <c:v>36599</c:v>
                </c:pt>
                <c:pt idx="10">
                  <c:v>36599</c:v>
                </c:pt>
                <c:pt idx="11">
                  <c:v>36626</c:v>
                </c:pt>
                <c:pt idx="12">
                  <c:v>36626</c:v>
                </c:pt>
                <c:pt idx="13">
                  <c:v>36663</c:v>
                </c:pt>
                <c:pt idx="14">
                  <c:v>36663</c:v>
                </c:pt>
                <c:pt idx="15">
                  <c:v>36692</c:v>
                </c:pt>
                <c:pt idx="16">
                  <c:v>36692</c:v>
                </c:pt>
                <c:pt idx="17">
                  <c:v>36719</c:v>
                </c:pt>
                <c:pt idx="18">
                  <c:v>36719</c:v>
                </c:pt>
                <c:pt idx="19">
                  <c:v>36755</c:v>
                </c:pt>
                <c:pt idx="20">
                  <c:v>36755</c:v>
                </c:pt>
                <c:pt idx="21">
                  <c:v>36783</c:v>
                </c:pt>
                <c:pt idx="22">
                  <c:v>36783</c:v>
                </c:pt>
                <c:pt idx="23">
                  <c:v>36815</c:v>
                </c:pt>
                <c:pt idx="24">
                  <c:v>36815</c:v>
                </c:pt>
                <c:pt idx="25">
                  <c:v>36846</c:v>
                </c:pt>
                <c:pt idx="26">
                  <c:v>36846</c:v>
                </c:pt>
                <c:pt idx="27">
                  <c:v>36873</c:v>
                </c:pt>
                <c:pt idx="28">
                  <c:v>36873</c:v>
                </c:pt>
                <c:pt idx="29">
                  <c:v>36902</c:v>
                </c:pt>
                <c:pt idx="30">
                  <c:v>36902</c:v>
                </c:pt>
                <c:pt idx="31">
                  <c:v>36929</c:v>
                </c:pt>
                <c:pt idx="32">
                  <c:v>36929</c:v>
                </c:pt>
                <c:pt idx="33">
                  <c:v>36962</c:v>
                </c:pt>
                <c:pt idx="34">
                  <c:v>36962</c:v>
                </c:pt>
                <c:pt idx="35">
                  <c:v>36998</c:v>
                </c:pt>
                <c:pt idx="36">
                  <c:v>36998</c:v>
                </c:pt>
                <c:pt idx="37">
                  <c:v>37025</c:v>
                </c:pt>
                <c:pt idx="38">
                  <c:v>37025</c:v>
                </c:pt>
                <c:pt idx="39">
                  <c:v>37054</c:v>
                </c:pt>
                <c:pt idx="40">
                  <c:v>37054</c:v>
                </c:pt>
                <c:pt idx="41">
                  <c:v>37090</c:v>
                </c:pt>
                <c:pt idx="42">
                  <c:v>37090</c:v>
                </c:pt>
                <c:pt idx="43">
                  <c:v>37117</c:v>
                </c:pt>
                <c:pt idx="44">
                  <c:v>37117</c:v>
                </c:pt>
                <c:pt idx="45">
                  <c:v>37145</c:v>
                </c:pt>
                <c:pt idx="46">
                  <c:v>37145</c:v>
                </c:pt>
                <c:pt idx="47">
                  <c:v>37182</c:v>
                </c:pt>
                <c:pt idx="48">
                  <c:v>37182</c:v>
                </c:pt>
                <c:pt idx="49">
                  <c:v>37202</c:v>
                </c:pt>
                <c:pt idx="50">
                  <c:v>37202</c:v>
                </c:pt>
                <c:pt idx="51">
                  <c:v>37230</c:v>
                </c:pt>
                <c:pt idx="52">
                  <c:v>37230</c:v>
                </c:pt>
                <c:pt idx="53">
                  <c:v>37272</c:v>
                </c:pt>
                <c:pt idx="54">
                  <c:v>37272</c:v>
                </c:pt>
                <c:pt idx="55">
                  <c:v>37301</c:v>
                </c:pt>
                <c:pt idx="56">
                  <c:v>37301</c:v>
                </c:pt>
                <c:pt idx="57">
                  <c:v>37336</c:v>
                </c:pt>
                <c:pt idx="58">
                  <c:v>37336</c:v>
                </c:pt>
                <c:pt idx="59">
                  <c:v>37363</c:v>
                </c:pt>
                <c:pt idx="60">
                  <c:v>37363</c:v>
                </c:pt>
                <c:pt idx="61">
                  <c:v>37391</c:v>
                </c:pt>
                <c:pt idx="62">
                  <c:v>37391</c:v>
                </c:pt>
                <c:pt idx="63">
                  <c:v>37420</c:v>
                </c:pt>
                <c:pt idx="64">
                  <c:v>37420</c:v>
                </c:pt>
                <c:pt idx="65">
                  <c:v>37453</c:v>
                </c:pt>
                <c:pt idx="66">
                  <c:v>37453</c:v>
                </c:pt>
                <c:pt idx="67">
                  <c:v>37481</c:v>
                </c:pt>
                <c:pt idx="68">
                  <c:v>37481</c:v>
                </c:pt>
                <c:pt idx="69">
                  <c:v>37518</c:v>
                </c:pt>
                <c:pt idx="70">
                  <c:v>37518</c:v>
                </c:pt>
                <c:pt idx="71">
                  <c:v>37546</c:v>
                </c:pt>
                <c:pt idx="72">
                  <c:v>37546</c:v>
                </c:pt>
                <c:pt idx="73">
                  <c:v>37574</c:v>
                </c:pt>
                <c:pt idx="74">
                  <c:v>37574</c:v>
                </c:pt>
                <c:pt idx="75">
                  <c:v>37608</c:v>
                </c:pt>
                <c:pt idx="76">
                  <c:v>37608</c:v>
                </c:pt>
                <c:pt idx="77">
                  <c:v>37636</c:v>
                </c:pt>
                <c:pt idx="78">
                  <c:v>37636</c:v>
                </c:pt>
                <c:pt idx="79">
                  <c:v>37663</c:v>
                </c:pt>
                <c:pt idx="80">
                  <c:v>37663</c:v>
                </c:pt>
                <c:pt idx="81">
                  <c:v>37691</c:v>
                </c:pt>
                <c:pt idx="82">
                  <c:v>37691</c:v>
                </c:pt>
                <c:pt idx="83">
                  <c:v>37727</c:v>
                </c:pt>
                <c:pt idx="84">
                  <c:v>37727</c:v>
                </c:pt>
                <c:pt idx="85">
                  <c:v>37756</c:v>
                </c:pt>
                <c:pt idx="86">
                  <c:v>37756</c:v>
                </c:pt>
                <c:pt idx="87">
                  <c:v>37790</c:v>
                </c:pt>
                <c:pt idx="88">
                  <c:v>37790</c:v>
                </c:pt>
                <c:pt idx="89">
                  <c:v>37818</c:v>
                </c:pt>
                <c:pt idx="90">
                  <c:v>37818</c:v>
                </c:pt>
                <c:pt idx="91">
                  <c:v>37846</c:v>
                </c:pt>
                <c:pt idx="92">
                  <c:v>37846</c:v>
                </c:pt>
                <c:pt idx="93">
                  <c:v>37886</c:v>
                </c:pt>
                <c:pt idx="94">
                  <c:v>37886</c:v>
                </c:pt>
                <c:pt idx="95">
                  <c:v>37910</c:v>
                </c:pt>
                <c:pt idx="96">
                  <c:v>37910</c:v>
                </c:pt>
                <c:pt idx="97">
                  <c:v>37942</c:v>
                </c:pt>
                <c:pt idx="98">
                  <c:v>37942</c:v>
                </c:pt>
                <c:pt idx="99">
                  <c:v>37971</c:v>
                </c:pt>
                <c:pt idx="100">
                  <c:v>37971</c:v>
                </c:pt>
                <c:pt idx="101">
                  <c:v>37998</c:v>
                </c:pt>
                <c:pt idx="102">
                  <c:v>37998</c:v>
                </c:pt>
                <c:pt idx="103">
                  <c:v>38026</c:v>
                </c:pt>
                <c:pt idx="104">
                  <c:v>38026</c:v>
                </c:pt>
                <c:pt idx="105">
                  <c:v>38061</c:v>
                </c:pt>
                <c:pt idx="106">
                  <c:v>38061</c:v>
                </c:pt>
                <c:pt idx="107">
                  <c:v>38093</c:v>
                </c:pt>
                <c:pt idx="108">
                  <c:v>38093</c:v>
                </c:pt>
                <c:pt idx="109">
                  <c:v>38117</c:v>
                </c:pt>
                <c:pt idx="110">
                  <c:v>38117</c:v>
                </c:pt>
                <c:pt idx="111">
                  <c:v>38160</c:v>
                </c:pt>
                <c:pt idx="112">
                  <c:v>38160</c:v>
                </c:pt>
                <c:pt idx="113">
                  <c:v>38182</c:v>
                </c:pt>
                <c:pt idx="114">
                  <c:v>38183</c:v>
                </c:pt>
                <c:pt idx="115">
                  <c:v>38218</c:v>
                </c:pt>
                <c:pt idx="116">
                  <c:v>38218</c:v>
                </c:pt>
                <c:pt idx="117">
                  <c:v>38246</c:v>
                </c:pt>
                <c:pt idx="118">
                  <c:v>38246</c:v>
                </c:pt>
                <c:pt idx="119">
                  <c:v>38274</c:v>
                </c:pt>
                <c:pt idx="120">
                  <c:v>38274</c:v>
                </c:pt>
                <c:pt idx="121">
                  <c:v>38309</c:v>
                </c:pt>
                <c:pt idx="122">
                  <c:v>38309</c:v>
                </c:pt>
                <c:pt idx="123">
                  <c:v>38337</c:v>
                </c:pt>
                <c:pt idx="124">
                  <c:v>38337</c:v>
                </c:pt>
                <c:pt idx="125">
                  <c:v>38364</c:v>
                </c:pt>
                <c:pt idx="126">
                  <c:v>38364</c:v>
                </c:pt>
                <c:pt idx="127">
                  <c:v>38398</c:v>
                </c:pt>
                <c:pt idx="128">
                  <c:v>38398</c:v>
                </c:pt>
                <c:pt idx="129">
                  <c:v>38427</c:v>
                </c:pt>
                <c:pt idx="130">
                  <c:v>38427</c:v>
                </c:pt>
                <c:pt idx="131">
                  <c:v>38470</c:v>
                </c:pt>
                <c:pt idx="132">
                  <c:v>38470</c:v>
                </c:pt>
                <c:pt idx="133">
                  <c:v>38488</c:v>
                </c:pt>
                <c:pt idx="134">
                  <c:v>38488</c:v>
                </c:pt>
                <c:pt idx="135">
                  <c:v>38525</c:v>
                </c:pt>
                <c:pt idx="136">
                  <c:v>38525</c:v>
                </c:pt>
                <c:pt idx="137">
                  <c:v>38546</c:v>
                </c:pt>
                <c:pt idx="138">
                  <c:v>38546</c:v>
                </c:pt>
                <c:pt idx="139">
                  <c:v>38594</c:v>
                </c:pt>
                <c:pt idx="140">
                  <c:v>38594</c:v>
                </c:pt>
                <c:pt idx="141">
                  <c:v>38609</c:v>
                </c:pt>
                <c:pt idx="142">
                  <c:v>38609</c:v>
                </c:pt>
                <c:pt idx="143">
                  <c:v>38643</c:v>
                </c:pt>
                <c:pt idx="144">
                  <c:v>38643</c:v>
                </c:pt>
                <c:pt idx="145">
                  <c:v>38670</c:v>
                </c:pt>
                <c:pt idx="146">
                  <c:v>38670</c:v>
                </c:pt>
                <c:pt idx="147">
                  <c:v>38706</c:v>
                </c:pt>
                <c:pt idx="148">
                  <c:v>38706</c:v>
                </c:pt>
                <c:pt idx="149">
                  <c:v>38737</c:v>
                </c:pt>
                <c:pt idx="150">
                  <c:v>38737</c:v>
                </c:pt>
                <c:pt idx="151">
                  <c:v>38763</c:v>
                </c:pt>
                <c:pt idx="152">
                  <c:v>38763</c:v>
                </c:pt>
                <c:pt idx="153">
                  <c:v>38792</c:v>
                </c:pt>
                <c:pt idx="154">
                  <c:v>38792</c:v>
                </c:pt>
                <c:pt idx="155">
                  <c:v>38826</c:v>
                </c:pt>
                <c:pt idx="156">
                  <c:v>38826</c:v>
                </c:pt>
                <c:pt idx="157">
                  <c:v>38853</c:v>
                </c:pt>
                <c:pt idx="158">
                  <c:v>38853</c:v>
                </c:pt>
                <c:pt idx="159">
                  <c:v>38884</c:v>
                </c:pt>
                <c:pt idx="160">
                  <c:v>38884</c:v>
                </c:pt>
                <c:pt idx="161">
                  <c:v>38915</c:v>
                </c:pt>
                <c:pt idx="162">
                  <c:v>38915</c:v>
                </c:pt>
                <c:pt idx="163">
                  <c:v>38952</c:v>
                </c:pt>
                <c:pt idx="164">
                  <c:v>38952</c:v>
                </c:pt>
                <c:pt idx="165">
                  <c:v>38975</c:v>
                </c:pt>
                <c:pt idx="166">
                  <c:v>38975</c:v>
                </c:pt>
                <c:pt idx="167">
                  <c:v>39006</c:v>
                </c:pt>
                <c:pt idx="168">
                  <c:v>39006</c:v>
                </c:pt>
                <c:pt idx="169">
                  <c:v>39041</c:v>
                </c:pt>
                <c:pt idx="170">
                  <c:v>39041</c:v>
                </c:pt>
                <c:pt idx="171">
                  <c:v>39062</c:v>
                </c:pt>
                <c:pt idx="172">
                  <c:v>39062</c:v>
                </c:pt>
                <c:pt idx="173">
                  <c:v>39100</c:v>
                </c:pt>
                <c:pt idx="174">
                  <c:v>39100</c:v>
                </c:pt>
                <c:pt idx="175">
                  <c:v>39135</c:v>
                </c:pt>
                <c:pt idx="176">
                  <c:v>39135</c:v>
                </c:pt>
                <c:pt idx="177">
                  <c:v>39153</c:v>
                </c:pt>
                <c:pt idx="178">
                  <c:v>39153</c:v>
                </c:pt>
                <c:pt idx="179">
                  <c:v>39191</c:v>
                </c:pt>
                <c:pt idx="180">
                  <c:v>39191</c:v>
                </c:pt>
                <c:pt idx="181">
                  <c:v>39216</c:v>
                </c:pt>
                <c:pt idx="182">
                  <c:v>39216</c:v>
                </c:pt>
                <c:pt idx="183">
                  <c:v>39248</c:v>
                </c:pt>
                <c:pt idx="184">
                  <c:v>39248</c:v>
                </c:pt>
                <c:pt idx="185">
                  <c:v>39279</c:v>
                </c:pt>
                <c:pt idx="186">
                  <c:v>39279</c:v>
                </c:pt>
                <c:pt idx="187">
                  <c:v>39308</c:v>
                </c:pt>
                <c:pt idx="188">
                  <c:v>39308</c:v>
                </c:pt>
                <c:pt idx="189">
                  <c:v>39335</c:v>
                </c:pt>
                <c:pt idx="190">
                  <c:v>39335</c:v>
                </c:pt>
                <c:pt idx="191">
                  <c:v>39370</c:v>
                </c:pt>
                <c:pt idx="192">
                  <c:v>39370</c:v>
                </c:pt>
                <c:pt idx="193">
                  <c:v>39400</c:v>
                </c:pt>
                <c:pt idx="194">
                  <c:v>39400</c:v>
                </c:pt>
                <c:pt idx="195">
                  <c:v>39434</c:v>
                </c:pt>
                <c:pt idx="196">
                  <c:v>39434</c:v>
                </c:pt>
                <c:pt idx="197">
                  <c:v>39463</c:v>
                </c:pt>
                <c:pt idx="198">
                  <c:v>39463</c:v>
                </c:pt>
                <c:pt idx="199">
                  <c:v>39493</c:v>
                </c:pt>
                <c:pt idx="200">
                  <c:v>39493</c:v>
                </c:pt>
                <c:pt idx="201">
                  <c:v>39517</c:v>
                </c:pt>
                <c:pt idx="202">
                  <c:v>39517</c:v>
                </c:pt>
                <c:pt idx="203">
                  <c:v>39552</c:v>
                </c:pt>
                <c:pt idx="204">
                  <c:v>39552</c:v>
                </c:pt>
                <c:pt idx="205">
                  <c:v>39583</c:v>
                </c:pt>
                <c:pt idx="206">
                  <c:v>39583</c:v>
                </c:pt>
                <c:pt idx="207">
                  <c:v>39617</c:v>
                </c:pt>
                <c:pt idx="208">
                  <c:v>39617</c:v>
                </c:pt>
                <c:pt idx="209">
                  <c:v>39645</c:v>
                </c:pt>
                <c:pt idx="210">
                  <c:v>39645</c:v>
                </c:pt>
                <c:pt idx="211">
                  <c:v>39672</c:v>
                </c:pt>
                <c:pt idx="212">
                  <c:v>39672</c:v>
                </c:pt>
                <c:pt idx="213">
                  <c:v>39709</c:v>
                </c:pt>
                <c:pt idx="214">
                  <c:v>39709</c:v>
                </c:pt>
                <c:pt idx="215">
                  <c:v>39735</c:v>
                </c:pt>
                <c:pt idx="216">
                  <c:v>39735</c:v>
                </c:pt>
                <c:pt idx="217">
                  <c:v>39769</c:v>
                </c:pt>
                <c:pt idx="218">
                  <c:v>39769</c:v>
                </c:pt>
                <c:pt idx="219">
                  <c:v>39797</c:v>
                </c:pt>
                <c:pt idx="220">
                  <c:v>39797</c:v>
                </c:pt>
                <c:pt idx="221">
                  <c:v>39826</c:v>
                </c:pt>
                <c:pt idx="222">
                  <c:v>39826</c:v>
                </c:pt>
                <c:pt idx="223">
                  <c:v>39861</c:v>
                </c:pt>
                <c:pt idx="224">
                  <c:v>39861</c:v>
                </c:pt>
                <c:pt idx="225">
                  <c:v>39888</c:v>
                </c:pt>
                <c:pt idx="226">
                  <c:v>39888</c:v>
                </c:pt>
                <c:pt idx="227">
                  <c:v>39916</c:v>
                </c:pt>
                <c:pt idx="228">
                  <c:v>39916</c:v>
                </c:pt>
                <c:pt idx="229">
                  <c:v>39946</c:v>
                </c:pt>
                <c:pt idx="230">
                  <c:v>39946</c:v>
                </c:pt>
                <c:pt idx="231">
                  <c:v>39983</c:v>
                </c:pt>
                <c:pt idx="232">
                  <c:v>39983</c:v>
                </c:pt>
                <c:pt idx="233">
                  <c:v>40007</c:v>
                </c:pt>
                <c:pt idx="234">
                  <c:v>40007</c:v>
                </c:pt>
                <c:pt idx="235">
                  <c:v>40042</c:v>
                </c:pt>
                <c:pt idx="236">
                  <c:v>40042</c:v>
                </c:pt>
                <c:pt idx="237">
                  <c:v>40071</c:v>
                </c:pt>
                <c:pt idx="238">
                  <c:v>40071</c:v>
                </c:pt>
                <c:pt idx="239">
                  <c:v>40100</c:v>
                </c:pt>
                <c:pt idx="240">
                  <c:v>40100</c:v>
                </c:pt>
                <c:pt idx="241">
                  <c:v>40133</c:v>
                </c:pt>
                <c:pt idx="242">
                  <c:v>40133</c:v>
                </c:pt>
                <c:pt idx="243">
                  <c:v>40161</c:v>
                </c:pt>
                <c:pt idx="244">
                  <c:v>40161</c:v>
                </c:pt>
                <c:pt idx="245">
                  <c:v>40197</c:v>
                </c:pt>
                <c:pt idx="246">
                  <c:v>40197</c:v>
                </c:pt>
                <c:pt idx="247">
                  <c:v>40225</c:v>
                </c:pt>
                <c:pt idx="248">
                  <c:v>40225</c:v>
                </c:pt>
                <c:pt idx="249">
                  <c:v>40255</c:v>
                </c:pt>
                <c:pt idx="250">
                  <c:v>40255</c:v>
                </c:pt>
                <c:pt idx="251">
                  <c:v>40281</c:v>
                </c:pt>
                <c:pt idx="252">
                  <c:v>40281</c:v>
                </c:pt>
                <c:pt idx="253">
                  <c:v>40317</c:v>
                </c:pt>
                <c:pt idx="254">
                  <c:v>40317</c:v>
                </c:pt>
                <c:pt idx="255">
                  <c:v>40345</c:v>
                </c:pt>
                <c:pt idx="256">
                  <c:v>40345</c:v>
                </c:pt>
                <c:pt idx="257">
                  <c:v>40373</c:v>
                </c:pt>
                <c:pt idx="258">
                  <c:v>40373</c:v>
                </c:pt>
                <c:pt idx="259">
                  <c:v>40409</c:v>
                </c:pt>
                <c:pt idx="260">
                  <c:v>40409</c:v>
                </c:pt>
                <c:pt idx="261">
                  <c:v>40434</c:v>
                </c:pt>
                <c:pt idx="262">
                  <c:v>40434</c:v>
                </c:pt>
                <c:pt idx="263">
                  <c:v>40463</c:v>
                </c:pt>
                <c:pt idx="264">
                  <c:v>40463</c:v>
                </c:pt>
                <c:pt idx="265">
                  <c:v>40500</c:v>
                </c:pt>
                <c:pt idx="266">
                  <c:v>40500</c:v>
                </c:pt>
                <c:pt idx="267">
                  <c:v>40521</c:v>
                </c:pt>
                <c:pt idx="268">
                  <c:v>40521</c:v>
                </c:pt>
                <c:pt idx="269">
                  <c:v>40563</c:v>
                </c:pt>
                <c:pt idx="270">
                  <c:v>40563</c:v>
                </c:pt>
                <c:pt idx="271">
                  <c:v>40598</c:v>
                </c:pt>
                <c:pt idx="272">
                  <c:v>40598</c:v>
                </c:pt>
                <c:pt idx="273">
                  <c:v>40617</c:v>
                </c:pt>
                <c:pt idx="274">
                  <c:v>40617</c:v>
                </c:pt>
                <c:pt idx="275">
                  <c:v>40647</c:v>
                </c:pt>
                <c:pt idx="276">
                  <c:v>40647</c:v>
                </c:pt>
                <c:pt idx="277">
                  <c:v>40682</c:v>
                </c:pt>
                <c:pt idx="278">
                  <c:v>40682</c:v>
                </c:pt>
                <c:pt idx="279">
                  <c:v>40709</c:v>
                </c:pt>
                <c:pt idx="280">
                  <c:v>40709</c:v>
                </c:pt>
                <c:pt idx="281">
                  <c:v>40736</c:v>
                </c:pt>
                <c:pt idx="282">
                  <c:v>40736</c:v>
                </c:pt>
                <c:pt idx="283">
                  <c:v>40772</c:v>
                </c:pt>
                <c:pt idx="284">
                  <c:v>40772</c:v>
                </c:pt>
                <c:pt idx="285">
                  <c:v>40798</c:v>
                </c:pt>
                <c:pt idx="286">
                  <c:v>40798</c:v>
                </c:pt>
                <c:pt idx="287">
                  <c:v>40829</c:v>
                </c:pt>
                <c:pt idx="288">
                  <c:v>40829</c:v>
                </c:pt>
                <c:pt idx="289">
                  <c:v>40877</c:v>
                </c:pt>
                <c:pt idx="290">
                  <c:v>40877</c:v>
                </c:pt>
                <c:pt idx="291">
                  <c:v>40891</c:v>
                </c:pt>
                <c:pt idx="292">
                  <c:v>40891</c:v>
                </c:pt>
                <c:pt idx="293">
                  <c:v>40919</c:v>
                </c:pt>
                <c:pt idx="294">
                  <c:v>40919</c:v>
                </c:pt>
                <c:pt idx="295">
                  <c:v>40960</c:v>
                </c:pt>
                <c:pt idx="296">
                  <c:v>40960</c:v>
                </c:pt>
                <c:pt idx="297">
                  <c:v>40982</c:v>
                </c:pt>
                <c:pt idx="298">
                  <c:v>40982</c:v>
                </c:pt>
                <c:pt idx="299">
                  <c:v>41016</c:v>
                </c:pt>
                <c:pt idx="300">
                  <c:v>41016</c:v>
                </c:pt>
                <c:pt idx="301">
                  <c:v>41051</c:v>
                </c:pt>
                <c:pt idx="302">
                  <c:v>41051</c:v>
                </c:pt>
                <c:pt idx="303">
                  <c:v>41080</c:v>
                </c:pt>
                <c:pt idx="304">
                  <c:v>41080</c:v>
                </c:pt>
                <c:pt idx="305">
                  <c:v>41106</c:v>
                </c:pt>
                <c:pt idx="306">
                  <c:v>41106</c:v>
                </c:pt>
                <c:pt idx="307">
                  <c:v>41137</c:v>
                </c:pt>
                <c:pt idx="308">
                  <c:v>41137</c:v>
                </c:pt>
                <c:pt idx="309">
                  <c:v>41163</c:v>
                </c:pt>
                <c:pt idx="310">
                  <c:v>41163</c:v>
                </c:pt>
                <c:pt idx="311">
                  <c:v>41199</c:v>
                </c:pt>
                <c:pt idx="312">
                  <c:v>41199</c:v>
                </c:pt>
                <c:pt idx="313">
                  <c:v>41225</c:v>
                </c:pt>
                <c:pt idx="314">
                  <c:v>41225</c:v>
                </c:pt>
                <c:pt idx="315">
                  <c:v>41255</c:v>
                </c:pt>
                <c:pt idx="316">
                  <c:v>41255</c:v>
                </c:pt>
                <c:pt idx="317">
                  <c:v>41297</c:v>
                </c:pt>
                <c:pt idx="318">
                  <c:v>41297</c:v>
                </c:pt>
                <c:pt idx="319">
                  <c:v>41319</c:v>
                </c:pt>
                <c:pt idx="320">
                  <c:v>41319</c:v>
                </c:pt>
                <c:pt idx="321">
                  <c:v>41346</c:v>
                </c:pt>
                <c:pt idx="322">
                  <c:v>41346</c:v>
                </c:pt>
                <c:pt idx="323">
                  <c:v>41380</c:v>
                </c:pt>
                <c:pt idx="324">
                  <c:v>41380</c:v>
                </c:pt>
                <c:pt idx="325">
                  <c:v>41380</c:v>
                </c:pt>
                <c:pt idx="326">
                  <c:v>41407</c:v>
                </c:pt>
                <c:pt idx="327">
                  <c:v>41407</c:v>
                </c:pt>
                <c:pt idx="328">
                  <c:v>41437</c:v>
                </c:pt>
                <c:pt idx="329">
                  <c:v>41437</c:v>
                </c:pt>
                <c:pt idx="330">
                  <c:v>41470</c:v>
                </c:pt>
                <c:pt idx="331">
                  <c:v>41470</c:v>
                </c:pt>
                <c:pt idx="332">
                  <c:v>41498</c:v>
                </c:pt>
                <c:pt idx="333">
                  <c:v>41498</c:v>
                </c:pt>
                <c:pt idx="334">
                  <c:v>41535</c:v>
                </c:pt>
                <c:pt idx="335">
                  <c:v>41535</c:v>
                </c:pt>
                <c:pt idx="336">
                  <c:v>406810</c:v>
                </c:pt>
                <c:pt idx="337">
                  <c:v>406810</c:v>
                </c:pt>
                <c:pt idx="338">
                  <c:v>41599</c:v>
                </c:pt>
                <c:pt idx="339">
                  <c:v>41599</c:v>
                </c:pt>
                <c:pt idx="340">
                  <c:v>41627</c:v>
                </c:pt>
                <c:pt idx="341">
                  <c:v>41627</c:v>
                </c:pt>
                <c:pt idx="342">
                  <c:v>41655</c:v>
                </c:pt>
                <c:pt idx="343">
                  <c:v>41655</c:v>
                </c:pt>
                <c:pt idx="344">
                  <c:v>41690</c:v>
                </c:pt>
                <c:pt idx="345">
                  <c:v>41690</c:v>
                </c:pt>
                <c:pt idx="346">
                  <c:v>41718</c:v>
                </c:pt>
                <c:pt idx="347">
                  <c:v>41718</c:v>
                </c:pt>
                <c:pt idx="348">
                  <c:v>41750</c:v>
                </c:pt>
                <c:pt idx="349">
                  <c:v>41750</c:v>
                </c:pt>
                <c:pt idx="350">
                  <c:v>41406</c:v>
                </c:pt>
                <c:pt idx="351">
                  <c:v>41406</c:v>
                </c:pt>
                <c:pt idx="352">
                  <c:v>41807</c:v>
                </c:pt>
                <c:pt idx="353">
                  <c:v>41807</c:v>
                </c:pt>
                <c:pt idx="354">
                  <c:v>41837</c:v>
                </c:pt>
                <c:pt idx="355">
                  <c:v>41837</c:v>
                </c:pt>
                <c:pt idx="356">
                  <c:v>41862</c:v>
                </c:pt>
                <c:pt idx="357">
                  <c:v>41862</c:v>
                </c:pt>
                <c:pt idx="358">
                  <c:v>41897</c:v>
                </c:pt>
                <c:pt idx="359">
                  <c:v>41897</c:v>
                </c:pt>
                <c:pt idx="360">
                  <c:v>41928</c:v>
                </c:pt>
                <c:pt idx="361">
                  <c:v>41928</c:v>
                </c:pt>
                <c:pt idx="362">
                  <c:v>41955</c:v>
                </c:pt>
                <c:pt idx="363">
                  <c:v>41955</c:v>
                </c:pt>
                <c:pt idx="364">
                  <c:v>41992</c:v>
                </c:pt>
                <c:pt idx="365">
                  <c:v>41992</c:v>
                </c:pt>
                <c:pt idx="366">
                  <c:v>42014</c:v>
                </c:pt>
                <c:pt idx="367">
                  <c:v>42009</c:v>
                </c:pt>
                <c:pt idx="368">
                  <c:v>42036</c:v>
                </c:pt>
                <c:pt idx="369">
                  <c:v>42036</c:v>
                </c:pt>
                <c:pt idx="370">
                  <c:v>42064</c:v>
                </c:pt>
                <c:pt idx="371">
                  <c:v>42064</c:v>
                </c:pt>
                <c:pt idx="372">
                  <c:v>42095</c:v>
                </c:pt>
                <c:pt idx="373">
                  <c:v>42095</c:v>
                </c:pt>
                <c:pt idx="374">
                  <c:v>42125</c:v>
                </c:pt>
                <c:pt idx="375">
                  <c:v>42125</c:v>
                </c:pt>
                <c:pt idx="376">
                  <c:v>42156</c:v>
                </c:pt>
                <c:pt idx="377">
                  <c:v>42156</c:v>
                </c:pt>
                <c:pt idx="378">
                  <c:v>42186</c:v>
                </c:pt>
                <c:pt idx="379">
                  <c:v>42186</c:v>
                </c:pt>
                <c:pt idx="380">
                  <c:v>42217</c:v>
                </c:pt>
                <c:pt idx="381">
                  <c:v>42217</c:v>
                </c:pt>
                <c:pt idx="382">
                  <c:v>42248</c:v>
                </c:pt>
                <c:pt idx="383">
                  <c:v>42248</c:v>
                </c:pt>
                <c:pt idx="384">
                  <c:v>42278</c:v>
                </c:pt>
                <c:pt idx="385">
                  <c:v>42278</c:v>
                </c:pt>
                <c:pt idx="386">
                  <c:v>42309</c:v>
                </c:pt>
                <c:pt idx="387">
                  <c:v>42309</c:v>
                </c:pt>
                <c:pt idx="388">
                  <c:v>42339</c:v>
                </c:pt>
                <c:pt idx="389">
                  <c:v>42339</c:v>
                </c:pt>
                <c:pt idx="390">
                  <c:v>42379</c:v>
                </c:pt>
                <c:pt idx="391">
                  <c:v>42374</c:v>
                </c:pt>
                <c:pt idx="392">
                  <c:v>42401</c:v>
                </c:pt>
                <c:pt idx="393">
                  <c:v>42401</c:v>
                </c:pt>
                <c:pt idx="394">
                  <c:v>42430</c:v>
                </c:pt>
                <c:pt idx="395">
                  <c:v>42430</c:v>
                </c:pt>
                <c:pt idx="396">
                  <c:v>42461</c:v>
                </c:pt>
                <c:pt idx="397">
                  <c:v>42461</c:v>
                </c:pt>
                <c:pt idx="398">
                  <c:v>42491</c:v>
                </c:pt>
                <c:pt idx="399">
                  <c:v>42491</c:v>
                </c:pt>
                <c:pt idx="400">
                  <c:v>42522</c:v>
                </c:pt>
                <c:pt idx="401">
                  <c:v>42522</c:v>
                </c:pt>
                <c:pt idx="402">
                  <c:v>42552</c:v>
                </c:pt>
                <c:pt idx="403">
                  <c:v>42552</c:v>
                </c:pt>
                <c:pt idx="404">
                  <c:v>42583</c:v>
                </c:pt>
                <c:pt idx="405">
                  <c:v>42583</c:v>
                </c:pt>
                <c:pt idx="406">
                  <c:v>42614</c:v>
                </c:pt>
                <c:pt idx="407">
                  <c:v>42614</c:v>
                </c:pt>
                <c:pt idx="408">
                  <c:v>42644</c:v>
                </c:pt>
                <c:pt idx="409">
                  <c:v>42644</c:v>
                </c:pt>
                <c:pt idx="410">
                  <c:v>42675</c:v>
                </c:pt>
                <c:pt idx="411">
                  <c:v>42675</c:v>
                </c:pt>
                <c:pt idx="412">
                  <c:v>42705</c:v>
                </c:pt>
                <c:pt idx="413">
                  <c:v>42705</c:v>
                </c:pt>
                <c:pt idx="414">
                  <c:v>42745</c:v>
                </c:pt>
                <c:pt idx="415">
                  <c:v>42740</c:v>
                </c:pt>
                <c:pt idx="416">
                  <c:v>42767</c:v>
                </c:pt>
                <c:pt idx="417">
                  <c:v>42767</c:v>
                </c:pt>
                <c:pt idx="418">
                  <c:v>42795</c:v>
                </c:pt>
                <c:pt idx="419">
                  <c:v>42795</c:v>
                </c:pt>
                <c:pt idx="420">
                  <c:v>42826</c:v>
                </c:pt>
                <c:pt idx="421">
                  <c:v>42826</c:v>
                </c:pt>
                <c:pt idx="422">
                  <c:v>42856</c:v>
                </c:pt>
                <c:pt idx="423">
                  <c:v>42856</c:v>
                </c:pt>
                <c:pt idx="424">
                  <c:v>42887</c:v>
                </c:pt>
                <c:pt idx="425">
                  <c:v>42887</c:v>
                </c:pt>
                <c:pt idx="426">
                  <c:v>42917</c:v>
                </c:pt>
                <c:pt idx="427">
                  <c:v>42917</c:v>
                </c:pt>
                <c:pt idx="428">
                  <c:v>42948</c:v>
                </c:pt>
                <c:pt idx="429">
                  <c:v>42948</c:v>
                </c:pt>
                <c:pt idx="430">
                  <c:v>42979</c:v>
                </c:pt>
                <c:pt idx="431">
                  <c:v>42979</c:v>
                </c:pt>
                <c:pt idx="432">
                  <c:v>43009</c:v>
                </c:pt>
                <c:pt idx="433">
                  <c:v>43009</c:v>
                </c:pt>
                <c:pt idx="434">
                  <c:v>43040</c:v>
                </c:pt>
                <c:pt idx="435">
                  <c:v>43040</c:v>
                </c:pt>
                <c:pt idx="436">
                  <c:v>43070</c:v>
                </c:pt>
                <c:pt idx="437">
                  <c:v>43070</c:v>
                </c:pt>
                <c:pt idx="438">
                  <c:v>43110</c:v>
                </c:pt>
                <c:pt idx="439">
                  <c:v>43105</c:v>
                </c:pt>
                <c:pt idx="440">
                  <c:v>43132</c:v>
                </c:pt>
                <c:pt idx="441">
                  <c:v>43132</c:v>
                </c:pt>
                <c:pt idx="442">
                  <c:v>43160</c:v>
                </c:pt>
                <c:pt idx="443">
                  <c:v>43160</c:v>
                </c:pt>
                <c:pt idx="444">
                  <c:v>43191</c:v>
                </c:pt>
                <c:pt idx="445">
                  <c:v>43191</c:v>
                </c:pt>
                <c:pt idx="446">
                  <c:v>43221</c:v>
                </c:pt>
                <c:pt idx="447">
                  <c:v>43221</c:v>
                </c:pt>
                <c:pt idx="448">
                  <c:v>43252</c:v>
                </c:pt>
                <c:pt idx="449">
                  <c:v>43252</c:v>
                </c:pt>
                <c:pt idx="450">
                  <c:v>43282</c:v>
                </c:pt>
                <c:pt idx="451">
                  <c:v>43282</c:v>
                </c:pt>
                <c:pt idx="452">
                  <c:v>43313</c:v>
                </c:pt>
                <c:pt idx="453">
                  <c:v>43313</c:v>
                </c:pt>
                <c:pt idx="454">
                  <c:v>43344</c:v>
                </c:pt>
                <c:pt idx="455">
                  <c:v>43344</c:v>
                </c:pt>
                <c:pt idx="456">
                  <c:v>43374</c:v>
                </c:pt>
                <c:pt idx="457">
                  <c:v>43374</c:v>
                </c:pt>
                <c:pt idx="458">
                  <c:v>43405</c:v>
                </c:pt>
                <c:pt idx="459">
                  <c:v>43405</c:v>
                </c:pt>
                <c:pt idx="460">
                  <c:v>43435</c:v>
                </c:pt>
                <c:pt idx="461">
                  <c:v>43435</c:v>
                </c:pt>
                <c:pt idx="462">
                  <c:v>43475</c:v>
                </c:pt>
                <c:pt idx="463">
                  <c:v>43470</c:v>
                </c:pt>
                <c:pt idx="464">
                  <c:v>43497</c:v>
                </c:pt>
                <c:pt idx="465">
                  <c:v>43497</c:v>
                </c:pt>
                <c:pt idx="466">
                  <c:v>43525</c:v>
                </c:pt>
                <c:pt idx="467">
                  <c:v>43525</c:v>
                </c:pt>
                <c:pt idx="468">
                  <c:v>43556</c:v>
                </c:pt>
                <c:pt idx="469">
                  <c:v>43556</c:v>
                </c:pt>
                <c:pt idx="470">
                  <c:v>43586</c:v>
                </c:pt>
                <c:pt idx="471">
                  <c:v>43586</c:v>
                </c:pt>
                <c:pt idx="472">
                  <c:v>43617</c:v>
                </c:pt>
                <c:pt idx="473">
                  <c:v>43617</c:v>
                </c:pt>
                <c:pt idx="474">
                  <c:v>43647</c:v>
                </c:pt>
                <c:pt idx="475">
                  <c:v>43647</c:v>
                </c:pt>
                <c:pt idx="476">
                  <c:v>43678</c:v>
                </c:pt>
                <c:pt idx="477">
                  <c:v>43678</c:v>
                </c:pt>
                <c:pt idx="478">
                  <c:v>43709</c:v>
                </c:pt>
                <c:pt idx="479">
                  <c:v>43709</c:v>
                </c:pt>
                <c:pt idx="480">
                  <c:v>43739</c:v>
                </c:pt>
                <c:pt idx="481">
                  <c:v>43739</c:v>
                </c:pt>
                <c:pt idx="482">
                  <c:v>43770</c:v>
                </c:pt>
                <c:pt idx="483">
                  <c:v>43770</c:v>
                </c:pt>
                <c:pt idx="484">
                  <c:v>43800</c:v>
                </c:pt>
                <c:pt idx="485">
                  <c:v>43800</c:v>
                </c:pt>
              </c:numCache>
            </c:numRef>
          </c:xVal>
          <c:yVal>
            <c:numRef>
              <c:f>'Fuco update'!$N$4:$N$489</c:f>
              <c:numCache>
                <c:formatCode>General</c:formatCode>
                <c:ptCount val="486"/>
                <c:pt idx="0">
                  <c:v>-1.0642875160123257</c:v>
                </c:pt>
                <c:pt idx="2">
                  <c:v>-0.48421477550306224</c:v>
                </c:pt>
                <c:pt idx="4">
                  <c:v>-0.66711837233497628</c:v>
                </c:pt>
                <c:pt idx="6">
                  <c:v>-1.2299355969237058</c:v>
                </c:pt>
                <c:pt idx="8">
                  <c:v>-0.28924726712448257</c:v>
                </c:pt>
                <c:pt idx="10">
                  <c:v>-0.79391397663652552</c:v>
                </c:pt>
                <c:pt idx="12">
                  <c:v>-0.95940282780600794</c:v>
                </c:pt>
                <c:pt idx="14">
                  <c:v>-1.6343571697854919</c:v>
                </c:pt>
                <c:pt idx="16">
                  <c:v>-1.5334549807453468</c:v>
                </c:pt>
                <c:pt idx="18">
                  <c:v>-2.5337189016059902</c:v>
                </c:pt>
                <c:pt idx="20">
                  <c:v>-2.8089968591475953</c:v>
                </c:pt>
                <c:pt idx="22">
                  <c:v>-2.9881673208749358</c:v>
                </c:pt>
                <c:pt idx="24">
                  <c:v>-4.54292678331635</c:v>
                </c:pt>
                <c:pt idx="26">
                  <c:v>-5.7726562761440521</c:v>
                </c:pt>
                <c:pt idx="28">
                  <c:v>-6.1175885952324833</c:v>
                </c:pt>
                <c:pt idx="30">
                  <c:v>-5.7528430414094833</c:v>
                </c:pt>
                <c:pt idx="32">
                  <c:v>-5.4484698857183984</c:v>
                </c:pt>
                <c:pt idx="34">
                  <c:v>-3.9839062397384053</c:v>
                </c:pt>
                <c:pt idx="36">
                  <c:v>-5.7119167155554482</c:v>
                </c:pt>
                <c:pt idx="38">
                  <c:v>-7.3972521656064369</c:v>
                </c:pt>
                <c:pt idx="40">
                  <c:v>-8.1042265884248295</c:v>
                </c:pt>
                <c:pt idx="42">
                  <c:v>-9.1735778334068385</c:v>
                </c:pt>
                <c:pt idx="44">
                  <c:v>-10.097350071033741</c:v>
                </c:pt>
                <c:pt idx="46">
                  <c:v>-10.28960438359281</c:v>
                </c:pt>
                <c:pt idx="48">
                  <c:v>-11.04482317254314</c:v>
                </c:pt>
                <c:pt idx="50">
                  <c:v>-12.092449002561226</c:v>
                </c:pt>
                <c:pt idx="52">
                  <c:v>-13.172647678202685</c:v>
                </c:pt>
                <c:pt idx="54">
                  <c:v>-13.449677098261757</c:v>
                </c:pt>
                <c:pt idx="56">
                  <c:v>-13.198163075122086</c:v>
                </c:pt>
                <c:pt idx="58">
                  <c:v>-13.695257853402657</c:v>
                </c:pt>
                <c:pt idx="60">
                  <c:v>-14.777097333719619</c:v>
                </c:pt>
                <c:pt idx="72">
                  <c:v>-14.816195440641767</c:v>
                </c:pt>
                <c:pt idx="74">
                  <c:v>-15.130295399635299</c:v>
                </c:pt>
                <c:pt idx="76">
                  <c:v>-15.331739981883649</c:v>
                </c:pt>
                <c:pt idx="78">
                  <c:v>-14.594913426267111</c:v>
                </c:pt>
                <c:pt idx="80">
                  <c:v>-13.858969715397816</c:v>
                </c:pt>
                <c:pt idx="82">
                  <c:v>-13.081827110542195</c:v>
                </c:pt>
                <c:pt idx="84">
                  <c:v>-10.848497298719318</c:v>
                </c:pt>
                <c:pt idx="86">
                  <c:v>-10.927162757259437</c:v>
                </c:pt>
                <c:pt idx="88">
                  <c:v>-8.2523286039705948</c:v>
                </c:pt>
                <c:pt idx="90">
                  <c:v>-8.9367426068974947</c:v>
                </c:pt>
                <c:pt idx="92">
                  <c:v>-8.0878373304402178</c:v>
                </c:pt>
                <c:pt idx="94">
                  <c:v>-8.6217011062477678</c:v>
                </c:pt>
                <c:pt idx="96">
                  <c:v>-10.408744298908028</c:v>
                </c:pt>
                <c:pt idx="98">
                  <c:v>-11.5143278761616</c:v>
                </c:pt>
                <c:pt idx="100">
                  <c:v>-12.023720225976852</c:v>
                </c:pt>
                <c:pt idx="102">
                  <c:v>-11.55296841266996</c:v>
                </c:pt>
                <c:pt idx="104">
                  <c:v>-11.234250466516379</c:v>
                </c:pt>
                <c:pt idx="106">
                  <c:v>-9.2314150190852811</c:v>
                </c:pt>
                <c:pt idx="108">
                  <c:v>-9.5238459134509288</c:v>
                </c:pt>
                <c:pt idx="110">
                  <c:v>-9.3773687875855174</c:v>
                </c:pt>
                <c:pt idx="112">
                  <c:v>-8.4706611846764055</c:v>
                </c:pt>
                <c:pt idx="114">
                  <c:v>-8.9762911650343966</c:v>
                </c:pt>
                <c:pt idx="116">
                  <c:v>-8.5936287292228837</c:v>
                </c:pt>
                <c:pt idx="118">
                  <c:v>-8.2566384612308639</c:v>
                </c:pt>
                <c:pt idx="120">
                  <c:v>-9.6415614064834489</c:v>
                </c:pt>
                <c:pt idx="122">
                  <c:v>-10.136498467916844</c:v>
                </c:pt>
                <c:pt idx="124">
                  <c:v>-10.649999605442941</c:v>
                </c:pt>
                <c:pt idx="126">
                  <c:v>-9.9080937032234679</c:v>
                </c:pt>
                <c:pt idx="128">
                  <c:v>-10.203646247958428</c:v>
                </c:pt>
                <c:pt idx="130">
                  <c:v>-10.069471848927149</c:v>
                </c:pt>
                <c:pt idx="132">
                  <c:v>-8.928540582667905</c:v>
                </c:pt>
                <c:pt idx="134">
                  <c:v>-8.6204495031947932</c:v>
                </c:pt>
                <c:pt idx="136">
                  <c:v>-8.7721528482425164</c:v>
                </c:pt>
                <c:pt idx="138">
                  <c:v>-9.4328607958225223</c:v>
                </c:pt>
                <c:pt idx="140">
                  <c:v>-9.4057464224136549</c:v>
                </c:pt>
                <c:pt idx="142">
                  <c:v>-8.4093295460028266</c:v>
                </c:pt>
                <c:pt idx="144">
                  <c:v>-9.1510000833459113</c:v>
                </c:pt>
                <c:pt idx="146">
                  <c:v>-10.76806596504915</c:v>
                </c:pt>
                <c:pt idx="148">
                  <c:v>-10.900950343321339</c:v>
                </c:pt>
                <c:pt idx="150">
                  <c:v>-10.44552792658404</c:v>
                </c:pt>
                <c:pt idx="152">
                  <c:v>-9.964431152967224</c:v>
                </c:pt>
                <c:pt idx="154">
                  <c:v>-9.6802820819024227</c:v>
                </c:pt>
                <c:pt idx="156">
                  <c:v>-11.494327377094722</c:v>
                </c:pt>
                <c:pt idx="158">
                  <c:v>-12.022040380430925</c:v>
                </c:pt>
                <c:pt idx="160">
                  <c:v>-10.729533972359032</c:v>
                </c:pt>
                <c:pt idx="162">
                  <c:v>-10.42712646333038</c:v>
                </c:pt>
                <c:pt idx="164">
                  <c:v>-9.9204309634233994</c:v>
                </c:pt>
                <c:pt idx="166">
                  <c:v>-9.7107277704370816</c:v>
                </c:pt>
                <c:pt idx="168">
                  <c:v>-11.265168436196062</c:v>
                </c:pt>
                <c:pt idx="170">
                  <c:v>-12.495511905567231</c:v>
                </c:pt>
                <c:pt idx="172">
                  <c:v>-12.846335273931935</c:v>
                </c:pt>
                <c:pt idx="174">
                  <c:v>-13.263949367648982</c:v>
                </c:pt>
                <c:pt idx="176">
                  <c:v>-12.616967100915819</c:v>
                </c:pt>
                <c:pt idx="178">
                  <c:v>-11.997525690925025</c:v>
                </c:pt>
                <c:pt idx="180">
                  <c:v>-11.329759461991667</c:v>
                </c:pt>
                <c:pt idx="182">
                  <c:v>-8.652461571710047</c:v>
                </c:pt>
                <c:pt idx="184">
                  <c:v>-6.7391336441106029</c:v>
                </c:pt>
                <c:pt idx="186">
                  <c:v>-7.0618102773269804</c:v>
                </c:pt>
                <c:pt idx="188">
                  <c:v>-6.0236062031176854</c:v>
                </c:pt>
                <c:pt idx="190">
                  <c:v>-5.8659003889881989</c:v>
                </c:pt>
                <c:pt idx="192">
                  <c:v>-7.240755430549215</c:v>
                </c:pt>
                <c:pt idx="194">
                  <c:v>-8.744960126490998</c:v>
                </c:pt>
                <c:pt idx="196">
                  <c:v>-9.3191825759318956</c:v>
                </c:pt>
                <c:pt idx="198">
                  <c:v>-9.6570260862846506</c:v>
                </c:pt>
                <c:pt idx="200">
                  <c:v>-9.4420464660702965</c:v>
                </c:pt>
                <c:pt idx="202">
                  <c:v>-10.164514646553194</c:v>
                </c:pt>
                <c:pt idx="204">
                  <c:v>-11.822960857528836</c:v>
                </c:pt>
                <c:pt idx="206">
                  <c:v>-11.832860075870979</c:v>
                </c:pt>
                <c:pt idx="208">
                  <c:v>-12.31013326699934</c:v>
                </c:pt>
                <c:pt idx="210">
                  <c:v>-12.572908638987361</c:v>
                </c:pt>
                <c:pt idx="212">
                  <c:v>-12.373769964498011</c:v>
                </c:pt>
                <c:pt idx="214">
                  <c:v>-13.073793841951566</c:v>
                </c:pt>
                <c:pt idx="216">
                  <c:v>-11.934067782542558</c:v>
                </c:pt>
                <c:pt idx="218">
                  <c:v>-13.011412125288185</c:v>
                </c:pt>
                <c:pt idx="220">
                  <c:v>-13.10793053308436</c:v>
                </c:pt>
                <c:pt idx="222">
                  <c:v>-12.814113230791625</c:v>
                </c:pt>
                <c:pt idx="224">
                  <c:v>-11.642389941867558</c:v>
                </c:pt>
                <c:pt idx="226">
                  <c:v>-10.547622989873515</c:v>
                </c:pt>
                <c:pt idx="228">
                  <c:v>-11.718874938243667</c:v>
                </c:pt>
                <c:pt idx="230">
                  <c:v>-13.016916569665161</c:v>
                </c:pt>
                <c:pt idx="232">
                  <c:v>-12.472785540624681</c:v>
                </c:pt>
                <c:pt idx="234">
                  <c:v>-13.14692266511706</c:v>
                </c:pt>
                <c:pt idx="236">
                  <c:v>-13.270569677428274</c:v>
                </c:pt>
                <c:pt idx="238">
                  <c:v>-14.438074837313621</c:v>
                </c:pt>
                <c:pt idx="240">
                  <c:v>-14.786343955002868</c:v>
                </c:pt>
                <c:pt idx="242">
                  <c:v>-14.231970950428925</c:v>
                </c:pt>
                <c:pt idx="244">
                  <c:v>-14.244970995792734</c:v>
                </c:pt>
                <c:pt idx="246">
                  <c:v>-12.457427580359338</c:v>
                </c:pt>
                <c:pt idx="248">
                  <c:v>-12.425157107825852</c:v>
                </c:pt>
                <c:pt idx="250">
                  <c:v>-9.9315724034774995</c:v>
                </c:pt>
                <c:pt idx="252">
                  <c:v>-9.0189478445088138</c:v>
                </c:pt>
                <c:pt idx="254">
                  <c:v>-7.7583166819342928</c:v>
                </c:pt>
                <c:pt idx="256">
                  <c:v>-6.0392810657673159</c:v>
                </c:pt>
                <c:pt idx="258">
                  <c:v>-4.4081164777010002</c:v>
                </c:pt>
                <c:pt idx="260">
                  <c:v>-3.1966961966274781</c:v>
                </c:pt>
                <c:pt idx="262">
                  <c:v>-2.3077632210522152</c:v>
                </c:pt>
                <c:pt idx="264">
                  <c:v>-3.5408512280294735</c:v>
                </c:pt>
                <c:pt idx="266">
                  <c:v>-5.0958334307806226</c:v>
                </c:pt>
                <c:pt idx="268">
                  <c:v>-2.6762919250335675</c:v>
                </c:pt>
                <c:pt idx="270">
                  <c:v>-1.4512771712732875</c:v>
                </c:pt>
                <c:pt idx="272">
                  <c:v>1.3215949628653911E-2</c:v>
                </c:pt>
                <c:pt idx="274">
                  <c:v>1.4262507408969494</c:v>
                </c:pt>
                <c:pt idx="276">
                  <c:v>0.95452798059131405</c:v>
                </c:pt>
                <c:pt idx="278">
                  <c:v>1.7448813789549411</c:v>
                </c:pt>
                <c:pt idx="280">
                  <c:v>1.5372038976101219</c:v>
                </c:pt>
                <c:pt idx="282">
                  <c:v>1.5520434472638678</c:v>
                </c:pt>
                <c:pt idx="284">
                  <c:v>1.8933493797894838</c:v>
                </c:pt>
                <c:pt idx="286">
                  <c:v>2.3163223582410195</c:v>
                </c:pt>
                <c:pt idx="288">
                  <c:v>3.0437129950200834</c:v>
                </c:pt>
                <c:pt idx="290">
                  <c:v>3.1864853016695576</c:v>
                </c:pt>
                <c:pt idx="292">
                  <c:v>2.8078097211631512</c:v>
                </c:pt>
                <c:pt idx="294">
                  <c:v>3.3677307999900883</c:v>
                </c:pt>
                <c:pt idx="296">
                  <c:v>4.4723808913380925</c:v>
                </c:pt>
                <c:pt idx="298">
                  <c:v>3.9693572232624876</c:v>
                </c:pt>
                <c:pt idx="300">
                  <c:v>4.1601752164729762</c:v>
                </c:pt>
                <c:pt idx="302">
                  <c:v>4.1894960585328533</c:v>
                </c:pt>
                <c:pt idx="304">
                  <c:v>4.1995704427359852</c:v>
                </c:pt>
                <c:pt idx="306">
                  <c:v>5.57604926665742</c:v>
                </c:pt>
                <c:pt idx="308">
                  <c:v>7.0777559033411457</c:v>
                </c:pt>
                <c:pt idx="310">
                  <c:v>7.4630122873688194</c:v>
                </c:pt>
                <c:pt idx="312">
                  <c:v>8.1011325279749347</c:v>
                </c:pt>
                <c:pt idx="314">
                  <c:v>7.3291640464955279</c:v>
                </c:pt>
                <c:pt idx="316">
                  <c:v>8.046202123327344</c:v>
                </c:pt>
                <c:pt idx="318">
                  <c:v>8.1490117602324883</c:v>
                </c:pt>
                <c:pt idx="320">
                  <c:v>9.9649534660980699</c:v>
                </c:pt>
                <c:pt idx="322">
                  <c:v>14.034236954506998</c:v>
                </c:pt>
                <c:pt idx="325">
                  <c:v>13.797545040793365</c:v>
                </c:pt>
                <c:pt idx="327">
                  <c:v>13.16506769140193</c:v>
                </c:pt>
                <c:pt idx="329">
                  <c:v>14.777848397516722</c:v>
                </c:pt>
                <c:pt idx="331">
                  <c:v>14.867121751025277</c:v>
                </c:pt>
                <c:pt idx="333">
                  <c:v>15.393751454440405</c:v>
                </c:pt>
                <c:pt idx="335">
                  <c:v>16.96321421086239</c:v>
                </c:pt>
                <c:pt idx="337">
                  <c:v>15.622253569113386</c:v>
                </c:pt>
                <c:pt idx="339">
                  <c:v>16.328698460547287</c:v>
                </c:pt>
                <c:pt idx="341">
                  <c:v>17.066249927567156</c:v>
                </c:pt>
                <c:pt idx="343">
                  <c:v>18.114123121717441</c:v>
                </c:pt>
                <c:pt idx="345">
                  <c:v>19.587909099485799</c:v>
                </c:pt>
                <c:pt idx="347">
                  <c:v>21.890146375193019</c:v>
                </c:pt>
                <c:pt idx="349">
                  <c:v>22.169665367483443</c:v>
                </c:pt>
                <c:pt idx="351">
                  <c:v>21.673818191124514</c:v>
                </c:pt>
                <c:pt idx="353">
                  <c:v>24.022337849190126</c:v>
                </c:pt>
                <c:pt idx="355">
                  <c:v>25.780640056576225</c:v>
                </c:pt>
                <c:pt idx="357">
                  <c:v>27.088929596618037</c:v>
                </c:pt>
                <c:pt idx="359">
                  <c:v>27.080765373370003</c:v>
                </c:pt>
                <c:pt idx="361">
                  <c:v>27.60641758122393</c:v>
                </c:pt>
                <c:pt idx="363">
                  <c:v>28.0065665441806</c:v>
                </c:pt>
                <c:pt idx="365">
                  <c:v>26.936034968123856</c:v>
                </c:pt>
                <c:pt idx="367">
                  <c:v>27.394633355284771</c:v>
                </c:pt>
                <c:pt idx="371">
                  <c:v>28.576188988618668</c:v>
                </c:pt>
                <c:pt idx="373">
                  <c:v>29.604140120601578</c:v>
                </c:pt>
                <c:pt idx="375">
                  <c:v>29.790369110542102</c:v>
                </c:pt>
                <c:pt idx="377">
                  <c:v>29.342621944481049</c:v>
                </c:pt>
                <c:pt idx="379">
                  <c:v>28.999566558121618</c:v>
                </c:pt>
                <c:pt idx="381">
                  <c:v>29.526343353259161</c:v>
                </c:pt>
                <c:pt idx="383">
                  <c:v>29.541727196046448</c:v>
                </c:pt>
                <c:pt idx="385">
                  <c:v>28.18558249459814</c:v>
                </c:pt>
                <c:pt idx="387">
                  <c:v>26.773358854962773</c:v>
                </c:pt>
                <c:pt idx="389">
                  <c:v>25.679420475694336</c:v>
                </c:pt>
                <c:pt idx="391">
                  <c:v>25.992376198940729</c:v>
                </c:pt>
                <c:pt idx="393">
                  <c:v>26.096994966701871</c:v>
                </c:pt>
                <c:pt idx="395">
                  <c:v>26.746625980686066</c:v>
                </c:pt>
                <c:pt idx="397">
                  <c:v>27.044276126203123</c:v>
                </c:pt>
                <c:pt idx="399">
                  <c:v>27.590913373189036</c:v>
                </c:pt>
                <c:pt idx="401">
                  <c:v>26.596894076616536</c:v>
                </c:pt>
                <c:pt idx="403">
                  <c:v>26.874192828387564</c:v>
                </c:pt>
                <c:pt idx="405">
                  <c:v>27.151467459004998</c:v>
                </c:pt>
                <c:pt idx="407">
                  <c:v>27.079530319953392</c:v>
                </c:pt>
                <c:pt idx="409">
                  <c:v>26.638488902526575</c:v>
                </c:pt>
                <c:pt idx="411">
                  <c:v>26.583022932429245</c:v>
                </c:pt>
                <c:pt idx="413">
                  <c:v>26.320091430659868</c:v>
                </c:pt>
                <c:pt idx="419">
                  <c:v>27.629263688109493</c:v>
                </c:pt>
                <c:pt idx="421">
                  <c:v>26.606679283212063</c:v>
                </c:pt>
                <c:pt idx="423">
                  <c:v>24.959260601965426</c:v>
                </c:pt>
                <c:pt idx="425">
                  <c:v>23.311048743811895</c:v>
                </c:pt>
                <c:pt idx="427">
                  <c:v>22.449869665455321</c:v>
                </c:pt>
                <c:pt idx="431">
                  <c:v>21.923216662060046</c:v>
                </c:pt>
                <c:pt idx="435">
                  <c:v>21.554295549576967</c:v>
                </c:pt>
                <c:pt idx="437">
                  <c:v>20.246387236843734</c:v>
                </c:pt>
                <c:pt idx="439">
                  <c:v>20.974317934601078</c:v>
                </c:pt>
                <c:pt idx="441">
                  <c:v>21.639404318801084</c:v>
                </c:pt>
                <c:pt idx="443">
                  <c:v>23.111243332378951</c:v>
                </c:pt>
                <c:pt idx="445">
                  <c:v>21.48316826691612</c:v>
                </c:pt>
                <c:pt idx="447">
                  <c:v>19.537115253096285</c:v>
                </c:pt>
                <c:pt idx="449">
                  <c:v>18.00438867614934</c:v>
                </c:pt>
                <c:pt idx="451">
                  <c:v>17.890978013666224</c:v>
                </c:pt>
                <c:pt idx="453">
                  <c:v>17.020524384673966</c:v>
                </c:pt>
                <c:pt idx="455">
                  <c:v>15.300961675606462</c:v>
                </c:pt>
                <c:pt idx="457">
                  <c:v>13.907649713129366</c:v>
                </c:pt>
                <c:pt idx="467">
                  <c:v>12.305736900070739</c:v>
                </c:pt>
                <c:pt idx="469">
                  <c:v>11.32253484799501</c:v>
                </c:pt>
                <c:pt idx="471">
                  <c:v>10.175347624108749</c:v>
                </c:pt>
                <c:pt idx="473">
                  <c:v>8.6852784984989579</c:v>
                </c:pt>
                <c:pt idx="475">
                  <c:v>8.1250195926882096</c:v>
                </c:pt>
                <c:pt idx="481">
                  <c:v>9.020135053086678</c:v>
                </c:pt>
                <c:pt idx="485">
                  <c:v>9.4056149765168584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E8-1C47-8999-00D0316D5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874416"/>
        <c:axId val="1128957088"/>
      </c:scatterChart>
      <c:valAx>
        <c:axId val="1128874416"/>
        <c:scaling>
          <c:orientation val="minMax"/>
          <c:max val="45150"/>
          <c:min val="343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7088"/>
        <c:crosses val="autoZero"/>
        <c:crossBetween val="midCat"/>
        <c:majorUnit val="1462"/>
        <c:minorUnit val="730"/>
      </c:valAx>
      <c:valAx>
        <c:axId val="11289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Fuco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'Fuco update'!$B$4:$B$489</c:f>
              <c:numCache>
                <c:formatCode>[$-409]mmm\-yy;@</c:formatCode>
                <c:ptCount val="486"/>
                <c:pt idx="0">
                  <c:v>36446</c:v>
                </c:pt>
                <c:pt idx="1">
                  <c:v>36473</c:v>
                </c:pt>
                <c:pt idx="2">
                  <c:v>36473</c:v>
                </c:pt>
                <c:pt idx="3">
                  <c:v>36502</c:v>
                </c:pt>
                <c:pt idx="4">
                  <c:v>36502</c:v>
                </c:pt>
                <c:pt idx="5">
                  <c:v>36531</c:v>
                </c:pt>
                <c:pt idx="6">
                  <c:v>36531</c:v>
                </c:pt>
                <c:pt idx="7">
                  <c:v>36578</c:v>
                </c:pt>
                <c:pt idx="8">
                  <c:v>36578</c:v>
                </c:pt>
                <c:pt idx="9">
                  <c:v>36599</c:v>
                </c:pt>
                <c:pt idx="10">
                  <c:v>36599</c:v>
                </c:pt>
                <c:pt idx="11">
                  <c:v>36626</c:v>
                </c:pt>
                <c:pt idx="12">
                  <c:v>36626</c:v>
                </c:pt>
                <c:pt idx="13">
                  <c:v>36663</c:v>
                </c:pt>
                <c:pt idx="14">
                  <c:v>36663</c:v>
                </c:pt>
                <c:pt idx="15">
                  <c:v>36692</c:v>
                </c:pt>
                <c:pt idx="16">
                  <c:v>36692</c:v>
                </c:pt>
                <c:pt idx="17">
                  <c:v>36719</c:v>
                </c:pt>
                <c:pt idx="18">
                  <c:v>36719</c:v>
                </c:pt>
                <c:pt idx="19">
                  <c:v>36755</c:v>
                </c:pt>
                <c:pt idx="20">
                  <c:v>36755</c:v>
                </c:pt>
                <c:pt idx="21">
                  <c:v>36783</c:v>
                </c:pt>
                <c:pt idx="22">
                  <c:v>36783</c:v>
                </c:pt>
                <c:pt idx="23">
                  <c:v>36815</c:v>
                </c:pt>
                <c:pt idx="24">
                  <c:v>36815</c:v>
                </c:pt>
                <c:pt idx="25">
                  <c:v>36846</c:v>
                </c:pt>
                <c:pt idx="26">
                  <c:v>36846</c:v>
                </c:pt>
                <c:pt idx="27">
                  <c:v>36873</c:v>
                </c:pt>
                <c:pt idx="28">
                  <c:v>36873</c:v>
                </c:pt>
                <c:pt idx="29">
                  <c:v>36902</c:v>
                </c:pt>
                <c:pt idx="30">
                  <c:v>36902</c:v>
                </c:pt>
                <c:pt idx="31">
                  <c:v>36929</c:v>
                </c:pt>
                <c:pt idx="32">
                  <c:v>36929</c:v>
                </c:pt>
                <c:pt idx="33">
                  <c:v>36962</c:v>
                </c:pt>
                <c:pt idx="34">
                  <c:v>36962</c:v>
                </c:pt>
                <c:pt idx="35">
                  <c:v>36998</c:v>
                </c:pt>
                <c:pt idx="36">
                  <c:v>36998</c:v>
                </c:pt>
                <c:pt idx="37">
                  <c:v>37025</c:v>
                </c:pt>
                <c:pt idx="38">
                  <c:v>37025</c:v>
                </c:pt>
                <c:pt idx="39">
                  <c:v>37054</c:v>
                </c:pt>
                <c:pt idx="40">
                  <c:v>37054</c:v>
                </c:pt>
                <c:pt idx="41">
                  <c:v>37090</c:v>
                </c:pt>
                <c:pt idx="42">
                  <c:v>37090</c:v>
                </c:pt>
                <c:pt idx="43">
                  <c:v>37117</c:v>
                </c:pt>
                <c:pt idx="44">
                  <c:v>37117</c:v>
                </c:pt>
                <c:pt idx="45">
                  <c:v>37145</c:v>
                </c:pt>
                <c:pt idx="46">
                  <c:v>37145</c:v>
                </c:pt>
                <c:pt idx="47">
                  <c:v>37182</c:v>
                </c:pt>
                <c:pt idx="48">
                  <c:v>37182</c:v>
                </c:pt>
                <c:pt idx="49">
                  <c:v>37202</c:v>
                </c:pt>
                <c:pt idx="50">
                  <c:v>37202</c:v>
                </c:pt>
                <c:pt idx="51">
                  <c:v>37230</c:v>
                </c:pt>
                <c:pt idx="52">
                  <c:v>37230</c:v>
                </c:pt>
                <c:pt idx="53">
                  <c:v>37272</c:v>
                </c:pt>
                <c:pt idx="54">
                  <c:v>37272</c:v>
                </c:pt>
                <c:pt idx="55">
                  <c:v>37301</c:v>
                </c:pt>
                <c:pt idx="56">
                  <c:v>37301</c:v>
                </c:pt>
                <c:pt idx="57">
                  <c:v>37336</c:v>
                </c:pt>
                <c:pt idx="58">
                  <c:v>37336</c:v>
                </c:pt>
                <c:pt idx="59">
                  <c:v>37363</c:v>
                </c:pt>
                <c:pt idx="60">
                  <c:v>37363</c:v>
                </c:pt>
                <c:pt idx="61">
                  <c:v>37391</c:v>
                </c:pt>
                <c:pt idx="62">
                  <c:v>37391</c:v>
                </c:pt>
                <c:pt idx="63">
                  <c:v>37420</c:v>
                </c:pt>
                <c:pt idx="64">
                  <c:v>37420</c:v>
                </c:pt>
                <c:pt idx="65">
                  <c:v>37453</c:v>
                </c:pt>
                <c:pt idx="66">
                  <c:v>37453</c:v>
                </c:pt>
                <c:pt idx="67">
                  <c:v>37481</c:v>
                </c:pt>
                <c:pt idx="68">
                  <c:v>37481</c:v>
                </c:pt>
                <c:pt idx="69">
                  <c:v>37518</c:v>
                </c:pt>
                <c:pt idx="70">
                  <c:v>37518</c:v>
                </c:pt>
                <c:pt idx="71">
                  <c:v>37546</c:v>
                </c:pt>
                <c:pt idx="72">
                  <c:v>37546</c:v>
                </c:pt>
                <c:pt idx="73">
                  <c:v>37574</c:v>
                </c:pt>
                <c:pt idx="74">
                  <c:v>37574</c:v>
                </c:pt>
                <c:pt idx="75">
                  <c:v>37608</c:v>
                </c:pt>
                <c:pt idx="76">
                  <c:v>37608</c:v>
                </c:pt>
                <c:pt idx="77">
                  <c:v>37636</c:v>
                </c:pt>
                <c:pt idx="78">
                  <c:v>37636</c:v>
                </c:pt>
                <c:pt idx="79">
                  <c:v>37663</c:v>
                </c:pt>
                <c:pt idx="80">
                  <c:v>37663</c:v>
                </c:pt>
                <c:pt idx="81">
                  <c:v>37691</c:v>
                </c:pt>
                <c:pt idx="82">
                  <c:v>37691</c:v>
                </c:pt>
                <c:pt idx="83">
                  <c:v>37727</c:v>
                </c:pt>
                <c:pt idx="84">
                  <c:v>37727</c:v>
                </c:pt>
                <c:pt idx="85">
                  <c:v>37756</c:v>
                </c:pt>
                <c:pt idx="86">
                  <c:v>37756</c:v>
                </c:pt>
                <c:pt idx="87">
                  <c:v>37790</c:v>
                </c:pt>
                <c:pt idx="88">
                  <c:v>37790</c:v>
                </c:pt>
                <c:pt idx="89">
                  <c:v>37818</c:v>
                </c:pt>
                <c:pt idx="90">
                  <c:v>37818</c:v>
                </c:pt>
                <c:pt idx="91">
                  <c:v>37846</c:v>
                </c:pt>
                <c:pt idx="92">
                  <c:v>37846</c:v>
                </c:pt>
                <c:pt idx="93">
                  <c:v>37886</c:v>
                </c:pt>
                <c:pt idx="94">
                  <c:v>37886</c:v>
                </c:pt>
                <c:pt idx="95">
                  <c:v>37910</c:v>
                </c:pt>
                <c:pt idx="96">
                  <c:v>37910</c:v>
                </c:pt>
                <c:pt idx="97">
                  <c:v>37942</c:v>
                </c:pt>
                <c:pt idx="98">
                  <c:v>37942</c:v>
                </c:pt>
                <c:pt idx="99">
                  <c:v>37971</c:v>
                </c:pt>
                <c:pt idx="100">
                  <c:v>37971</c:v>
                </c:pt>
                <c:pt idx="101">
                  <c:v>37998</c:v>
                </c:pt>
                <c:pt idx="102">
                  <c:v>37998</c:v>
                </c:pt>
                <c:pt idx="103">
                  <c:v>38026</c:v>
                </c:pt>
                <c:pt idx="104">
                  <c:v>38026</c:v>
                </c:pt>
                <c:pt idx="105">
                  <c:v>38061</c:v>
                </c:pt>
                <c:pt idx="106">
                  <c:v>38061</c:v>
                </c:pt>
                <c:pt idx="107">
                  <c:v>38093</c:v>
                </c:pt>
                <c:pt idx="108">
                  <c:v>38093</c:v>
                </c:pt>
                <c:pt idx="109">
                  <c:v>38117</c:v>
                </c:pt>
                <c:pt idx="110">
                  <c:v>38117</c:v>
                </c:pt>
                <c:pt idx="111">
                  <c:v>38160</c:v>
                </c:pt>
                <c:pt idx="112">
                  <c:v>38160</c:v>
                </c:pt>
                <c:pt idx="113">
                  <c:v>38182</c:v>
                </c:pt>
                <c:pt idx="114">
                  <c:v>38183</c:v>
                </c:pt>
                <c:pt idx="115">
                  <c:v>38218</c:v>
                </c:pt>
                <c:pt idx="116">
                  <c:v>38218</c:v>
                </c:pt>
                <c:pt idx="117">
                  <c:v>38246</c:v>
                </c:pt>
                <c:pt idx="118">
                  <c:v>38246</c:v>
                </c:pt>
                <c:pt idx="119">
                  <c:v>38274</c:v>
                </c:pt>
                <c:pt idx="120">
                  <c:v>38274</c:v>
                </c:pt>
                <c:pt idx="121">
                  <c:v>38309</c:v>
                </c:pt>
                <c:pt idx="122">
                  <c:v>38309</c:v>
                </c:pt>
                <c:pt idx="123">
                  <c:v>38337</c:v>
                </c:pt>
                <c:pt idx="124">
                  <c:v>38337</c:v>
                </c:pt>
                <c:pt idx="125">
                  <c:v>38364</c:v>
                </c:pt>
                <c:pt idx="126">
                  <c:v>38364</c:v>
                </c:pt>
                <c:pt idx="127">
                  <c:v>38398</c:v>
                </c:pt>
                <c:pt idx="128">
                  <c:v>38398</c:v>
                </c:pt>
                <c:pt idx="129">
                  <c:v>38427</c:v>
                </c:pt>
                <c:pt idx="130">
                  <c:v>38427</c:v>
                </c:pt>
                <c:pt idx="131">
                  <c:v>38470</c:v>
                </c:pt>
                <c:pt idx="132">
                  <c:v>38470</c:v>
                </c:pt>
                <c:pt idx="133">
                  <c:v>38488</c:v>
                </c:pt>
                <c:pt idx="134">
                  <c:v>38488</c:v>
                </c:pt>
                <c:pt idx="135">
                  <c:v>38525</c:v>
                </c:pt>
                <c:pt idx="136">
                  <c:v>38525</c:v>
                </c:pt>
                <c:pt idx="137">
                  <c:v>38546</c:v>
                </c:pt>
                <c:pt idx="138">
                  <c:v>38546</c:v>
                </c:pt>
                <c:pt idx="139">
                  <c:v>38594</c:v>
                </c:pt>
                <c:pt idx="140">
                  <c:v>38594</c:v>
                </c:pt>
                <c:pt idx="141">
                  <c:v>38609</c:v>
                </c:pt>
                <c:pt idx="142">
                  <c:v>38609</c:v>
                </c:pt>
                <c:pt idx="143">
                  <c:v>38643</c:v>
                </c:pt>
                <c:pt idx="144">
                  <c:v>38643</c:v>
                </c:pt>
                <c:pt idx="145">
                  <c:v>38670</c:v>
                </c:pt>
                <c:pt idx="146">
                  <c:v>38670</c:v>
                </c:pt>
                <c:pt idx="147">
                  <c:v>38706</c:v>
                </c:pt>
                <c:pt idx="148">
                  <c:v>38706</c:v>
                </c:pt>
                <c:pt idx="149">
                  <c:v>38737</c:v>
                </c:pt>
                <c:pt idx="150">
                  <c:v>38737</c:v>
                </c:pt>
                <c:pt idx="151">
                  <c:v>38763</c:v>
                </c:pt>
                <c:pt idx="152">
                  <c:v>38763</c:v>
                </c:pt>
                <c:pt idx="153">
                  <c:v>38792</c:v>
                </c:pt>
                <c:pt idx="154">
                  <c:v>38792</c:v>
                </c:pt>
                <c:pt idx="155">
                  <c:v>38826</c:v>
                </c:pt>
                <c:pt idx="156">
                  <c:v>38826</c:v>
                </c:pt>
                <c:pt idx="157">
                  <c:v>38853</c:v>
                </c:pt>
                <c:pt idx="158">
                  <c:v>38853</c:v>
                </c:pt>
                <c:pt idx="159">
                  <c:v>38884</c:v>
                </c:pt>
                <c:pt idx="160">
                  <c:v>38884</c:v>
                </c:pt>
                <c:pt idx="161">
                  <c:v>38915</c:v>
                </c:pt>
                <c:pt idx="162">
                  <c:v>38915</c:v>
                </c:pt>
                <c:pt idx="163">
                  <c:v>38952</c:v>
                </c:pt>
                <c:pt idx="164">
                  <c:v>38952</c:v>
                </c:pt>
                <c:pt idx="165">
                  <c:v>38975</c:v>
                </c:pt>
                <c:pt idx="166">
                  <c:v>38975</c:v>
                </c:pt>
                <c:pt idx="167">
                  <c:v>39006</c:v>
                </c:pt>
                <c:pt idx="168">
                  <c:v>39006</c:v>
                </c:pt>
                <c:pt idx="169">
                  <c:v>39041</c:v>
                </c:pt>
                <c:pt idx="170">
                  <c:v>39041</c:v>
                </c:pt>
                <c:pt idx="171">
                  <c:v>39062</c:v>
                </c:pt>
                <c:pt idx="172">
                  <c:v>39062</c:v>
                </c:pt>
                <c:pt idx="173">
                  <c:v>39100</c:v>
                </c:pt>
                <c:pt idx="174">
                  <c:v>39100</c:v>
                </c:pt>
                <c:pt idx="175">
                  <c:v>39135</c:v>
                </c:pt>
                <c:pt idx="176">
                  <c:v>39135</c:v>
                </c:pt>
                <c:pt idx="177">
                  <c:v>39153</c:v>
                </c:pt>
                <c:pt idx="178">
                  <c:v>39153</c:v>
                </c:pt>
                <c:pt idx="179">
                  <c:v>39191</c:v>
                </c:pt>
                <c:pt idx="180">
                  <c:v>39191</c:v>
                </c:pt>
                <c:pt idx="181">
                  <c:v>39216</c:v>
                </c:pt>
                <c:pt idx="182">
                  <c:v>39216</c:v>
                </c:pt>
                <c:pt idx="183">
                  <c:v>39248</c:v>
                </c:pt>
                <c:pt idx="184">
                  <c:v>39248</c:v>
                </c:pt>
                <c:pt idx="185">
                  <c:v>39279</c:v>
                </c:pt>
                <c:pt idx="186">
                  <c:v>39279</c:v>
                </c:pt>
                <c:pt idx="187">
                  <c:v>39308</c:v>
                </c:pt>
                <c:pt idx="188">
                  <c:v>39308</c:v>
                </c:pt>
                <c:pt idx="189">
                  <c:v>39335</c:v>
                </c:pt>
                <c:pt idx="190">
                  <c:v>39335</c:v>
                </c:pt>
                <c:pt idx="191">
                  <c:v>39370</c:v>
                </c:pt>
                <c:pt idx="192">
                  <c:v>39370</c:v>
                </c:pt>
                <c:pt idx="193">
                  <c:v>39400</c:v>
                </c:pt>
                <c:pt idx="194">
                  <c:v>39400</c:v>
                </c:pt>
                <c:pt idx="195">
                  <c:v>39434</c:v>
                </c:pt>
                <c:pt idx="196">
                  <c:v>39434</c:v>
                </c:pt>
                <c:pt idx="197">
                  <c:v>39463</c:v>
                </c:pt>
                <c:pt idx="198">
                  <c:v>39463</c:v>
                </c:pt>
                <c:pt idx="199">
                  <c:v>39493</c:v>
                </c:pt>
                <c:pt idx="200">
                  <c:v>39493</c:v>
                </c:pt>
                <c:pt idx="201">
                  <c:v>39517</c:v>
                </c:pt>
                <c:pt idx="202">
                  <c:v>39517</c:v>
                </c:pt>
                <c:pt idx="203">
                  <c:v>39552</c:v>
                </c:pt>
                <c:pt idx="204">
                  <c:v>39552</c:v>
                </c:pt>
                <c:pt idx="205">
                  <c:v>39583</c:v>
                </c:pt>
                <c:pt idx="206">
                  <c:v>39583</c:v>
                </c:pt>
                <c:pt idx="207">
                  <c:v>39617</c:v>
                </c:pt>
                <c:pt idx="208">
                  <c:v>39617</c:v>
                </c:pt>
                <c:pt idx="209">
                  <c:v>39645</c:v>
                </c:pt>
                <c:pt idx="210">
                  <c:v>39645</c:v>
                </c:pt>
                <c:pt idx="211">
                  <c:v>39672</c:v>
                </c:pt>
                <c:pt idx="212">
                  <c:v>39672</c:v>
                </c:pt>
                <c:pt idx="213">
                  <c:v>39709</c:v>
                </c:pt>
                <c:pt idx="214">
                  <c:v>39709</c:v>
                </c:pt>
                <c:pt idx="215">
                  <c:v>39735</c:v>
                </c:pt>
                <c:pt idx="216">
                  <c:v>39735</c:v>
                </c:pt>
                <c:pt idx="217">
                  <c:v>39769</c:v>
                </c:pt>
                <c:pt idx="218">
                  <c:v>39769</c:v>
                </c:pt>
                <c:pt idx="219">
                  <c:v>39797</c:v>
                </c:pt>
                <c:pt idx="220">
                  <c:v>39797</c:v>
                </c:pt>
                <c:pt idx="221">
                  <c:v>39826</c:v>
                </c:pt>
                <c:pt idx="222">
                  <c:v>39826</c:v>
                </c:pt>
                <c:pt idx="223">
                  <c:v>39861</c:v>
                </c:pt>
                <c:pt idx="224">
                  <c:v>39861</c:v>
                </c:pt>
                <c:pt idx="225">
                  <c:v>39888</c:v>
                </c:pt>
                <c:pt idx="226">
                  <c:v>39888</c:v>
                </c:pt>
                <c:pt idx="227">
                  <c:v>39916</c:v>
                </c:pt>
                <c:pt idx="228">
                  <c:v>39916</c:v>
                </c:pt>
                <c:pt idx="229">
                  <c:v>39946</c:v>
                </c:pt>
                <c:pt idx="230">
                  <c:v>39946</c:v>
                </c:pt>
                <c:pt idx="231">
                  <c:v>39983</c:v>
                </c:pt>
                <c:pt idx="232">
                  <c:v>39983</c:v>
                </c:pt>
                <c:pt idx="233">
                  <c:v>40007</c:v>
                </c:pt>
                <c:pt idx="234">
                  <c:v>40007</c:v>
                </c:pt>
                <c:pt idx="235">
                  <c:v>40042</c:v>
                </c:pt>
                <c:pt idx="236">
                  <c:v>40042</c:v>
                </c:pt>
                <c:pt idx="237">
                  <c:v>40071</c:v>
                </c:pt>
                <c:pt idx="238">
                  <c:v>40071</c:v>
                </c:pt>
                <c:pt idx="239">
                  <c:v>40100</c:v>
                </c:pt>
                <c:pt idx="240">
                  <c:v>40100</c:v>
                </c:pt>
                <c:pt idx="241">
                  <c:v>40133</c:v>
                </c:pt>
                <c:pt idx="242">
                  <c:v>40133</c:v>
                </c:pt>
                <c:pt idx="243">
                  <c:v>40161</c:v>
                </c:pt>
                <c:pt idx="244">
                  <c:v>40161</c:v>
                </c:pt>
                <c:pt idx="245">
                  <c:v>40197</c:v>
                </c:pt>
                <c:pt idx="246">
                  <c:v>40197</c:v>
                </c:pt>
                <c:pt idx="247">
                  <c:v>40225</c:v>
                </c:pt>
                <c:pt idx="248">
                  <c:v>40225</c:v>
                </c:pt>
                <c:pt idx="249">
                  <c:v>40255</c:v>
                </c:pt>
                <c:pt idx="250">
                  <c:v>40255</c:v>
                </c:pt>
                <c:pt idx="251">
                  <c:v>40281</c:v>
                </c:pt>
                <c:pt idx="252">
                  <c:v>40281</c:v>
                </c:pt>
                <c:pt idx="253">
                  <c:v>40317</c:v>
                </c:pt>
                <c:pt idx="254">
                  <c:v>40317</c:v>
                </c:pt>
                <c:pt idx="255">
                  <c:v>40345</c:v>
                </c:pt>
                <c:pt idx="256">
                  <c:v>40345</c:v>
                </c:pt>
                <c:pt idx="257">
                  <c:v>40373</c:v>
                </c:pt>
                <c:pt idx="258">
                  <c:v>40373</c:v>
                </c:pt>
                <c:pt idx="259">
                  <c:v>40409</c:v>
                </c:pt>
                <c:pt idx="260">
                  <c:v>40409</c:v>
                </c:pt>
                <c:pt idx="261">
                  <c:v>40434</c:v>
                </c:pt>
                <c:pt idx="262">
                  <c:v>40434</c:v>
                </c:pt>
                <c:pt idx="263">
                  <c:v>40463</c:v>
                </c:pt>
                <c:pt idx="264">
                  <c:v>40463</c:v>
                </c:pt>
                <c:pt idx="265">
                  <c:v>40500</c:v>
                </c:pt>
                <c:pt idx="266">
                  <c:v>40500</c:v>
                </c:pt>
                <c:pt idx="267">
                  <c:v>40521</c:v>
                </c:pt>
                <c:pt idx="268">
                  <c:v>40521</c:v>
                </c:pt>
                <c:pt idx="269">
                  <c:v>40563</c:v>
                </c:pt>
                <c:pt idx="270">
                  <c:v>40563</c:v>
                </c:pt>
                <c:pt idx="271">
                  <c:v>40598</c:v>
                </c:pt>
                <c:pt idx="272">
                  <c:v>40598</c:v>
                </c:pt>
                <c:pt idx="273">
                  <c:v>40617</c:v>
                </c:pt>
                <c:pt idx="274">
                  <c:v>40617</c:v>
                </c:pt>
                <c:pt idx="275">
                  <c:v>40647</c:v>
                </c:pt>
                <c:pt idx="276">
                  <c:v>40647</c:v>
                </c:pt>
                <c:pt idx="277">
                  <c:v>40682</c:v>
                </c:pt>
                <c:pt idx="278">
                  <c:v>40682</c:v>
                </c:pt>
                <c:pt idx="279">
                  <c:v>40709</c:v>
                </c:pt>
                <c:pt idx="280">
                  <c:v>40709</c:v>
                </c:pt>
                <c:pt idx="281">
                  <c:v>40736</c:v>
                </c:pt>
                <c:pt idx="282">
                  <c:v>40736</c:v>
                </c:pt>
                <c:pt idx="283">
                  <c:v>40772</c:v>
                </c:pt>
                <c:pt idx="284">
                  <c:v>40772</c:v>
                </c:pt>
                <c:pt idx="285">
                  <c:v>40798</c:v>
                </c:pt>
                <c:pt idx="286">
                  <c:v>40798</c:v>
                </c:pt>
                <c:pt idx="287">
                  <c:v>40829</c:v>
                </c:pt>
                <c:pt idx="288">
                  <c:v>40829</c:v>
                </c:pt>
                <c:pt idx="289">
                  <c:v>40877</c:v>
                </c:pt>
                <c:pt idx="290">
                  <c:v>40877</c:v>
                </c:pt>
                <c:pt idx="291">
                  <c:v>40891</c:v>
                </c:pt>
                <c:pt idx="292">
                  <c:v>40891</c:v>
                </c:pt>
                <c:pt idx="293">
                  <c:v>40919</c:v>
                </c:pt>
                <c:pt idx="294">
                  <c:v>40919</c:v>
                </c:pt>
                <c:pt idx="295">
                  <c:v>40960</c:v>
                </c:pt>
                <c:pt idx="296">
                  <c:v>40960</c:v>
                </c:pt>
                <c:pt idx="297">
                  <c:v>40982</c:v>
                </c:pt>
                <c:pt idx="298">
                  <c:v>40982</c:v>
                </c:pt>
                <c:pt idx="299">
                  <c:v>41016</c:v>
                </c:pt>
                <c:pt idx="300">
                  <c:v>41016</c:v>
                </c:pt>
                <c:pt idx="301">
                  <c:v>41051</c:v>
                </c:pt>
                <c:pt idx="302">
                  <c:v>41051</c:v>
                </c:pt>
                <c:pt idx="303">
                  <c:v>41080</c:v>
                </c:pt>
                <c:pt idx="304">
                  <c:v>41080</c:v>
                </c:pt>
                <c:pt idx="305">
                  <c:v>41106</c:v>
                </c:pt>
                <c:pt idx="306">
                  <c:v>41106</c:v>
                </c:pt>
                <c:pt idx="307">
                  <c:v>41137</c:v>
                </c:pt>
                <c:pt idx="308">
                  <c:v>41137</c:v>
                </c:pt>
                <c:pt idx="309">
                  <c:v>41163</c:v>
                </c:pt>
                <c:pt idx="310">
                  <c:v>41163</c:v>
                </c:pt>
                <c:pt idx="311">
                  <c:v>41199</c:v>
                </c:pt>
                <c:pt idx="312">
                  <c:v>41199</c:v>
                </c:pt>
                <c:pt idx="313">
                  <c:v>41225</c:v>
                </c:pt>
                <c:pt idx="314">
                  <c:v>41225</c:v>
                </c:pt>
                <c:pt idx="315">
                  <c:v>41255</c:v>
                </c:pt>
                <c:pt idx="316">
                  <c:v>41255</c:v>
                </c:pt>
                <c:pt idx="317">
                  <c:v>41297</c:v>
                </c:pt>
                <c:pt idx="318">
                  <c:v>41297</c:v>
                </c:pt>
                <c:pt idx="319">
                  <c:v>41319</c:v>
                </c:pt>
                <c:pt idx="320">
                  <c:v>41319</c:v>
                </c:pt>
                <c:pt idx="321">
                  <c:v>41346</c:v>
                </c:pt>
                <c:pt idx="322">
                  <c:v>41346</c:v>
                </c:pt>
                <c:pt idx="323">
                  <c:v>41380</c:v>
                </c:pt>
                <c:pt idx="324">
                  <c:v>41380</c:v>
                </c:pt>
                <c:pt idx="325">
                  <c:v>41380</c:v>
                </c:pt>
                <c:pt idx="326">
                  <c:v>41407</c:v>
                </c:pt>
                <c:pt idx="327">
                  <c:v>41407</c:v>
                </c:pt>
                <c:pt idx="328">
                  <c:v>41437</c:v>
                </c:pt>
                <c:pt idx="329">
                  <c:v>41437</c:v>
                </c:pt>
                <c:pt idx="330">
                  <c:v>41470</c:v>
                </c:pt>
                <c:pt idx="331">
                  <c:v>41470</c:v>
                </c:pt>
                <c:pt idx="332">
                  <c:v>41498</c:v>
                </c:pt>
                <c:pt idx="333">
                  <c:v>41498</c:v>
                </c:pt>
                <c:pt idx="334">
                  <c:v>41535</c:v>
                </c:pt>
                <c:pt idx="335">
                  <c:v>41535</c:v>
                </c:pt>
                <c:pt idx="336">
                  <c:v>406810</c:v>
                </c:pt>
                <c:pt idx="337">
                  <c:v>406810</c:v>
                </c:pt>
                <c:pt idx="338">
                  <c:v>41599</c:v>
                </c:pt>
                <c:pt idx="339">
                  <c:v>41599</c:v>
                </c:pt>
                <c:pt idx="340">
                  <c:v>41627</c:v>
                </c:pt>
                <c:pt idx="341">
                  <c:v>41627</c:v>
                </c:pt>
                <c:pt idx="342">
                  <c:v>41655</c:v>
                </c:pt>
                <c:pt idx="343">
                  <c:v>41655</c:v>
                </c:pt>
                <c:pt idx="344">
                  <c:v>41690</c:v>
                </c:pt>
                <c:pt idx="345">
                  <c:v>41690</c:v>
                </c:pt>
                <c:pt idx="346">
                  <c:v>41718</c:v>
                </c:pt>
                <c:pt idx="347">
                  <c:v>41718</c:v>
                </c:pt>
                <c:pt idx="348">
                  <c:v>41750</c:v>
                </c:pt>
                <c:pt idx="349">
                  <c:v>41750</c:v>
                </c:pt>
                <c:pt idx="350">
                  <c:v>41406</c:v>
                </c:pt>
                <c:pt idx="351">
                  <c:v>41406</c:v>
                </c:pt>
                <c:pt idx="352">
                  <c:v>41807</c:v>
                </c:pt>
                <c:pt idx="353">
                  <c:v>41807</c:v>
                </c:pt>
                <c:pt idx="354">
                  <c:v>41837</c:v>
                </c:pt>
                <c:pt idx="355">
                  <c:v>41837</c:v>
                </c:pt>
                <c:pt idx="356">
                  <c:v>41862</c:v>
                </c:pt>
                <c:pt idx="357">
                  <c:v>41862</c:v>
                </c:pt>
                <c:pt idx="358">
                  <c:v>41897</c:v>
                </c:pt>
                <c:pt idx="359">
                  <c:v>41897</c:v>
                </c:pt>
                <c:pt idx="360">
                  <c:v>41928</c:v>
                </c:pt>
                <c:pt idx="361">
                  <c:v>41928</c:v>
                </c:pt>
                <c:pt idx="362">
                  <c:v>41955</c:v>
                </c:pt>
                <c:pt idx="363">
                  <c:v>41955</c:v>
                </c:pt>
                <c:pt idx="364">
                  <c:v>41992</c:v>
                </c:pt>
                <c:pt idx="365">
                  <c:v>41992</c:v>
                </c:pt>
                <c:pt idx="366">
                  <c:v>42014</c:v>
                </c:pt>
                <c:pt idx="367">
                  <c:v>42009</c:v>
                </c:pt>
                <c:pt idx="368">
                  <c:v>42036</c:v>
                </c:pt>
                <c:pt idx="369">
                  <c:v>42036</c:v>
                </c:pt>
                <c:pt idx="370">
                  <c:v>42064</c:v>
                </c:pt>
                <c:pt idx="371">
                  <c:v>42064</c:v>
                </c:pt>
                <c:pt idx="372">
                  <c:v>42095</c:v>
                </c:pt>
                <c:pt idx="373">
                  <c:v>42095</c:v>
                </c:pt>
                <c:pt idx="374">
                  <c:v>42125</c:v>
                </c:pt>
                <c:pt idx="375">
                  <c:v>42125</c:v>
                </c:pt>
                <c:pt idx="376">
                  <c:v>42156</c:v>
                </c:pt>
                <c:pt idx="377">
                  <c:v>42156</c:v>
                </c:pt>
                <c:pt idx="378">
                  <c:v>42186</c:v>
                </c:pt>
                <c:pt idx="379">
                  <c:v>42186</c:v>
                </c:pt>
                <c:pt idx="380">
                  <c:v>42217</c:v>
                </c:pt>
                <c:pt idx="381">
                  <c:v>42217</c:v>
                </c:pt>
                <c:pt idx="382">
                  <c:v>42248</c:v>
                </c:pt>
                <c:pt idx="383">
                  <c:v>42248</c:v>
                </c:pt>
                <c:pt idx="384">
                  <c:v>42278</c:v>
                </c:pt>
                <c:pt idx="385">
                  <c:v>42278</c:v>
                </c:pt>
                <c:pt idx="386">
                  <c:v>42309</c:v>
                </c:pt>
                <c:pt idx="387">
                  <c:v>42309</c:v>
                </c:pt>
                <c:pt idx="388">
                  <c:v>42339</c:v>
                </c:pt>
                <c:pt idx="389">
                  <c:v>42339</c:v>
                </c:pt>
                <c:pt idx="390">
                  <c:v>42379</c:v>
                </c:pt>
                <c:pt idx="391">
                  <c:v>42374</c:v>
                </c:pt>
                <c:pt idx="392">
                  <c:v>42401</c:v>
                </c:pt>
                <c:pt idx="393">
                  <c:v>42401</c:v>
                </c:pt>
                <c:pt idx="394">
                  <c:v>42430</c:v>
                </c:pt>
                <c:pt idx="395">
                  <c:v>42430</c:v>
                </c:pt>
                <c:pt idx="396">
                  <c:v>42461</c:v>
                </c:pt>
                <c:pt idx="397">
                  <c:v>42461</c:v>
                </c:pt>
                <c:pt idx="398">
                  <c:v>42491</c:v>
                </c:pt>
                <c:pt idx="399">
                  <c:v>42491</c:v>
                </c:pt>
                <c:pt idx="400">
                  <c:v>42522</c:v>
                </c:pt>
                <c:pt idx="401">
                  <c:v>42522</c:v>
                </c:pt>
                <c:pt idx="402">
                  <c:v>42552</c:v>
                </c:pt>
                <c:pt idx="403">
                  <c:v>42552</c:v>
                </c:pt>
                <c:pt idx="404">
                  <c:v>42583</c:v>
                </c:pt>
                <c:pt idx="405">
                  <c:v>42583</c:v>
                </c:pt>
                <c:pt idx="406">
                  <c:v>42614</c:v>
                </c:pt>
                <c:pt idx="407">
                  <c:v>42614</c:v>
                </c:pt>
                <c:pt idx="408">
                  <c:v>42644</c:v>
                </c:pt>
                <c:pt idx="409">
                  <c:v>42644</c:v>
                </c:pt>
                <c:pt idx="410">
                  <c:v>42675</c:v>
                </c:pt>
                <c:pt idx="411">
                  <c:v>42675</c:v>
                </c:pt>
                <c:pt idx="412">
                  <c:v>42705</c:v>
                </c:pt>
                <c:pt idx="413">
                  <c:v>42705</c:v>
                </c:pt>
                <c:pt idx="414">
                  <c:v>42745</c:v>
                </c:pt>
                <c:pt idx="415">
                  <c:v>42740</c:v>
                </c:pt>
                <c:pt idx="416">
                  <c:v>42767</c:v>
                </c:pt>
                <c:pt idx="417">
                  <c:v>42767</c:v>
                </c:pt>
                <c:pt idx="418">
                  <c:v>42795</c:v>
                </c:pt>
                <c:pt idx="419">
                  <c:v>42795</c:v>
                </c:pt>
                <c:pt idx="420">
                  <c:v>42826</c:v>
                </c:pt>
                <c:pt idx="421">
                  <c:v>42826</c:v>
                </c:pt>
                <c:pt idx="422">
                  <c:v>42856</c:v>
                </c:pt>
                <c:pt idx="423">
                  <c:v>42856</c:v>
                </c:pt>
                <c:pt idx="424">
                  <c:v>42887</c:v>
                </c:pt>
                <c:pt idx="425">
                  <c:v>42887</c:v>
                </c:pt>
                <c:pt idx="426">
                  <c:v>42917</c:v>
                </c:pt>
                <c:pt idx="427">
                  <c:v>42917</c:v>
                </c:pt>
                <c:pt idx="428">
                  <c:v>42948</c:v>
                </c:pt>
                <c:pt idx="429">
                  <c:v>42948</c:v>
                </c:pt>
                <c:pt idx="430">
                  <c:v>42979</c:v>
                </c:pt>
                <c:pt idx="431">
                  <c:v>42979</c:v>
                </c:pt>
                <c:pt idx="432">
                  <c:v>43009</c:v>
                </c:pt>
                <c:pt idx="433">
                  <c:v>43009</c:v>
                </c:pt>
                <c:pt idx="434">
                  <c:v>43040</c:v>
                </c:pt>
                <c:pt idx="435">
                  <c:v>43040</c:v>
                </c:pt>
                <c:pt idx="436">
                  <c:v>43070</c:v>
                </c:pt>
                <c:pt idx="437">
                  <c:v>43070</c:v>
                </c:pt>
                <c:pt idx="438">
                  <c:v>43110</c:v>
                </c:pt>
                <c:pt idx="439">
                  <c:v>43105</c:v>
                </c:pt>
                <c:pt idx="440">
                  <c:v>43132</c:v>
                </c:pt>
                <c:pt idx="441">
                  <c:v>43132</c:v>
                </c:pt>
                <c:pt idx="442">
                  <c:v>43160</c:v>
                </c:pt>
                <c:pt idx="443">
                  <c:v>43160</c:v>
                </c:pt>
                <c:pt idx="444">
                  <c:v>43191</c:v>
                </c:pt>
                <c:pt idx="445">
                  <c:v>43191</c:v>
                </c:pt>
                <c:pt idx="446">
                  <c:v>43221</c:v>
                </c:pt>
                <c:pt idx="447">
                  <c:v>43221</c:v>
                </c:pt>
                <c:pt idx="448">
                  <c:v>43252</c:v>
                </c:pt>
                <c:pt idx="449">
                  <c:v>43252</c:v>
                </c:pt>
                <c:pt idx="450">
                  <c:v>43282</c:v>
                </c:pt>
                <c:pt idx="451">
                  <c:v>43282</c:v>
                </c:pt>
                <c:pt idx="452">
                  <c:v>43313</c:v>
                </c:pt>
                <c:pt idx="453">
                  <c:v>43313</c:v>
                </c:pt>
                <c:pt idx="454">
                  <c:v>43344</c:v>
                </c:pt>
                <c:pt idx="455">
                  <c:v>43344</c:v>
                </c:pt>
                <c:pt idx="456">
                  <c:v>43374</c:v>
                </c:pt>
                <c:pt idx="457">
                  <c:v>43374</c:v>
                </c:pt>
                <c:pt idx="458">
                  <c:v>43405</c:v>
                </c:pt>
                <c:pt idx="459">
                  <c:v>43405</c:v>
                </c:pt>
                <c:pt idx="460">
                  <c:v>43435</c:v>
                </c:pt>
                <c:pt idx="461">
                  <c:v>43435</c:v>
                </c:pt>
                <c:pt idx="462">
                  <c:v>43475</c:v>
                </c:pt>
                <c:pt idx="463">
                  <c:v>43470</c:v>
                </c:pt>
                <c:pt idx="464">
                  <c:v>43497</c:v>
                </c:pt>
                <c:pt idx="465">
                  <c:v>43497</c:v>
                </c:pt>
                <c:pt idx="466">
                  <c:v>43525</c:v>
                </c:pt>
                <c:pt idx="467">
                  <c:v>43525</c:v>
                </c:pt>
                <c:pt idx="468">
                  <c:v>43556</c:v>
                </c:pt>
                <c:pt idx="469">
                  <c:v>43556</c:v>
                </c:pt>
                <c:pt idx="470">
                  <c:v>43586</c:v>
                </c:pt>
                <c:pt idx="471">
                  <c:v>43586</c:v>
                </c:pt>
                <c:pt idx="472">
                  <c:v>43617</c:v>
                </c:pt>
                <c:pt idx="473">
                  <c:v>43617</c:v>
                </c:pt>
                <c:pt idx="474">
                  <c:v>43647</c:v>
                </c:pt>
                <c:pt idx="475">
                  <c:v>43647</c:v>
                </c:pt>
                <c:pt idx="476">
                  <c:v>43678</c:v>
                </c:pt>
                <c:pt idx="477">
                  <c:v>43678</c:v>
                </c:pt>
                <c:pt idx="478">
                  <c:v>43709</c:v>
                </c:pt>
                <c:pt idx="479">
                  <c:v>43709</c:v>
                </c:pt>
                <c:pt idx="480">
                  <c:v>43739</c:v>
                </c:pt>
                <c:pt idx="481">
                  <c:v>43739</c:v>
                </c:pt>
                <c:pt idx="482">
                  <c:v>43770</c:v>
                </c:pt>
                <c:pt idx="483">
                  <c:v>43770</c:v>
                </c:pt>
                <c:pt idx="484">
                  <c:v>43800</c:v>
                </c:pt>
                <c:pt idx="485">
                  <c:v>43800</c:v>
                </c:pt>
              </c:numCache>
            </c:numRef>
          </c:xVal>
          <c:yVal>
            <c:numRef>
              <c:f>'Fuco update'!$L$4:$L$489</c:f>
              <c:numCache>
                <c:formatCode>General</c:formatCode>
                <c:ptCount val="486"/>
                <c:pt idx="0">
                  <c:v>0.14279358975963741</c:v>
                </c:pt>
                <c:pt idx="2">
                  <c:v>0.30197079671577626</c:v>
                </c:pt>
                <c:pt idx="4">
                  <c:v>0.22811323304022235</c:v>
                </c:pt>
                <c:pt idx="6">
                  <c:v>0.19133686976394895</c:v>
                </c:pt>
                <c:pt idx="8">
                  <c:v>0.33687907308669951</c:v>
                </c:pt>
                <c:pt idx="10">
                  <c:v>0.19696595045734155</c:v>
                </c:pt>
                <c:pt idx="12">
                  <c:v>0.22979901361257773</c:v>
                </c:pt>
                <c:pt idx="14">
                  <c:v>0.18048178306893758</c:v>
                </c:pt>
                <c:pt idx="16">
                  <c:v>0.25558617404201267</c:v>
                </c:pt>
                <c:pt idx="18">
                  <c:v>0.14899119579828807</c:v>
                </c:pt>
                <c:pt idx="20">
                  <c:v>0.2191712188594421</c:v>
                </c:pt>
                <c:pt idx="22">
                  <c:v>0.22847460763364202</c:v>
                </c:pt>
                <c:pt idx="24">
                  <c:v>9.5314970513467226E-2</c:v>
                </c:pt>
                <c:pt idx="26">
                  <c:v>0.12677849107409694</c:v>
                </c:pt>
                <c:pt idx="28">
                  <c:v>0.21242854390158905</c:v>
                </c:pt>
                <c:pt idx="30">
                  <c:v>0.28112671463430661</c:v>
                </c:pt>
                <c:pt idx="32">
                  <c:v>0.27528255142629365</c:v>
                </c:pt>
                <c:pt idx="34">
                  <c:v>0.38759120219113113</c:v>
                </c:pt>
                <c:pt idx="36">
                  <c:v>7.8543942204993195E-2</c:v>
                </c:pt>
                <c:pt idx="38">
                  <c:v>8.2674966037076747E-2</c:v>
                </c:pt>
                <c:pt idx="40">
                  <c:v>0.17738217821395957</c:v>
                </c:pt>
                <c:pt idx="42">
                  <c:v>0.14230341114398407</c:v>
                </c:pt>
                <c:pt idx="44">
                  <c:v>0.15639573652726221</c:v>
                </c:pt>
                <c:pt idx="46">
                  <c:v>0.22720806593551637</c:v>
                </c:pt>
                <c:pt idx="48">
                  <c:v>0.17271203161938314</c:v>
                </c:pt>
                <c:pt idx="50">
                  <c:v>0.14440647272079182</c:v>
                </c:pt>
                <c:pt idx="52">
                  <c:v>0.1412533591811167</c:v>
                </c:pt>
                <c:pt idx="54">
                  <c:v>0.21900167394949124</c:v>
                </c:pt>
                <c:pt idx="56">
                  <c:v>0.27016568664663948</c:v>
                </c:pt>
                <c:pt idx="58">
                  <c:v>0.19769892783253015</c:v>
                </c:pt>
                <c:pt idx="60">
                  <c:v>0.14109452616118004</c:v>
                </c:pt>
                <c:pt idx="72">
                  <c:v>0.24203387855449521</c:v>
                </c:pt>
                <c:pt idx="74">
                  <c:v>0.21541317512476982</c:v>
                </c:pt>
                <c:pt idx="76">
                  <c:v>0.2263184303130841</c:v>
                </c:pt>
                <c:pt idx="78">
                  <c:v>0.31714486478847265</c:v>
                </c:pt>
                <c:pt idx="80">
                  <c:v>0.31705940373425112</c:v>
                </c:pt>
                <c:pt idx="82">
                  <c:v>0.32104753519657314</c:v>
                </c:pt>
                <c:pt idx="84">
                  <c:v>0.46200923230097246</c:v>
                </c:pt>
                <c:pt idx="86">
                  <c:v>0.23820368350312426</c:v>
                </c:pt>
                <c:pt idx="88">
                  <c:v>0.50474769405522557</c:v>
                </c:pt>
                <c:pt idx="90">
                  <c:v>0.17956606985926232</c:v>
                </c:pt>
                <c:pt idx="92">
                  <c:v>0.32799429858613949</c:v>
                </c:pt>
                <c:pt idx="94">
                  <c:v>0.19413961879078614</c:v>
                </c:pt>
                <c:pt idx="96">
                  <c:v>7.282946269913769E-2</c:v>
                </c:pt>
                <c:pt idx="98">
                  <c:v>0.13879605232183989</c:v>
                </c:pt>
                <c:pt idx="100">
                  <c:v>0.1965084994689946</c:v>
                </c:pt>
                <c:pt idx="102">
                  <c:v>0.29138832259861469</c:v>
                </c:pt>
                <c:pt idx="104">
                  <c:v>0.27667115448400886</c:v>
                </c:pt>
                <c:pt idx="106">
                  <c:v>0.4396969385092061</c:v>
                </c:pt>
                <c:pt idx="108">
                  <c:v>0.21751078188164638</c:v>
                </c:pt>
                <c:pt idx="110">
                  <c:v>0.259997914791813</c:v>
                </c:pt>
                <c:pt idx="112">
                  <c:v>0.33358967395700451</c:v>
                </c:pt>
                <c:pt idx="114">
                  <c:v>0.19687270400347456</c:v>
                </c:pt>
                <c:pt idx="116">
                  <c:v>0.28286110296009059</c:v>
                </c:pt>
                <c:pt idx="118">
                  <c:v>0.27843995006472833</c:v>
                </c:pt>
                <c:pt idx="120">
                  <c:v>0.11175546908308299</c:v>
                </c:pt>
                <c:pt idx="122">
                  <c:v>0.19790779893591123</c:v>
                </c:pt>
                <c:pt idx="124">
                  <c:v>0.19611076098729996</c:v>
                </c:pt>
                <c:pt idx="126">
                  <c:v>0.31763655522079171</c:v>
                </c:pt>
                <c:pt idx="128">
                  <c:v>0.21720860017608018</c:v>
                </c:pt>
                <c:pt idx="130">
                  <c:v>0.25880698738546465</c:v>
                </c:pt>
                <c:pt idx="132">
                  <c:v>0.35626297099592463</c:v>
                </c:pt>
                <c:pt idx="134">
                  <c:v>0.27564245353469824</c:v>
                </c:pt>
                <c:pt idx="136">
                  <c:v>0.2311334768801224</c:v>
                </c:pt>
                <c:pt idx="138">
                  <c:v>0.18186086120021133</c:v>
                </c:pt>
                <c:pt idx="140">
                  <c:v>0.24844337285048609</c:v>
                </c:pt>
                <c:pt idx="142">
                  <c:v>0.34227370261643836</c:v>
                </c:pt>
                <c:pt idx="144">
                  <c:v>0.17402352819771941</c:v>
                </c:pt>
                <c:pt idx="146">
                  <c:v>8.9283590373865129E-2</c:v>
                </c:pt>
                <c:pt idx="148">
                  <c:v>0.2329551887326495</c:v>
                </c:pt>
                <c:pt idx="150">
                  <c:v>0.28990440779308874</c:v>
                </c:pt>
                <c:pt idx="152">
                  <c:v>0.29238973447394734</c:v>
                </c:pt>
                <c:pt idx="154">
                  <c:v>0.27332482148768145</c:v>
                </c:pt>
                <c:pt idx="156">
                  <c:v>7.0215607708452588E-2</c:v>
                </c:pt>
                <c:pt idx="158">
                  <c:v>0.19473502528928849</c:v>
                </c:pt>
                <c:pt idx="160">
                  <c:v>0.37093573362323112</c:v>
                </c:pt>
                <c:pt idx="162">
                  <c:v>0.27509227308287854</c:v>
                </c:pt>
                <c:pt idx="164">
                  <c:v>0.29486773996960602</c:v>
                </c:pt>
                <c:pt idx="166">
                  <c:v>0.26611831859700869</c:v>
                </c:pt>
                <c:pt idx="168">
                  <c:v>9.5345830639948267E-2</c:v>
                </c:pt>
                <c:pt idx="170">
                  <c:v>0.12671905697445973</c:v>
                </c:pt>
                <c:pt idx="172">
                  <c:v>0.21185827910339838</c:v>
                </c:pt>
                <c:pt idx="174">
                  <c:v>0.20539280958721703</c:v>
                </c:pt>
                <c:pt idx="176">
                  <c:v>0.30844776638275684</c:v>
                </c:pt>
                <c:pt idx="178">
                  <c:v>0.30578175895765475</c:v>
                </c:pt>
                <c:pt idx="180">
                  <c:v>0.31045969353764158</c:v>
                </c:pt>
                <c:pt idx="182">
                  <c:v>0.50498618849197052</c:v>
                </c:pt>
                <c:pt idx="184">
                  <c:v>0.43103243998957363</c:v>
                </c:pt>
                <c:pt idx="186">
                  <c:v>0.21458293671299195</c:v>
                </c:pt>
                <c:pt idx="188">
                  <c:v>0.34631878300907326</c:v>
                </c:pt>
                <c:pt idx="190">
                  <c:v>0.26108487321747909</c:v>
                </c:pt>
                <c:pt idx="192">
                  <c:v>0.11273006134969327</c:v>
                </c:pt>
                <c:pt idx="194">
                  <c:v>0.10020876826722337</c:v>
                </c:pt>
                <c:pt idx="196">
                  <c:v>0.19023282226007951</c:v>
                </c:pt>
                <c:pt idx="198">
                  <c:v>0.2131147540983607</c:v>
                </c:pt>
                <c:pt idx="200">
                  <c:v>0.26662908680947012</c:v>
                </c:pt>
                <c:pt idx="202">
                  <c:v>0.17588235294117646</c:v>
                </c:pt>
                <c:pt idx="204">
                  <c:v>8.5277895630038181E-2</c:v>
                </c:pt>
                <c:pt idx="206">
                  <c:v>0.2448603866216631</c:v>
                </c:pt>
                <c:pt idx="208">
                  <c:v>0.19961769524849809</c:v>
                </c:pt>
                <c:pt idx="210">
                  <c:v>0.22038149297076101</c:v>
                </c:pt>
                <c:pt idx="212">
                  <c:v>0.2650956530706956</c:v>
                </c:pt>
                <c:pt idx="214">
                  <c:v>0.17805500425290616</c:v>
                </c:pt>
                <c:pt idx="216">
                  <c:v>0.35614630467571645</c:v>
                </c:pt>
                <c:pt idx="218">
                  <c:v>0.14152966404574696</c:v>
                </c:pt>
                <c:pt idx="220">
                  <c:v>0.23647548398769674</c:v>
                </c:pt>
                <c:pt idx="222">
                  <c:v>0.27426072469804247</c:v>
                </c:pt>
                <c:pt idx="224">
                  <c:v>0.3592436974789916</c:v>
                </c:pt>
                <c:pt idx="226">
                  <c:v>0.35179417738659446</c:v>
                </c:pt>
                <c:pt idx="228">
                  <c:v>0.13243922883487008</c:v>
                </c:pt>
                <c:pt idx="230">
                  <c:v>0.12016574585635359</c:v>
                </c:pt>
                <c:pt idx="232">
                  <c:v>0.29849157054125997</c:v>
                </c:pt>
                <c:pt idx="234">
                  <c:v>0.18056089127929312</c:v>
                </c:pt>
                <c:pt idx="236">
                  <c:v>0.23384938336394651</c:v>
                </c:pt>
                <c:pt idx="238">
                  <c:v>0.13280192510151903</c:v>
                </c:pt>
                <c:pt idx="240">
                  <c:v>0.21210553543714433</c:v>
                </c:pt>
                <c:pt idx="242">
                  <c:v>0.29948301329394383</c:v>
                </c:pt>
                <c:pt idx="244">
                  <c:v>0.24456022065583821</c:v>
                </c:pt>
                <c:pt idx="246">
                  <c:v>0.41885625946859345</c:v>
                </c:pt>
                <c:pt idx="248">
                  <c:v>0.24894249307319324</c:v>
                </c:pt>
                <c:pt idx="250">
                  <c:v>0.48720240193918024</c:v>
                </c:pt>
                <c:pt idx="252">
                  <c:v>0.33416244658119659</c:v>
                </c:pt>
                <c:pt idx="254">
                  <c:v>0.36785014910536773</c:v>
                </c:pt>
                <c:pt idx="256">
                  <c:v>0.41222457392481371</c:v>
                </c:pt>
                <c:pt idx="258">
                  <c:v>0.4037184909238688</c:v>
                </c:pt>
                <c:pt idx="260">
                  <c:v>0.36308644198090301</c:v>
                </c:pt>
                <c:pt idx="262">
                  <c:v>0.33186905615292706</c:v>
                </c:pt>
                <c:pt idx="264">
                  <c:v>0.12645338050314464</c:v>
                </c:pt>
                <c:pt idx="266">
                  <c:v>9.5293408826945397E-2</c:v>
                </c:pt>
                <c:pt idx="268">
                  <c:v>0.48003487918939985</c:v>
                </c:pt>
                <c:pt idx="270">
                  <c:v>0.36440241284783281</c:v>
                </c:pt>
                <c:pt idx="272">
                  <c:v>0.38758437522915601</c:v>
                </c:pt>
                <c:pt idx="274">
                  <c:v>0.38260311084185017</c:v>
                </c:pt>
                <c:pt idx="276">
                  <c:v>0.20015498753117211</c:v>
                </c:pt>
                <c:pt idx="278">
                  <c:v>0.32232636518771324</c:v>
                </c:pt>
                <c:pt idx="280">
                  <c:v>0.22571507380073796</c:v>
                </c:pt>
                <c:pt idx="282">
                  <c:v>0.24725514651536887</c:v>
                </c:pt>
                <c:pt idx="284">
                  <c:v>0.27885771461716941</c:v>
                </c:pt>
                <c:pt idx="286">
                  <c:v>0.2867632403189066</c:v>
                </c:pt>
                <c:pt idx="288">
                  <c:v>0.31623144986029184</c:v>
                </c:pt>
                <c:pt idx="290">
                  <c:v>0.25963928123038293</c:v>
                </c:pt>
                <c:pt idx="292">
                  <c:v>0.20916213188220228</c:v>
                </c:pt>
                <c:pt idx="294">
                  <c:v>0.30002007745617609</c:v>
                </c:pt>
                <c:pt idx="296">
                  <c:v>0.35275088411316646</c:v>
                </c:pt>
                <c:pt idx="298">
                  <c:v>0.19712499999999997</c:v>
                </c:pt>
                <c:pt idx="300">
                  <c:v>0.26429019526381387</c:v>
                </c:pt>
                <c:pt idx="302">
                  <c:v>0.24865696322139849</c:v>
                </c:pt>
                <c:pt idx="304">
                  <c:v>0.24679386941741888</c:v>
                </c:pt>
                <c:pt idx="306">
                  <c:v>0.37906442352757386</c:v>
                </c:pt>
                <c:pt idx="308">
                  <c:v>0.39118671448520997</c:v>
                </c:pt>
                <c:pt idx="310">
                  <c:v>0.28311220209143961</c:v>
                </c:pt>
                <c:pt idx="312">
                  <c:v>0.30758990536277597</c:v>
                </c:pt>
                <c:pt idx="314">
                  <c:v>0.17109062945791728</c:v>
                </c:pt>
                <c:pt idx="316">
                  <c:v>0.31522930232558138</c:v>
                </c:pt>
                <c:pt idx="318">
                  <c:v>0.25577081863091033</c:v>
                </c:pt>
                <c:pt idx="320">
                  <c:v>0.42160526810912519</c:v>
                </c:pt>
                <c:pt idx="322">
                  <c:v>0.63973304749340365</c:v>
                </c:pt>
                <c:pt idx="325">
                  <c:v>0.22290642144638398</c:v>
                </c:pt>
                <c:pt idx="327">
                  <c:v>0.18459363691194208</c:v>
                </c:pt>
                <c:pt idx="329">
                  <c:v>0.40193889611157074</c:v>
                </c:pt>
                <c:pt idx="331">
                  <c:v>0.25446048059817655</c:v>
                </c:pt>
                <c:pt idx="333">
                  <c:v>0.29679740886347383</c:v>
                </c:pt>
                <c:pt idx="335">
                  <c:v>0.39774563601797436</c:v>
                </c:pt>
                <c:pt idx="337">
                  <c:v>0.11601110385369039</c:v>
                </c:pt>
                <c:pt idx="339">
                  <c:v>0.31420386178861792</c:v>
                </c:pt>
                <c:pt idx="341">
                  <c:v>0.31721503759398495</c:v>
                </c:pt>
                <c:pt idx="343">
                  <c:v>0.34725477224855178</c:v>
                </c:pt>
                <c:pt idx="345">
                  <c:v>0.38848394148586451</c:v>
                </c:pt>
                <c:pt idx="347">
                  <c:v>0.46867960614152199</c:v>
                </c:pt>
                <c:pt idx="349">
                  <c:v>0.27287662103746396</c:v>
                </c:pt>
                <c:pt idx="351">
                  <c:v>0.19781969807645483</c:v>
                </c:pt>
                <c:pt idx="353">
                  <c:v>0.47315982896730896</c:v>
                </c:pt>
                <c:pt idx="355">
                  <c:v>0.41602565479633141</c:v>
                </c:pt>
                <c:pt idx="357">
                  <c:v>0.37246357088032117</c:v>
                </c:pt>
                <c:pt idx="359">
                  <c:v>0.24502833745364647</c:v>
                </c:pt>
                <c:pt idx="361">
                  <c:v>0.29670278543005812</c:v>
                </c:pt>
                <c:pt idx="363">
                  <c:v>0.28455383211678831</c:v>
                </c:pt>
                <c:pt idx="365">
                  <c:v>0.1421891528462573</c:v>
                </c:pt>
                <c:pt idx="367">
                  <c:v>0.2902118477834445</c:v>
                </c:pt>
                <c:pt idx="371">
                  <c:v>0.36019548715815741</c:v>
                </c:pt>
                <c:pt idx="373">
                  <c:v>0.34532627865961202</c:v>
                </c:pt>
                <c:pt idx="375">
                  <c:v>0.26384597100071305</c:v>
                </c:pt>
                <c:pt idx="377">
                  <c:v>0.20247587075115403</c:v>
                </c:pt>
                <c:pt idx="379">
                  <c:v>0.21261023456716061</c:v>
                </c:pt>
                <c:pt idx="381">
                  <c:v>0.29681164762255807</c:v>
                </c:pt>
                <c:pt idx="383">
                  <c:v>0.24730783512810992</c:v>
                </c:pt>
                <c:pt idx="385">
                  <c:v>0.11454125793421811</c:v>
                </c:pt>
                <c:pt idx="387">
                  <c:v>0.10911270983213429</c:v>
                </c:pt>
                <c:pt idx="389">
                  <c:v>0.13992332968236582</c:v>
                </c:pt>
                <c:pt idx="391">
                  <c:v>0.27611336032388667</c:v>
                </c:pt>
                <c:pt idx="393">
                  <c:v>0.255945945945946</c:v>
                </c:pt>
                <c:pt idx="395">
                  <c:v>0.30870417016512736</c:v>
                </c:pt>
                <c:pt idx="397">
                  <c:v>0.27463175122749595</c:v>
                </c:pt>
                <c:pt idx="399">
                  <c:v>0.29873417721518986</c:v>
                </c:pt>
                <c:pt idx="401">
                  <c:v>0.14959568733153639</c:v>
                </c:pt>
                <c:pt idx="403">
                  <c:v>0.27266169752344316</c:v>
                </c:pt>
                <c:pt idx="405">
                  <c:v>0.27265936254980078</c:v>
                </c:pt>
                <c:pt idx="407">
                  <c:v>0.2388549976536837</c:v>
                </c:pt>
                <c:pt idx="409">
                  <c:v>0.203125</c:v>
                </c:pt>
                <c:pt idx="411">
                  <c:v>0.24044943820224718</c:v>
                </c:pt>
                <c:pt idx="413">
                  <c:v>0.22036637931034486</c:v>
                </c:pt>
                <c:pt idx="419">
                  <c:v>0.37254901960784309</c:v>
                </c:pt>
                <c:pt idx="421">
                  <c:v>0.14683053040103494</c:v>
                </c:pt>
                <c:pt idx="423">
                  <c:v>8.6345381526104423E-2</c:v>
                </c:pt>
                <c:pt idx="425">
                  <c:v>8.6268600489734421E-2</c:v>
                </c:pt>
                <c:pt idx="427">
                  <c:v>0.16245487364620939</c:v>
                </c:pt>
                <c:pt idx="431">
                  <c:v>0.1948376353039134</c:v>
                </c:pt>
                <c:pt idx="435">
                  <c:v>0.21010638297872342</c:v>
                </c:pt>
                <c:pt idx="437">
                  <c:v>0.11921063229963752</c:v>
                </c:pt>
                <c:pt idx="439">
                  <c:v>0.31628372879233702</c:v>
                </c:pt>
                <c:pt idx="441">
                  <c:v>0.31020027945971118</c:v>
                </c:pt>
                <c:pt idx="443">
                  <c:v>0.38829547164134193</c:v>
                </c:pt>
                <c:pt idx="445">
                  <c:v>8.8217880402605087E-2</c:v>
                </c:pt>
                <c:pt idx="447">
                  <c:v>5.7437008940666494E-2</c:v>
                </c:pt>
                <c:pt idx="449">
                  <c:v>9.7447795823665889E-2</c:v>
                </c:pt>
                <c:pt idx="451">
                  <c:v>0.23484028153762856</c:v>
                </c:pt>
                <c:pt idx="453">
                  <c:v>0.1615570794675272</c:v>
                </c:pt>
                <c:pt idx="455">
                  <c:v>7.9361702127659584E-2</c:v>
                </c:pt>
                <c:pt idx="457">
                  <c:v>0.11094339622641511</c:v>
                </c:pt>
                <c:pt idx="467">
                  <c:v>9.0750436300174528E-2</c:v>
                </c:pt>
                <c:pt idx="469">
                  <c:v>0.15064281721632197</c:v>
                </c:pt>
                <c:pt idx="471">
                  <c:v>0.13476874003189793</c:v>
                </c:pt>
                <c:pt idx="473">
                  <c:v>0.10157711841753542</c:v>
                </c:pt>
                <c:pt idx="475">
                  <c:v>0.19158451989777295</c:v>
                </c:pt>
                <c:pt idx="481">
                  <c:v>0.33246753246753247</c:v>
                </c:pt>
                <c:pt idx="485">
                  <c:v>0.28313384113166484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CA-974C-9852-2AC6756D2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874416"/>
        <c:axId val="1128957088"/>
      </c:scatterChart>
      <c:valAx>
        <c:axId val="1128874416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7088"/>
        <c:crosses val="autoZero"/>
        <c:crossBetween val="midCat"/>
        <c:majorUnit val="1095"/>
      </c:valAx>
      <c:valAx>
        <c:axId val="11289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But-fuco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'But-fuco update'!$B$4:$B$489</c:f>
              <c:numCache>
                <c:formatCode>[$-409]mmm\-yy;@</c:formatCode>
                <c:ptCount val="486"/>
                <c:pt idx="0">
                  <c:v>36446</c:v>
                </c:pt>
                <c:pt idx="1">
                  <c:v>36473</c:v>
                </c:pt>
                <c:pt idx="2">
                  <c:v>36473</c:v>
                </c:pt>
                <c:pt idx="3">
                  <c:v>36502</c:v>
                </c:pt>
                <c:pt idx="4">
                  <c:v>36502</c:v>
                </c:pt>
                <c:pt idx="5">
                  <c:v>36531</c:v>
                </c:pt>
                <c:pt idx="6">
                  <c:v>36531</c:v>
                </c:pt>
                <c:pt idx="7">
                  <c:v>36578</c:v>
                </c:pt>
                <c:pt idx="8">
                  <c:v>36578</c:v>
                </c:pt>
                <c:pt idx="9">
                  <c:v>36599</c:v>
                </c:pt>
                <c:pt idx="10">
                  <c:v>36599</c:v>
                </c:pt>
                <c:pt idx="11">
                  <c:v>36626</c:v>
                </c:pt>
                <c:pt idx="12">
                  <c:v>36626</c:v>
                </c:pt>
                <c:pt idx="13">
                  <c:v>36663</c:v>
                </c:pt>
                <c:pt idx="14">
                  <c:v>36663</c:v>
                </c:pt>
                <c:pt idx="15">
                  <c:v>36692</c:v>
                </c:pt>
                <c:pt idx="16">
                  <c:v>36692</c:v>
                </c:pt>
                <c:pt idx="17">
                  <c:v>36719</c:v>
                </c:pt>
                <c:pt idx="18">
                  <c:v>36719</c:v>
                </c:pt>
                <c:pt idx="19">
                  <c:v>36755</c:v>
                </c:pt>
                <c:pt idx="20">
                  <c:v>36755</c:v>
                </c:pt>
                <c:pt idx="21">
                  <c:v>36783</c:v>
                </c:pt>
                <c:pt idx="22">
                  <c:v>36783</c:v>
                </c:pt>
                <c:pt idx="23">
                  <c:v>36815</c:v>
                </c:pt>
                <c:pt idx="24">
                  <c:v>36815</c:v>
                </c:pt>
                <c:pt idx="25">
                  <c:v>36846</c:v>
                </c:pt>
                <c:pt idx="26">
                  <c:v>36846</c:v>
                </c:pt>
                <c:pt idx="27">
                  <c:v>36873</c:v>
                </c:pt>
                <c:pt idx="28">
                  <c:v>36873</c:v>
                </c:pt>
                <c:pt idx="29">
                  <c:v>36902</c:v>
                </c:pt>
                <c:pt idx="30">
                  <c:v>36902</c:v>
                </c:pt>
                <c:pt idx="31">
                  <c:v>36929</c:v>
                </c:pt>
                <c:pt idx="32">
                  <c:v>36929</c:v>
                </c:pt>
                <c:pt idx="33">
                  <c:v>36962</c:v>
                </c:pt>
                <c:pt idx="34">
                  <c:v>36962</c:v>
                </c:pt>
                <c:pt idx="35">
                  <c:v>36998</c:v>
                </c:pt>
                <c:pt idx="36">
                  <c:v>36998</c:v>
                </c:pt>
                <c:pt idx="37">
                  <c:v>37025</c:v>
                </c:pt>
                <c:pt idx="38">
                  <c:v>37025</c:v>
                </c:pt>
                <c:pt idx="39">
                  <c:v>37054</c:v>
                </c:pt>
                <c:pt idx="40">
                  <c:v>37054</c:v>
                </c:pt>
                <c:pt idx="41">
                  <c:v>37090</c:v>
                </c:pt>
                <c:pt idx="42">
                  <c:v>37090</c:v>
                </c:pt>
                <c:pt idx="43">
                  <c:v>37117</c:v>
                </c:pt>
                <c:pt idx="44">
                  <c:v>37117</c:v>
                </c:pt>
                <c:pt idx="45">
                  <c:v>37145</c:v>
                </c:pt>
                <c:pt idx="46">
                  <c:v>37145</c:v>
                </c:pt>
                <c:pt idx="47">
                  <c:v>37182</c:v>
                </c:pt>
                <c:pt idx="48">
                  <c:v>37182</c:v>
                </c:pt>
                <c:pt idx="49">
                  <c:v>37202</c:v>
                </c:pt>
                <c:pt idx="50">
                  <c:v>37202</c:v>
                </c:pt>
                <c:pt idx="51">
                  <c:v>37230</c:v>
                </c:pt>
                <c:pt idx="52">
                  <c:v>37230</c:v>
                </c:pt>
                <c:pt idx="53">
                  <c:v>37272</c:v>
                </c:pt>
                <c:pt idx="54">
                  <c:v>37272</c:v>
                </c:pt>
                <c:pt idx="55">
                  <c:v>37301</c:v>
                </c:pt>
                <c:pt idx="56">
                  <c:v>37301</c:v>
                </c:pt>
                <c:pt idx="57">
                  <c:v>37336</c:v>
                </c:pt>
                <c:pt idx="58">
                  <c:v>37336</c:v>
                </c:pt>
                <c:pt idx="59">
                  <c:v>37363</c:v>
                </c:pt>
                <c:pt idx="60">
                  <c:v>37363</c:v>
                </c:pt>
                <c:pt idx="61">
                  <c:v>37391</c:v>
                </c:pt>
                <c:pt idx="62">
                  <c:v>37391</c:v>
                </c:pt>
                <c:pt idx="63">
                  <c:v>37420</c:v>
                </c:pt>
                <c:pt idx="64">
                  <c:v>37420</c:v>
                </c:pt>
                <c:pt idx="65">
                  <c:v>37453</c:v>
                </c:pt>
                <c:pt idx="66">
                  <c:v>37453</c:v>
                </c:pt>
                <c:pt idx="67">
                  <c:v>37481</c:v>
                </c:pt>
                <c:pt idx="68">
                  <c:v>37481</c:v>
                </c:pt>
                <c:pt idx="69">
                  <c:v>37518</c:v>
                </c:pt>
                <c:pt idx="70">
                  <c:v>37518</c:v>
                </c:pt>
                <c:pt idx="71">
                  <c:v>37546</c:v>
                </c:pt>
                <c:pt idx="72">
                  <c:v>37546</c:v>
                </c:pt>
                <c:pt idx="73">
                  <c:v>37574</c:v>
                </c:pt>
                <c:pt idx="74">
                  <c:v>37574</c:v>
                </c:pt>
                <c:pt idx="75">
                  <c:v>37608</c:v>
                </c:pt>
                <c:pt idx="76">
                  <c:v>37608</c:v>
                </c:pt>
                <c:pt idx="77">
                  <c:v>37636</c:v>
                </c:pt>
                <c:pt idx="78">
                  <c:v>37636</c:v>
                </c:pt>
                <c:pt idx="79">
                  <c:v>37663</c:v>
                </c:pt>
                <c:pt idx="80">
                  <c:v>37663</c:v>
                </c:pt>
                <c:pt idx="81">
                  <c:v>37691</c:v>
                </c:pt>
                <c:pt idx="82">
                  <c:v>37691</c:v>
                </c:pt>
                <c:pt idx="83">
                  <c:v>37727</c:v>
                </c:pt>
                <c:pt idx="84">
                  <c:v>37727</c:v>
                </c:pt>
                <c:pt idx="85">
                  <c:v>37756</c:v>
                </c:pt>
                <c:pt idx="86">
                  <c:v>37756</c:v>
                </c:pt>
                <c:pt idx="87">
                  <c:v>37790</c:v>
                </c:pt>
                <c:pt idx="88">
                  <c:v>37790</c:v>
                </c:pt>
                <c:pt idx="89">
                  <c:v>37818</c:v>
                </c:pt>
                <c:pt idx="90">
                  <c:v>37818</c:v>
                </c:pt>
                <c:pt idx="91">
                  <c:v>37846</c:v>
                </c:pt>
                <c:pt idx="92">
                  <c:v>37846</c:v>
                </c:pt>
                <c:pt idx="93">
                  <c:v>37886</c:v>
                </c:pt>
                <c:pt idx="94">
                  <c:v>37886</c:v>
                </c:pt>
                <c:pt idx="95">
                  <c:v>37910</c:v>
                </c:pt>
                <c:pt idx="96">
                  <c:v>37910</c:v>
                </c:pt>
                <c:pt idx="97">
                  <c:v>37942</c:v>
                </c:pt>
                <c:pt idx="98">
                  <c:v>37942</c:v>
                </c:pt>
                <c:pt idx="99">
                  <c:v>37971</c:v>
                </c:pt>
                <c:pt idx="100">
                  <c:v>37971</c:v>
                </c:pt>
                <c:pt idx="101">
                  <c:v>37998</c:v>
                </c:pt>
                <c:pt idx="102">
                  <c:v>37998</c:v>
                </c:pt>
                <c:pt idx="103">
                  <c:v>38026</c:v>
                </c:pt>
                <c:pt idx="104">
                  <c:v>38026</c:v>
                </c:pt>
                <c:pt idx="105">
                  <c:v>38061</c:v>
                </c:pt>
                <c:pt idx="106">
                  <c:v>38061</c:v>
                </c:pt>
                <c:pt idx="107">
                  <c:v>38093</c:v>
                </c:pt>
                <c:pt idx="108">
                  <c:v>38093</c:v>
                </c:pt>
                <c:pt idx="109">
                  <c:v>38117</c:v>
                </c:pt>
                <c:pt idx="110">
                  <c:v>38117</c:v>
                </c:pt>
                <c:pt idx="111">
                  <c:v>38160</c:v>
                </c:pt>
                <c:pt idx="112">
                  <c:v>38160</c:v>
                </c:pt>
                <c:pt idx="113">
                  <c:v>38182</c:v>
                </c:pt>
                <c:pt idx="114">
                  <c:v>38183</c:v>
                </c:pt>
                <c:pt idx="115">
                  <c:v>38218</c:v>
                </c:pt>
                <c:pt idx="116">
                  <c:v>38218</c:v>
                </c:pt>
                <c:pt idx="117">
                  <c:v>38246</c:v>
                </c:pt>
                <c:pt idx="118">
                  <c:v>38246</c:v>
                </c:pt>
                <c:pt idx="119">
                  <c:v>38274</c:v>
                </c:pt>
                <c:pt idx="120">
                  <c:v>38274</c:v>
                </c:pt>
                <c:pt idx="121">
                  <c:v>38309</c:v>
                </c:pt>
                <c:pt idx="122">
                  <c:v>38309</c:v>
                </c:pt>
                <c:pt idx="123">
                  <c:v>38337</c:v>
                </c:pt>
                <c:pt idx="124">
                  <c:v>38337</c:v>
                </c:pt>
                <c:pt idx="125">
                  <c:v>38364</c:v>
                </c:pt>
                <c:pt idx="126">
                  <c:v>38364</c:v>
                </c:pt>
                <c:pt idx="127">
                  <c:v>38398</c:v>
                </c:pt>
                <c:pt idx="128">
                  <c:v>38398</c:v>
                </c:pt>
                <c:pt idx="129">
                  <c:v>38427</c:v>
                </c:pt>
                <c:pt idx="130">
                  <c:v>38427</c:v>
                </c:pt>
                <c:pt idx="131">
                  <c:v>38470</c:v>
                </c:pt>
                <c:pt idx="132">
                  <c:v>38470</c:v>
                </c:pt>
                <c:pt idx="133">
                  <c:v>38488</c:v>
                </c:pt>
                <c:pt idx="134">
                  <c:v>38488</c:v>
                </c:pt>
                <c:pt idx="135">
                  <c:v>38525</c:v>
                </c:pt>
                <c:pt idx="136">
                  <c:v>38525</c:v>
                </c:pt>
                <c:pt idx="137">
                  <c:v>38546</c:v>
                </c:pt>
                <c:pt idx="138">
                  <c:v>38546</c:v>
                </c:pt>
                <c:pt idx="139">
                  <c:v>38594</c:v>
                </c:pt>
                <c:pt idx="140">
                  <c:v>38594</c:v>
                </c:pt>
                <c:pt idx="141">
                  <c:v>38609</c:v>
                </c:pt>
                <c:pt idx="142">
                  <c:v>38609</c:v>
                </c:pt>
                <c:pt idx="143">
                  <c:v>38643</c:v>
                </c:pt>
                <c:pt idx="144">
                  <c:v>38643</c:v>
                </c:pt>
                <c:pt idx="145">
                  <c:v>38670</c:v>
                </c:pt>
                <c:pt idx="146">
                  <c:v>38670</c:v>
                </c:pt>
                <c:pt idx="147">
                  <c:v>38706</c:v>
                </c:pt>
                <c:pt idx="148">
                  <c:v>38706</c:v>
                </c:pt>
                <c:pt idx="149">
                  <c:v>38737</c:v>
                </c:pt>
                <c:pt idx="150">
                  <c:v>38737</c:v>
                </c:pt>
                <c:pt idx="151">
                  <c:v>38763</c:v>
                </c:pt>
                <c:pt idx="152">
                  <c:v>38763</c:v>
                </c:pt>
                <c:pt idx="153">
                  <c:v>38792</c:v>
                </c:pt>
                <c:pt idx="154">
                  <c:v>38792</c:v>
                </c:pt>
                <c:pt idx="155">
                  <c:v>38826</c:v>
                </c:pt>
                <c:pt idx="156">
                  <c:v>38826</c:v>
                </c:pt>
                <c:pt idx="157">
                  <c:v>38853</c:v>
                </c:pt>
                <c:pt idx="158">
                  <c:v>38853</c:v>
                </c:pt>
                <c:pt idx="159">
                  <c:v>38884</c:v>
                </c:pt>
                <c:pt idx="160">
                  <c:v>38884</c:v>
                </c:pt>
                <c:pt idx="161">
                  <c:v>38915</c:v>
                </c:pt>
                <c:pt idx="162">
                  <c:v>38915</c:v>
                </c:pt>
                <c:pt idx="163">
                  <c:v>38952</c:v>
                </c:pt>
                <c:pt idx="164">
                  <c:v>38952</c:v>
                </c:pt>
                <c:pt idx="165">
                  <c:v>38975</c:v>
                </c:pt>
                <c:pt idx="166">
                  <c:v>38975</c:v>
                </c:pt>
                <c:pt idx="167">
                  <c:v>39006</c:v>
                </c:pt>
                <c:pt idx="168">
                  <c:v>39006</c:v>
                </c:pt>
                <c:pt idx="169">
                  <c:v>39041</c:v>
                </c:pt>
                <c:pt idx="170">
                  <c:v>39041</c:v>
                </c:pt>
                <c:pt idx="171">
                  <c:v>39062</c:v>
                </c:pt>
                <c:pt idx="172">
                  <c:v>39062</c:v>
                </c:pt>
                <c:pt idx="173">
                  <c:v>39100</c:v>
                </c:pt>
                <c:pt idx="174">
                  <c:v>39100</c:v>
                </c:pt>
                <c:pt idx="175">
                  <c:v>39135</c:v>
                </c:pt>
                <c:pt idx="176">
                  <c:v>39135</c:v>
                </c:pt>
                <c:pt idx="177">
                  <c:v>39153</c:v>
                </c:pt>
                <c:pt idx="178">
                  <c:v>39153</c:v>
                </c:pt>
                <c:pt idx="179">
                  <c:v>39191</c:v>
                </c:pt>
                <c:pt idx="180">
                  <c:v>39191</c:v>
                </c:pt>
                <c:pt idx="181">
                  <c:v>39216</c:v>
                </c:pt>
                <c:pt idx="182">
                  <c:v>39216</c:v>
                </c:pt>
                <c:pt idx="183">
                  <c:v>39248</c:v>
                </c:pt>
                <c:pt idx="184">
                  <c:v>39248</c:v>
                </c:pt>
                <c:pt idx="185">
                  <c:v>39279</c:v>
                </c:pt>
                <c:pt idx="186">
                  <c:v>39279</c:v>
                </c:pt>
                <c:pt idx="187">
                  <c:v>39308</c:v>
                </c:pt>
                <c:pt idx="188">
                  <c:v>39308</c:v>
                </c:pt>
                <c:pt idx="189">
                  <c:v>39335</c:v>
                </c:pt>
                <c:pt idx="190">
                  <c:v>39335</c:v>
                </c:pt>
                <c:pt idx="191">
                  <c:v>39370</c:v>
                </c:pt>
                <c:pt idx="192">
                  <c:v>39370</c:v>
                </c:pt>
                <c:pt idx="193">
                  <c:v>39400</c:v>
                </c:pt>
                <c:pt idx="194">
                  <c:v>39400</c:v>
                </c:pt>
                <c:pt idx="195">
                  <c:v>39434</c:v>
                </c:pt>
                <c:pt idx="196">
                  <c:v>39434</c:v>
                </c:pt>
                <c:pt idx="197">
                  <c:v>39463</c:v>
                </c:pt>
                <c:pt idx="198">
                  <c:v>39463</c:v>
                </c:pt>
                <c:pt idx="199">
                  <c:v>39493</c:v>
                </c:pt>
                <c:pt idx="200">
                  <c:v>39493</c:v>
                </c:pt>
                <c:pt idx="201">
                  <c:v>39517</c:v>
                </c:pt>
                <c:pt idx="202">
                  <c:v>39517</c:v>
                </c:pt>
                <c:pt idx="203">
                  <c:v>39552</c:v>
                </c:pt>
                <c:pt idx="204">
                  <c:v>39552</c:v>
                </c:pt>
                <c:pt idx="205">
                  <c:v>39583</c:v>
                </c:pt>
                <c:pt idx="206">
                  <c:v>39583</c:v>
                </c:pt>
                <c:pt idx="207">
                  <c:v>39617</c:v>
                </c:pt>
                <c:pt idx="208">
                  <c:v>39617</c:v>
                </c:pt>
                <c:pt idx="209">
                  <c:v>39645</c:v>
                </c:pt>
                <c:pt idx="210">
                  <c:v>39645</c:v>
                </c:pt>
                <c:pt idx="211">
                  <c:v>39672</c:v>
                </c:pt>
                <c:pt idx="212">
                  <c:v>39672</c:v>
                </c:pt>
                <c:pt idx="213">
                  <c:v>39709</c:v>
                </c:pt>
                <c:pt idx="214">
                  <c:v>39709</c:v>
                </c:pt>
                <c:pt idx="215">
                  <c:v>39735</c:v>
                </c:pt>
                <c:pt idx="216">
                  <c:v>39735</c:v>
                </c:pt>
                <c:pt idx="217">
                  <c:v>39769</c:v>
                </c:pt>
                <c:pt idx="218">
                  <c:v>39769</c:v>
                </c:pt>
                <c:pt idx="219">
                  <c:v>39797</c:v>
                </c:pt>
                <c:pt idx="220">
                  <c:v>39797</c:v>
                </c:pt>
                <c:pt idx="221">
                  <c:v>39826</c:v>
                </c:pt>
                <c:pt idx="222">
                  <c:v>39826</c:v>
                </c:pt>
                <c:pt idx="223">
                  <c:v>39861</c:v>
                </c:pt>
                <c:pt idx="224">
                  <c:v>39861</c:v>
                </c:pt>
                <c:pt idx="225">
                  <c:v>39888</c:v>
                </c:pt>
                <c:pt idx="226">
                  <c:v>39888</c:v>
                </c:pt>
                <c:pt idx="227">
                  <c:v>39916</c:v>
                </c:pt>
                <c:pt idx="228">
                  <c:v>39916</c:v>
                </c:pt>
                <c:pt idx="229">
                  <c:v>39946</c:v>
                </c:pt>
                <c:pt idx="230">
                  <c:v>39946</c:v>
                </c:pt>
                <c:pt idx="231">
                  <c:v>39983</c:v>
                </c:pt>
                <c:pt idx="232">
                  <c:v>39983</c:v>
                </c:pt>
                <c:pt idx="233">
                  <c:v>40007</c:v>
                </c:pt>
                <c:pt idx="234">
                  <c:v>40007</c:v>
                </c:pt>
                <c:pt idx="235">
                  <c:v>40042</c:v>
                </c:pt>
                <c:pt idx="236">
                  <c:v>40042</c:v>
                </c:pt>
                <c:pt idx="237">
                  <c:v>40071</c:v>
                </c:pt>
                <c:pt idx="238">
                  <c:v>40071</c:v>
                </c:pt>
                <c:pt idx="239">
                  <c:v>40100</c:v>
                </c:pt>
                <c:pt idx="240">
                  <c:v>40100</c:v>
                </c:pt>
                <c:pt idx="241">
                  <c:v>40133</c:v>
                </c:pt>
                <c:pt idx="242">
                  <c:v>40133</c:v>
                </c:pt>
                <c:pt idx="243">
                  <c:v>40161</c:v>
                </c:pt>
                <c:pt idx="244">
                  <c:v>40161</c:v>
                </c:pt>
                <c:pt idx="245">
                  <c:v>40197</c:v>
                </c:pt>
                <c:pt idx="246">
                  <c:v>40197</c:v>
                </c:pt>
                <c:pt idx="247">
                  <c:v>40225</c:v>
                </c:pt>
                <c:pt idx="248">
                  <c:v>40225</c:v>
                </c:pt>
                <c:pt idx="249">
                  <c:v>40255</c:v>
                </c:pt>
                <c:pt idx="250">
                  <c:v>40255</c:v>
                </c:pt>
                <c:pt idx="251">
                  <c:v>40281</c:v>
                </c:pt>
                <c:pt idx="252">
                  <c:v>40281</c:v>
                </c:pt>
                <c:pt idx="253">
                  <c:v>40317</c:v>
                </c:pt>
                <c:pt idx="254">
                  <c:v>40317</c:v>
                </c:pt>
                <c:pt idx="255">
                  <c:v>40345</c:v>
                </c:pt>
                <c:pt idx="256">
                  <c:v>40345</c:v>
                </c:pt>
                <c:pt idx="257">
                  <c:v>40373</c:v>
                </c:pt>
                <c:pt idx="258">
                  <c:v>40373</c:v>
                </c:pt>
                <c:pt idx="259">
                  <c:v>40409</c:v>
                </c:pt>
                <c:pt idx="260">
                  <c:v>40409</c:v>
                </c:pt>
                <c:pt idx="261">
                  <c:v>40434</c:v>
                </c:pt>
                <c:pt idx="262">
                  <c:v>40434</c:v>
                </c:pt>
                <c:pt idx="263">
                  <c:v>40463</c:v>
                </c:pt>
                <c:pt idx="264">
                  <c:v>40463</c:v>
                </c:pt>
                <c:pt idx="265">
                  <c:v>40500</c:v>
                </c:pt>
                <c:pt idx="266">
                  <c:v>40500</c:v>
                </c:pt>
                <c:pt idx="267">
                  <c:v>40521</c:v>
                </c:pt>
                <c:pt idx="268">
                  <c:v>40521</c:v>
                </c:pt>
                <c:pt idx="269">
                  <c:v>40563</c:v>
                </c:pt>
                <c:pt idx="270">
                  <c:v>40563</c:v>
                </c:pt>
                <c:pt idx="271">
                  <c:v>40598</c:v>
                </c:pt>
                <c:pt idx="272">
                  <c:v>40598</c:v>
                </c:pt>
                <c:pt idx="273">
                  <c:v>40617</c:v>
                </c:pt>
                <c:pt idx="274">
                  <c:v>40617</c:v>
                </c:pt>
                <c:pt idx="275">
                  <c:v>40647</c:v>
                </c:pt>
                <c:pt idx="276">
                  <c:v>40647</c:v>
                </c:pt>
                <c:pt idx="277">
                  <c:v>40682</c:v>
                </c:pt>
                <c:pt idx="278">
                  <c:v>40682</c:v>
                </c:pt>
                <c:pt idx="279">
                  <c:v>40709</c:v>
                </c:pt>
                <c:pt idx="280">
                  <c:v>40709</c:v>
                </c:pt>
                <c:pt idx="281">
                  <c:v>40736</c:v>
                </c:pt>
                <c:pt idx="282">
                  <c:v>40736</c:v>
                </c:pt>
                <c:pt idx="283">
                  <c:v>40772</c:v>
                </c:pt>
                <c:pt idx="284">
                  <c:v>40772</c:v>
                </c:pt>
                <c:pt idx="285">
                  <c:v>40798</c:v>
                </c:pt>
                <c:pt idx="286">
                  <c:v>40798</c:v>
                </c:pt>
                <c:pt idx="287">
                  <c:v>40829</c:v>
                </c:pt>
                <c:pt idx="288">
                  <c:v>40829</c:v>
                </c:pt>
                <c:pt idx="289">
                  <c:v>40877</c:v>
                </c:pt>
                <c:pt idx="290">
                  <c:v>40877</c:v>
                </c:pt>
                <c:pt idx="291">
                  <c:v>40891</c:v>
                </c:pt>
                <c:pt idx="292">
                  <c:v>40891</c:v>
                </c:pt>
                <c:pt idx="293">
                  <c:v>40919</c:v>
                </c:pt>
                <c:pt idx="294">
                  <c:v>40919</c:v>
                </c:pt>
                <c:pt idx="295">
                  <c:v>40960</c:v>
                </c:pt>
                <c:pt idx="296">
                  <c:v>40960</c:v>
                </c:pt>
                <c:pt idx="297">
                  <c:v>40982</c:v>
                </c:pt>
                <c:pt idx="298">
                  <c:v>40982</c:v>
                </c:pt>
                <c:pt idx="299">
                  <c:v>41016</c:v>
                </c:pt>
                <c:pt idx="300">
                  <c:v>41016</c:v>
                </c:pt>
                <c:pt idx="301">
                  <c:v>41051</c:v>
                </c:pt>
                <c:pt idx="302">
                  <c:v>41051</c:v>
                </c:pt>
                <c:pt idx="303">
                  <c:v>41080</c:v>
                </c:pt>
                <c:pt idx="304">
                  <c:v>41080</c:v>
                </c:pt>
                <c:pt idx="305">
                  <c:v>41106</c:v>
                </c:pt>
                <c:pt idx="306">
                  <c:v>41106</c:v>
                </c:pt>
                <c:pt idx="307">
                  <c:v>41137</c:v>
                </c:pt>
                <c:pt idx="308">
                  <c:v>41137</c:v>
                </c:pt>
                <c:pt idx="309">
                  <c:v>41163</c:v>
                </c:pt>
                <c:pt idx="310">
                  <c:v>41163</c:v>
                </c:pt>
                <c:pt idx="311">
                  <c:v>41199</c:v>
                </c:pt>
                <c:pt idx="312">
                  <c:v>41199</c:v>
                </c:pt>
                <c:pt idx="313">
                  <c:v>41225</c:v>
                </c:pt>
                <c:pt idx="314">
                  <c:v>41225</c:v>
                </c:pt>
                <c:pt idx="315">
                  <c:v>41255</c:v>
                </c:pt>
                <c:pt idx="316">
                  <c:v>41255</c:v>
                </c:pt>
                <c:pt idx="317">
                  <c:v>41297</c:v>
                </c:pt>
                <c:pt idx="318">
                  <c:v>41297</c:v>
                </c:pt>
                <c:pt idx="319">
                  <c:v>41319</c:v>
                </c:pt>
                <c:pt idx="320">
                  <c:v>41319</c:v>
                </c:pt>
                <c:pt idx="321">
                  <c:v>41346</c:v>
                </c:pt>
                <c:pt idx="322">
                  <c:v>41346</c:v>
                </c:pt>
                <c:pt idx="323">
                  <c:v>41380</c:v>
                </c:pt>
                <c:pt idx="324">
                  <c:v>41380</c:v>
                </c:pt>
                <c:pt idx="325">
                  <c:v>41380</c:v>
                </c:pt>
                <c:pt idx="326">
                  <c:v>41407</c:v>
                </c:pt>
                <c:pt idx="327">
                  <c:v>41407</c:v>
                </c:pt>
                <c:pt idx="328">
                  <c:v>41437</c:v>
                </c:pt>
                <c:pt idx="329">
                  <c:v>41437</c:v>
                </c:pt>
                <c:pt idx="330">
                  <c:v>41470</c:v>
                </c:pt>
                <c:pt idx="331">
                  <c:v>41470</c:v>
                </c:pt>
                <c:pt idx="332">
                  <c:v>41498</c:v>
                </c:pt>
                <c:pt idx="333">
                  <c:v>41498</c:v>
                </c:pt>
                <c:pt idx="334">
                  <c:v>41535</c:v>
                </c:pt>
                <c:pt idx="335">
                  <c:v>41535</c:v>
                </c:pt>
                <c:pt idx="336">
                  <c:v>406810</c:v>
                </c:pt>
                <c:pt idx="337">
                  <c:v>406810</c:v>
                </c:pt>
                <c:pt idx="338">
                  <c:v>41599</c:v>
                </c:pt>
                <c:pt idx="339">
                  <c:v>41599</c:v>
                </c:pt>
                <c:pt idx="340">
                  <c:v>41627</c:v>
                </c:pt>
                <c:pt idx="341">
                  <c:v>41627</c:v>
                </c:pt>
                <c:pt idx="342">
                  <c:v>41655</c:v>
                </c:pt>
                <c:pt idx="343">
                  <c:v>41655</c:v>
                </c:pt>
                <c:pt idx="344">
                  <c:v>41690</c:v>
                </c:pt>
                <c:pt idx="345">
                  <c:v>41690</c:v>
                </c:pt>
                <c:pt idx="346">
                  <c:v>41718</c:v>
                </c:pt>
                <c:pt idx="347">
                  <c:v>41718</c:v>
                </c:pt>
                <c:pt idx="348">
                  <c:v>41750</c:v>
                </c:pt>
                <c:pt idx="349">
                  <c:v>41750</c:v>
                </c:pt>
                <c:pt idx="350">
                  <c:v>41406</c:v>
                </c:pt>
                <c:pt idx="351">
                  <c:v>41406</c:v>
                </c:pt>
                <c:pt idx="352">
                  <c:v>41807</c:v>
                </c:pt>
                <c:pt idx="353">
                  <c:v>41807</c:v>
                </c:pt>
                <c:pt idx="354">
                  <c:v>41837</c:v>
                </c:pt>
                <c:pt idx="355">
                  <c:v>41837</c:v>
                </c:pt>
                <c:pt idx="356">
                  <c:v>41862</c:v>
                </c:pt>
                <c:pt idx="357">
                  <c:v>41862</c:v>
                </c:pt>
                <c:pt idx="358">
                  <c:v>41897</c:v>
                </c:pt>
                <c:pt idx="359">
                  <c:v>41897</c:v>
                </c:pt>
                <c:pt idx="360">
                  <c:v>41928</c:v>
                </c:pt>
                <c:pt idx="361">
                  <c:v>41928</c:v>
                </c:pt>
                <c:pt idx="362">
                  <c:v>41955</c:v>
                </c:pt>
                <c:pt idx="363">
                  <c:v>41955</c:v>
                </c:pt>
                <c:pt idx="364">
                  <c:v>41992</c:v>
                </c:pt>
                <c:pt idx="365">
                  <c:v>41992</c:v>
                </c:pt>
                <c:pt idx="366">
                  <c:v>42014</c:v>
                </c:pt>
                <c:pt idx="367">
                  <c:v>42009</c:v>
                </c:pt>
                <c:pt idx="368">
                  <c:v>42036</c:v>
                </c:pt>
                <c:pt idx="369">
                  <c:v>42036</c:v>
                </c:pt>
                <c:pt idx="370">
                  <c:v>42064</c:v>
                </c:pt>
                <c:pt idx="371">
                  <c:v>42064</c:v>
                </c:pt>
                <c:pt idx="372">
                  <c:v>42095</c:v>
                </c:pt>
                <c:pt idx="373">
                  <c:v>42095</c:v>
                </c:pt>
                <c:pt idx="374">
                  <c:v>42125</c:v>
                </c:pt>
                <c:pt idx="375">
                  <c:v>42125</c:v>
                </c:pt>
                <c:pt idx="376">
                  <c:v>42156</c:v>
                </c:pt>
                <c:pt idx="377">
                  <c:v>42156</c:v>
                </c:pt>
                <c:pt idx="378">
                  <c:v>42186</c:v>
                </c:pt>
                <c:pt idx="379">
                  <c:v>42186</c:v>
                </c:pt>
                <c:pt idx="380">
                  <c:v>42217</c:v>
                </c:pt>
                <c:pt idx="381">
                  <c:v>42217</c:v>
                </c:pt>
                <c:pt idx="382">
                  <c:v>42248</c:v>
                </c:pt>
                <c:pt idx="383">
                  <c:v>42248</c:v>
                </c:pt>
                <c:pt idx="384">
                  <c:v>42278</c:v>
                </c:pt>
                <c:pt idx="385">
                  <c:v>42278</c:v>
                </c:pt>
                <c:pt idx="386">
                  <c:v>42309</c:v>
                </c:pt>
                <c:pt idx="387">
                  <c:v>42309</c:v>
                </c:pt>
                <c:pt idx="388">
                  <c:v>42339</c:v>
                </c:pt>
                <c:pt idx="389">
                  <c:v>42339</c:v>
                </c:pt>
                <c:pt idx="390">
                  <c:v>42379</c:v>
                </c:pt>
                <c:pt idx="391">
                  <c:v>42374</c:v>
                </c:pt>
                <c:pt idx="392">
                  <c:v>42401</c:v>
                </c:pt>
                <c:pt idx="393">
                  <c:v>42401</c:v>
                </c:pt>
                <c:pt idx="394">
                  <c:v>42430</c:v>
                </c:pt>
                <c:pt idx="395">
                  <c:v>42430</c:v>
                </c:pt>
                <c:pt idx="396">
                  <c:v>42461</c:v>
                </c:pt>
                <c:pt idx="397">
                  <c:v>42461</c:v>
                </c:pt>
                <c:pt idx="398">
                  <c:v>42491</c:v>
                </c:pt>
                <c:pt idx="399">
                  <c:v>42491</c:v>
                </c:pt>
                <c:pt idx="400">
                  <c:v>42522</c:v>
                </c:pt>
                <c:pt idx="401">
                  <c:v>42522</c:v>
                </c:pt>
                <c:pt idx="402">
                  <c:v>42552</c:v>
                </c:pt>
                <c:pt idx="403">
                  <c:v>42552</c:v>
                </c:pt>
                <c:pt idx="404">
                  <c:v>42583</c:v>
                </c:pt>
                <c:pt idx="405">
                  <c:v>42583</c:v>
                </c:pt>
                <c:pt idx="406">
                  <c:v>42614</c:v>
                </c:pt>
                <c:pt idx="407">
                  <c:v>42614</c:v>
                </c:pt>
                <c:pt idx="408">
                  <c:v>42644</c:v>
                </c:pt>
                <c:pt idx="409">
                  <c:v>42644</c:v>
                </c:pt>
                <c:pt idx="410">
                  <c:v>42675</c:v>
                </c:pt>
                <c:pt idx="411">
                  <c:v>42675</c:v>
                </c:pt>
                <c:pt idx="412">
                  <c:v>42705</c:v>
                </c:pt>
                <c:pt idx="413">
                  <c:v>42705</c:v>
                </c:pt>
                <c:pt idx="414">
                  <c:v>42745</c:v>
                </c:pt>
                <c:pt idx="415">
                  <c:v>42740</c:v>
                </c:pt>
                <c:pt idx="416">
                  <c:v>42767</c:v>
                </c:pt>
                <c:pt idx="417">
                  <c:v>42767</c:v>
                </c:pt>
                <c:pt idx="418">
                  <c:v>42795</c:v>
                </c:pt>
                <c:pt idx="419">
                  <c:v>42795</c:v>
                </c:pt>
                <c:pt idx="420">
                  <c:v>42826</c:v>
                </c:pt>
                <c:pt idx="421">
                  <c:v>42826</c:v>
                </c:pt>
                <c:pt idx="422">
                  <c:v>42856</c:v>
                </c:pt>
                <c:pt idx="423">
                  <c:v>42856</c:v>
                </c:pt>
                <c:pt idx="424">
                  <c:v>42887</c:v>
                </c:pt>
                <c:pt idx="425">
                  <c:v>42887</c:v>
                </c:pt>
                <c:pt idx="426">
                  <c:v>42917</c:v>
                </c:pt>
                <c:pt idx="427">
                  <c:v>42917</c:v>
                </c:pt>
                <c:pt idx="428">
                  <c:v>42948</c:v>
                </c:pt>
                <c:pt idx="429">
                  <c:v>42948</c:v>
                </c:pt>
                <c:pt idx="430">
                  <c:v>42979</c:v>
                </c:pt>
                <c:pt idx="431">
                  <c:v>42979</c:v>
                </c:pt>
                <c:pt idx="432">
                  <c:v>43009</c:v>
                </c:pt>
                <c:pt idx="433">
                  <c:v>43009</c:v>
                </c:pt>
                <c:pt idx="434">
                  <c:v>43040</c:v>
                </c:pt>
                <c:pt idx="435">
                  <c:v>43040</c:v>
                </c:pt>
                <c:pt idx="436">
                  <c:v>43070</c:v>
                </c:pt>
                <c:pt idx="437">
                  <c:v>43070</c:v>
                </c:pt>
                <c:pt idx="438">
                  <c:v>43110</c:v>
                </c:pt>
                <c:pt idx="439">
                  <c:v>43105</c:v>
                </c:pt>
                <c:pt idx="440">
                  <c:v>43132</c:v>
                </c:pt>
                <c:pt idx="441">
                  <c:v>43132</c:v>
                </c:pt>
                <c:pt idx="442">
                  <c:v>43160</c:v>
                </c:pt>
                <c:pt idx="443">
                  <c:v>43160</c:v>
                </c:pt>
                <c:pt idx="444">
                  <c:v>43191</c:v>
                </c:pt>
                <c:pt idx="445">
                  <c:v>43191</c:v>
                </c:pt>
                <c:pt idx="446">
                  <c:v>43221</c:v>
                </c:pt>
                <c:pt idx="447">
                  <c:v>43221</c:v>
                </c:pt>
                <c:pt idx="448">
                  <c:v>43252</c:v>
                </c:pt>
                <c:pt idx="449">
                  <c:v>43252</c:v>
                </c:pt>
                <c:pt idx="450">
                  <c:v>43282</c:v>
                </c:pt>
                <c:pt idx="451">
                  <c:v>43282</c:v>
                </c:pt>
                <c:pt idx="452">
                  <c:v>43313</c:v>
                </c:pt>
                <c:pt idx="453">
                  <c:v>43313</c:v>
                </c:pt>
                <c:pt idx="454">
                  <c:v>43344</c:v>
                </c:pt>
                <c:pt idx="455">
                  <c:v>43344</c:v>
                </c:pt>
                <c:pt idx="456">
                  <c:v>43374</c:v>
                </c:pt>
                <c:pt idx="457">
                  <c:v>43374</c:v>
                </c:pt>
                <c:pt idx="458">
                  <c:v>43405</c:v>
                </c:pt>
                <c:pt idx="459">
                  <c:v>43405</c:v>
                </c:pt>
                <c:pt idx="460">
                  <c:v>43435</c:v>
                </c:pt>
                <c:pt idx="461">
                  <c:v>43435</c:v>
                </c:pt>
                <c:pt idx="462">
                  <c:v>43475</c:v>
                </c:pt>
                <c:pt idx="463">
                  <c:v>43470</c:v>
                </c:pt>
                <c:pt idx="464">
                  <c:v>43497</c:v>
                </c:pt>
                <c:pt idx="465">
                  <c:v>43497</c:v>
                </c:pt>
                <c:pt idx="466">
                  <c:v>43525</c:v>
                </c:pt>
                <c:pt idx="467">
                  <c:v>43525</c:v>
                </c:pt>
                <c:pt idx="468">
                  <c:v>43556</c:v>
                </c:pt>
                <c:pt idx="469">
                  <c:v>43556</c:v>
                </c:pt>
                <c:pt idx="470">
                  <c:v>43586</c:v>
                </c:pt>
                <c:pt idx="471">
                  <c:v>43586</c:v>
                </c:pt>
                <c:pt idx="472">
                  <c:v>43617</c:v>
                </c:pt>
                <c:pt idx="473">
                  <c:v>43617</c:v>
                </c:pt>
                <c:pt idx="474">
                  <c:v>43647</c:v>
                </c:pt>
                <c:pt idx="475">
                  <c:v>43647</c:v>
                </c:pt>
                <c:pt idx="476">
                  <c:v>43678</c:v>
                </c:pt>
                <c:pt idx="477">
                  <c:v>43678</c:v>
                </c:pt>
                <c:pt idx="478">
                  <c:v>43709</c:v>
                </c:pt>
                <c:pt idx="479">
                  <c:v>43709</c:v>
                </c:pt>
                <c:pt idx="480">
                  <c:v>43739</c:v>
                </c:pt>
                <c:pt idx="481">
                  <c:v>43739</c:v>
                </c:pt>
                <c:pt idx="482">
                  <c:v>43770</c:v>
                </c:pt>
                <c:pt idx="483">
                  <c:v>43770</c:v>
                </c:pt>
                <c:pt idx="484">
                  <c:v>43800</c:v>
                </c:pt>
                <c:pt idx="485">
                  <c:v>43800</c:v>
                </c:pt>
              </c:numCache>
            </c:numRef>
          </c:xVal>
          <c:yVal>
            <c:numRef>
              <c:f>'But-fuco update'!$N$4:$N$489</c:f>
              <c:numCache>
                <c:formatCode>General</c:formatCode>
                <c:ptCount val="486"/>
                <c:pt idx="0">
                  <c:v>-0.23576519316806296</c:v>
                </c:pt>
                <c:pt idx="2">
                  <c:v>-0.47153038633612593</c:v>
                </c:pt>
                <c:pt idx="4">
                  <c:v>-0.70729557950418886</c:v>
                </c:pt>
                <c:pt idx="6">
                  <c:v>-0.94306077267225186</c:v>
                </c:pt>
                <c:pt idx="8">
                  <c:v>-1.1788259658403148</c:v>
                </c:pt>
                <c:pt idx="10">
                  <c:v>-1.4145911590083777</c:v>
                </c:pt>
                <c:pt idx="12">
                  <c:v>-1.6503563521764406</c:v>
                </c:pt>
                <c:pt idx="14">
                  <c:v>-1.3503102528385085</c:v>
                </c:pt>
                <c:pt idx="16">
                  <c:v>-1.3734591285553621</c:v>
                </c:pt>
                <c:pt idx="18">
                  <c:v>-1.609224321723425</c:v>
                </c:pt>
                <c:pt idx="20">
                  <c:v>-1.8449895148914879</c:v>
                </c:pt>
                <c:pt idx="22">
                  <c:v>-2.0807547080595508</c:v>
                </c:pt>
                <c:pt idx="24">
                  <c:v>-2.3165199012276139</c:v>
                </c:pt>
                <c:pt idx="26">
                  <c:v>-2.552285094395677</c:v>
                </c:pt>
                <c:pt idx="28">
                  <c:v>-2.5699040484030031</c:v>
                </c:pt>
                <c:pt idx="30">
                  <c:v>-2.8056692415710662</c:v>
                </c:pt>
                <c:pt idx="32">
                  <c:v>-3.0414344347391293</c:v>
                </c:pt>
                <c:pt idx="34">
                  <c:v>-2.7328493157684615</c:v>
                </c:pt>
                <c:pt idx="36">
                  <c:v>-2.9686145089365246</c:v>
                </c:pt>
                <c:pt idx="38">
                  <c:v>-3.2043797021045877</c:v>
                </c:pt>
                <c:pt idx="40">
                  <c:v>-3.4401448952726508</c:v>
                </c:pt>
                <c:pt idx="42">
                  <c:v>-3.5522897967833424</c:v>
                </c:pt>
                <c:pt idx="44">
                  <c:v>-3.7880549899514055</c:v>
                </c:pt>
                <c:pt idx="46">
                  <c:v>-4.0238201831194687</c:v>
                </c:pt>
                <c:pt idx="48">
                  <c:v>-4.2595853762875313</c:v>
                </c:pt>
                <c:pt idx="50">
                  <c:v>-4.495350569455594</c:v>
                </c:pt>
                <c:pt idx="52">
                  <c:v>-4.7311157626236566</c:v>
                </c:pt>
                <c:pt idx="54">
                  <c:v>-4.9668809557917193</c:v>
                </c:pt>
                <c:pt idx="56">
                  <c:v>-5.2026461489597819</c:v>
                </c:pt>
                <c:pt idx="58">
                  <c:v>-5.062050659836526</c:v>
                </c:pt>
                <c:pt idx="60">
                  <c:v>-5.2978158530045887</c:v>
                </c:pt>
                <c:pt idx="72">
                  <c:v>-5.5335810461726513</c:v>
                </c:pt>
                <c:pt idx="74">
                  <c:v>-5.769346239340714</c:v>
                </c:pt>
                <c:pt idx="76">
                  <c:v>-6.0051114325087767</c:v>
                </c:pt>
                <c:pt idx="78">
                  <c:v>-6.2408766256768393</c:v>
                </c:pt>
                <c:pt idx="80">
                  <c:v>-6.476641818844902</c:v>
                </c:pt>
                <c:pt idx="82">
                  <c:v>-6.3546530407963351</c:v>
                </c:pt>
                <c:pt idx="84">
                  <c:v>-6.5904182339643977</c:v>
                </c:pt>
                <c:pt idx="86">
                  <c:v>-6.0756953961100137</c:v>
                </c:pt>
                <c:pt idx="88">
                  <c:v>4.4812242636810318</c:v>
                </c:pt>
                <c:pt idx="90">
                  <c:v>4.2454590705129691</c:v>
                </c:pt>
                <c:pt idx="92">
                  <c:v>4.0096938773449065</c:v>
                </c:pt>
                <c:pt idx="94">
                  <c:v>3.7739286841768434</c:v>
                </c:pt>
                <c:pt idx="96">
                  <c:v>3.5381634910087802</c:v>
                </c:pt>
                <c:pt idx="98">
                  <c:v>3.3023982978407171</c:v>
                </c:pt>
                <c:pt idx="100">
                  <c:v>3.066633104672654</c:v>
                </c:pt>
                <c:pt idx="102">
                  <c:v>2.8308679115045909</c:v>
                </c:pt>
                <c:pt idx="104">
                  <c:v>2.5951027183365278</c:v>
                </c:pt>
                <c:pt idx="106">
                  <c:v>2.3593375251684647</c:v>
                </c:pt>
                <c:pt idx="108">
                  <c:v>2.5229278186932227</c:v>
                </c:pt>
                <c:pt idx="110">
                  <c:v>3.5224340831690988</c:v>
                </c:pt>
                <c:pt idx="112">
                  <c:v>3.2866688900010357</c:v>
                </c:pt>
                <c:pt idx="114">
                  <c:v>3.0509036968329726</c:v>
                </c:pt>
                <c:pt idx="116">
                  <c:v>2.8151385036649095</c:v>
                </c:pt>
                <c:pt idx="118">
                  <c:v>2.5793733104968464</c:v>
                </c:pt>
                <c:pt idx="120">
                  <c:v>2.3436081173287833</c:v>
                </c:pt>
                <c:pt idx="122">
                  <c:v>2.1078429241607202</c:v>
                </c:pt>
                <c:pt idx="124">
                  <c:v>1.8720777309926573</c:v>
                </c:pt>
                <c:pt idx="126">
                  <c:v>1.6363125378245944</c:v>
                </c:pt>
                <c:pt idx="128">
                  <c:v>1.4005473446565315</c:v>
                </c:pt>
                <c:pt idx="130">
                  <c:v>1.1647821514884686</c:v>
                </c:pt>
                <c:pt idx="132">
                  <c:v>3.212228799615914</c:v>
                </c:pt>
                <c:pt idx="134">
                  <c:v>2.9764636064478509</c:v>
                </c:pt>
                <c:pt idx="136">
                  <c:v>2.7406984132797878</c:v>
                </c:pt>
                <c:pt idx="138">
                  <c:v>2.5049332201117247</c:v>
                </c:pt>
                <c:pt idx="140">
                  <c:v>2.2691680269436616</c:v>
                </c:pt>
                <c:pt idx="142">
                  <c:v>2.0334028337755985</c:v>
                </c:pt>
                <c:pt idx="144">
                  <c:v>1.7994911888558125</c:v>
                </c:pt>
                <c:pt idx="146">
                  <c:v>1.5694229577620236</c:v>
                </c:pt>
                <c:pt idx="148">
                  <c:v>1.3369114945126577</c:v>
                </c:pt>
                <c:pt idx="150">
                  <c:v>1.1029513042261712</c:v>
                </c:pt>
                <c:pt idx="152">
                  <c:v>1.0731253088975095</c:v>
                </c:pt>
                <c:pt idx="154">
                  <c:v>0.84415514454674523</c:v>
                </c:pt>
                <c:pt idx="156">
                  <c:v>0.61524429570225669</c:v>
                </c:pt>
                <c:pt idx="158">
                  <c:v>0.38163573814930751</c:v>
                </c:pt>
                <c:pt idx="160">
                  <c:v>7.2611207250619421</c:v>
                </c:pt>
                <c:pt idx="162">
                  <c:v>7.0258219921276677</c:v>
                </c:pt>
                <c:pt idx="164">
                  <c:v>6.7906110432159918</c:v>
                </c:pt>
                <c:pt idx="166">
                  <c:v>6.5557592339852251</c:v>
                </c:pt>
                <c:pt idx="168">
                  <c:v>6.36643234235303</c:v>
                </c:pt>
                <c:pt idx="170">
                  <c:v>6.2012369453303382</c:v>
                </c:pt>
                <c:pt idx="172">
                  <c:v>6.9525244740947265</c:v>
                </c:pt>
                <c:pt idx="174">
                  <c:v>6.7645888764499578</c:v>
                </c:pt>
                <c:pt idx="176">
                  <c:v>6.6661982733800906</c:v>
                </c:pt>
                <c:pt idx="178">
                  <c:v>7.3811803151430091</c:v>
                </c:pt>
                <c:pt idx="180">
                  <c:v>7.1932765826518201</c:v>
                </c:pt>
                <c:pt idx="182">
                  <c:v>14.078659437228529</c:v>
                </c:pt>
                <c:pt idx="184">
                  <c:v>17.188308359778695</c:v>
                </c:pt>
                <c:pt idx="186">
                  <c:v>16.95645080905269</c:v>
                </c:pt>
                <c:pt idx="188">
                  <c:v>16.727171423899431</c:v>
                </c:pt>
                <c:pt idx="190">
                  <c:v>16.497994341371562</c:v>
                </c:pt>
                <c:pt idx="192">
                  <c:v>16.3173212129857</c:v>
                </c:pt>
                <c:pt idx="194">
                  <c:v>16.141547712908231</c:v>
                </c:pt>
                <c:pt idx="196">
                  <c:v>15.93297920816568</c:v>
                </c:pt>
                <c:pt idx="198">
                  <c:v>15.986111911339243</c:v>
                </c:pt>
                <c:pt idx="200">
                  <c:v>15.790842801866777</c:v>
                </c:pt>
                <c:pt idx="202">
                  <c:v>15.597336463096354</c:v>
                </c:pt>
                <c:pt idx="204">
                  <c:v>15.422530160446737</c:v>
                </c:pt>
                <c:pt idx="206">
                  <c:v>15.208808555028286</c:v>
                </c:pt>
                <c:pt idx="208">
                  <c:v>14.982852216649407</c:v>
                </c:pt>
                <c:pt idx="210">
                  <c:v>14.756570232837293</c:v>
                </c:pt>
                <c:pt idx="212">
                  <c:v>14.528213903947679</c:v>
                </c:pt>
                <c:pt idx="214">
                  <c:v>14.333185910936116</c:v>
                </c:pt>
                <c:pt idx="216">
                  <c:v>17.009779091299986</c:v>
                </c:pt>
                <c:pt idx="218">
                  <c:v>16.876715903101168</c:v>
                </c:pt>
                <c:pt idx="220">
                  <c:v>16.6669467484625</c:v>
                </c:pt>
                <c:pt idx="222">
                  <c:v>16.461102443456031</c:v>
                </c:pt>
                <c:pt idx="224">
                  <c:v>16.263068370285861</c:v>
                </c:pt>
                <c:pt idx="226">
                  <c:v>16.046758844680692</c:v>
                </c:pt>
                <c:pt idx="228">
                  <c:v>15.931429615428787</c:v>
                </c:pt>
                <c:pt idx="230">
                  <c:v>15.794891014078386</c:v>
                </c:pt>
                <c:pt idx="232">
                  <c:v>15.584624896274244</c:v>
                </c:pt>
                <c:pt idx="234">
                  <c:v>15.367259919481606</c:v>
                </c:pt>
                <c:pt idx="236">
                  <c:v>15.139035387015495</c:v>
                </c:pt>
                <c:pt idx="238">
                  <c:v>14.924879474183118</c:v>
                </c:pt>
                <c:pt idx="240">
                  <c:v>14.763444392216284</c:v>
                </c:pt>
                <c:pt idx="242">
                  <c:v>14.580736844894593</c:v>
                </c:pt>
                <c:pt idx="244">
                  <c:v>14.389004782266516</c:v>
                </c:pt>
                <c:pt idx="246">
                  <c:v>14.153239589098453</c:v>
                </c:pt>
                <c:pt idx="248">
                  <c:v>13.917474395930389</c:v>
                </c:pt>
                <c:pt idx="250">
                  <c:v>13.681709202762326</c:v>
                </c:pt>
                <c:pt idx="252">
                  <c:v>13.445944009594262</c:v>
                </c:pt>
                <c:pt idx="254">
                  <c:v>13.390493241992761</c:v>
                </c:pt>
                <c:pt idx="256">
                  <c:v>13.154728048824698</c:v>
                </c:pt>
                <c:pt idx="258">
                  <c:v>12.918962855656634</c:v>
                </c:pt>
                <c:pt idx="260">
                  <c:v>13.403443977538773</c:v>
                </c:pt>
                <c:pt idx="262">
                  <c:v>13.167678784370709</c:v>
                </c:pt>
                <c:pt idx="264">
                  <c:v>12.931913591202646</c:v>
                </c:pt>
                <c:pt idx="266">
                  <c:v>12.696148398034582</c:v>
                </c:pt>
                <c:pt idx="268">
                  <c:v>17.294451381687463</c:v>
                </c:pt>
                <c:pt idx="270">
                  <c:v>17.058686188519399</c:v>
                </c:pt>
                <c:pt idx="272">
                  <c:v>16.822920995351335</c:v>
                </c:pt>
                <c:pt idx="274">
                  <c:v>16.587155802183272</c:v>
                </c:pt>
                <c:pt idx="276">
                  <c:v>16.351390609015208</c:v>
                </c:pt>
                <c:pt idx="278">
                  <c:v>16.115625415847145</c:v>
                </c:pt>
                <c:pt idx="280">
                  <c:v>15.879860222679081</c:v>
                </c:pt>
                <c:pt idx="282">
                  <c:v>15.644095029511018</c:v>
                </c:pt>
                <c:pt idx="284">
                  <c:v>15.408329836342954</c:v>
                </c:pt>
                <c:pt idx="286">
                  <c:v>15.172564643174891</c:v>
                </c:pt>
                <c:pt idx="288">
                  <c:v>14.936799450006827</c:v>
                </c:pt>
                <c:pt idx="290">
                  <c:v>14.701034256838764</c:v>
                </c:pt>
                <c:pt idx="292">
                  <c:v>14.4652690636707</c:v>
                </c:pt>
                <c:pt idx="294">
                  <c:v>14.229503870502636</c:v>
                </c:pt>
                <c:pt idx="296">
                  <c:v>13.993738677334573</c:v>
                </c:pt>
                <c:pt idx="298">
                  <c:v>13.757973484166509</c:v>
                </c:pt>
                <c:pt idx="300">
                  <c:v>13.522208290998446</c:v>
                </c:pt>
                <c:pt idx="302">
                  <c:v>13.286443097830382</c:v>
                </c:pt>
                <c:pt idx="304">
                  <c:v>13.050677904662319</c:v>
                </c:pt>
                <c:pt idx="306">
                  <c:v>12.814912711494255</c:v>
                </c:pt>
                <c:pt idx="308">
                  <c:v>12.579147518326192</c:v>
                </c:pt>
                <c:pt idx="310">
                  <c:v>12.343382325158128</c:v>
                </c:pt>
                <c:pt idx="312">
                  <c:v>12.107617131990065</c:v>
                </c:pt>
                <c:pt idx="314">
                  <c:v>11.871851938822001</c:v>
                </c:pt>
                <c:pt idx="316">
                  <c:v>11.636086745653937</c:v>
                </c:pt>
                <c:pt idx="318">
                  <c:v>11.400321552485874</c:v>
                </c:pt>
                <c:pt idx="320">
                  <c:v>11.16455635931781</c:v>
                </c:pt>
                <c:pt idx="322">
                  <c:v>10.928791166149747</c:v>
                </c:pt>
                <c:pt idx="325">
                  <c:v>10.693025972981683</c:v>
                </c:pt>
                <c:pt idx="327">
                  <c:v>10.45726077981362</c:v>
                </c:pt>
                <c:pt idx="329">
                  <c:v>10.221495586645556</c:v>
                </c:pt>
                <c:pt idx="331">
                  <c:v>9.9857303934774926</c:v>
                </c:pt>
                <c:pt idx="333">
                  <c:v>9.749965200309429</c:v>
                </c:pt>
                <c:pt idx="335">
                  <c:v>9.5142000071413655</c:v>
                </c:pt>
                <c:pt idx="337">
                  <c:v>9.2784348139733019</c:v>
                </c:pt>
                <c:pt idx="339">
                  <c:v>9.0426696208052384</c:v>
                </c:pt>
                <c:pt idx="341">
                  <c:v>8.8069044276371748</c:v>
                </c:pt>
                <c:pt idx="343">
                  <c:v>8.5711392344691113</c:v>
                </c:pt>
                <c:pt idx="345">
                  <c:v>8.3353740413010478</c:v>
                </c:pt>
                <c:pt idx="347">
                  <c:v>8.0996088481329842</c:v>
                </c:pt>
                <c:pt idx="349">
                  <c:v>7.8638436549649215</c:v>
                </c:pt>
                <c:pt idx="351">
                  <c:v>7.6280784617968589</c:v>
                </c:pt>
                <c:pt idx="353">
                  <c:v>7.3923132686287962</c:v>
                </c:pt>
                <c:pt idx="355">
                  <c:v>7.1565480754607336</c:v>
                </c:pt>
                <c:pt idx="357">
                  <c:v>6.9207828822926709</c:v>
                </c:pt>
                <c:pt idx="359">
                  <c:v>6.6850176891246083</c:v>
                </c:pt>
                <c:pt idx="361">
                  <c:v>6.4492524959565456</c:v>
                </c:pt>
                <c:pt idx="363">
                  <c:v>6.2134873027884829</c:v>
                </c:pt>
                <c:pt idx="365">
                  <c:v>5.9777221096204203</c:v>
                </c:pt>
                <c:pt idx="367">
                  <c:v>5.8053764078997254</c:v>
                </c:pt>
                <c:pt idx="371">
                  <c:v>5.7003512221138894</c:v>
                </c:pt>
                <c:pt idx="373">
                  <c:v>5.6673295554353009</c:v>
                </c:pt>
                <c:pt idx="375">
                  <c:v>5.6023428712459289</c:v>
                </c:pt>
                <c:pt idx="377">
                  <c:v>5.4042650664537089</c:v>
                </c:pt>
                <c:pt idx="379">
                  <c:v>5.2848761048767487</c:v>
                </c:pt>
                <c:pt idx="381">
                  <c:v>5.1947650969642662</c:v>
                </c:pt>
                <c:pt idx="383">
                  <c:v>5.13241506970712</c:v>
                </c:pt>
                <c:pt idx="385">
                  <c:v>4.9381040326129098</c:v>
                </c:pt>
                <c:pt idx="387">
                  <c:v>4.8746171427445768</c:v>
                </c:pt>
                <c:pt idx="389">
                  <c:v>4.9536262637044759</c:v>
                </c:pt>
                <c:pt idx="391">
                  <c:v>4.8196688965279009</c:v>
                </c:pt>
                <c:pt idx="393">
                  <c:v>4.7198309088727974</c:v>
                </c:pt>
                <c:pt idx="395">
                  <c:v>4.5242784514875432</c:v>
                </c:pt>
                <c:pt idx="397">
                  <c:v>4.4766565963219875</c:v>
                </c:pt>
                <c:pt idx="399">
                  <c:v>5.2867689066939692</c:v>
                </c:pt>
                <c:pt idx="401">
                  <c:v>5.2059303705603153</c:v>
                </c:pt>
                <c:pt idx="403">
                  <c:v>5.0738159163194574</c:v>
                </c:pt>
                <c:pt idx="405">
                  <c:v>4.8738303252523796</c:v>
                </c:pt>
                <c:pt idx="407">
                  <c:v>4.7729262061335094</c:v>
                </c:pt>
                <c:pt idx="409">
                  <c:v>4.7167746155123895</c:v>
                </c:pt>
                <c:pt idx="411">
                  <c:v>4.8038860626858435</c:v>
                </c:pt>
                <c:pt idx="413">
                  <c:v>5.0713612162829724</c:v>
                </c:pt>
                <c:pt idx="419">
                  <c:v>4.96975111644075</c:v>
                </c:pt>
                <c:pt idx="421">
                  <c:v>4.8269226017668494</c:v>
                </c:pt>
                <c:pt idx="423">
                  <c:v>4.6323737324519056</c:v>
                </c:pt>
                <c:pt idx="425">
                  <c:v>4.4236720361668667</c:v>
                </c:pt>
                <c:pt idx="427">
                  <c:v>4.2397769169886868</c:v>
                </c:pt>
                <c:pt idx="431">
                  <c:v>4.1236454498422512</c:v>
                </c:pt>
                <c:pt idx="435">
                  <c:v>4.2700081953762492</c:v>
                </c:pt>
                <c:pt idx="437">
                  <c:v>4.0921085297764401</c:v>
                </c:pt>
                <c:pt idx="439">
                  <c:v>4.0497591758112454</c:v>
                </c:pt>
                <c:pt idx="441">
                  <c:v>3.8809153170409352</c:v>
                </c:pt>
                <c:pt idx="443">
                  <c:v>3.9478013412027666</c:v>
                </c:pt>
                <c:pt idx="445">
                  <c:v>3.7971042977990463</c:v>
                </c:pt>
                <c:pt idx="447">
                  <c:v>3.6002662530872214</c:v>
                </c:pt>
                <c:pt idx="449">
                  <c:v>3.3922814359732913</c:v>
                </c:pt>
                <c:pt idx="451">
                  <c:v>3.2537648042558338</c:v>
                </c:pt>
                <c:pt idx="453">
                  <c:v>3.0469790594443613</c:v>
                </c:pt>
                <c:pt idx="455">
                  <c:v>2.8417841013724634</c:v>
                </c:pt>
                <c:pt idx="457">
                  <c:v>2.7144567232624945</c:v>
                </c:pt>
                <c:pt idx="467">
                  <c:v>2.6040668398256486</c:v>
                </c:pt>
                <c:pt idx="469">
                  <c:v>2.4084581880080536</c:v>
                </c:pt>
                <c:pt idx="471">
                  <c:v>2.2872704310058398</c:v>
                </c:pt>
                <c:pt idx="473">
                  <c:v>2.089912108982384</c:v>
                </c:pt>
                <c:pt idx="475">
                  <c:v>1.8672612006766773</c:v>
                </c:pt>
                <c:pt idx="481">
                  <c:v>1.6625955973250592</c:v>
                </c:pt>
                <c:pt idx="485">
                  <c:v>1.8020934493785365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B2-7F4B-A218-421A68FA7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874416"/>
        <c:axId val="1128957088"/>
      </c:scatterChart>
      <c:valAx>
        <c:axId val="1128874416"/>
        <c:scaling>
          <c:orientation val="minMax"/>
          <c:max val="45000"/>
          <c:min val="343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7088"/>
        <c:crosses val="autoZero"/>
        <c:crossBetween val="midCat"/>
        <c:majorUnit val="1462"/>
        <c:minorUnit val="730"/>
      </c:valAx>
      <c:valAx>
        <c:axId val="11289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But-fuco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'But-fuco update'!$B$4:$B$489</c:f>
              <c:numCache>
                <c:formatCode>[$-409]mmm\-yy;@</c:formatCode>
                <c:ptCount val="486"/>
                <c:pt idx="0">
                  <c:v>36446</c:v>
                </c:pt>
                <c:pt idx="1">
                  <c:v>36473</c:v>
                </c:pt>
                <c:pt idx="2">
                  <c:v>36473</c:v>
                </c:pt>
                <c:pt idx="3">
                  <c:v>36502</c:v>
                </c:pt>
                <c:pt idx="4">
                  <c:v>36502</c:v>
                </c:pt>
                <c:pt idx="5">
                  <c:v>36531</c:v>
                </c:pt>
                <c:pt idx="6">
                  <c:v>36531</c:v>
                </c:pt>
                <c:pt idx="7">
                  <c:v>36578</c:v>
                </c:pt>
                <c:pt idx="8">
                  <c:v>36578</c:v>
                </c:pt>
                <c:pt idx="9">
                  <c:v>36599</c:v>
                </c:pt>
                <c:pt idx="10">
                  <c:v>36599</c:v>
                </c:pt>
                <c:pt idx="11">
                  <c:v>36626</c:v>
                </c:pt>
                <c:pt idx="12">
                  <c:v>36626</c:v>
                </c:pt>
                <c:pt idx="13">
                  <c:v>36663</c:v>
                </c:pt>
                <c:pt idx="14">
                  <c:v>36663</c:v>
                </c:pt>
                <c:pt idx="15">
                  <c:v>36692</c:v>
                </c:pt>
                <c:pt idx="16">
                  <c:v>36692</c:v>
                </c:pt>
                <c:pt idx="17">
                  <c:v>36719</c:v>
                </c:pt>
                <c:pt idx="18">
                  <c:v>36719</c:v>
                </c:pt>
                <c:pt idx="19">
                  <c:v>36755</c:v>
                </c:pt>
                <c:pt idx="20">
                  <c:v>36755</c:v>
                </c:pt>
                <c:pt idx="21">
                  <c:v>36783</c:v>
                </c:pt>
                <c:pt idx="22">
                  <c:v>36783</c:v>
                </c:pt>
                <c:pt idx="23">
                  <c:v>36815</c:v>
                </c:pt>
                <c:pt idx="24">
                  <c:v>36815</c:v>
                </c:pt>
                <c:pt idx="25">
                  <c:v>36846</c:v>
                </c:pt>
                <c:pt idx="26">
                  <c:v>36846</c:v>
                </c:pt>
                <c:pt idx="27">
                  <c:v>36873</c:v>
                </c:pt>
                <c:pt idx="28">
                  <c:v>36873</c:v>
                </c:pt>
                <c:pt idx="29">
                  <c:v>36902</c:v>
                </c:pt>
                <c:pt idx="30">
                  <c:v>36902</c:v>
                </c:pt>
                <c:pt idx="31">
                  <c:v>36929</c:v>
                </c:pt>
                <c:pt idx="32">
                  <c:v>36929</c:v>
                </c:pt>
                <c:pt idx="33">
                  <c:v>36962</c:v>
                </c:pt>
                <c:pt idx="34">
                  <c:v>36962</c:v>
                </c:pt>
                <c:pt idx="35">
                  <c:v>36998</c:v>
                </c:pt>
                <c:pt idx="36">
                  <c:v>36998</c:v>
                </c:pt>
                <c:pt idx="37">
                  <c:v>37025</c:v>
                </c:pt>
                <c:pt idx="38">
                  <c:v>37025</c:v>
                </c:pt>
                <c:pt idx="39">
                  <c:v>37054</c:v>
                </c:pt>
                <c:pt idx="40">
                  <c:v>37054</c:v>
                </c:pt>
                <c:pt idx="41">
                  <c:v>37090</c:v>
                </c:pt>
                <c:pt idx="42">
                  <c:v>37090</c:v>
                </c:pt>
                <c:pt idx="43">
                  <c:v>37117</c:v>
                </c:pt>
                <c:pt idx="44">
                  <c:v>37117</c:v>
                </c:pt>
                <c:pt idx="45">
                  <c:v>37145</c:v>
                </c:pt>
                <c:pt idx="46">
                  <c:v>37145</c:v>
                </c:pt>
                <c:pt idx="47">
                  <c:v>37182</c:v>
                </c:pt>
                <c:pt idx="48">
                  <c:v>37182</c:v>
                </c:pt>
                <c:pt idx="49">
                  <c:v>37202</c:v>
                </c:pt>
                <c:pt idx="50">
                  <c:v>37202</c:v>
                </c:pt>
                <c:pt idx="51">
                  <c:v>37230</c:v>
                </c:pt>
                <c:pt idx="52">
                  <c:v>37230</c:v>
                </c:pt>
                <c:pt idx="53">
                  <c:v>37272</c:v>
                </c:pt>
                <c:pt idx="54">
                  <c:v>37272</c:v>
                </c:pt>
                <c:pt idx="55">
                  <c:v>37301</c:v>
                </c:pt>
                <c:pt idx="56">
                  <c:v>37301</c:v>
                </c:pt>
                <c:pt idx="57">
                  <c:v>37336</c:v>
                </c:pt>
                <c:pt idx="58">
                  <c:v>37336</c:v>
                </c:pt>
                <c:pt idx="59">
                  <c:v>37363</c:v>
                </c:pt>
                <c:pt idx="60">
                  <c:v>37363</c:v>
                </c:pt>
                <c:pt idx="61">
                  <c:v>37391</c:v>
                </c:pt>
                <c:pt idx="62">
                  <c:v>37391</c:v>
                </c:pt>
                <c:pt idx="63">
                  <c:v>37420</c:v>
                </c:pt>
                <c:pt idx="64">
                  <c:v>37420</c:v>
                </c:pt>
                <c:pt idx="65">
                  <c:v>37453</c:v>
                </c:pt>
                <c:pt idx="66">
                  <c:v>37453</c:v>
                </c:pt>
                <c:pt idx="67">
                  <c:v>37481</c:v>
                </c:pt>
                <c:pt idx="68">
                  <c:v>37481</c:v>
                </c:pt>
                <c:pt idx="69">
                  <c:v>37518</c:v>
                </c:pt>
                <c:pt idx="70">
                  <c:v>37518</c:v>
                </c:pt>
                <c:pt idx="71">
                  <c:v>37546</c:v>
                </c:pt>
                <c:pt idx="72">
                  <c:v>37546</c:v>
                </c:pt>
                <c:pt idx="73">
                  <c:v>37574</c:v>
                </c:pt>
                <c:pt idx="74">
                  <c:v>37574</c:v>
                </c:pt>
                <c:pt idx="75">
                  <c:v>37608</c:v>
                </c:pt>
                <c:pt idx="76">
                  <c:v>37608</c:v>
                </c:pt>
                <c:pt idx="77">
                  <c:v>37636</c:v>
                </c:pt>
                <c:pt idx="78">
                  <c:v>37636</c:v>
                </c:pt>
                <c:pt idx="79">
                  <c:v>37663</c:v>
                </c:pt>
                <c:pt idx="80">
                  <c:v>37663</c:v>
                </c:pt>
                <c:pt idx="81">
                  <c:v>37691</c:v>
                </c:pt>
                <c:pt idx="82">
                  <c:v>37691</c:v>
                </c:pt>
                <c:pt idx="83">
                  <c:v>37727</c:v>
                </c:pt>
                <c:pt idx="84">
                  <c:v>37727</c:v>
                </c:pt>
                <c:pt idx="85">
                  <c:v>37756</c:v>
                </c:pt>
                <c:pt idx="86">
                  <c:v>37756</c:v>
                </c:pt>
                <c:pt idx="87">
                  <c:v>37790</c:v>
                </c:pt>
                <c:pt idx="88">
                  <c:v>37790</c:v>
                </c:pt>
                <c:pt idx="89">
                  <c:v>37818</c:v>
                </c:pt>
                <c:pt idx="90">
                  <c:v>37818</c:v>
                </c:pt>
                <c:pt idx="91">
                  <c:v>37846</c:v>
                </c:pt>
                <c:pt idx="92">
                  <c:v>37846</c:v>
                </c:pt>
                <c:pt idx="93">
                  <c:v>37886</c:v>
                </c:pt>
                <c:pt idx="94">
                  <c:v>37886</c:v>
                </c:pt>
                <c:pt idx="95">
                  <c:v>37910</c:v>
                </c:pt>
                <c:pt idx="96">
                  <c:v>37910</c:v>
                </c:pt>
                <c:pt idx="97">
                  <c:v>37942</c:v>
                </c:pt>
                <c:pt idx="98">
                  <c:v>37942</c:v>
                </c:pt>
                <c:pt idx="99">
                  <c:v>37971</c:v>
                </c:pt>
                <c:pt idx="100">
                  <c:v>37971</c:v>
                </c:pt>
                <c:pt idx="101">
                  <c:v>37998</c:v>
                </c:pt>
                <c:pt idx="102">
                  <c:v>37998</c:v>
                </c:pt>
                <c:pt idx="103">
                  <c:v>38026</c:v>
                </c:pt>
                <c:pt idx="104">
                  <c:v>38026</c:v>
                </c:pt>
                <c:pt idx="105">
                  <c:v>38061</c:v>
                </c:pt>
                <c:pt idx="106">
                  <c:v>38061</c:v>
                </c:pt>
                <c:pt idx="107">
                  <c:v>38093</c:v>
                </c:pt>
                <c:pt idx="108">
                  <c:v>38093</c:v>
                </c:pt>
                <c:pt idx="109">
                  <c:v>38117</c:v>
                </c:pt>
                <c:pt idx="110">
                  <c:v>38117</c:v>
                </c:pt>
                <c:pt idx="111">
                  <c:v>38160</c:v>
                </c:pt>
                <c:pt idx="112">
                  <c:v>38160</c:v>
                </c:pt>
                <c:pt idx="113">
                  <c:v>38182</c:v>
                </c:pt>
                <c:pt idx="114">
                  <c:v>38183</c:v>
                </c:pt>
                <c:pt idx="115">
                  <c:v>38218</c:v>
                </c:pt>
                <c:pt idx="116">
                  <c:v>38218</c:v>
                </c:pt>
                <c:pt idx="117">
                  <c:v>38246</c:v>
                </c:pt>
                <c:pt idx="118">
                  <c:v>38246</c:v>
                </c:pt>
                <c:pt idx="119">
                  <c:v>38274</c:v>
                </c:pt>
                <c:pt idx="120">
                  <c:v>38274</c:v>
                </c:pt>
                <c:pt idx="121">
                  <c:v>38309</c:v>
                </c:pt>
                <c:pt idx="122">
                  <c:v>38309</c:v>
                </c:pt>
                <c:pt idx="123">
                  <c:v>38337</c:v>
                </c:pt>
                <c:pt idx="124">
                  <c:v>38337</c:v>
                </c:pt>
                <c:pt idx="125">
                  <c:v>38364</c:v>
                </c:pt>
                <c:pt idx="126">
                  <c:v>38364</c:v>
                </c:pt>
                <c:pt idx="127">
                  <c:v>38398</c:v>
                </c:pt>
                <c:pt idx="128">
                  <c:v>38398</c:v>
                </c:pt>
                <c:pt idx="129">
                  <c:v>38427</c:v>
                </c:pt>
                <c:pt idx="130">
                  <c:v>38427</c:v>
                </c:pt>
                <c:pt idx="131">
                  <c:v>38470</c:v>
                </c:pt>
                <c:pt idx="132">
                  <c:v>38470</c:v>
                </c:pt>
                <c:pt idx="133">
                  <c:v>38488</c:v>
                </c:pt>
                <c:pt idx="134">
                  <c:v>38488</c:v>
                </c:pt>
                <c:pt idx="135">
                  <c:v>38525</c:v>
                </c:pt>
                <c:pt idx="136">
                  <c:v>38525</c:v>
                </c:pt>
                <c:pt idx="137">
                  <c:v>38546</c:v>
                </c:pt>
                <c:pt idx="138">
                  <c:v>38546</c:v>
                </c:pt>
                <c:pt idx="139">
                  <c:v>38594</c:v>
                </c:pt>
                <c:pt idx="140">
                  <c:v>38594</c:v>
                </c:pt>
                <c:pt idx="141">
                  <c:v>38609</c:v>
                </c:pt>
                <c:pt idx="142">
                  <c:v>38609</c:v>
                </c:pt>
                <c:pt idx="143">
                  <c:v>38643</c:v>
                </c:pt>
                <c:pt idx="144">
                  <c:v>38643</c:v>
                </c:pt>
                <c:pt idx="145">
                  <c:v>38670</c:v>
                </c:pt>
                <c:pt idx="146">
                  <c:v>38670</c:v>
                </c:pt>
                <c:pt idx="147">
                  <c:v>38706</c:v>
                </c:pt>
                <c:pt idx="148">
                  <c:v>38706</c:v>
                </c:pt>
                <c:pt idx="149">
                  <c:v>38737</c:v>
                </c:pt>
                <c:pt idx="150">
                  <c:v>38737</c:v>
                </c:pt>
                <c:pt idx="151">
                  <c:v>38763</c:v>
                </c:pt>
                <c:pt idx="152">
                  <c:v>38763</c:v>
                </c:pt>
                <c:pt idx="153">
                  <c:v>38792</c:v>
                </c:pt>
                <c:pt idx="154">
                  <c:v>38792</c:v>
                </c:pt>
                <c:pt idx="155">
                  <c:v>38826</c:v>
                </c:pt>
                <c:pt idx="156">
                  <c:v>38826</c:v>
                </c:pt>
                <c:pt idx="157">
                  <c:v>38853</c:v>
                </c:pt>
                <c:pt idx="158">
                  <c:v>38853</c:v>
                </c:pt>
                <c:pt idx="159">
                  <c:v>38884</c:v>
                </c:pt>
                <c:pt idx="160">
                  <c:v>38884</c:v>
                </c:pt>
                <c:pt idx="161">
                  <c:v>38915</c:v>
                </c:pt>
                <c:pt idx="162">
                  <c:v>38915</c:v>
                </c:pt>
                <c:pt idx="163">
                  <c:v>38952</c:v>
                </c:pt>
                <c:pt idx="164">
                  <c:v>38952</c:v>
                </c:pt>
                <c:pt idx="165">
                  <c:v>38975</c:v>
                </c:pt>
                <c:pt idx="166">
                  <c:v>38975</c:v>
                </c:pt>
                <c:pt idx="167">
                  <c:v>39006</c:v>
                </c:pt>
                <c:pt idx="168">
                  <c:v>39006</c:v>
                </c:pt>
                <c:pt idx="169">
                  <c:v>39041</c:v>
                </c:pt>
                <c:pt idx="170">
                  <c:v>39041</c:v>
                </c:pt>
                <c:pt idx="171">
                  <c:v>39062</c:v>
                </c:pt>
                <c:pt idx="172">
                  <c:v>39062</c:v>
                </c:pt>
                <c:pt idx="173">
                  <c:v>39100</c:v>
                </c:pt>
                <c:pt idx="174">
                  <c:v>39100</c:v>
                </c:pt>
                <c:pt idx="175">
                  <c:v>39135</c:v>
                </c:pt>
                <c:pt idx="176">
                  <c:v>39135</c:v>
                </c:pt>
                <c:pt idx="177">
                  <c:v>39153</c:v>
                </c:pt>
                <c:pt idx="178">
                  <c:v>39153</c:v>
                </c:pt>
                <c:pt idx="179">
                  <c:v>39191</c:v>
                </c:pt>
                <c:pt idx="180">
                  <c:v>39191</c:v>
                </c:pt>
                <c:pt idx="181">
                  <c:v>39216</c:v>
                </c:pt>
                <c:pt idx="182">
                  <c:v>39216</c:v>
                </c:pt>
                <c:pt idx="183">
                  <c:v>39248</c:v>
                </c:pt>
                <c:pt idx="184">
                  <c:v>39248</c:v>
                </c:pt>
                <c:pt idx="185">
                  <c:v>39279</c:v>
                </c:pt>
                <c:pt idx="186">
                  <c:v>39279</c:v>
                </c:pt>
                <c:pt idx="187">
                  <c:v>39308</c:v>
                </c:pt>
                <c:pt idx="188">
                  <c:v>39308</c:v>
                </c:pt>
                <c:pt idx="189">
                  <c:v>39335</c:v>
                </c:pt>
                <c:pt idx="190">
                  <c:v>39335</c:v>
                </c:pt>
                <c:pt idx="191">
                  <c:v>39370</c:v>
                </c:pt>
                <c:pt idx="192">
                  <c:v>39370</c:v>
                </c:pt>
                <c:pt idx="193">
                  <c:v>39400</c:v>
                </c:pt>
                <c:pt idx="194">
                  <c:v>39400</c:v>
                </c:pt>
                <c:pt idx="195">
                  <c:v>39434</c:v>
                </c:pt>
                <c:pt idx="196">
                  <c:v>39434</c:v>
                </c:pt>
                <c:pt idx="197">
                  <c:v>39463</c:v>
                </c:pt>
                <c:pt idx="198">
                  <c:v>39463</c:v>
                </c:pt>
                <c:pt idx="199">
                  <c:v>39493</c:v>
                </c:pt>
                <c:pt idx="200">
                  <c:v>39493</c:v>
                </c:pt>
                <c:pt idx="201">
                  <c:v>39517</c:v>
                </c:pt>
                <c:pt idx="202">
                  <c:v>39517</c:v>
                </c:pt>
                <c:pt idx="203">
                  <c:v>39552</c:v>
                </c:pt>
                <c:pt idx="204">
                  <c:v>39552</c:v>
                </c:pt>
                <c:pt idx="205">
                  <c:v>39583</c:v>
                </c:pt>
                <c:pt idx="206">
                  <c:v>39583</c:v>
                </c:pt>
                <c:pt idx="207">
                  <c:v>39617</c:v>
                </c:pt>
                <c:pt idx="208">
                  <c:v>39617</c:v>
                </c:pt>
                <c:pt idx="209">
                  <c:v>39645</c:v>
                </c:pt>
                <c:pt idx="210">
                  <c:v>39645</c:v>
                </c:pt>
                <c:pt idx="211">
                  <c:v>39672</c:v>
                </c:pt>
                <c:pt idx="212">
                  <c:v>39672</c:v>
                </c:pt>
                <c:pt idx="213">
                  <c:v>39709</c:v>
                </c:pt>
                <c:pt idx="214">
                  <c:v>39709</c:v>
                </c:pt>
                <c:pt idx="215">
                  <c:v>39735</c:v>
                </c:pt>
                <c:pt idx="216">
                  <c:v>39735</c:v>
                </c:pt>
                <c:pt idx="217">
                  <c:v>39769</c:v>
                </c:pt>
                <c:pt idx="218">
                  <c:v>39769</c:v>
                </c:pt>
                <c:pt idx="219">
                  <c:v>39797</c:v>
                </c:pt>
                <c:pt idx="220">
                  <c:v>39797</c:v>
                </c:pt>
                <c:pt idx="221">
                  <c:v>39826</c:v>
                </c:pt>
                <c:pt idx="222">
                  <c:v>39826</c:v>
                </c:pt>
                <c:pt idx="223">
                  <c:v>39861</c:v>
                </c:pt>
                <c:pt idx="224">
                  <c:v>39861</c:v>
                </c:pt>
                <c:pt idx="225">
                  <c:v>39888</c:v>
                </c:pt>
                <c:pt idx="226">
                  <c:v>39888</c:v>
                </c:pt>
                <c:pt idx="227">
                  <c:v>39916</c:v>
                </c:pt>
                <c:pt idx="228">
                  <c:v>39916</c:v>
                </c:pt>
                <c:pt idx="229">
                  <c:v>39946</c:v>
                </c:pt>
                <c:pt idx="230">
                  <c:v>39946</c:v>
                </c:pt>
                <c:pt idx="231">
                  <c:v>39983</c:v>
                </c:pt>
                <c:pt idx="232">
                  <c:v>39983</c:v>
                </c:pt>
                <c:pt idx="233">
                  <c:v>40007</c:v>
                </c:pt>
                <c:pt idx="234">
                  <c:v>40007</c:v>
                </c:pt>
                <c:pt idx="235">
                  <c:v>40042</c:v>
                </c:pt>
                <c:pt idx="236">
                  <c:v>40042</c:v>
                </c:pt>
                <c:pt idx="237">
                  <c:v>40071</c:v>
                </c:pt>
                <c:pt idx="238">
                  <c:v>40071</c:v>
                </c:pt>
                <c:pt idx="239">
                  <c:v>40100</c:v>
                </c:pt>
                <c:pt idx="240">
                  <c:v>40100</c:v>
                </c:pt>
                <c:pt idx="241">
                  <c:v>40133</c:v>
                </c:pt>
                <c:pt idx="242">
                  <c:v>40133</c:v>
                </c:pt>
                <c:pt idx="243">
                  <c:v>40161</c:v>
                </c:pt>
                <c:pt idx="244">
                  <c:v>40161</c:v>
                </c:pt>
                <c:pt idx="245">
                  <c:v>40197</c:v>
                </c:pt>
                <c:pt idx="246">
                  <c:v>40197</c:v>
                </c:pt>
                <c:pt idx="247">
                  <c:v>40225</c:v>
                </c:pt>
                <c:pt idx="248">
                  <c:v>40225</c:v>
                </c:pt>
                <c:pt idx="249">
                  <c:v>40255</c:v>
                </c:pt>
                <c:pt idx="250">
                  <c:v>40255</c:v>
                </c:pt>
                <c:pt idx="251">
                  <c:v>40281</c:v>
                </c:pt>
                <c:pt idx="252">
                  <c:v>40281</c:v>
                </c:pt>
                <c:pt idx="253">
                  <c:v>40317</c:v>
                </c:pt>
                <c:pt idx="254">
                  <c:v>40317</c:v>
                </c:pt>
                <c:pt idx="255">
                  <c:v>40345</c:v>
                </c:pt>
                <c:pt idx="256">
                  <c:v>40345</c:v>
                </c:pt>
                <c:pt idx="257">
                  <c:v>40373</c:v>
                </c:pt>
                <c:pt idx="258">
                  <c:v>40373</c:v>
                </c:pt>
                <c:pt idx="259">
                  <c:v>40409</c:v>
                </c:pt>
                <c:pt idx="260">
                  <c:v>40409</c:v>
                </c:pt>
                <c:pt idx="261">
                  <c:v>40434</c:v>
                </c:pt>
                <c:pt idx="262">
                  <c:v>40434</c:v>
                </c:pt>
                <c:pt idx="263">
                  <c:v>40463</c:v>
                </c:pt>
                <c:pt idx="264">
                  <c:v>40463</c:v>
                </c:pt>
                <c:pt idx="265">
                  <c:v>40500</c:v>
                </c:pt>
                <c:pt idx="266">
                  <c:v>40500</c:v>
                </c:pt>
                <c:pt idx="267">
                  <c:v>40521</c:v>
                </c:pt>
                <c:pt idx="268">
                  <c:v>40521</c:v>
                </c:pt>
                <c:pt idx="269">
                  <c:v>40563</c:v>
                </c:pt>
                <c:pt idx="270">
                  <c:v>40563</c:v>
                </c:pt>
                <c:pt idx="271">
                  <c:v>40598</c:v>
                </c:pt>
                <c:pt idx="272">
                  <c:v>40598</c:v>
                </c:pt>
                <c:pt idx="273">
                  <c:v>40617</c:v>
                </c:pt>
                <c:pt idx="274">
                  <c:v>40617</c:v>
                </c:pt>
                <c:pt idx="275">
                  <c:v>40647</c:v>
                </c:pt>
                <c:pt idx="276">
                  <c:v>40647</c:v>
                </c:pt>
                <c:pt idx="277">
                  <c:v>40682</c:v>
                </c:pt>
                <c:pt idx="278">
                  <c:v>40682</c:v>
                </c:pt>
                <c:pt idx="279">
                  <c:v>40709</c:v>
                </c:pt>
                <c:pt idx="280">
                  <c:v>40709</c:v>
                </c:pt>
                <c:pt idx="281">
                  <c:v>40736</c:v>
                </c:pt>
                <c:pt idx="282">
                  <c:v>40736</c:v>
                </c:pt>
                <c:pt idx="283">
                  <c:v>40772</c:v>
                </c:pt>
                <c:pt idx="284">
                  <c:v>40772</c:v>
                </c:pt>
                <c:pt idx="285">
                  <c:v>40798</c:v>
                </c:pt>
                <c:pt idx="286">
                  <c:v>40798</c:v>
                </c:pt>
                <c:pt idx="287">
                  <c:v>40829</c:v>
                </c:pt>
                <c:pt idx="288">
                  <c:v>40829</c:v>
                </c:pt>
                <c:pt idx="289">
                  <c:v>40877</c:v>
                </c:pt>
                <c:pt idx="290">
                  <c:v>40877</c:v>
                </c:pt>
                <c:pt idx="291">
                  <c:v>40891</c:v>
                </c:pt>
                <c:pt idx="292">
                  <c:v>40891</c:v>
                </c:pt>
                <c:pt idx="293">
                  <c:v>40919</c:v>
                </c:pt>
                <c:pt idx="294">
                  <c:v>40919</c:v>
                </c:pt>
                <c:pt idx="295">
                  <c:v>40960</c:v>
                </c:pt>
                <c:pt idx="296">
                  <c:v>40960</c:v>
                </c:pt>
                <c:pt idx="297">
                  <c:v>40982</c:v>
                </c:pt>
                <c:pt idx="298">
                  <c:v>40982</c:v>
                </c:pt>
                <c:pt idx="299">
                  <c:v>41016</c:v>
                </c:pt>
                <c:pt idx="300">
                  <c:v>41016</c:v>
                </c:pt>
                <c:pt idx="301">
                  <c:v>41051</c:v>
                </c:pt>
                <c:pt idx="302">
                  <c:v>41051</c:v>
                </c:pt>
                <c:pt idx="303">
                  <c:v>41080</c:v>
                </c:pt>
                <c:pt idx="304">
                  <c:v>41080</c:v>
                </c:pt>
                <c:pt idx="305">
                  <c:v>41106</c:v>
                </c:pt>
                <c:pt idx="306">
                  <c:v>41106</c:v>
                </c:pt>
                <c:pt idx="307">
                  <c:v>41137</c:v>
                </c:pt>
                <c:pt idx="308">
                  <c:v>41137</c:v>
                </c:pt>
                <c:pt idx="309">
                  <c:v>41163</c:v>
                </c:pt>
                <c:pt idx="310">
                  <c:v>41163</c:v>
                </c:pt>
                <c:pt idx="311">
                  <c:v>41199</c:v>
                </c:pt>
                <c:pt idx="312">
                  <c:v>41199</c:v>
                </c:pt>
                <c:pt idx="313">
                  <c:v>41225</c:v>
                </c:pt>
                <c:pt idx="314">
                  <c:v>41225</c:v>
                </c:pt>
                <c:pt idx="315">
                  <c:v>41255</c:v>
                </c:pt>
                <c:pt idx="316">
                  <c:v>41255</c:v>
                </c:pt>
                <c:pt idx="317">
                  <c:v>41297</c:v>
                </c:pt>
                <c:pt idx="318">
                  <c:v>41297</c:v>
                </c:pt>
                <c:pt idx="319">
                  <c:v>41319</c:v>
                </c:pt>
                <c:pt idx="320">
                  <c:v>41319</c:v>
                </c:pt>
                <c:pt idx="321">
                  <c:v>41346</c:v>
                </c:pt>
                <c:pt idx="322">
                  <c:v>41346</c:v>
                </c:pt>
                <c:pt idx="323">
                  <c:v>41380</c:v>
                </c:pt>
                <c:pt idx="324">
                  <c:v>41380</c:v>
                </c:pt>
                <c:pt idx="325">
                  <c:v>41380</c:v>
                </c:pt>
                <c:pt idx="326">
                  <c:v>41407</c:v>
                </c:pt>
                <c:pt idx="327">
                  <c:v>41407</c:v>
                </c:pt>
                <c:pt idx="328">
                  <c:v>41437</c:v>
                </c:pt>
                <c:pt idx="329">
                  <c:v>41437</c:v>
                </c:pt>
                <c:pt idx="330">
                  <c:v>41470</c:v>
                </c:pt>
                <c:pt idx="331">
                  <c:v>41470</c:v>
                </c:pt>
                <c:pt idx="332">
                  <c:v>41498</c:v>
                </c:pt>
                <c:pt idx="333">
                  <c:v>41498</c:v>
                </c:pt>
                <c:pt idx="334">
                  <c:v>41535</c:v>
                </c:pt>
                <c:pt idx="335">
                  <c:v>41535</c:v>
                </c:pt>
                <c:pt idx="336">
                  <c:v>406810</c:v>
                </c:pt>
                <c:pt idx="337">
                  <c:v>406810</c:v>
                </c:pt>
                <c:pt idx="338">
                  <c:v>41599</c:v>
                </c:pt>
                <c:pt idx="339">
                  <c:v>41599</c:v>
                </c:pt>
                <c:pt idx="340">
                  <c:v>41627</c:v>
                </c:pt>
                <c:pt idx="341">
                  <c:v>41627</c:v>
                </c:pt>
                <c:pt idx="342">
                  <c:v>41655</c:v>
                </c:pt>
                <c:pt idx="343">
                  <c:v>41655</c:v>
                </c:pt>
                <c:pt idx="344">
                  <c:v>41690</c:v>
                </c:pt>
                <c:pt idx="345">
                  <c:v>41690</c:v>
                </c:pt>
                <c:pt idx="346">
                  <c:v>41718</c:v>
                </c:pt>
                <c:pt idx="347">
                  <c:v>41718</c:v>
                </c:pt>
                <c:pt idx="348">
                  <c:v>41750</c:v>
                </c:pt>
                <c:pt idx="349">
                  <c:v>41750</c:v>
                </c:pt>
                <c:pt idx="350">
                  <c:v>41406</c:v>
                </c:pt>
                <c:pt idx="351">
                  <c:v>41406</c:v>
                </c:pt>
                <c:pt idx="352">
                  <c:v>41807</c:v>
                </c:pt>
                <c:pt idx="353">
                  <c:v>41807</c:v>
                </c:pt>
                <c:pt idx="354">
                  <c:v>41837</c:v>
                </c:pt>
                <c:pt idx="355">
                  <c:v>41837</c:v>
                </c:pt>
                <c:pt idx="356">
                  <c:v>41862</c:v>
                </c:pt>
                <c:pt idx="357">
                  <c:v>41862</c:v>
                </c:pt>
                <c:pt idx="358">
                  <c:v>41897</c:v>
                </c:pt>
                <c:pt idx="359">
                  <c:v>41897</c:v>
                </c:pt>
                <c:pt idx="360">
                  <c:v>41928</c:v>
                </c:pt>
                <c:pt idx="361">
                  <c:v>41928</c:v>
                </c:pt>
                <c:pt idx="362">
                  <c:v>41955</c:v>
                </c:pt>
                <c:pt idx="363">
                  <c:v>41955</c:v>
                </c:pt>
                <c:pt idx="364">
                  <c:v>41992</c:v>
                </c:pt>
                <c:pt idx="365">
                  <c:v>41992</c:v>
                </c:pt>
                <c:pt idx="366">
                  <c:v>42014</c:v>
                </c:pt>
                <c:pt idx="367">
                  <c:v>42009</c:v>
                </c:pt>
                <c:pt idx="368">
                  <c:v>42036</c:v>
                </c:pt>
                <c:pt idx="369">
                  <c:v>42036</c:v>
                </c:pt>
                <c:pt idx="370">
                  <c:v>42064</c:v>
                </c:pt>
                <c:pt idx="371">
                  <c:v>42064</c:v>
                </c:pt>
                <c:pt idx="372">
                  <c:v>42095</c:v>
                </c:pt>
                <c:pt idx="373">
                  <c:v>42095</c:v>
                </c:pt>
                <c:pt idx="374">
                  <c:v>42125</c:v>
                </c:pt>
                <c:pt idx="375">
                  <c:v>42125</c:v>
                </c:pt>
                <c:pt idx="376">
                  <c:v>42156</c:v>
                </c:pt>
                <c:pt idx="377">
                  <c:v>42156</c:v>
                </c:pt>
                <c:pt idx="378">
                  <c:v>42186</c:v>
                </c:pt>
                <c:pt idx="379">
                  <c:v>42186</c:v>
                </c:pt>
                <c:pt idx="380">
                  <c:v>42217</c:v>
                </c:pt>
                <c:pt idx="381">
                  <c:v>42217</c:v>
                </c:pt>
                <c:pt idx="382">
                  <c:v>42248</c:v>
                </c:pt>
                <c:pt idx="383">
                  <c:v>42248</c:v>
                </c:pt>
                <c:pt idx="384">
                  <c:v>42278</c:v>
                </c:pt>
                <c:pt idx="385">
                  <c:v>42278</c:v>
                </c:pt>
                <c:pt idx="386">
                  <c:v>42309</c:v>
                </c:pt>
                <c:pt idx="387">
                  <c:v>42309</c:v>
                </c:pt>
                <c:pt idx="388">
                  <c:v>42339</c:v>
                </c:pt>
                <c:pt idx="389">
                  <c:v>42339</c:v>
                </c:pt>
                <c:pt idx="390">
                  <c:v>42379</c:v>
                </c:pt>
                <c:pt idx="391">
                  <c:v>42374</c:v>
                </c:pt>
                <c:pt idx="392">
                  <c:v>42401</c:v>
                </c:pt>
                <c:pt idx="393">
                  <c:v>42401</c:v>
                </c:pt>
                <c:pt idx="394">
                  <c:v>42430</c:v>
                </c:pt>
                <c:pt idx="395">
                  <c:v>42430</c:v>
                </c:pt>
                <c:pt idx="396">
                  <c:v>42461</c:v>
                </c:pt>
                <c:pt idx="397">
                  <c:v>42461</c:v>
                </c:pt>
                <c:pt idx="398">
                  <c:v>42491</c:v>
                </c:pt>
                <c:pt idx="399">
                  <c:v>42491</c:v>
                </c:pt>
                <c:pt idx="400">
                  <c:v>42522</c:v>
                </c:pt>
                <c:pt idx="401">
                  <c:v>42522</c:v>
                </c:pt>
                <c:pt idx="402">
                  <c:v>42552</c:v>
                </c:pt>
                <c:pt idx="403">
                  <c:v>42552</c:v>
                </c:pt>
                <c:pt idx="404">
                  <c:v>42583</c:v>
                </c:pt>
                <c:pt idx="405">
                  <c:v>42583</c:v>
                </c:pt>
                <c:pt idx="406">
                  <c:v>42614</c:v>
                </c:pt>
                <c:pt idx="407">
                  <c:v>42614</c:v>
                </c:pt>
                <c:pt idx="408">
                  <c:v>42644</c:v>
                </c:pt>
                <c:pt idx="409">
                  <c:v>42644</c:v>
                </c:pt>
                <c:pt idx="410">
                  <c:v>42675</c:v>
                </c:pt>
                <c:pt idx="411">
                  <c:v>42675</c:v>
                </c:pt>
                <c:pt idx="412">
                  <c:v>42705</c:v>
                </c:pt>
                <c:pt idx="413">
                  <c:v>42705</c:v>
                </c:pt>
                <c:pt idx="414">
                  <c:v>42745</c:v>
                </c:pt>
                <c:pt idx="415">
                  <c:v>42740</c:v>
                </c:pt>
                <c:pt idx="416">
                  <c:v>42767</c:v>
                </c:pt>
                <c:pt idx="417">
                  <c:v>42767</c:v>
                </c:pt>
                <c:pt idx="418">
                  <c:v>42795</c:v>
                </c:pt>
                <c:pt idx="419">
                  <c:v>42795</c:v>
                </c:pt>
                <c:pt idx="420">
                  <c:v>42826</c:v>
                </c:pt>
                <c:pt idx="421">
                  <c:v>42826</c:v>
                </c:pt>
                <c:pt idx="422">
                  <c:v>42856</c:v>
                </c:pt>
                <c:pt idx="423">
                  <c:v>42856</c:v>
                </c:pt>
                <c:pt idx="424">
                  <c:v>42887</c:v>
                </c:pt>
                <c:pt idx="425">
                  <c:v>42887</c:v>
                </c:pt>
                <c:pt idx="426">
                  <c:v>42917</c:v>
                </c:pt>
                <c:pt idx="427">
                  <c:v>42917</c:v>
                </c:pt>
                <c:pt idx="428">
                  <c:v>42948</c:v>
                </c:pt>
                <c:pt idx="429">
                  <c:v>42948</c:v>
                </c:pt>
                <c:pt idx="430">
                  <c:v>42979</c:v>
                </c:pt>
                <c:pt idx="431">
                  <c:v>42979</c:v>
                </c:pt>
                <c:pt idx="432">
                  <c:v>43009</c:v>
                </c:pt>
                <c:pt idx="433">
                  <c:v>43009</c:v>
                </c:pt>
                <c:pt idx="434">
                  <c:v>43040</c:v>
                </c:pt>
                <c:pt idx="435">
                  <c:v>43040</c:v>
                </c:pt>
                <c:pt idx="436">
                  <c:v>43070</c:v>
                </c:pt>
                <c:pt idx="437">
                  <c:v>43070</c:v>
                </c:pt>
                <c:pt idx="438">
                  <c:v>43110</c:v>
                </c:pt>
                <c:pt idx="439">
                  <c:v>43105</c:v>
                </c:pt>
                <c:pt idx="440">
                  <c:v>43132</c:v>
                </c:pt>
                <c:pt idx="441">
                  <c:v>43132</c:v>
                </c:pt>
                <c:pt idx="442">
                  <c:v>43160</c:v>
                </c:pt>
                <c:pt idx="443">
                  <c:v>43160</c:v>
                </c:pt>
                <c:pt idx="444">
                  <c:v>43191</c:v>
                </c:pt>
                <c:pt idx="445">
                  <c:v>43191</c:v>
                </c:pt>
                <c:pt idx="446">
                  <c:v>43221</c:v>
                </c:pt>
                <c:pt idx="447">
                  <c:v>43221</c:v>
                </c:pt>
                <c:pt idx="448">
                  <c:v>43252</c:v>
                </c:pt>
                <c:pt idx="449">
                  <c:v>43252</c:v>
                </c:pt>
                <c:pt idx="450">
                  <c:v>43282</c:v>
                </c:pt>
                <c:pt idx="451">
                  <c:v>43282</c:v>
                </c:pt>
                <c:pt idx="452">
                  <c:v>43313</c:v>
                </c:pt>
                <c:pt idx="453">
                  <c:v>43313</c:v>
                </c:pt>
                <c:pt idx="454">
                  <c:v>43344</c:v>
                </c:pt>
                <c:pt idx="455">
                  <c:v>43344</c:v>
                </c:pt>
                <c:pt idx="456">
                  <c:v>43374</c:v>
                </c:pt>
                <c:pt idx="457">
                  <c:v>43374</c:v>
                </c:pt>
                <c:pt idx="458">
                  <c:v>43405</c:v>
                </c:pt>
                <c:pt idx="459">
                  <c:v>43405</c:v>
                </c:pt>
                <c:pt idx="460">
                  <c:v>43435</c:v>
                </c:pt>
                <c:pt idx="461">
                  <c:v>43435</c:v>
                </c:pt>
                <c:pt idx="462">
                  <c:v>43475</c:v>
                </c:pt>
                <c:pt idx="463">
                  <c:v>43470</c:v>
                </c:pt>
                <c:pt idx="464">
                  <c:v>43497</c:v>
                </c:pt>
                <c:pt idx="465">
                  <c:v>43497</c:v>
                </c:pt>
                <c:pt idx="466">
                  <c:v>43525</c:v>
                </c:pt>
                <c:pt idx="467">
                  <c:v>43525</c:v>
                </c:pt>
                <c:pt idx="468">
                  <c:v>43556</c:v>
                </c:pt>
                <c:pt idx="469">
                  <c:v>43556</c:v>
                </c:pt>
                <c:pt idx="470">
                  <c:v>43586</c:v>
                </c:pt>
                <c:pt idx="471">
                  <c:v>43586</c:v>
                </c:pt>
                <c:pt idx="472">
                  <c:v>43617</c:v>
                </c:pt>
                <c:pt idx="473">
                  <c:v>43617</c:v>
                </c:pt>
                <c:pt idx="474">
                  <c:v>43647</c:v>
                </c:pt>
                <c:pt idx="475">
                  <c:v>43647</c:v>
                </c:pt>
                <c:pt idx="476">
                  <c:v>43678</c:v>
                </c:pt>
                <c:pt idx="477">
                  <c:v>43678</c:v>
                </c:pt>
                <c:pt idx="478">
                  <c:v>43709</c:v>
                </c:pt>
                <c:pt idx="479">
                  <c:v>43709</c:v>
                </c:pt>
                <c:pt idx="480">
                  <c:v>43739</c:v>
                </c:pt>
                <c:pt idx="481">
                  <c:v>43739</c:v>
                </c:pt>
                <c:pt idx="482">
                  <c:v>43770</c:v>
                </c:pt>
                <c:pt idx="483">
                  <c:v>43770</c:v>
                </c:pt>
                <c:pt idx="484">
                  <c:v>43800</c:v>
                </c:pt>
                <c:pt idx="485">
                  <c:v>43800</c:v>
                </c:pt>
              </c:numCache>
            </c:numRef>
          </c:xVal>
          <c:yVal>
            <c:numRef>
              <c:f>'But-fuco update'!$L$4:$L$489</c:f>
              <c:numCache>
                <c:formatCode>General</c:formatCode>
                <c:ptCount val="486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  <c:pt idx="12">
                  <c:v>0</c:v>
                </c:pt>
                <c:pt idx="14">
                  <c:v>7.4576464369346283E-3</c:v>
                </c:pt>
                <c:pt idx="16">
                  <c:v>2.9592831365278338E-3</c:v>
                </c:pt>
                <c:pt idx="18">
                  <c:v>0</c:v>
                </c:pt>
                <c:pt idx="20">
                  <c:v>0</c:v>
                </c:pt>
                <c:pt idx="22">
                  <c:v>0</c:v>
                </c:pt>
                <c:pt idx="24">
                  <c:v>0</c:v>
                </c:pt>
                <c:pt idx="26">
                  <c:v>0</c:v>
                </c:pt>
                <c:pt idx="28">
                  <c:v>3.0362509076636416E-3</c:v>
                </c:pt>
                <c:pt idx="30">
                  <c:v>0</c:v>
                </c:pt>
                <c:pt idx="32">
                  <c:v>0</c:v>
                </c:pt>
                <c:pt idx="34">
                  <c:v>7.5764960958157402E-3</c:v>
                </c:pt>
                <c:pt idx="36">
                  <c:v>0</c:v>
                </c:pt>
                <c:pt idx="38">
                  <c:v>0</c:v>
                </c:pt>
                <c:pt idx="40">
                  <c:v>0</c:v>
                </c:pt>
                <c:pt idx="42">
                  <c:v>1.7205990999174367E-3</c:v>
                </c:pt>
                <c:pt idx="44">
                  <c:v>0</c:v>
                </c:pt>
                <c:pt idx="46">
                  <c:v>0</c:v>
                </c:pt>
                <c:pt idx="48">
                  <c:v>0</c:v>
                </c:pt>
                <c:pt idx="50">
                  <c:v>0</c:v>
                </c:pt>
                <c:pt idx="52">
                  <c:v>0</c:v>
                </c:pt>
                <c:pt idx="54">
                  <c:v>0</c:v>
                </c:pt>
                <c:pt idx="56">
                  <c:v>0</c:v>
                </c:pt>
                <c:pt idx="58">
                  <c:v>5.2383459261652878E-3</c:v>
                </c:pt>
                <c:pt idx="60">
                  <c:v>0</c:v>
                </c:pt>
                <c:pt idx="62">
                  <c:v>0</c:v>
                </c:pt>
                <c:pt idx="64">
                  <c:v>2.8049238513774858E-3</c:v>
                </c:pt>
                <c:pt idx="66">
                  <c:v>9.6184509189786993E-3</c:v>
                </c:pt>
                <c:pt idx="68">
                  <c:v>0</c:v>
                </c:pt>
                <c:pt idx="70">
                  <c:v>0</c:v>
                </c:pt>
                <c:pt idx="72">
                  <c:v>0</c:v>
                </c:pt>
                <c:pt idx="74">
                  <c:v>0</c:v>
                </c:pt>
                <c:pt idx="76">
                  <c:v>0</c:v>
                </c:pt>
                <c:pt idx="78">
                  <c:v>0</c:v>
                </c:pt>
                <c:pt idx="80">
                  <c:v>0</c:v>
                </c:pt>
                <c:pt idx="82">
                  <c:v>4.9793699126135169E-3</c:v>
                </c:pt>
                <c:pt idx="84">
                  <c:v>0</c:v>
                </c:pt>
                <c:pt idx="86">
                  <c:v>1.044560737856046E-2</c:v>
                </c:pt>
                <c:pt idx="88">
                  <c:v>0.15021711722831646</c:v>
                </c:pt>
                <c:pt idx="90">
                  <c:v>0</c:v>
                </c:pt>
                <c:pt idx="92">
                  <c:v>0</c:v>
                </c:pt>
                <c:pt idx="94">
                  <c:v>0</c:v>
                </c:pt>
                <c:pt idx="96">
                  <c:v>0</c:v>
                </c:pt>
                <c:pt idx="98">
                  <c:v>0</c:v>
                </c:pt>
                <c:pt idx="100">
                  <c:v>0</c:v>
                </c:pt>
                <c:pt idx="102">
                  <c:v>0</c:v>
                </c:pt>
                <c:pt idx="104">
                  <c:v>0</c:v>
                </c:pt>
                <c:pt idx="106">
                  <c:v>0</c:v>
                </c:pt>
                <c:pt idx="108">
                  <c:v>5.5583972642228065E-3</c:v>
                </c:pt>
                <c:pt idx="110">
                  <c:v>1.7193026562877627E-2</c:v>
                </c:pt>
                <c:pt idx="112">
                  <c:v>0</c:v>
                </c:pt>
                <c:pt idx="114">
                  <c:v>0</c:v>
                </c:pt>
                <c:pt idx="116">
                  <c:v>0</c:v>
                </c:pt>
                <c:pt idx="118">
                  <c:v>0</c:v>
                </c:pt>
                <c:pt idx="120">
                  <c:v>0</c:v>
                </c:pt>
                <c:pt idx="122">
                  <c:v>0</c:v>
                </c:pt>
                <c:pt idx="124">
                  <c:v>0</c:v>
                </c:pt>
                <c:pt idx="126">
                  <c:v>0</c:v>
                </c:pt>
                <c:pt idx="128">
                  <c:v>0</c:v>
                </c:pt>
                <c:pt idx="130">
                  <c:v>0</c:v>
                </c:pt>
                <c:pt idx="132">
                  <c:v>3.1778700619330233E-2</c:v>
                </c:pt>
                <c:pt idx="134">
                  <c:v>0</c:v>
                </c:pt>
                <c:pt idx="136">
                  <c:v>0</c:v>
                </c:pt>
                <c:pt idx="138">
                  <c:v>0</c:v>
                </c:pt>
                <c:pt idx="140">
                  <c:v>0</c:v>
                </c:pt>
                <c:pt idx="142">
                  <c:v>0</c:v>
                </c:pt>
                <c:pt idx="144">
                  <c:v>2.5798462411640269E-5</c:v>
                </c:pt>
                <c:pt idx="146">
                  <c:v>7.92927090354042E-5</c:v>
                </c:pt>
                <c:pt idx="148">
                  <c:v>4.528677852500963E-5</c:v>
                </c:pt>
                <c:pt idx="150">
                  <c:v>2.5122787624514814E-5</c:v>
                </c:pt>
                <c:pt idx="152">
                  <c:v>2.8663481835351622E-3</c:v>
                </c:pt>
                <c:pt idx="154">
                  <c:v>9.4576062798505705E-5</c:v>
                </c:pt>
                <c:pt idx="156">
                  <c:v>9.5401640908223618E-5</c:v>
                </c:pt>
                <c:pt idx="158">
                  <c:v>3.0016959582163927E-5</c:v>
                </c:pt>
                <c:pt idx="160">
                  <c:v>9.9033038115342781E-2</c:v>
                </c:pt>
                <c:pt idx="162">
                  <c:v>6.4923892966470053E-6</c:v>
                </c:pt>
                <c:pt idx="164">
                  <c:v>7.7142041641274082E-6</c:v>
                </c:pt>
                <c:pt idx="166">
                  <c:v>1.2712860965796047E-5</c:v>
                </c:pt>
                <c:pt idx="168">
                  <c:v>6.4634776987718156E-4</c:v>
                </c:pt>
                <c:pt idx="170">
                  <c:v>9.8222003929273076E-4</c:v>
                </c:pt>
                <c:pt idx="172">
                  <c:v>1.3738214027476499E-2</c:v>
                </c:pt>
                <c:pt idx="174">
                  <c:v>6.6571238348868173E-4</c:v>
                </c:pt>
                <c:pt idx="176">
                  <c:v>1.9120371979836608E-3</c:v>
                </c:pt>
                <c:pt idx="178">
                  <c:v>1.3232899022801304E-2</c:v>
                </c:pt>
                <c:pt idx="180">
                  <c:v>6.6615589606928722E-4</c:v>
                </c:pt>
                <c:pt idx="182">
                  <c:v>9.9115127112692533E-2</c:v>
                </c:pt>
                <c:pt idx="184">
                  <c:v>4.6562877656927557E-2</c:v>
                </c:pt>
                <c:pt idx="186">
                  <c:v>5.438820745736898E-5</c:v>
                </c:pt>
                <c:pt idx="188">
                  <c:v>9.0272197896447431E-5</c:v>
                </c:pt>
                <c:pt idx="190">
                  <c:v>9.1696088770691004E-5</c:v>
                </c:pt>
                <c:pt idx="192">
                  <c:v>7.667944785276073E-4</c:v>
                </c:pt>
                <c:pt idx="194">
                  <c:v>8.349895615866388E-4</c:v>
                </c:pt>
                <c:pt idx="196">
                  <c:v>3.7853492333901194E-4</c:v>
                </c:pt>
                <c:pt idx="198">
                  <c:v>4.0210021651716672E-3</c:v>
                </c:pt>
                <c:pt idx="200">
                  <c:v>5.63641488162345E-4</c:v>
                </c:pt>
                <c:pt idx="202">
                  <c:v>5.881764705882353E-4</c:v>
                </c:pt>
                <c:pt idx="204">
                  <c:v>8.4845142129826045E-4</c:v>
                </c:pt>
                <c:pt idx="206">
                  <c:v>3.0681190549248236E-4</c:v>
                </c:pt>
                <c:pt idx="208">
                  <c:v>1.3652375750955762E-4</c:v>
                </c:pt>
                <c:pt idx="210">
                  <c:v>1.3199128770378192E-4</c:v>
                </c:pt>
                <c:pt idx="212">
                  <c:v>1.0311968235961429E-4</c:v>
                </c:pt>
                <c:pt idx="214">
                  <c:v>5.6699744825630845E-4</c:v>
                </c:pt>
                <c:pt idx="216">
                  <c:v>4.0535426093514328E-2</c:v>
                </c:pt>
                <c:pt idx="218">
                  <c:v>1.4294496068620443E-3</c:v>
                </c:pt>
                <c:pt idx="220">
                  <c:v>3.6182377419938483E-4</c:v>
                </c:pt>
                <c:pt idx="222">
                  <c:v>4.1645147855060396E-4</c:v>
                </c:pt>
                <c:pt idx="224">
                  <c:v>5.2515756302521006E-4</c:v>
                </c:pt>
                <c:pt idx="226">
                  <c:v>2.7079214624238323E-4</c:v>
                </c:pt>
                <c:pt idx="228">
                  <c:v>1.6762782900251465E-3</c:v>
                </c:pt>
                <c:pt idx="230">
                  <c:v>1.3810773480662983E-3</c:v>
                </c:pt>
                <c:pt idx="232">
                  <c:v>3.549068322981366E-4</c:v>
                </c:pt>
                <c:pt idx="234">
                  <c:v>2.5610193366628248E-4</c:v>
                </c:pt>
                <c:pt idx="236">
                  <c:v>1.0495408029388611E-4</c:v>
                </c:pt>
                <c:pt idx="238">
                  <c:v>3.0076703263648668E-4</c:v>
                </c:pt>
                <c:pt idx="240">
                  <c:v>1.0345576823590273E-3</c:v>
                </c:pt>
                <c:pt idx="242">
                  <c:v>7.3847858197932041E-4</c:v>
                </c:pt>
                <c:pt idx="244">
                  <c:v>6.128715905608336E-4</c:v>
                </c:pt>
                <c:pt idx="246">
                  <c:v>0</c:v>
                </c:pt>
                <c:pt idx="248">
                  <c:v>0</c:v>
                </c:pt>
                <c:pt idx="250">
                  <c:v>0</c:v>
                </c:pt>
                <c:pt idx="252">
                  <c:v>0</c:v>
                </c:pt>
                <c:pt idx="254">
                  <c:v>2.5096918489065606E-3</c:v>
                </c:pt>
                <c:pt idx="256">
                  <c:v>0</c:v>
                </c:pt>
                <c:pt idx="258">
                  <c:v>0</c:v>
                </c:pt>
                <c:pt idx="260">
                  <c:v>1.0024690483897069E-2</c:v>
                </c:pt>
                <c:pt idx="262">
                  <c:v>0</c:v>
                </c:pt>
                <c:pt idx="264">
                  <c:v>0</c:v>
                </c:pt>
                <c:pt idx="266">
                  <c:v>0</c:v>
                </c:pt>
                <c:pt idx="268">
                  <c:v>6.7282589633671092E-2</c:v>
                </c:pt>
                <c:pt idx="270">
                  <c:v>0</c:v>
                </c:pt>
                <c:pt idx="272">
                  <c:v>0</c:v>
                </c:pt>
                <c:pt idx="274">
                  <c:v>0</c:v>
                </c:pt>
                <c:pt idx="276">
                  <c:v>0</c:v>
                </c:pt>
                <c:pt idx="278">
                  <c:v>0</c:v>
                </c:pt>
                <c:pt idx="280">
                  <c:v>0</c:v>
                </c:pt>
                <c:pt idx="282">
                  <c:v>0</c:v>
                </c:pt>
                <c:pt idx="284">
                  <c:v>0</c:v>
                </c:pt>
                <c:pt idx="286">
                  <c:v>0</c:v>
                </c:pt>
                <c:pt idx="288">
                  <c:v>0</c:v>
                </c:pt>
                <c:pt idx="290">
                  <c:v>0</c:v>
                </c:pt>
                <c:pt idx="292">
                  <c:v>0</c:v>
                </c:pt>
                <c:pt idx="294">
                  <c:v>0</c:v>
                </c:pt>
                <c:pt idx="296">
                  <c:v>0</c:v>
                </c:pt>
                <c:pt idx="298">
                  <c:v>0</c:v>
                </c:pt>
                <c:pt idx="300">
                  <c:v>0</c:v>
                </c:pt>
                <c:pt idx="302">
                  <c:v>0</c:v>
                </c:pt>
                <c:pt idx="304">
                  <c:v>0</c:v>
                </c:pt>
                <c:pt idx="306">
                  <c:v>0</c:v>
                </c:pt>
                <c:pt idx="308">
                  <c:v>0</c:v>
                </c:pt>
                <c:pt idx="310">
                  <c:v>0</c:v>
                </c:pt>
                <c:pt idx="312">
                  <c:v>0</c:v>
                </c:pt>
                <c:pt idx="314">
                  <c:v>0</c:v>
                </c:pt>
                <c:pt idx="316">
                  <c:v>0</c:v>
                </c:pt>
                <c:pt idx="318">
                  <c:v>0</c:v>
                </c:pt>
                <c:pt idx="320">
                  <c:v>0</c:v>
                </c:pt>
                <c:pt idx="322">
                  <c:v>0</c:v>
                </c:pt>
                <c:pt idx="325">
                  <c:v>0</c:v>
                </c:pt>
                <c:pt idx="327">
                  <c:v>0</c:v>
                </c:pt>
                <c:pt idx="329">
                  <c:v>0</c:v>
                </c:pt>
                <c:pt idx="331">
                  <c:v>0</c:v>
                </c:pt>
                <c:pt idx="333">
                  <c:v>0</c:v>
                </c:pt>
                <c:pt idx="335">
                  <c:v>0</c:v>
                </c:pt>
                <c:pt idx="337">
                  <c:v>0</c:v>
                </c:pt>
                <c:pt idx="339">
                  <c:v>0</c:v>
                </c:pt>
                <c:pt idx="341">
                  <c:v>0</c:v>
                </c:pt>
                <c:pt idx="343">
                  <c:v>0</c:v>
                </c:pt>
                <c:pt idx="345">
                  <c:v>0</c:v>
                </c:pt>
                <c:pt idx="347">
                  <c:v>0</c:v>
                </c:pt>
                <c:pt idx="349">
                  <c:v>0</c:v>
                </c:pt>
                <c:pt idx="351">
                  <c:v>0</c:v>
                </c:pt>
                <c:pt idx="353">
                  <c:v>0</c:v>
                </c:pt>
                <c:pt idx="355">
                  <c:v>0</c:v>
                </c:pt>
                <c:pt idx="357">
                  <c:v>0</c:v>
                </c:pt>
                <c:pt idx="359">
                  <c:v>0</c:v>
                </c:pt>
                <c:pt idx="361">
                  <c:v>0</c:v>
                </c:pt>
                <c:pt idx="363">
                  <c:v>0</c:v>
                </c:pt>
                <c:pt idx="365">
                  <c:v>0</c:v>
                </c:pt>
                <c:pt idx="367">
                  <c:v>8.8269909768536698E-4</c:v>
                </c:pt>
                <c:pt idx="371">
                  <c:v>1.8196942913590516E-3</c:v>
                </c:pt>
                <c:pt idx="373">
                  <c:v>2.8218694885361554E-3</c:v>
                </c:pt>
                <c:pt idx="375">
                  <c:v>2.3769669598288565E-3</c:v>
                </c:pt>
                <c:pt idx="377">
                  <c:v>5.2454888795635754E-4</c:v>
                </c:pt>
                <c:pt idx="379">
                  <c:v>1.6197732317475553E-3</c:v>
                </c:pt>
                <c:pt idx="381">
                  <c:v>2.0272760781422775E-3</c:v>
                </c:pt>
                <c:pt idx="383">
                  <c:v>2.4136650575566285E-3</c:v>
                </c:pt>
                <c:pt idx="385">
                  <c:v>5.7697634160415456E-4</c:v>
                </c:pt>
                <c:pt idx="387">
                  <c:v>2.3978417266187053E-3</c:v>
                </c:pt>
                <c:pt idx="389">
                  <c:v>4.3811610076670317E-3</c:v>
                </c:pt>
                <c:pt idx="391">
                  <c:v>1.4170040485829961E-3</c:v>
                </c:pt>
                <c:pt idx="393">
                  <c:v>1.8918918918918916E-3</c:v>
                </c:pt>
                <c:pt idx="395">
                  <c:v>5.5969773299748113E-4</c:v>
                </c:pt>
                <c:pt idx="397">
                  <c:v>2.6186579378068742E-3</c:v>
                </c:pt>
                <c:pt idx="399">
                  <c:v>1.4556962025316455E-2</c:v>
                </c:pt>
                <c:pt idx="401">
                  <c:v>2.1563342318059301E-3</c:v>
                </c:pt>
                <c:pt idx="403">
                  <c:v>1.4426544842510219E-3</c:v>
                </c:pt>
                <c:pt idx="405">
                  <c:v>4.9799551792828684E-4</c:v>
                </c:pt>
                <c:pt idx="407">
                  <c:v>1.8770530267480056E-3</c:v>
                </c:pt>
                <c:pt idx="409">
                  <c:v>2.4999374999999996E-3</c:v>
                </c:pt>
                <c:pt idx="411">
                  <c:v>4.493932584269663E-3</c:v>
                </c:pt>
                <c:pt idx="413">
                  <c:v>7.0043103448275872E-3</c:v>
                </c:pt>
                <c:pt idx="419">
                  <c:v>1.8672268907563021E-3</c:v>
                </c:pt>
                <c:pt idx="421">
                  <c:v>1.2935316946959899E-3</c:v>
                </c:pt>
                <c:pt idx="423">
                  <c:v>5.7366609294320144E-4</c:v>
                </c:pt>
                <c:pt idx="425">
                  <c:v>3.7668110755321153E-4</c:v>
                </c:pt>
                <c:pt idx="427">
                  <c:v>7.2194945848375448E-4</c:v>
                </c:pt>
                <c:pt idx="431">
                  <c:v>1.6651124063280598E-3</c:v>
                </c:pt>
                <c:pt idx="435">
                  <c:v>5.3186170212765954E-3</c:v>
                </c:pt>
                <c:pt idx="437">
                  <c:v>8.0539669754329439E-4</c:v>
                </c:pt>
                <c:pt idx="439">
                  <c:v>2.6920428222625679E-3</c:v>
                </c:pt>
                <c:pt idx="441">
                  <c:v>9.3143921751280838E-4</c:v>
                </c:pt>
                <c:pt idx="443">
                  <c:v>4.2124266586429961E-3</c:v>
                </c:pt>
                <c:pt idx="445">
                  <c:v>1.1840142095914741E-3</c:v>
                </c:pt>
                <c:pt idx="447">
                  <c:v>5.4180438905445684E-4</c:v>
                </c:pt>
                <c:pt idx="449">
                  <c:v>3.8665893271461709E-4</c:v>
                </c:pt>
                <c:pt idx="451">
                  <c:v>1.3535462912831618E-3</c:v>
                </c:pt>
                <c:pt idx="453">
                  <c:v>4.0334812424364661E-4</c:v>
                </c:pt>
                <c:pt idx="455">
                  <c:v>4.254893617021277E-4</c:v>
                </c:pt>
                <c:pt idx="457">
                  <c:v>1.5092830188679245E-3</c:v>
                </c:pt>
                <c:pt idx="467">
                  <c:v>1.7450261780104714E-3</c:v>
                </c:pt>
                <c:pt idx="469">
                  <c:v>5.5891559530463935E-4</c:v>
                </c:pt>
                <c:pt idx="471">
                  <c:v>1.5947368421052632E-3</c:v>
                </c:pt>
                <c:pt idx="473">
                  <c:v>5.3456295108259824E-4</c:v>
                </c:pt>
                <c:pt idx="475">
                  <c:v>1.8253012048192771E-4</c:v>
                </c:pt>
                <c:pt idx="481">
                  <c:v>4.3285714285714282E-4</c:v>
                </c:pt>
                <c:pt idx="485">
                  <c:v>5.2230685527747548E-3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1F-3443-BE62-0E488598B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874416"/>
        <c:axId val="1128957088"/>
      </c:scatterChart>
      <c:valAx>
        <c:axId val="1128874416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7088"/>
        <c:crosses val="autoZero"/>
        <c:crossBetween val="midCat"/>
        <c:majorUnit val="1095"/>
      </c:valAx>
      <c:valAx>
        <c:axId val="11289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peridin CUSUM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'Peridin update'!$B$4:$B$489</c:f>
              <c:numCache>
                <c:formatCode>[$-409]mmm\-yy;@</c:formatCode>
                <c:ptCount val="486"/>
                <c:pt idx="0">
                  <c:v>36446</c:v>
                </c:pt>
                <c:pt idx="1">
                  <c:v>36473</c:v>
                </c:pt>
                <c:pt idx="2">
                  <c:v>36473</c:v>
                </c:pt>
                <c:pt idx="3">
                  <c:v>36502</c:v>
                </c:pt>
                <c:pt idx="4">
                  <c:v>36502</c:v>
                </c:pt>
                <c:pt idx="5">
                  <c:v>36531</c:v>
                </c:pt>
                <c:pt idx="6">
                  <c:v>36531</c:v>
                </c:pt>
                <c:pt idx="7">
                  <c:v>36578</c:v>
                </c:pt>
                <c:pt idx="8">
                  <c:v>36578</c:v>
                </c:pt>
                <c:pt idx="9">
                  <c:v>36599</c:v>
                </c:pt>
                <c:pt idx="10">
                  <c:v>36599</c:v>
                </c:pt>
                <c:pt idx="11">
                  <c:v>36626</c:v>
                </c:pt>
                <c:pt idx="12">
                  <c:v>36626</c:v>
                </c:pt>
                <c:pt idx="13">
                  <c:v>36663</c:v>
                </c:pt>
                <c:pt idx="14">
                  <c:v>36663</c:v>
                </c:pt>
                <c:pt idx="15">
                  <c:v>36692</c:v>
                </c:pt>
                <c:pt idx="16">
                  <c:v>36692</c:v>
                </c:pt>
                <c:pt idx="17">
                  <c:v>36719</c:v>
                </c:pt>
                <c:pt idx="18">
                  <c:v>36719</c:v>
                </c:pt>
                <c:pt idx="19">
                  <c:v>36755</c:v>
                </c:pt>
                <c:pt idx="20">
                  <c:v>36755</c:v>
                </c:pt>
                <c:pt idx="21">
                  <c:v>36783</c:v>
                </c:pt>
                <c:pt idx="22">
                  <c:v>36783</c:v>
                </c:pt>
                <c:pt idx="23">
                  <c:v>36815</c:v>
                </c:pt>
                <c:pt idx="24">
                  <c:v>36815</c:v>
                </c:pt>
                <c:pt idx="25">
                  <c:v>36846</c:v>
                </c:pt>
                <c:pt idx="26">
                  <c:v>36846</c:v>
                </c:pt>
                <c:pt idx="27">
                  <c:v>36873</c:v>
                </c:pt>
                <c:pt idx="28">
                  <c:v>36873</c:v>
                </c:pt>
                <c:pt idx="29">
                  <c:v>36902</c:v>
                </c:pt>
                <c:pt idx="30">
                  <c:v>36902</c:v>
                </c:pt>
                <c:pt idx="31">
                  <c:v>36929</c:v>
                </c:pt>
                <c:pt idx="32">
                  <c:v>36929</c:v>
                </c:pt>
                <c:pt idx="33">
                  <c:v>36962</c:v>
                </c:pt>
                <c:pt idx="34">
                  <c:v>36962</c:v>
                </c:pt>
                <c:pt idx="35">
                  <c:v>36998</c:v>
                </c:pt>
                <c:pt idx="36">
                  <c:v>36998</c:v>
                </c:pt>
                <c:pt idx="37">
                  <c:v>37025</c:v>
                </c:pt>
                <c:pt idx="38">
                  <c:v>37025</c:v>
                </c:pt>
                <c:pt idx="39">
                  <c:v>37054</c:v>
                </c:pt>
                <c:pt idx="40">
                  <c:v>37054</c:v>
                </c:pt>
                <c:pt idx="41">
                  <c:v>37090</c:v>
                </c:pt>
                <c:pt idx="42">
                  <c:v>37090</c:v>
                </c:pt>
                <c:pt idx="43">
                  <c:v>37117</c:v>
                </c:pt>
                <c:pt idx="44">
                  <c:v>37117</c:v>
                </c:pt>
                <c:pt idx="45">
                  <c:v>37145</c:v>
                </c:pt>
                <c:pt idx="46">
                  <c:v>37145</c:v>
                </c:pt>
                <c:pt idx="47">
                  <c:v>37182</c:v>
                </c:pt>
                <c:pt idx="48">
                  <c:v>37182</c:v>
                </c:pt>
                <c:pt idx="49">
                  <c:v>37202</c:v>
                </c:pt>
                <c:pt idx="50">
                  <c:v>37202</c:v>
                </c:pt>
                <c:pt idx="51">
                  <c:v>37230</c:v>
                </c:pt>
                <c:pt idx="52">
                  <c:v>37230</c:v>
                </c:pt>
                <c:pt idx="53">
                  <c:v>37272</c:v>
                </c:pt>
                <c:pt idx="54">
                  <c:v>37272</c:v>
                </c:pt>
                <c:pt idx="55">
                  <c:v>37301</c:v>
                </c:pt>
                <c:pt idx="56">
                  <c:v>37301</c:v>
                </c:pt>
                <c:pt idx="57">
                  <c:v>37336</c:v>
                </c:pt>
                <c:pt idx="58">
                  <c:v>37336</c:v>
                </c:pt>
                <c:pt idx="59">
                  <c:v>37363</c:v>
                </c:pt>
                <c:pt idx="60">
                  <c:v>37363</c:v>
                </c:pt>
                <c:pt idx="61">
                  <c:v>37391</c:v>
                </c:pt>
                <c:pt idx="62">
                  <c:v>37391</c:v>
                </c:pt>
                <c:pt idx="63">
                  <c:v>37420</c:v>
                </c:pt>
                <c:pt idx="64">
                  <c:v>37420</c:v>
                </c:pt>
                <c:pt idx="65">
                  <c:v>37453</c:v>
                </c:pt>
                <c:pt idx="66">
                  <c:v>37453</c:v>
                </c:pt>
                <c:pt idx="67">
                  <c:v>37481</c:v>
                </c:pt>
                <c:pt idx="68">
                  <c:v>37481</c:v>
                </c:pt>
                <c:pt idx="69">
                  <c:v>37518</c:v>
                </c:pt>
                <c:pt idx="70">
                  <c:v>37518</c:v>
                </c:pt>
                <c:pt idx="71">
                  <c:v>37546</c:v>
                </c:pt>
                <c:pt idx="72">
                  <c:v>37546</c:v>
                </c:pt>
                <c:pt idx="73">
                  <c:v>37574</c:v>
                </c:pt>
                <c:pt idx="74">
                  <c:v>37574</c:v>
                </c:pt>
                <c:pt idx="75">
                  <c:v>37608</c:v>
                </c:pt>
                <c:pt idx="76">
                  <c:v>37608</c:v>
                </c:pt>
                <c:pt idx="77">
                  <c:v>37636</c:v>
                </c:pt>
                <c:pt idx="78">
                  <c:v>37636</c:v>
                </c:pt>
                <c:pt idx="79">
                  <c:v>37663</c:v>
                </c:pt>
                <c:pt idx="80">
                  <c:v>37663</c:v>
                </c:pt>
                <c:pt idx="81">
                  <c:v>37691</c:v>
                </c:pt>
                <c:pt idx="82">
                  <c:v>37691</c:v>
                </c:pt>
                <c:pt idx="83">
                  <c:v>37727</c:v>
                </c:pt>
                <c:pt idx="84">
                  <c:v>37727</c:v>
                </c:pt>
                <c:pt idx="85">
                  <c:v>37756</c:v>
                </c:pt>
                <c:pt idx="86">
                  <c:v>37756</c:v>
                </c:pt>
                <c:pt idx="87">
                  <c:v>37790</c:v>
                </c:pt>
                <c:pt idx="88">
                  <c:v>37790</c:v>
                </c:pt>
                <c:pt idx="89">
                  <c:v>37818</c:v>
                </c:pt>
                <c:pt idx="90">
                  <c:v>37818</c:v>
                </c:pt>
                <c:pt idx="91">
                  <c:v>37846</c:v>
                </c:pt>
                <c:pt idx="92">
                  <c:v>37846</c:v>
                </c:pt>
                <c:pt idx="93">
                  <c:v>37886</c:v>
                </c:pt>
                <c:pt idx="94">
                  <c:v>37886</c:v>
                </c:pt>
                <c:pt idx="95">
                  <c:v>37910</c:v>
                </c:pt>
                <c:pt idx="96">
                  <c:v>37910</c:v>
                </c:pt>
                <c:pt idx="97">
                  <c:v>37942</c:v>
                </c:pt>
                <c:pt idx="98">
                  <c:v>37942</c:v>
                </c:pt>
                <c:pt idx="99">
                  <c:v>37971</c:v>
                </c:pt>
                <c:pt idx="100">
                  <c:v>37971</c:v>
                </c:pt>
                <c:pt idx="101">
                  <c:v>37998</c:v>
                </c:pt>
                <c:pt idx="102">
                  <c:v>37998</c:v>
                </c:pt>
                <c:pt idx="103">
                  <c:v>38026</c:v>
                </c:pt>
                <c:pt idx="104">
                  <c:v>38026</c:v>
                </c:pt>
                <c:pt idx="105">
                  <c:v>38061</c:v>
                </c:pt>
                <c:pt idx="106">
                  <c:v>38061</c:v>
                </c:pt>
                <c:pt idx="107">
                  <c:v>38093</c:v>
                </c:pt>
                <c:pt idx="108">
                  <c:v>38093</c:v>
                </c:pt>
                <c:pt idx="109">
                  <c:v>38117</c:v>
                </c:pt>
                <c:pt idx="110">
                  <c:v>38117</c:v>
                </c:pt>
                <c:pt idx="111">
                  <c:v>38160</c:v>
                </c:pt>
                <c:pt idx="112">
                  <c:v>38160</c:v>
                </c:pt>
                <c:pt idx="113">
                  <c:v>38182</c:v>
                </c:pt>
                <c:pt idx="114">
                  <c:v>38183</c:v>
                </c:pt>
                <c:pt idx="115">
                  <c:v>38218</c:v>
                </c:pt>
                <c:pt idx="116">
                  <c:v>38218</c:v>
                </c:pt>
                <c:pt idx="117">
                  <c:v>38246</c:v>
                </c:pt>
                <c:pt idx="118">
                  <c:v>38246</c:v>
                </c:pt>
                <c:pt idx="119">
                  <c:v>38274</c:v>
                </c:pt>
                <c:pt idx="120">
                  <c:v>38274</c:v>
                </c:pt>
                <c:pt idx="121">
                  <c:v>38309</c:v>
                </c:pt>
                <c:pt idx="122">
                  <c:v>38309</c:v>
                </c:pt>
                <c:pt idx="123">
                  <c:v>38337</c:v>
                </c:pt>
                <c:pt idx="124">
                  <c:v>38337</c:v>
                </c:pt>
                <c:pt idx="125">
                  <c:v>38364</c:v>
                </c:pt>
                <c:pt idx="126">
                  <c:v>38364</c:v>
                </c:pt>
                <c:pt idx="127">
                  <c:v>38398</c:v>
                </c:pt>
                <c:pt idx="128">
                  <c:v>38398</c:v>
                </c:pt>
                <c:pt idx="129">
                  <c:v>38427</c:v>
                </c:pt>
                <c:pt idx="130">
                  <c:v>38427</c:v>
                </c:pt>
                <c:pt idx="131">
                  <c:v>38470</c:v>
                </c:pt>
                <c:pt idx="132">
                  <c:v>38470</c:v>
                </c:pt>
                <c:pt idx="133">
                  <c:v>38488</c:v>
                </c:pt>
                <c:pt idx="134">
                  <c:v>38488</c:v>
                </c:pt>
                <c:pt idx="135">
                  <c:v>38525</c:v>
                </c:pt>
                <c:pt idx="136">
                  <c:v>38525</c:v>
                </c:pt>
                <c:pt idx="137">
                  <c:v>38546</c:v>
                </c:pt>
                <c:pt idx="138">
                  <c:v>38546</c:v>
                </c:pt>
                <c:pt idx="139">
                  <c:v>38594</c:v>
                </c:pt>
                <c:pt idx="140">
                  <c:v>38594</c:v>
                </c:pt>
                <c:pt idx="141">
                  <c:v>38609</c:v>
                </c:pt>
                <c:pt idx="142">
                  <c:v>38609</c:v>
                </c:pt>
                <c:pt idx="143">
                  <c:v>38643</c:v>
                </c:pt>
                <c:pt idx="144">
                  <c:v>38643</c:v>
                </c:pt>
                <c:pt idx="145">
                  <c:v>38670</c:v>
                </c:pt>
                <c:pt idx="146">
                  <c:v>38670</c:v>
                </c:pt>
                <c:pt idx="147">
                  <c:v>38706</c:v>
                </c:pt>
                <c:pt idx="148">
                  <c:v>38706</c:v>
                </c:pt>
                <c:pt idx="149">
                  <c:v>38737</c:v>
                </c:pt>
                <c:pt idx="150">
                  <c:v>38737</c:v>
                </c:pt>
                <c:pt idx="151">
                  <c:v>38763</c:v>
                </c:pt>
                <c:pt idx="152">
                  <c:v>38763</c:v>
                </c:pt>
                <c:pt idx="153">
                  <c:v>38792</c:v>
                </c:pt>
                <c:pt idx="154">
                  <c:v>38792</c:v>
                </c:pt>
                <c:pt idx="155">
                  <c:v>38826</c:v>
                </c:pt>
                <c:pt idx="156">
                  <c:v>38826</c:v>
                </c:pt>
                <c:pt idx="157">
                  <c:v>38853</c:v>
                </c:pt>
                <c:pt idx="158">
                  <c:v>38853</c:v>
                </c:pt>
                <c:pt idx="159">
                  <c:v>38884</c:v>
                </c:pt>
                <c:pt idx="160">
                  <c:v>38884</c:v>
                </c:pt>
                <c:pt idx="161">
                  <c:v>38915</c:v>
                </c:pt>
                <c:pt idx="162">
                  <c:v>38915</c:v>
                </c:pt>
                <c:pt idx="163">
                  <c:v>38952</c:v>
                </c:pt>
                <c:pt idx="164">
                  <c:v>38952</c:v>
                </c:pt>
                <c:pt idx="165">
                  <c:v>38975</c:v>
                </c:pt>
                <c:pt idx="166">
                  <c:v>38975</c:v>
                </c:pt>
                <c:pt idx="167">
                  <c:v>39006</c:v>
                </c:pt>
                <c:pt idx="168">
                  <c:v>39006</c:v>
                </c:pt>
                <c:pt idx="169">
                  <c:v>39041</c:v>
                </c:pt>
                <c:pt idx="170">
                  <c:v>39041</c:v>
                </c:pt>
                <c:pt idx="171">
                  <c:v>39062</c:v>
                </c:pt>
                <c:pt idx="172">
                  <c:v>39062</c:v>
                </c:pt>
                <c:pt idx="173">
                  <c:v>39100</c:v>
                </c:pt>
                <c:pt idx="174">
                  <c:v>39100</c:v>
                </c:pt>
                <c:pt idx="175">
                  <c:v>39135</c:v>
                </c:pt>
                <c:pt idx="176">
                  <c:v>39135</c:v>
                </c:pt>
                <c:pt idx="177">
                  <c:v>39153</c:v>
                </c:pt>
                <c:pt idx="178">
                  <c:v>39153</c:v>
                </c:pt>
                <c:pt idx="179">
                  <c:v>39191</c:v>
                </c:pt>
                <c:pt idx="180">
                  <c:v>39191</c:v>
                </c:pt>
                <c:pt idx="181">
                  <c:v>39216</c:v>
                </c:pt>
                <c:pt idx="182">
                  <c:v>39216</c:v>
                </c:pt>
                <c:pt idx="183">
                  <c:v>39248</c:v>
                </c:pt>
                <c:pt idx="184">
                  <c:v>39248</c:v>
                </c:pt>
                <c:pt idx="185">
                  <c:v>39279</c:v>
                </c:pt>
                <c:pt idx="186">
                  <c:v>39279</c:v>
                </c:pt>
                <c:pt idx="187">
                  <c:v>39308</c:v>
                </c:pt>
                <c:pt idx="188">
                  <c:v>39308</c:v>
                </c:pt>
                <c:pt idx="189">
                  <c:v>39335</c:v>
                </c:pt>
                <c:pt idx="190">
                  <c:v>39335</c:v>
                </c:pt>
                <c:pt idx="191">
                  <c:v>39370</c:v>
                </c:pt>
                <c:pt idx="192">
                  <c:v>39370</c:v>
                </c:pt>
                <c:pt idx="193">
                  <c:v>39400</c:v>
                </c:pt>
                <c:pt idx="194">
                  <c:v>39400</c:v>
                </c:pt>
                <c:pt idx="195">
                  <c:v>39434</c:v>
                </c:pt>
                <c:pt idx="196">
                  <c:v>39434</c:v>
                </c:pt>
                <c:pt idx="197">
                  <c:v>39463</c:v>
                </c:pt>
                <c:pt idx="198">
                  <c:v>39463</c:v>
                </c:pt>
                <c:pt idx="199">
                  <c:v>39493</c:v>
                </c:pt>
                <c:pt idx="200">
                  <c:v>39493</c:v>
                </c:pt>
                <c:pt idx="201">
                  <c:v>39517</c:v>
                </c:pt>
                <c:pt idx="202">
                  <c:v>39517</c:v>
                </c:pt>
                <c:pt idx="203">
                  <c:v>39552</c:v>
                </c:pt>
                <c:pt idx="204">
                  <c:v>39552</c:v>
                </c:pt>
                <c:pt idx="205">
                  <c:v>39583</c:v>
                </c:pt>
                <c:pt idx="206">
                  <c:v>39583</c:v>
                </c:pt>
                <c:pt idx="207">
                  <c:v>39617</c:v>
                </c:pt>
                <c:pt idx="208">
                  <c:v>39617</c:v>
                </c:pt>
                <c:pt idx="209">
                  <c:v>39645</c:v>
                </c:pt>
                <c:pt idx="210">
                  <c:v>39645</c:v>
                </c:pt>
                <c:pt idx="211">
                  <c:v>39672</c:v>
                </c:pt>
                <c:pt idx="212">
                  <c:v>39672</c:v>
                </c:pt>
                <c:pt idx="213">
                  <c:v>39709</c:v>
                </c:pt>
                <c:pt idx="214">
                  <c:v>39709</c:v>
                </c:pt>
                <c:pt idx="215">
                  <c:v>39735</c:v>
                </c:pt>
                <c:pt idx="216">
                  <c:v>39735</c:v>
                </c:pt>
                <c:pt idx="217">
                  <c:v>39769</c:v>
                </c:pt>
                <c:pt idx="218">
                  <c:v>39769</c:v>
                </c:pt>
                <c:pt idx="219">
                  <c:v>39797</c:v>
                </c:pt>
                <c:pt idx="220">
                  <c:v>39797</c:v>
                </c:pt>
                <c:pt idx="221">
                  <c:v>39826</c:v>
                </c:pt>
                <c:pt idx="222">
                  <c:v>39826</c:v>
                </c:pt>
                <c:pt idx="223">
                  <c:v>39861</c:v>
                </c:pt>
                <c:pt idx="224">
                  <c:v>39861</c:v>
                </c:pt>
                <c:pt idx="225">
                  <c:v>39888</c:v>
                </c:pt>
                <c:pt idx="226">
                  <c:v>39888</c:v>
                </c:pt>
                <c:pt idx="227">
                  <c:v>39916</c:v>
                </c:pt>
                <c:pt idx="228">
                  <c:v>39916</c:v>
                </c:pt>
                <c:pt idx="229">
                  <c:v>39946</c:v>
                </c:pt>
                <c:pt idx="230">
                  <c:v>39946</c:v>
                </c:pt>
                <c:pt idx="231">
                  <c:v>39983</c:v>
                </c:pt>
                <c:pt idx="232">
                  <c:v>39983</c:v>
                </c:pt>
                <c:pt idx="233">
                  <c:v>40007</c:v>
                </c:pt>
                <c:pt idx="234">
                  <c:v>40007</c:v>
                </c:pt>
                <c:pt idx="235">
                  <c:v>40042</c:v>
                </c:pt>
                <c:pt idx="236">
                  <c:v>40042</c:v>
                </c:pt>
                <c:pt idx="237">
                  <c:v>40071</c:v>
                </c:pt>
                <c:pt idx="238">
                  <c:v>40071</c:v>
                </c:pt>
                <c:pt idx="239">
                  <c:v>40100</c:v>
                </c:pt>
                <c:pt idx="240">
                  <c:v>40100</c:v>
                </c:pt>
                <c:pt idx="241">
                  <c:v>40133</c:v>
                </c:pt>
                <c:pt idx="242">
                  <c:v>40133</c:v>
                </c:pt>
                <c:pt idx="243">
                  <c:v>40161</c:v>
                </c:pt>
                <c:pt idx="244">
                  <c:v>40161</c:v>
                </c:pt>
                <c:pt idx="245">
                  <c:v>40197</c:v>
                </c:pt>
                <c:pt idx="246">
                  <c:v>40197</c:v>
                </c:pt>
                <c:pt idx="247">
                  <c:v>40225</c:v>
                </c:pt>
                <c:pt idx="248">
                  <c:v>40225</c:v>
                </c:pt>
                <c:pt idx="249">
                  <c:v>40255</c:v>
                </c:pt>
                <c:pt idx="250">
                  <c:v>40255</c:v>
                </c:pt>
                <c:pt idx="251">
                  <c:v>40281</c:v>
                </c:pt>
                <c:pt idx="252">
                  <c:v>40281</c:v>
                </c:pt>
                <c:pt idx="253">
                  <c:v>40317</c:v>
                </c:pt>
                <c:pt idx="254">
                  <c:v>40317</c:v>
                </c:pt>
                <c:pt idx="255">
                  <c:v>40345</c:v>
                </c:pt>
                <c:pt idx="256">
                  <c:v>40345</c:v>
                </c:pt>
                <c:pt idx="257">
                  <c:v>40373</c:v>
                </c:pt>
                <c:pt idx="258">
                  <c:v>40373</c:v>
                </c:pt>
                <c:pt idx="259">
                  <c:v>40409</c:v>
                </c:pt>
                <c:pt idx="260">
                  <c:v>40409</c:v>
                </c:pt>
                <c:pt idx="261">
                  <c:v>40434</c:v>
                </c:pt>
                <c:pt idx="262">
                  <c:v>40434</c:v>
                </c:pt>
                <c:pt idx="263">
                  <c:v>40463</c:v>
                </c:pt>
                <c:pt idx="264">
                  <c:v>40463</c:v>
                </c:pt>
                <c:pt idx="265">
                  <c:v>40500</c:v>
                </c:pt>
                <c:pt idx="266">
                  <c:v>40500</c:v>
                </c:pt>
                <c:pt idx="267">
                  <c:v>40521</c:v>
                </c:pt>
                <c:pt idx="268">
                  <c:v>40521</c:v>
                </c:pt>
                <c:pt idx="269">
                  <c:v>40563</c:v>
                </c:pt>
                <c:pt idx="270">
                  <c:v>40563</c:v>
                </c:pt>
                <c:pt idx="271">
                  <c:v>40598</c:v>
                </c:pt>
                <c:pt idx="272">
                  <c:v>40598</c:v>
                </c:pt>
                <c:pt idx="273">
                  <c:v>40617</c:v>
                </c:pt>
                <c:pt idx="274">
                  <c:v>40617</c:v>
                </c:pt>
                <c:pt idx="275">
                  <c:v>40647</c:v>
                </c:pt>
                <c:pt idx="276">
                  <c:v>40647</c:v>
                </c:pt>
                <c:pt idx="277">
                  <c:v>40682</c:v>
                </c:pt>
                <c:pt idx="278">
                  <c:v>40682</c:v>
                </c:pt>
                <c:pt idx="279">
                  <c:v>40709</c:v>
                </c:pt>
                <c:pt idx="280">
                  <c:v>40709</c:v>
                </c:pt>
                <c:pt idx="281">
                  <c:v>40736</c:v>
                </c:pt>
                <c:pt idx="282">
                  <c:v>40736</c:v>
                </c:pt>
                <c:pt idx="283">
                  <c:v>40772</c:v>
                </c:pt>
                <c:pt idx="284">
                  <c:v>40772</c:v>
                </c:pt>
                <c:pt idx="285">
                  <c:v>40798</c:v>
                </c:pt>
                <c:pt idx="286">
                  <c:v>40798</c:v>
                </c:pt>
                <c:pt idx="287">
                  <c:v>40829</c:v>
                </c:pt>
                <c:pt idx="288">
                  <c:v>40829</c:v>
                </c:pt>
                <c:pt idx="289">
                  <c:v>40877</c:v>
                </c:pt>
                <c:pt idx="290">
                  <c:v>40877</c:v>
                </c:pt>
                <c:pt idx="291">
                  <c:v>40891</c:v>
                </c:pt>
                <c:pt idx="292">
                  <c:v>40891</c:v>
                </c:pt>
                <c:pt idx="293">
                  <c:v>40919</c:v>
                </c:pt>
                <c:pt idx="294">
                  <c:v>40919</c:v>
                </c:pt>
                <c:pt idx="295">
                  <c:v>40960</c:v>
                </c:pt>
                <c:pt idx="296">
                  <c:v>40960</c:v>
                </c:pt>
                <c:pt idx="297">
                  <c:v>40982</c:v>
                </c:pt>
                <c:pt idx="298">
                  <c:v>40982</c:v>
                </c:pt>
                <c:pt idx="299">
                  <c:v>41016</c:v>
                </c:pt>
                <c:pt idx="300">
                  <c:v>41016</c:v>
                </c:pt>
                <c:pt idx="301">
                  <c:v>41051</c:v>
                </c:pt>
                <c:pt idx="302">
                  <c:v>41051</c:v>
                </c:pt>
                <c:pt idx="303">
                  <c:v>41080</c:v>
                </c:pt>
                <c:pt idx="304">
                  <c:v>41080</c:v>
                </c:pt>
                <c:pt idx="305">
                  <c:v>41106</c:v>
                </c:pt>
                <c:pt idx="306">
                  <c:v>41106</c:v>
                </c:pt>
                <c:pt idx="307">
                  <c:v>41137</c:v>
                </c:pt>
                <c:pt idx="308">
                  <c:v>41137</c:v>
                </c:pt>
                <c:pt idx="309">
                  <c:v>41163</c:v>
                </c:pt>
                <c:pt idx="310">
                  <c:v>41163</c:v>
                </c:pt>
                <c:pt idx="311">
                  <c:v>41199</c:v>
                </c:pt>
                <c:pt idx="312">
                  <c:v>41199</c:v>
                </c:pt>
                <c:pt idx="313">
                  <c:v>41225</c:v>
                </c:pt>
                <c:pt idx="314">
                  <c:v>41225</c:v>
                </c:pt>
                <c:pt idx="315">
                  <c:v>41255</c:v>
                </c:pt>
                <c:pt idx="316">
                  <c:v>41255</c:v>
                </c:pt>
                <c:pt idx="317">
                  <c:v>41297</c:v>
                </c:pt>
                <c:pt idx="318">
                  <c:v>41297</c:v>
                </c:pt>
                <c:pt idx="319">
                  <c:v>41319</c:v>
                </c:pt>
                <c:pt idx="320">
                  <c:v>41319</c:v>
                </c:pt>
                <c:pt idx="321">
                  <c:v>41346</c:v>
                </c:pt>
                <c:pt idx="322">
                  <c:v>41346</c:v>
                </c:pt>
                <c:pt idx="323">
                  <c:v>41380</c:v>
                </c:pt>
                <c:pt idx="324">
                  <c:v>41380</c:v>
                </c:pt>
                <c:pt idx="325">
                  <c:v>41380</c:v>
                </c:pt>
                <c:pt idx="326">
                  <c:v>41407</c:v>
                </c:pt>
                <c:pt idx="327">
                  <c:v>41407</c:v>
                </c:pt>
                <c:pt idx="328">
                  <c:v>41437</c:v>
                </c:pt>
                <c:pt idx="329">
                  <c:v>41437</c:v>
                </c:pt>
                <c:pt idx="330">
                  <c:v>41470</c:v>
                </c:pt>
                <c:pt idx="331">
                  <c:v>41470</c:v>
                </c:pt>
                <c:pt idx="332">
                  <c:v>41498</c:v>
                </c:pt>
                <c:pt idx="333">
                  <c:v>41498</c:v>
                </c:pt>
                <c:pt idx="334">
                  <c:v>41535</c:v>
                </c:pt>
                <c:pt idx="335">
                  <c:v>41535</c:v>
                </c:pt>
                <c:pt idx="336">
                  <c:v>406810</c:v>
                </c:pt>
                <c:pt idx="337">
                  <c:v>406810</c:v>
                </c:pt>
                <c:pt idx="338">
                  <c:v>41599</c:v>
                </c:pt>
                <c:pt idx="339">
                  <c:v>41599</c:v>
                </c:pt>
                <c:pt idx="340">
                  <c:v>41627</c:v>
                </c:pt>
                <c:pt idx="341">
                  <c:v>41627</c:v>
                </c:pt>
                <c:pt idx="342">
                  <c:v>41655</c:v>
                </c:pt>
                <c:pt idx="343">
                  <c:v>41655</c:v>
                </c:pt>
                <c:pt idx="344">
                  <c:v>41690</c:v>
                </c:pt>
                <c:pt idx="345">
                  <c:v>41690</c:v>
                </c:pt>
                <c:pt idx="346">
                  <c:v>41718</c:v>
                </c:pt>
                <c:pt idx="347">
                  <c:v>41718</c:v>
                </c:pt>
                <c:pt idx="348">
                  <c:v>41750</c:v>
                </c:pt>
                <c:pt idx="349">
                  <c:v>41750</c:v>
                </c:pt>
                <c:pt idx="350">
                  <c:v>41406</c:v>
                </c:pt>
                <c:pt idx="351">
                  <c:v>41406</c:v>
                </c:pt>
                <c:pt idx="352">
                  <c:v>41807</c:v>
                </c:pt>
                <c:pt idx="353">
                  <c:v>41807</c:v>
                </c:pt>
                <c:pt idx="354">
                  <c:v>41837</c:v>
                </c:pt>
                <c:pt idx="355">
                  <c:v>41837</c:v>
                </c:pt>
                <c:pt idx="356">
                  <c:v>41862</c:v>
                </c:pt>
                <c:pt idx="357">
                  <c:v>41862</c:v>
                </c:pt>
                <c:pt idx="358">
                  <c:v>41897</c:v>
                </c:pt>
                <c:pt idx="359">
                  <c:v>41897</c:v>
                </c:pt>
                <c:pt idx="360">
                  <c:v>41928</c:v>
                </c:pt>
                <c:pt idx="361">
                  <c:v>41928</c:v>
                </c:pt>
                <c:pt idx="362">
                  <c:v>41955</c:v>
                </c:pt>
                <c:pt idx="363">
                  <c:v>41955</c:v>
                </c:pt>
                <c:pt idx="364">
                  <c:v>41992</c:v>
                </c:pt>
                <c:pt idx="365">
                  <c:v>41992</c:v>
                </c:pt>
                <c:pt idx="366">
                  <c:v>42014</c:v>
                </c:pt>
                <c:pt idx="367">
                  <c:v>42009</c:v>
                </c:pt>
                <c:pt idx="368">
                  <c:v>42036</c:v>
                </c:pt>
                <c:pt idx="369">
                  <c:v>42036</c:v>
                </c:pt>
                <c:pt idx="370">
                  <c:v>42064</c:v>
                </c:pt>
                <c:pt idx="371">
                  <c:v>42064</c:v>
                </c:pt>
                <c:pt idx="372">
                  <c:v>42095</c:v>
                </c:pt>
                <c:pt idx="373">
                  <c:v>42095</c:v>
                </c:pt>
                <c:pt idx="374">
                  <c:v>42125</c:v>
                </c:pt>
                <c:pt idx="375">
                  <c:v>42125</c:v>
                </c:pt>
                <c:pt idx="376">
                  <c:v>42156</c:v>
                </c:pt>
                <c:pt idx="377">
                  <c:v>42156</c:v>
                </c:pt>
                <c:pt idx="378">
                  <c:v>42186</c:v>
                </c:pt>
                <c:pt idx="379">
                  <c:v>42186</c:v>
                </c:pt>
                <c:pt idx="380">
                  <c:v>42217</c:v>
                </c:pt>
                <c:pt idx="381">
                  <c:v>42217</c:v>
                </c:pt>
                <c:pt idx="382">
                  <c:v>42248</c:v>
                </c:pt>
                <c:pt idx="383">
                  <c:v>42248</c:v>
                </c:pt>
                <c:pt idx="384">
                  <c:v>42278</c:v>
                </c:pt>
                <c:pt idx="385">
                  <c:v>42278</c:v>
                </c:pt>
                <c:pt idx="386">
                  <c:v>42309</c:v>
                </c:pt>
                <c:pt idx="387">
                  <c:v>42309</c:v>
                </c:pt>
                <c:pt idx="388">
                  <c:v>42339</c:v>
                </c:pt>
                <c:pt idx="389">
                  <c:v>42339</c:v>
                </c:pt>
                <c:pt idx="390">
                  <c:v>42379</c:v>
                </c:pt>
                <c:pt idx="391">
                  <c:v>42374</c:v>
                </c:pt>
                <c:pt idx="392">
                  <c:v>42401</c:v>
                </c:pt>
                <c:pt idx="393">
                  <c:v>42401</c:v>
                </c:pt>
                <c:pt idx="394">
                  <c:v>42430</c:v>
                </c:pt>
                <c:pt idx="395">
                  <c:v>42430</c:v>
                </c:pt>
                <c:pt idx="396">
                  <c:v>42461</c:v>
                </c:pt>
                <c:pt idx="397">
                  <c:v>42461</c:v>
                </c:pt>
                <c:pt idx="398">
                  <c:v>42491</c:v>
                </c:pt>
                <c:pt idx="399">
                  <c:v>42491</c:v>
                </c:pt>
                <c:pt idx="400">
                  <c:v>42522</c:v>
                </c:pt>
                <c:pt idx="401">
                  <c:v>42522</c:v>
                </c:pt>
                <c:pt idx="402">
                  <c:v>42552</c:v>
                </c:pt>
                <c:pt idx="403">
                  <c:v>42552</c:v>
                </c:pt>
                <c:pt idx="404">
                  <c:v>42583</c:v>
                </c:pt>
                <c:pt idx="405">
                  <c:v>42583</c:v>
                </c:pt>
                <c:pt idx="406">
                  <c:v>42614</c:v>
                </c:pt>
                <c:pt idx="407">
                  <c:v>42614</c:v>
                </c:pt>
                <c:pt idx="408">
                  <c:v>42644</c:v>
                </c:pt>
                <c:pt idx="409">
                  <c:v>42644</c:v>
                </c:pt>
                <c:pt idx="410">
                  <c:v>42675</c:v>
                </c:pt>
                <c:pt idx="411">
                  <c:v>42675</c:v>
                </c:pt>
                <c:pt idx="412">
                  <c:v>42705</c:v>
                </c:pt>
                <c:pt idx="413">
                  <c:v>42705</c:v>
                </c:pt>
                <c:pt idx="414">
                  <c:v>42745</c:v>
                </c:pt>
                <c:pt idx="415">
                  <c:v>42740</c:v>
                </c:pt>
                <c:pt idx="416">
                  <c:v>42767</c:v>
                </c:pt>
                <c:pt idx="417">
                  <c:v>42767</c:v>
                </c:pt>
                <c:pt idx="418">
                  <c:v>42795</c:v>
                </c:pt>
                <c:pt idx="419">
                  <c:v>42795</c:v>
                </c:pt>
                <c:pt idx="420">
                  <c:v>42826</c:v>
                </c:pt>
                <c:pt idx="421">
                  <c:v>42826</c:v>
                </c:pt>
                <c:pt idx="422">
                  <c:v>42856</c:v>
                </c:pt>
                <c:pt idx="423">
                  <c:v>42856</c:v>
                </c:pt>
                <c:pt idx="424">
                  <c:v>42887</c:v>
                </c:pt>
                <c:pt idx="425">
                  <c:v>42887</c:v>
                </c:pt>
                <c:pt idx="426">
                  <c:v>42917</c:v>
                </c:pt>
                <c:pt idx="427">
                  <c:v>42917</c:v>
                </c:pt>
                <c:pt idx="428">
                  <c:v>42948</c:v>
                </c:pt>
                <c:pt idx="429">
                  <c:v>42948</c:v>
                </c:pt>
                <c:pt idx="430">
                  <c:v>42979</c:v>
                </c:pt>
                <c:pt idx="431">
                  <c:v>42979</c:v>
                </c:pt>
                <c:pt idx="432">
                  <c:v>43009</c:v>
                </c:pt>
                <c:pt idx="433">
                  <c:v>43009</c:v>
                </c:pt>
                <c:pt idx="434">
                  <c:v>43040</c:v>
                </c:pt>
                <c:pt idx="435">
                  <c:v>43040</c:v>
                </c:pt>
                <c:pt idx="436">
                  <c:v>43070</c:v>
                </c:pt>
                <c:pt idx="437">
                  <c:v>43070</c:v>
                </c:pt>
                <c:pt idx="438">
                  <c:v>43110</c:v>
                </c:pt>
                <c:pt idx="439">
                  <c:v>43105</c:v>
                </c:pt>
                <c:pt idx="440">
                  <c:v>43132</c:v>
                </c:pt>
                <c:pt idx="441">
                  <c:v>43132</c:v>
                </c:pt>
                <c:pt idx="442">
                  <c:v>43160</c:v>
                </c:pt>
                <c:pt idx="443">
                  <c:v>43160</c:v>
                </c:pt>
                <c:pt idx="444">
                  <c:v>43191</c:v>
                </c:pt>
                <c:pt idx="445">
                  <c:v>43191</c:v>
                </c:pt>
                <c:pt idx="446">
                  <c:v>43221</c:v>
                </c:pt>
                <c:pt idx="447">
                  <c:v>43221</c:v>
                </c:pt>
                <c:pt idx="448">
                  <c:v>43252</c:v>
                </c:pt>
                <c:pt idx="449">
                  <c:v>43252</c:v>
                </c:pt>
                <c:pt idx="450">
                  <c:v>43282</c:v>
                </c:pt>
                <c:pt idx="451">
                  <c:v>43282</c:v>
                </c:pt>
                <c:pt idx="452">
                  <c:v>43313</c:v>
                </c:pt>
                <c:pt idx="453">
                  <c:v>43313</c:v>
                </c:pt>
                <c:pt idx="454">
                  <c:v>43344</c:v>
                </c:pt>
                <c:pt idx="455">
                  <c:v>43344</c:v>
                </c:pt>
                <c:pt idx="456">
                  <c:v>43374</c:v>
                </c:pt>
                <c:pt idx="457">
                  <c:v>43374</c:v>
                </c:pt>
                <c:pt idx="458">
                  <c:v>43405</c:v>
                </c:pt>
                <c:pt idx="459">
                  <c:v>43405</c:v>
                </c:pt>
                <c:pt idx="460">
                  <c:v>43435</c:v>
                </c:pt>
                <c:pt idx="461">
                  <c:v>43435</c:v>
                </c:pt>
                <c:pt idx="462">
                  <c:v>43475</c:v>
                </c:pt>
                <c:pt idx="463">
                  <c:v>43470</c:v>
                </c:pt>
                <c:pt idx="464">
                  <c:v>43497</c:v>
                </c:pt>
                <c:pt idx="465">
                  <c:v>43497</c:v>
                </c:pt>
                <c:pt idx="466">
                  <c:v>43525</c:v>
                </c:pt>
                <c:pt idx="467">
                  <c:v>43525</c:v>
                </c:pt>
                <c:pt idx="468">
                  <c:v>43556</c:v>
                </c:pt>
                <c:pt idx="469">
                  <c:v>43556</c:v>
                </c:pt>
                <c:pt idx="470">
                  <c:v>43586</c:v>
                </c:pt>
                <c:pt idx="471">
                  <c:v>43586</c:v>
                </c:pt>
                <c:pt idx="472">
                  <c:v>43617</c:v>
                </c:pt>
                <c:pt idx="473">
                  <c:v>43617</c:v>
                </c:pt>
                <c:pt idx="474">
                  <c:v>43647</c:v>
                </c:pt>
                <c:pt idx="475">
                  <c:v>43647</c:v>
                </c:pt>
                <c:pt idx="476">
                  <c:v>43678</c:v>
                </c:pt>
                <c:pt idx="477">
                  <c:v>43678</c:v>
                </c:pt>
                <c:pt idx="478">
                  <c:v>43709</c:v>
                </c:pt>
                <c:pt idx="479">
                  <c:v>43709</c:v>
                </c:pt>
                <c:pt idx="480">
                  <c:v>43739</c:v>
                </c:pt>
                <c:pt idx="481">
                  <c:v>43739</c:v>
                </c:pt>
                <c:pt idx="482">
                  <c:v>43770</c:v>
                </c:pt>
                <c:pt idx="483">
                  <c:v>43770</c:v>
                </c:pt>
                <c:pt idx="484">
                  <c:v>43800</c:v>
                </c:pt>
                <c:pt idx="485">
                  <c:v>43800</c:v>
                </c:pt>
              </c:numCache>
            </c:numRef>
          </c:xVal>
          <c:yVal>
            <c:numRef>
              <c:f>'Peridin update'!$N$4:$N$489</c:f>
              <c:numCache>
                <c:formatCode>General</c:formatCode>
                <c:ptCount val="486"/>
                <c:pt idx="0">
                  <c:v>-0.84323712792979022</c:v>
                </c:pt>
                <c:pt idx="2">
                  <c:v>-1.6864742558595804</c:v>
                </c:pt>
                <c:pt idx="4">
                  <c:v>-2.5297113837893708</c:v>
                </c:pt>
                <c:pt idx="6">
                  <c:v>-1.4669864430162989</c:v>
                </c:pt>
                <c:pt idx="8">
                  <c:v>-1.4245352235495468</c:v>
                </c:pt>
                <c:pt idx="10">
                  <c:v>-0.90762999649990705</c:v>
                </c:pt>
                <c:pt idx="12">
                  <c:v>-1.2183106834613402</c:v>
                </c:pt>
                <c:pt idx="14">
                  <c:v>-2.0615478113911303</c:v>
                </c:pt>
                <c:pt idx="16">
                  <c:v>-2.5094013039629934</c:v>
                </c:pt>
                <c:pt idx="18">
                  <c:v>-2.1352843048380139</c:v>
                </c:pt>
                <c:pt idx="20">
                  <c:v>-2.7497479835481471</c:v>
                </c:pt>
                <c:pt idx="22">
                  <c:v>-3.5929851114779372</c:v>
                </c:pt>
                <c:pt idx="24">
                  <c:v>-4.4362222394077273</c:v>
                </c:pt>
                <c:pt idx="26">
                  <c:v>-1.1795255445104509</c:v>
                </c:pt>
                <c:pt idx="28">
                  <c:v>1.2589282481176829</c:v>
                </c:pt>
                <c:pt idx="30">
                  <c:v>1.759646342894595</c:v>
                </c:pt>
                <c:pt idx="32">
                  <c:v>2.0489308907166937</c:v>
                </c:pt>
                <c:pt idx="34">
                  <c:v>1.2056937627869035</c:v>
                </c:pt>
                <c:pt idx="36">
                  <c:v>0.99842391128033547</c:v>
                </c:pt>
                <c:pt idx="38">
                  <c:v>0.15518678335054525</c:v>
                </c:pt>
                <c:pt idx="40">
                  <c:v>0.25508307904155969</c:v>
                </c:pt>
                <c:pt idx="42">
                  <c:v>0.84108262198932782</c:v>
                </c:pt>
                <c:pt idx="44">
                  <c:v>0.37672492637601473</c:v>
                </c:pt>
                <c:pt idx="46">
                  <c:v>-0.28375127993755378</c:v>
                </c:pt>
                <c:pt idx="48">
                  <c:v>-1.126988407867344</c:v>
                </c:pt>
                <c:pt idx="50">
                  <c:v>-1.9702255357971343</c:v>
                </c:pt>
                <c:pt idx="52">
                  <c:v>-2.8134626637269244</c:v>
                </c:pt>
                <c:pt idx="54">
                  <c:v>-2.870571709418491</c:v>
                </c:pt>
                <c:pt idx="56">
                  <c:v>-2.117031625256399</c:v>
                </c:pt>
                <c:pt idx="58">
                  <c:v>-1.3605707572944201</c:v>
                </c:pt>
                <c:pt idx="60">
                  <c:v>-1.7714643509445829</c:v>
                </c:pt>
                <c:pt idx="72">
                  <c:v>-2.0005230608745888</c:v>
                </c:pt>
                <c:pt idx="74">
                  <c:v>-2.3253922102854325</c:v>
                </c:pt>
                <c:pt idx="76">
                  <c:v>-1.3019260750873125</c:v>
                </c:pt>
                <c:pt idx="78">
                  <c:v>0.7664304441639207</c:v>
                </c:pt>
                <c:pt idx="80">
                  <c:v>2.1096833030427864</c:v>
                </c:pt>
                <c:pt idx="82">
                  <c:v>2.338572939746526</c:v>
                </c:pt>
                <c:pt idx="84">
                  <c:v>1.6501814410484696</c:v>
                </c:pt>
                <c:pt idx="86">
                  <c:v>1.0164798256062055</c:v>
                </c:pt>
                <c:pt idx="88">
                  <c:v>0.20296733649818632</c:v>
                </c:pt>
                <c:pt idx="90">
                  <c:v>5.4080033078169665E-2</c:v>
                </c:pt>
                <c:pt idx="92">
                  <c:v>-0.34229063244025804</c:v>
                </c:pt>
                <c:pt idx="94">
                  <c:v>-0.74205805732332863</c:v>
                </c:pt>
                <c:pt idx="96">
                  <c:v>-0.68851254631608017</c:v>
                </c:pt>
                <c:pt idx="98">
                  <c:v>-1.1014906369838839</c:v>
                </c:pt>
                <c:pt idx="100">
                  <c:v>-0.79649155704018693</c:v>
                </c:pt>
                <c:pt idx="102">
                  <c:v>-1.3516521165674757</c:v>
                </c:pt>
                <c:pt idx="104">
                  <c:v>-1.595901146320059</c:v>
                </c:pt>
                <c:pt idx="106">
                  <c:v>-2.078712895728275</c:v>
                </c:pt>
                <c:pt idx="108">
                  <c:v>-1.055136632120361</c:v>
                </c:pt>
                <c:pt idx="110">
                  <c:v>-1.626793334383297</c:v>
                </c:pt>
                <c:pt idx="112">
                  <c:v>-2.4155693529737756</c:v>
                </c:pt>
                <c:pt idx="114">
                  <c:v>-1.9602630520392892</c:v>
                </c:pt>
                <c:pt idx="116">
                  <c:v>-2.3355618560696429</c:v>
                </c:pt>
                <c:pt idx="118">
                  <c:v>-2.989766154780527</c:v>
                </c:pt>
                <c:pt idx="120">
                  <c:v>-3.5153871159297765</c:v>
                </c:pt>
                <c:pt idx="122">
                  <c:v>-3.6108529752015164</c:v>
                </c:pt>
                <c:pt idx="124">
                  <c:v>-3.4321916785625541</c:v>
                </c:pt>
                <c:pt idx="126">
                  <c:v>-3.8849995098988859</c:v>
                </c:pt>
                <c:pt idx="128">
                  <c:v>-2.8409047807989385</c:v>
                </c:pt>
                <c:pt idx="130">
                  <c:v>-2.7652499760152947</c:v>
                </c:pt>
                <c:pt idx="132">
                  <c:v>-3.3330276773717031</c:v>
                </c:pt>
                <c:pt idx="134">
                  <c:v>-3.8059653933412183</c:v>
                </c:pt>
                <c:pt idx="136">
                  <c:v>-4.4341938685622004</c:v>
                </c:pt>
                <c:pt idx="138">
                  <c:v>-1.6919855139964524</c:v>
                </c:pt>
                <c:pt idx="140">
                  <c:v>-1.6227364446803572</c:v>
                </c:pt>
                <c:pt idx="142">
                  <c:v>-2.2881463342007753</c:v>
                </c:pt>
                <c:pt idx="144">
                  <c:v>-3.0040456468936112</c:v>
                </c:pt>
                <c:pt idx="146">
                  <c:v>-3.844859379303776</c:v>
                </c:pt>
                <c:pt idx="148">
                  <c:v>-4.4126637754646314</c:v>
                </c:pt>
                <c:pt idx="150">
                  <c:v>-4.2707890873847543</c:v>
                </c:pt>
                <c:pt idx="152">
                  <c:v>-3.1382004686784759</c:v>
                </c:pt>
                <c:pt idx="154">
                  <c:v>-2.9639832329910512</c:v>
                </c:pt>
                <c:pt idx="156">
                  <c:v>-2.5826149335006803</c:v>
                </c:pt>
                <c:pt idx="158">
                  <c:v>-3.2565921474615607</c:v>
                </c:pt>
                <c:pt idx="160">
                  <c:v>-4.0400975868830304</c:v>
                </c:pt>
                <c:pt idx="162">
                  <c:v>-4.6994942871593377</c:v>
                </c:pt>
                <c:pt idx="164">
                  <c:v>-5.417775147871013</c:v>
                </c:pt>
                <c:pt idx="166">
                  <c:v>-6.2075881972363822</c:v>
                </c:pt>
                <c:pt idx="168">
                  <c:v>-6.7149729877419659</c:v>
                </c:pt>
                <c:pt idx="170">
                  <c:v>-6.9277428224390389</c:v>
                </c:pt>
                <c:pt idx="172">
                  <c:v>-7.041719259363771</c:v>
                </c:pt>
                <c:pt idx="174">
                  <c:v>-5.0158924618596075</c:v>
                </c:pt>
                <c:pt idx="176">
                  <c:v>-5.458037938306747</c:v>
                </c:pt>
                <c:pt idx="178">
                  <c:v>-5.2124183471287298</c:v>
                </c:pt>
                <c:pt idx="180">
                  <c:v>-5.8113181645878607</c:v>
                </c:pt>
                <c:pt idx="182">
                  <c:v>-6.4370580691197796</c:v>
                </c:pt>
                <c:pt idx="184">
                  <c:v>-7.134003501963126</c:v>
                </c:pt>
                <c:pt idx="186">
                  <c:v>-6.4320266949065665</c:v>
                </c:pt>
                <c:pt idx="188">
                  <c:v>-7.2725048650129924</c:v>
                </c:pt>
                <c:pt idx="190">
                  <c:v>-8.0246525636952715</c:v>
                </c:pt>
                <c:pt idx="192">
                  <c:v>-8.7038275443569084</c:v>
                </c:pt>
                <c:pt idx="194">
                  <c:v>-9.5215451763948415</c:v>
                </c:pt>
                <c:pt idx="196">
                  <c:v>-9.32925044465388</c:v>
                </c:pt>
                <c:pt idx="198">
                  <c:v>-8.8962864898656822</c:v>
                </c:pt>
                <c:pt idx="200">
                  <c:v>-9.0331714439363662</c:v>
                </c:pt>
                <c:pt idx="202">
                  <c:v>-8.8606498238306877</c:v>
                </c:pt>
                <c:pt idx="204">
                  <c:v>-8.7313799748059555</c:v>
                </c:pt>
                <c:pt idx="206">
                  <c:v>-9.5652401170559358</c:v>
                </c:pt>
                <c:pt idx="208">
                  <c:v>-10.137235789671111</c:v>
                </c:pt>
                <c:pt idx="210">
                  <c:v>-7.8114459736411002</c:v>
                </c:pt>
                <c:pt idx="212">
                  <c:v>-7.7516562394366657</c:v>
                </c:pt>
                <c:pt idx="214">
                  <c:v>-8.1962877480285368</c:v>
                </c:pt>
                <c:pt idx="216">
                  <c:v>-8.711080079963196</c:v>
                </c:pt>
                <c:pt idx="218">
                  <c:v>-8.2217069088642489</c:v>
                </c:pt>
                <c:pt idx="220">
                  <c:v>-6.8475342863148043</c:v>
                </c:pt>
                <c:pt idx="222">
                  <c:v>-7.3343556405331372</c:v>
                </c:pt>
                <c:pt idx="224">
                  <c:v>-8.1615425603061524</c:v>
                </c:pt>
                <c:pt idx="226">
                  <c:v>-8.5702396039360735</c:v>
                </c:pt>
                <c:pt idx="228">
                  <c:v>-8.9011103849126787</c:v>
                </c:pt>
                <c:pt idx="230">
                  <c:v>-9.1533569930350041</c:v>
                </c:pt>
                <c:pt idx="232">
                  <c:v>-9.9206626071980963</c:v>
                </c:pt>
                <c:pt idx="234">
                  <c:v>-9.9654900630143608</c:v>
                </c:pt>
                <c:pt idx="236">
                  <c:v>-9.4133187544020895</c:v>
                </c:pt>
                <c:pt idx="238">
                  <c:v>-9.9347953647047138</c:v>
                </c:pt>
                <c:pt idx="240">
                  <c:v>-10.414379616430457</c:v>
                </c:pt>
                <c:pt idx="242">
                  <c:v>-10.456306428888025</c:v>
                </c:pt>
                <c:pt idx="244">
                  <c:v>-10.868688833207768</c:v>
                </c:pt>
                <c:pt idx="246">
                  <c:v>-10.625928705541819</c:v>
                </c:pt>
                <c:pt idx="248">
                  <c:v>-11.354813456502987</c:v>
                </c:pt>
                <c:pt idx="250">
                  <c:v>-11.947018894934665</c:v>
                </c:pt>
                <c:pt idx="252">
                  <c:v>-12.605938085358941</c:v>
                </c:pt>
                <c:pt idx="254">
                  <c:v>-13.21217794400493</c:v>
                </c:pt>
                <c:pt idx="256">
                  <c:v>-12.171003438986469</c:v>
                </c:pt>
                <c:pt idx="258">
                  <c:v>-12.108307155014536</c:v>
                </c:pt>
                <c:pt idx="260">
                  <c:v>-12.069713264082406</c:v>
                </c:pt>
                <c:pt idx="262">
                  <c:v>-12.677374232609001</c:v>
                </c:pt>
                <c:pt idx="264">
                  <c:v>-13.520611360538791</c:v>
                </c:pt>
                <c:pt idx="266">
                  <c:v>-12.845776952577468</c:v>
                </c:pt>
                <c:pt idx="268">
                  <c:v>-13.42317721608261</c:v>
                </c:pt>
                <c:pt idx="270">
                  <c:v>-13.772637969986272</c:v>
                </c:pt>
                <c:pt idx="272">
                  <c:v>-14.363923992456899</c:v>
                </c:pt>
                <c:pt idx="274">
                  <c:v>-14.383478553411836</c:v>
                </c:pt>
                <c:pt idx="276">
                  <c:v>-14.96571748762207</c:v>
                </c:pt>
                <c:pt idx="278">
                  <c:v>-15.415843918939766</c:v>
                </c:pt>
                <c:pt idx="280">
                  <c:v>-15.923251064067211</c:v>
                </c:pt>
                <c:pt idx="282">
                  <c:v>-13.490174258706412</c:v>
                </c:pt>
                <c:pt idx="284">
                  <c:v>-13.940083520823917</c:v>
                </c:pt>
                <c:pt idx="286">
                  <c:v>-14.690730257289276</c:v>
                </c:pt>
                <c:pt idx="288">
                  <c:v>-14.317375026570485</c:v>
                </c:pt>
                <c:pt idx="290">
                  <c:v>-14.114858139622623</c:v>
                </c:pt>
                <c:pt idx="292">
                  <c:v>-13.306459780412158</c:v>
                </c:pt>
                <c:pt idx="294">
                  <c:v>-12.070678072198659</c:v>
                </c:pt>
                <c:pt idx="296">
                  <c:v>-9.5867909261545172</c:v>
                </c:pt>
                <c:pt idx="298">
                  <c:v>-7.5954826268846993</c:v>
                </c:pt>
                <c:pt idx="300">
                  <c:v>-7.247028664494092</c:v>
                </c:pt>
                <c:pt idx="302">
                  <c:v>-7.9708719614592374</c:v>
                </c:pt>
                <c:pt idx="304">
                  <c:v>-7.5727789745714089</c:v>
                </c:pt>
                <c:pt idx="306">
                  <c:v>-6.690461974712945</c:v>
                </c:pt>
                <c:pt idx="308">
                  <c:v>-7.0564190699153553</c:v>
                </c:pt>
                <c:pt idx="310">
                  <c:v>-4.0529525363357983</c:v>
                </c:pt>
                <c:pt idx="312">
                  <c:v>-4.8961896642655889</c:v>
                </c:pt>
                <c:pt idx="314">
                  <c:v>-5.7394267921953794</c:v>
                </c:pt>
                <c:pt idx="316">
                  <c:v>-2.1651079066614751</c:v>
                </c:pt>
                <c:pt idx="318">
                  <c:v>-0.85770595557572782</c:v>
                </c:pt>
                <c:pt idx="320">
                  <c:v>-0.55561917800729543</c:v>
                </c:pt>
                <c:pt idx="322">
                  <c:v>-1.3988563059370858</c:v>
                </c:pt>
                <c:pt idx="325">
                  <c:v>-2.2420934338668759</c:v>
                </c:pt>
                <c:pt idx="327">
                  <c:v>-2.2953744727346108</c:v>
                </c:pt>
                <c:pt idx="329">
                  <c:v>-2.7119571871584105</c:v>
                </c:pt>
                <c:pt idx="331">
                  <c:v>2.5694441150628711</c:v>
                </c:pt>
                <c:pt idx="333">
                  <c:v>2.7044816691676958</c:v>
                </c:pt>
                <c:pt idx="335">
                  <c:v>1.8612445412379057</c:v>
                </c:pt>
                <c:pt idx="337">
                  <c:v>1.0180074133081156</c:v>
                </c:pt>
                <c:pt idx="339">
                  <c:v>0.1747702853783254</c:v>
                </c:pt>
                <c:pt idx="341">
                  <c:v>2.5038847931525638</c:v>
                </c:pt>
                <c:pt idx="343">
                  <c:v>2.7412975550054841</c:v>
                </c:pt>
                <c:pt idx="345">
                  <c:v>2.7905667416135458</c:v>
                </c:pt>
                <c:pt idx="347">
                  <c:v>2.680001542022775</c:v>
                </c:pt>
                <c:pt idx="349">
                  <c:v>2.8418154831682956</c:v>
                </c:pt>
                <c:pt idx="351">
                  <c:v>2.911422725326946</c:v>
                </c:pt>
                <c:pt idx="353">
                  <c:v>2.4456205445414039</c:v>
                </c:pt>
                <c:pt idx="355">
                  <c:v>2.0972143653338988</c:v>
                </c:pt>
                <c:pt idx="357">
                  <c:v>2.2948670292857956</c:v>
                </c:pt>
                <c:pt idx="359">
                  <c:v>1.8301543982840227</c:v>
                </c:pt>
                <c:pt idx="361">
                  <c:v>0.98691727035423249</c:v>
                </c:pt>
                <c:pt idx="363">
                  <c:v>0.14368014242444227</c:v>
                </c:pt>
                <c:pt idx="365">
                  <c:v>4.5708601221582192</c:v>
                </c:pt>
                <c:pt idx="367">
                  <c:v>4.1562674941493114</c:v>
                </c:pt>
                <c:pt idx="371">
                  <c:v>3.510065248296776</c:v>
                </c:pt>
                <c:pt idx="373">
                  <c:v>2.8500962311704696</c:v>
                </c:pt>
                <c:pt idx="375">
                  <c:v>2.1521526605617844</c:v>
                </c:pt>
                <c:pt idx="377">
                  <c:v>2.254780253125956</c:v>
                </c:pt>
                <c:pt idx="379">
                  <c:v>4.1049582468691925</c:v>
                </c:pt>
                <c:pt idx="381">
                  <c:v>3.4081695095567435</c:v>
                </c:pt>
                <c:pt idx="383">
                  <c:v>2.678421622606372</c:v>
                </c:pt>
                <c:pt idx="385">
                  <c:v>1.9498156047399364</c:v>
                </c:pt>
                <c:pt idx="387">
                  <c:v>1.7662004078153912</c:v>
                </c:pt>
                <c:pt idx="389">
                  <c:v>4.7725854578835261</c:v>
                </c:pt>
                <c:pt idx="391">
                  <c:v>4.244873690760139</c:v>
                </c:pt>
                <c:pt idx="393">
                  <c:v>5.2877101689649297</c:v>
                </c:pt>
                <c:pt idx="395">
                  <c:v>4.7780704245320722</c:v>
                </c:pt>
                <c:pt idx="397">
                  <c:v>4.1949409782683027</c:v>
                </c:pt>
                <c:pt idx="399">
                  <c:v>3.564481811448216</c:v>
                </c:pt>
                <c:pt idx="401">
                  <c:v>3.5697495938588615</c:v>
                </c:pt>
                <c:pt idx="403">
                  <c:v>2.9065521361853968</c:v>
                </c:pt>
                <c:pt idx="405">
                  <c:v>2.3372830096119981</c:v>
                </c:pt>
                <c:pt idx="407">
                  <c:v>2.4047584297021971</c:v>
                </c:pt>
                <c:pt idx="409">
                  <c:v>2.0772660643258138</c:v>
                </c:pt>
                <c:pt idx="411">
                  <c:v>3.5004659687437449</c:v>
                </c:pt>
                <c:pt idx="413">
                  <c:v>3.1183033411809853</c:v>
                </c:pt>
                <c:pt idx="419">
                  <c:v>2.3321336200308362</c:v>
                </c:pt>
                <c:pt idx="421">
                  <c:v>1.8447339374169416</c:v>
                </c:pt>
                <c:pt idx="423">
                  <c:v>5.3237537600632905</c:v>
                </c:pt>
                <c:pt idx="425">
                  <c:v>5.3267607330143338</c:v>
                </c:pt>
                <c:pt idx="427">
                  <c:v>5.9951060619866263</c:v>
                </c:pt>
                <c:pt idx="431">
                  <c:v>5.7117151462478475</c:v>
                </c:pt>
                <c:pt idx="435">
                  <c:v>5.0310290626292158</c:v>
                </c:pt>
                <c:pt idx="437">
                  <c:v>8.3850793028642627</c:v>
                </c:pt>
                <c:pt idx="439">
                  <c:v>7.7178744818780451</c:v>
                </c:pt>
                <c:pt idx="441">
                  <c:v>7.0027513814734332</c:v>
                </c:pt>
                <c:pt idx="443">
                  <c:v>6.3848143855117661</c:v>
                </c:pt>
                <c:pt idx="445">
                  <c:v>5.8491924368967281</c:v>
                </c:pt>
                <c:pt idx="447">
                  <c:v>6.0244343849025013</c:v>
                </c:pt>
                <c:pt idx="449">
                  <c:v>5.7780317334173166</c:v>
                </c:pt>
                <c:pt idx="451">
                  <c:v>5.3939790177951981</c:v>
                </c:pt>
                <c:pt idx="453">
                  <c:v>4.8897789799756657</c:v>
                </c:pt>
                <c:pt idx="455">
                  <c:v>4.3196549177951971</c:v>
                </c:pt>
                <c:pt idx="457">
                  <c:v>3.9146723883968271</c:v>
                </c:pt>
                <c:pt idx="467">
                  <c:v>3.1247678893160735</c:v>
                </c:pt>
                <c:pt idx="469">
                  <c:v>2.5463265059931084</c:v>
                </c:pt>
                <c:pt idx="471">
                  <c:v>1.7518287661502367</c:v>
                </c:pt>
                <c:pt idx="473">
                  <c:v>3.0490393741435824</c:v>
                </c:pt>
                <c:pt idx="475">
                  <c:v>3.5001679640333845</c:v>
                </c:pt>
                <c:pt idx="481">
                  <c:v>2.6701600985843292</c:v>
                </c:pt>
                <c:pt idx="485">
                  <c:v>2.1195794917020532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3B-B542-8A08-CA7EC9A4F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874416"/>
        <c:axId val="1128957088"/>
      </c:scatterChart>
      <c:valAx>
        <c:axId val="1128874416"/>
        <c:scaling>
          <c:orientation val="minMax"/>
          <c:max val="45150"/>
          <c:min val="343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7088"/>
        <c:crosses val="autoZero"/>
        <c:crossBetween val="midCat"/>
        <c:majorUnit val="1462"/>
        <c:minorUnit val="730"/>
      </c:valAx>
      <c:valAx>
        <c:axId val="11289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peridin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'Peridin update'!$B$4:$B$489</c:f>
              <c:numCache>
                <c:formatCode>[$-409]mmm\-yy;@</c:formatCode>
                <c:ptCount val="486"/>
                <c:pt idx="0">
                  <c:v>36446</c:v>
                </c:pt>
                <c:pt idx="1">
                  <c:v>36473</c:v>
                </c:pt>
                <c:pt idx="2">
                  <c:v>36473</c:v>
                </c:pt>
                <c:pt idx="3">
                  <c:v>36502</c:v>
                </c:pt>
                <c:pt idx="4">
                  <c:v>36502</c:v>
                </c:pt>
                <c:pt idx="5">
                  <c:v>36531</c:v>
                </c:pt>
                <c:pt idx="6">
                  <c:v>36531</c:v>
                </c:pt>
                <c:pt idx="7">
                  <c:v>36578</c:v>
                </c:pt>
                <c:pt idx="8">
                  <c:v>36578</c:v>
                </c:pt>
                <c:pt idx="9">
                  <c:v>36599</c:v>
                </c:pt>
                <c:pt idx="10">
                  <c:v>36599</c:v>
                </c:pt>
                <c:pt idx="11">
                  <c:v>36626</c:v>
                </c:pt>
                <c:pt idx="12">
                  <c:v>36626</c:v>
                </c:pt>
                <c:pt idx="13">
                  <c:v>36663</c:v>
                </c:pt>
                <c:pt idx="14">
                  <c:v>36663</c:v>
                </c:pt>
                <c:pt idx="15">
                  <c:v>36692</c:v>
                </c:pt>
                <c:pt idx="16">
                  <c:v>36692</c:v>
                </c:pt>
                <c:pt idx="17">
                  <c:v>36719</c:v>
                </c:pt>
                <c:pt idx="18">
                  <c:v>36719</c:v>
                </c:pt>
                <c:pt idx="19">
                  <c:v>36755</c:v>
                </c:pt>
                <c:pt idx="20">
                  <c:v>36755</c:v>
                </c:pt>
                <c:pt idx="21">
                  <c:v>36783</c:v>
                </c:pt>
                <c:pt idx="22">
                  <c:v>36783</c:v>
                </c:pt>
                <c:pt idx="23">
                  <c:v>36815</c:v>
                </c:pt>
                <c:pt idx="24">
                  <c:v>36815</c:v>
                </c:pt>
                <c:pt idx="25">
                  <c:v>36846</c:v>
                </c:pt>
                <c:pt idx="26">
                  <c:v>36846</c:v>
                </c:pt>
                <c:pt idx="27">
                  <c:v>36873</c:v>
                </c:pt>
                <c:pt idx="28">
                  <c:v>36873</c:v>
                </c:pt>
                <c:pt idx="29">
                  <c:v>36902</c:v>
                </c:pt>
                <c:pt idx="30">
                  <c:v>36902</c:v>
                </c:pt>
                <c:pt idx="31">
                  <c:v>36929</c:v>
                </c:pt>
                <c:pt idx="32">
                  <c:v>36929</c:v>
                </c:pt>
                <c:pt idx="33">
                  <c:v>36962</c:v>
                </c:pt>
                <c:pt idx="34">
                  <c:v>36962</c:v>
                </c:pt>
                <c:pt idx="35">
                  <c:v>36998</c:v>
                </c:pt>
                <c:pt idx="36">
                  <c:v>36998</c:v>
                </c:pt>
                <c:pt idx="37">
                  <c:v>37025</c:v>
                </c:pt>
                <c:pt idx="38">
                  <c:v>37025</c:v>
                </c:pt>
                <c:pt idx="39">
                  <c:v>37054</c:v>
                </c:pt>
                <c:pt idx="40">
                  <c:v>37054</c:v>
                </c:pt>
                <c:pt idx="41">
                  <c:v>37090</c:v>
                </c:pt>
                <c:pt idx="42">
                  <c:v>37090</c:v>
                </c:pt>
                <c:pt idx="43">
                  <c:v>37117</c:v>
                </c:pt>
                <c:pt idx="44">
                  <c:v>37117</c:v>
                </c:pt>
                <c:pt idx="45">
                  <c:v>37145</c:v>
                </c:pt>
                <c:pt idx="46">
                  <c:v>37145</c:v>
                </c:pt>
                <c:pt idx="47">
                  <c:v>37182</c:v>
                </c:pt>
                <c:pt idx="48">
                  <c:v>37182</c:v>
                </c:pt>
                <c:pt idx="49">
                  <c:v>37202</c:v>
                </c:pt>
                <c:pt idx="50">
                  <c:v>37202</c:v>
                </c:pt>
                <c:pt idx="51">
                  <c:v>37230</c:v>
                </c:pt>
                <c:pt idx="52">
                  <c:v>37230</c:v>
                </c:pt>
                <c:pt idx="53">
                  <c:v>37272</c:v>
                </c:pt>
                <c:pt idx="54">
                  <c:v>37272</c:v>
                </c:pt>
                <c:pt idx="55">
                  <c:v>37301</c:v>
                </c:pt>
                <c:pt idx="56">
                  <c:v>37301</c:v>
                </c:pt>
                <c:pt idx="57">
                  <c:v>37336</c:v>
                </c:pt>
                <c:pt idx="58">
                  <c:v>37336</c:v>
                </c:pt>
                <c:pt idx="59">
                  <c:v>37363</c:v>
                </c:pt>
                <c:pt idx="60">
                  <c:v>37363</c:v>
                </c:pt>
                <c:pt idx="61">
                  <c:v>37391</c:v>
                </c:pt>
                <c:pt idx="62">
                  <c:v>37391</c:v>
                </c:pt>
                <c:pt idx="63">
                  <c:v>37420</c:v>
                </c:pt>
                <c:pt idx="64">
                  <c:v>37420</c:v>
                </c:pt>
                <c:pt idx="65">
                  <c:v>37453</c:v>
                </c:pt>
                <c:pt idx="66">
                  <c:v>37453</c:v>
                </c:pt>
                <c:pt idx="67">
                  <c:v>37481</c:v>
                </c:pt>
                <c:pt idx="68">
                  <c:v>37481</c:v>
                </c:pt>
                <c:pt idx="69">
                  <c:v>37518</c:v>
                </c:pt>
                <c:pt idx="70">
                  <c:v>37518</c:v>
                </c:pt>
                <c:pt idx="71">
                  <c:v>37546</c:v>
                </c:pt>
                <c:pt idx="72">
                  <c:v>37546</c:v>
                </c:pt>
                <c:pt idx="73">
                  <c:v>37574</c:v>
                </c:pt>
                <c:pt idx="74">
                  <c:v>37574</c:v>
                </c:pt>
                <c:pt idx="75">
                  <c:v>37608</c:v>
                </c:pt>
                <c:pt idx="76">
                  <c:v>37608</c:v>
                </c:pt>
                <c:pt idx="77">
                  <c:v>37636</c:v>
                </c:pt>
                <c:pt idx="78">
                  <c:v>37636</c:v>
                </c:pt>
                <c:pt idx="79">
                  <c:v>37663</c:v>
                </c:pt>
                <c:pt idx="80">
                  <c:v>37663</c:v>
                </c:pt>
                <c:pt idx="81">
                  <c:v>37691</c:v>
                </c:pt>
                <c:pt idx="82">
                  <c:v>37691</c:v>
                </c:pt>
                <c:pt idx="83">
                  <c:v>37727</c:v>
                </c:pt>
                <c:pt idx="84">
                  <c:v>37727</c:v>
                </c:pt>
                <c:pt idx="85">
                  <c:v>37756</c:v>
                </c:pt>
                <c:pt idx="86">
                  <c:v>37756</c:v>
                </c:pt>
                <c:pt idx="87">
                  <c:v>37790</c:v>
                </c:pt>
                <c:pt idx="88">
                  <c:v>37790</c:v>
                </c:pt>
                <c:pt idx="89">
                  <c:v>37818</c:v>
                </c:pt>
                <c:pt idx="90">
                  <c:v>37818</c:v>
                </c:pt>
                <c:pt idx="91">
                  <c:v>37846</c:v>
                </c:pt>
                <c:pt idx="92">
                  <c:v>37846</c:v>
                </c:pt>
                <c:pt idx="93">
                  <c:v>37886</c:v>
                </c:pt>
                <c:pt idx="94">
                  <c:v>37886</c:v>
                </c:pt>
                <c:pt idx="95">
                  <c:v>37910</c:v>
                </c:pt>
                <c:pt idx="96">
                  <c:v>37910</c:v>
                </c:pt>
                <c:pt idx="97">
                  <c:v>37942</c:v>
                </c:pt>
                <c:pt idx="98">
                  <c:v>37942</c:v>
                </c:pt>
                <c:pt idx="99">
                  <c:v>37971</c:v>
                </c:pt>
                <c:pt idx="100">
                  <c:v>37971</c:v>
                </c:pt>
                <c:pt idx="101">
                  <c:v>37998</c:v>
                </c:pt>
                <c:pt idx="102">
                  <c:v>37998</c:v>
                </c:pt>
                <c:pt idx="103">
                  <c:v>38026</c:v>
                </c:pt>
                <c:pt idx="104">
                  <c:v>38026</c:v>
                </c:pt>
                <c:pt idx="105">
                  <c:v>38061</c:v>
                </c:pt>
                <c:pt idx="106">
                  <c:v>38061</c:v>
                </c:pt>
                <c:pt idx="107">
                  <c:v>38093</c:v>
                </c:pt>
                <c:pt idx="108">
                  <c:v>38093</c:v>
                </c:pt>
                <c:pt idx="109">
                  <c:v>38117</c:v>
                </c:pt>
                <c:pt idx="110">
                  <c:v>38117</c:v>
                </c:pt>
                <c:pt idx="111">
                  <c:v>38160</c:v>
                </c:pt>
                <c:pt idx="112">
                  <c:v>38160</c:v>
                </c:pt>
                <c:pt idx="113">
                  <c:v>38182</c:v>
                </c:pt>
                <c:pt idx="114">
                  <c:v>38183</c:v>
                </c:pt>
                <c:pt idx="115">
                  <c:v>38218</c:v>
                </c:pt>
                <c:pt idx="116">
                  <c:v>38218</c:v>
                </c:pt>
                <c:pt idx="117">
                  <c:v>38246</c:v>
                </c:pt>
                <c:pt idx="118">
                  <c:v>38246</c:v>
                </c:pt>
                <c:pt idx="119">
                  <c:v>38274</c:v>
                </c:pt>
                <c:pt idx="120">
                  <c:v>38274</c:v>
                </c:pt>
                <c:pt idx="121">
                  <c:v>38309</c:v>
                </c:pt>
                <c:pt idx="122">
                  <c:v>38309</c:v>
                </c:pt>
                <c:pt idx="123">
                  <c:v>38337</c:v>
                </c:pt>
                <c:pt idx="124">
                  <c:v>38337</c:v>
                </c:pt>
                <c:pt idx="125">
                  <c:v>38364</c:v>
                </c:pt>
                <c:pt idx="126">
                  <c:v>38364</c:v>
                </c:pt>
                <c:pt idx="127">
                  <c:v>38398</c:v>
                </c:pt>
                <c:pt idx="128">
                  <c:v>38398</c:v>
                </c:pt>
                <c:pt idx="129">
                  <c:v>38427</c:v>
                </c:pt>
                <c:pt idx="130">
                  <c:v>38427</c:v>
                </c:pt>
                <c:pt idx="131">
                  <c:v>38470</c:v>
                </c:pt>
                <c:pt idx="132">
                  <c:v>38470</c:v>
                </c:pt>
                <c:pt idx="133">
                  <c:v>38488</c:v>
                </c:pt>
                <c:pt idx="134">
                  <c:v>38488</c:v>
                </c:pt>
                <c:pt idx="135">
                  <c:v>38525</c:v>
                </c:pt>
                <c:pt idx="136">
                  <c:v>38525</c:v>
                </c:pt>
                <c:pt idx="137">
                  <c:v>38546</c:v>
                </c:pt>
                <c:pt idx="138">
                  <c:v>38546</c:v>
                </c:pt>
                <c:pt idx="139">
                  <c:v>38594</c:v>
                </c:pt>
                <c:pt idx="140">
                  <c:v>38594</c:v>
                </c:pt>
                <c:pt idx="141">
                  <c:v>38609</c:v>
                </c:pt>
                <c:pt idx="142">
                  <c:v>38609</c:v>
                </c:pt>
                <c:pt idx="143">
                  <c:v>38643</c:v>
                </c:pt>
                <c:pt idx="144">
                  <c:v>38643</c:v>
                </c:pt>
                <c:pt idx="145">
                  <c:v>38670</c:v>
                </c:pt>
                <c:pt idx="146">
                  <c:v>38670</c:v>
                </c:pt>
                <c:pt idx="147">
                  <c:v>38706</c:v>
                </c:pt>
                <c:pt idx="148">
                  <c:v>38706</c:v>
                </c:pt>
                <c:pt idx="149">
                  <c:v>38737</c:v>
                </c:pt>
                <c:pt idx="150">
                  <c:v>38737</c:v>
                </c:pt>
                <c:pt idx="151">
                  <c:v>38763</c:v>
                </c:pt>
                <c:pt idx="152">
                  <c:v>38763</c:v>
                </c:pt>
                <c:pt idx="153">
                  <c:v>38792</c:v>
                </c:pt>
                <c:pt idx="154">
                  <c:v>38792</c:v>
                </c:pt>
                <c:pt idx="155">
                  <c:v>38826</c:v>
                </c:pt>
                <c:pt idx="156">
                  <c:v>38826</c:v>
                </c:pt>
                <c:pt idx="157">
                  <c:v>38853</c:v>
                </c:pt>
                <c:pt idx="158">
                  <c:v>38853</c:v>
                </c:pt>
                <c:pt idx="159">
                  <c:v>38884</c:v>
                </c:pt>
                <c:pt idx="160">
                  <c:v>38884</c:v>
                </c:pt>
                <c:pt idx="161">
                  <c:v>38915</c:v>
                </c:pt>
                <c:pt idx="162">
                  <c:v>38915</c:v>
                </c:pt>
                <c:pt idx="163">
                  <c:v>38952</c:v>
                </c:pt>
                <c:pt idx="164">
                  <c:v>38952</c:v>
                </c:pt>
                <c:pt idx="165">
                  <c:v>38975</c:v>
                </c:pt>
                <c:pt idx="166">
                  <c:v>38975</c:v>
                </c:pt>
                <c:pt idx="167">
                  <c:v>39006</c:v>
                </c:pt>
                <c:pt idx="168">
                  <c:v>39006</c:v>
                </c:pt>
                <c:pt idx="169">
                  <c:v>39041</c:v>
                </c:pt>
                <c:pt idx="170">
                  <c:v>39041</c:v>
                </c:pt>
                <c:pt idx="171">
                  <c:v>39062</c:v>
                </c:pt>
                <c:pt idx="172">
                  <c:v>39062</c:v>
                </c:pt>
                <c:pt idx="173">
                  <c:v>39100</c:v>
                </c:pt>
                <c:pt idx="174">
                  <c:v>39100</c:v>
                </c:pt>
                <c:pt idx="175">
                  <c:v>39135</c:v>
                </c:pt>
                <c:pt idx="176">
                  <c:v>39135</c:v>
                </c:pt>
                <c:pt idx="177">
                  <c:v>39153</c:v>
                </c:pt>
                <c:pt idx="178">
                  <c:v>39153</c:v>
                </c:pt>
                <c:pt idx="179">
                  <c:v>39191</c:v>
                </c:pt>
                <c:pt idx="180">
                  <c:v>39191</c:v>
                </c:pt>
                <c:pt idx="181">
                  <c:v>39216</c:v>
                </c:pt>
                <c:pt idx="182">
                  <c:v>39216</c:v>
                </c:pt>
                <c:pt idx="183">
                  <c:v>39248</c:v>
                </c:pt>
                <c:pt idx="184">
                  <c:v>39248</c:v>
                </c:pt>
                <c:pt idx="185">
                  <c:v>39279</c:v>
                </c:pt>
                <c:pt idx="186">
                  <c:v>39279</c:v>
                </c:pt>
                <c:pt idx="187">
                  <c:v>39308</c:v>
                </c:pt>
                <c:pt idx="188">
                  <c:v>39308</c:v>
                </c:pt>
                <c:pt idx="189">
                  <c:v>39335</c:v>
                </c:pt>
                <c:pt idx="190">
                  <c:v>39335</c:v>
                </c:pt>
                <c:pt idx="191">
                  <c:v>39370</c:v>
                </c:pt>
                <c:pt idx="192">
                  <c:v>39370</c:v>
                </c:pt>
                <c:pt idx="193">
                  <c:v>39400</c:v>
                </c:pt>
                <c:pt idx="194">
                  <c:v>39400</c:v>
                </c:pt>
                <c:pt idx="195">
                  <c:v>39434</c:v>
                </c:pt>
                <c:pt idx="196">
                  <c:v>39434</c:v>
                </c:pt>
                <c:pt idx="197">
                  <c:v>39463</c:v>
                </c:pt>
                <c:pt idx="198">
                  <c:v>39463</c:v>
                </c:pt>
                <c:pt idx="199">
                  <c:v>39493</c:v>
                </c:pt>
                <c:pt idx="200">
                  <c:v>39493</c:v>
                </c:pt>
                <c:pt idx="201">
                  <c:v>39517</c:v>
                </c:pt>
                <c:pt idx="202">
                  <c:v>39517</c:v>
                </c:pt>
                <c:pt idx="203">
                  <c:v>39552</c:v>
                </c:pt>
                <c:pt idx="204">
                  <c:v>39552</c:v>
                </c:pt>
                <c:pt idx="205">
                  <c:v>39583</c:v>
                </c:pt>
                <c:pt idx="206">
                  <c:v>39583</c:v>
                </c:pt>
                <c:pt idx="207">
                  <c:v>39617</c:v>
                </c:pt>
                <c:pt idx="208">
                  <c:v>39617</c:v>
                </c:pt>
                <c:pt idx="209">
                  <c:v>39645</c:v>
                </c:pt>
                <c:pt idx="210">
                  <c:v>39645</c:v>
                </c:pt>
                <c:pt idx="211">
                  <c:v>39672</c:v>
                </c:pt>
                <c:pt idx="212">
                  <c:v>39672</c:v>
                </c:pt>
                <c:pt idx="213">
                  <c:v>39709</c:v>
                </c:pt>
                <c:pt idx="214">
                  <c:v>39709</c:v>
                </c:pt>
                <c:pt idx="215">
                  <c:v>39735</c:v>
                </c:pt>
                <c:pt idx="216">
                  <c:v>39735</c:v>
                </c:pt>
                <c:pt idx="217">
                  <c:v>39769</c:v>
                </c:pt>
                <c:pt idx="218">
                  <c:v>39769</c:v>
                </c:pt>
                <c:pt idx="219">
                  <c:v>39797</c:v>
                </c:pt>
                <c:pt idx="220">
                  <c:v>39797</c:v>
                </c:pt>
                <c:pt idx="221">
                  <c:v>39826</c:v>
                </c:pt>
                <c:pt idx="222">
                  <c:v>39826</c:v>
                </c:pt>
                <c:pt idx="223">
                  <c:v>39861</c:v>
                </c:pt>
                <c:pt idx="224">
                  <c:v>39861</c:v>
                </c:pt>
                <c:pt idx="225">
                  <c:v>39888</c:v>
                </c:pt>
                <c:pt idx="226">
                  <c:v>39888</c:v>
                </c:pt>
                <c:pt idx="227">
                  <c:v>39916</c:v>
                </c:pt>
                <c:pt idx="228">
                  <c:v>39916</c:v>
                </c:pt>
                <c:pt idx="229">
                  <c:v>39946</c:v>
                </c:pt>
                <c:pt idx="230">
                  <c:v>39946</c:v>
                </c:pt>
                <c:pt idx="231">
                  <c:v>39983</c:v>
                </c:pt>
                <c:pt idx="232">
                  <c:v>39983</c:v>
                </c:pt>
                <c:pt idx="233">
                  <c:v>40007</c:v>
                </c:pt>
                <c:pt idx="234">
                  <c:v>40007</c:v>
                </c:pt>
                <c:pt idx="235">
                  <c:v>40042</c:v>
                </c:pt>
                <c:pt idx="236">
                  <c:v>40042</c:v>
                </c:pt>
                <c:pt idx="237">
                  <c:v>40071</c:v>
                </c:pt>
                <c:pt idx="238">
                  <c:v>40071</c:v>
                </c:pt>
                <c:pt idx="239">
                  <c:v>40100</c:v>
                </c:pt>
                <c:pt idx="240">
                  <c:v>40100</c:v>
                </c:pt>
                <c:pt idx="241">
                  <c:v>40133</c:v>
                </c:pt>
                <c:pt idx="242">
                  <c:v>40133</c:v>
                </c:pt>
                <c:pt idx="243">
                  <c:v>40161</c:v>
                </c:pt>
                <c:pt idx="244">
                  <c:v>40161</c:v>
                </c:pt>
                <c:pt idx="245">
                  <c:v>40197</c:v>
                </c:pt>
                <c:pt idx="246">
                  <c:v>40197</c:v>
                </c:pt>
                <c:pt idx="247">
                  <c:v>40225</c:v>
                </c:pt>
                <c:pt idx="248">
                  <c:v>40225</c:v>
                </c:pt>
                <c:pt idx="249">
                  <c:v>40255</c:v>
                </c:pt>
                <c:pt idx="250">
                  <c:v>40255</c:v>
                </c:pt>
                <c:pt idx="251">
                  <c:v>40281</c:v>
                </c:pt>
                <c:pt idx="252">
                  <c:v>40281</c:v>
                </c:pt>
                <c:pt idx="253">
                  <c:v>40317</c:v>
                </c:pt>
                <c:pt idx="254">
                  <c:v>40317</c:v>
                </c:pt>
                <c:pt idx="255">
                  <c:v>40345</c:v>
                </c:pt>
                <c:pt idx="256">
                  <c:v>40345</c:v>
                </c:pt>
                <c:pt idx="257">
                  <c:v>40373</c:v>
                </c:pt>
                <c:pt idx="258">
                  <c:v>40373</c:v>
                </c:pt>
                <c:pt idx="259">
                  <c:v>40409</c:v>
                </c:pt>
                <c:pt idx="260">
                  <c:v>40409</c:v>
                </c:pt>
                <c:pt idx="261">
                  <c:v>40434</c:v>
                </c:pt>
                <c:pt idx="262">
                  <c:v>40434</c:v>
                </c:pt>
                <c:pt idx="263">
                  <c:v>40463</c:v>
                </c:pt>
                <c:pt idx="264">
                  <c:v>40463</c:v>
                </c:pt>
                <c:pt idx="265">
                  <c:v>40500</c:v>
                </c:pt>
                <c:pt idx="266">
                  <c:v>40500</c:v>
                </c:pt>
                <c:pt idx="267">
                  <c:v>40521</c:v>
                </c:pt>
                <c:pt idx="268">
                  <c:v>40521</c:v>
                </c:pt>
                <c:pt idx="269">
                  <c:v>40563</c:v>
                </c:pt>
                <c:pt idx="270">
                  <c:v>40563</c:v>
                </c:pt>
                <c:pt idx="271">
                  <c:v>40598</c:v>
                </c:pt>
                <c:pt idx="272">
                  <c:v>40598</c:v>
                </c:pt>
                <c:pt idx="273">
                  <c:v>40617</c:v>
                </c:pt>
                <c:pt idx="274">
                  <c:v>40617</c:v>
                </c:pt>
                <c:pt idx="275">
                  <c:v>40647</c:v>
                </c:pt>
                <c:pt idx="276">
                  <c:v>40647</c:v>
                </c:pt>
                <c:pt idx="277">
                  <c:v>40682</c:v>
                </c:pt>
                <c:pt idx="278">
                  <c:v>40682</c:v>
                </c:pt>
                <c:pt idx="279">
                  <c:v>40709</c:v>
                </c:pt>
                <c:pt idx="280">
                  <c:v>40709</c:v>
                </c:pt>
                <c:pt idx="281">
                  <c:v>40736</c:v>
                </c:pt>
                <c:pt idx="282">
                  <c:v>40736</c:v>
                </c:pt>
                <c:pt idx="283">
                  <c:v>40772</c:v>
                </c:pt>
                <c:pt idx="284">
                  <c:v>40772</c:v>
                </c:pt>
                <c:pt idx="285">
                  <c:v>40798</c:v>
                </c:pt>
                <c:pt idx="286">
                  <c:v>40798</c:v>
                </c:pt>
                <c:pt idx="287">
                  <c:v>40829</c:v>
                </c:pt>
                <c:pt idx="288">
                  <c:v>40829</c:v>
                </c:pt>
                <c:pt idx="289">
                  <c:v>40877</c:v>
                </c:pt>
                <c:pt idx="290">
                  <c:v>40877</c:v>
                </c:pt>
                <c:pt idx="291">
                  <c:v>40891</c:v>
                </c:pt>
                <c:pt idx="292">
                  <c:v>40891</c:v>
                </c:pt>
                <c:pt idx="293">
                  <c:v>40919</c:v>
                </c:pt>
                <c:pt idx="294">
                  <c:v>40919</c:v>
                </c:pt>
                <c:pt idx="295">
                  <c:v>40960</c:v>
                </c:pt>
                <c:pt idx="296">
                  <c:v>40960</c:v>
                </c:pt>
                <c:pt idx="297">
                  <c:v>40982</c:v>
                </c:pt>
                <c:pt idx="298">
                  <c:v>40982</c:v>
                </c:pt>
                <c:pt idx="299">
                  <c:v>41016</c:v>
                </c:pt>
                <c:pt idx="300">
                  <c:v>41016</c:v>
                </c:pt>
                <c:pt idx="301">
                  <c:v>41051</c:v>
                </c:pt>
                <c:pt idx="302">
                  <c:v>41051</c:v>
                </c:pt>
                <c:pt idx="303">
                  <c:v>41080</c:v>
                </c:pt>
                <c:pt idx="304">
                  <c:v>41080</c:v>
                </c:pt>
                <c:pt idx="305">
                  <c:v>41106</c:v>
                </c:pt>
                <c:pt idx="306">
                  <c:v>41106</c:v>
                </c:pt>
                <c:pt idx="307">
                  <c:v>41137</c:v>
                </c:pt>
                <c:pt idx="308">
                  <c:v>41137</c:v>
                </c:pt>
                <c:pt idx="309">
                  <c:v>41163</c:v>
                </c:pt>
                <c:pt idx="310">
                  <c:v>41163</c:v>
                </c:pt>
                <c:pt idx="311">
                  <c:v>41199</c:v>
                </c:pt>
                <c:pt idx="312">
                  <c:v>41199</c:v>
                </c:pt>
                <c:pt idx="313">
                  <c:v>41225</c:v>
                </c:pt>
                <c:pt idx="314">
                  <c:v>41225</c:v>
                </c:pt>
                <c:pt idx="315">
                  <c:v>41255</c:v>
                </c:pt>
                <c:pt idx="316">
                  <c:v>41255</c:v>
                </c:pt>
                <c:pt idx="317">
                  <c:v>41297</c:v>
                </c:pt>
                <c:pt idx="318">
                  <c:v>41297</c:v>
                </c:pt>
                <c:pt idx="319">
                  <c:v>41319</c:v>
                </c:pt>
                <c:pt idx="320">
                  <c:v>41319</c:v>
                </c:pt>
                <c:pt idx="321">
                  <c:v>41346</c:v>
                </c:pt>
                <c:pt idx="322">
                  <c:v>41346</c:v>
                </c:pt>
                <c:pt idx="323">
                  <c:v>41380</c:v>
                </c:pt>
                <c:pt idx="324">
                  <c:v>41380</c:v>
                </c:pt>
                <c:pt idx="325">
                  <c:v>41380</c:v>
                </c:pt>
                <c:pt idx="326">
                  <c:v>41407</c:v>
                </c:pt>
                <c:pt idx="327">
                  <c:v>41407</c:v>
                </c:pt>
                <c:pt idx="328">
                  <c:v>41437</c:v>
                </c:pt>
                <c:pt idx="329">
                  <c:v>41437</c:v>
                </c:pt>
                <c:pt idx="330">
                  <c:v>41470</c:v>
                </c:pt>
                <c:pt idx="331">
                  <c:v>41470</c:v>
                </c:pt>
                <c:pt idx="332">
                  <c:v>41498</c:v>
                </c:pt>
                <c:pt idx="333">
                  <c:v>41498</c:v>
                </c:pt>
                <c:pt idx="334">
                  <c:v>41535</c:v>
                </c:pt>
                <c:pt idx="335">
                  <c:v>41535</c:v>
                </c:pt>
                <c:pt idx="336">
                  <c:v>406810</c:v>
                </c:pt>
                <c:pt idx="337">
                  <c:v>406810</c:v>
                </c:pt>
                <c:pt idx="338">
                  <c:v>41599</c:v>
                </c:pt>
                <c:pt idx="339">
                  <c:v>41599</c:v>
                </c:pt>
                <c:pt idx="340">
                  <c:v>41627</c:v>
                </c:pt>
                <c:pt idx="341">
                  <c:v>41627</c:v>
                </c:pt>
                <c:pt idx="342">
                  <c:v>41655</c:v>
                </c:pt>
                <c:pt idx="343">
                  <c:v>41655</c:v>
                </c:pt>
                <c:pt idx="344">
                  <c:v>41690</c:v>
                </c:pt>
                <c:pt idx="345">
                  <c:v>41690</c:v>
                </c:pt>
                <c:pt idx="346">
                  <c:v>41718</c:v>
                </c:pt>
                <c:pt idx="347">
                  <c:v>41718</c:v>
                </c:pt>
                <c:pt idx="348">
                  <c:v>41750</c:v>
                </c:pt>
                <c:pt idx="349">
                  <c:v>41750</c:v>
                </c:pt>
                <c:pt idx="350">
                  <c:v>41406</c:v>
                </c:pt>
                <c:pt idx="351">
                  <c:v>41406</c:v>
                </c:pt>
                <c:pt idx="352">
                  <c:v>41807</c:v>
                </c:pt>
                <c:pt idx="353">
                  <c:v>41807</c:v>
                </c:pt>
                <c:pt idx="354">
                  <c:v>41837</c:v>
                </c:pt>
                <c:pt idx="355">
                  <c:v>41837</c:v>
                </c:pt>
                <c:pt idx="356">
                  <c:v>41862</c:v>
                </c:pt>
                <c:pt idx="357">
                  <c:v>41862</c:v>
                </c:pt>
                <c:pt idx="358">
                  <c:v>41897</c:v>
                </c:pt>
                <c:pt idx="359">
                  <c:v>41897</c:v>
                </c:pt>
                <c:pt idx="360">
                  <c:v>41928</c:v>
                </c:pt>
                <c:pt idx="361">
                  <c:v>41928</c:v>
                </c:pt>
                <c:pt idx="362">
                  <c:v>41955</c:v>
                </c:pt>
                <c:pt idx="363">
                  <c:v>41955</c:v>
                </c:pt>
                <c:pt idx="364">
                  <c:v>41992</c:v>
                </c:pt>
                <c:pt idx="365">
                  <c:v>41992</c:v>
                </c:pt>
                <c:pt idx="366">
                  <c:v>42014</c:v>
                </c:pt>
                <c:pt idx="367">
                  <c:v>42009</c:v>
                </c:pt>
                <c:pt idx="368">
                  <c:v>42036</c:v>
                </c:pt>
                <c:pt idx="369">
                  <c:v>42036</c:v>
                </c:pt>
                <c:pt idx="370">
                  <c:v>42064</c:v>
                </c:pt>
                <c:pt idx="371">
                  <c:v>42064</c:v>
                </c:pt>
                <c:pt idx="372">
                  <c:v>42095</c:v>
                </c:pt>
                <c:pt idx="373">
                  <c:v>42095</c:v>
                </c:pt>
                <c:pt idx="374">
                  <c:v>42125</c:v>
                </c:pt>
                <c:pt idx="375">
                  <c:v>42125</c:v>
                </c:pt>
                <c:pt idx="376">
                  <c:v>42156</c:v>
                </c:pt>
                <c:pt idx="377">
                  <c:v>42156</c:v>
                </c:pt>
                <c:pt idx="378">
                  <c:v>42186</c:v>
                </c:pt>
                <c:pt idx="379">
                  <c:v>42186</c:v>
                </c:pt>
                <c:pt idx="380">
                  <c:v>42217</c:v>
                </c:pt>
                <c:pt idx="381">
                  <c:v>42217</c:v>
                </c:pt>
                <c:pt idx="382">
                  <c:v>42248</c:v>
                </c:pt>
                <c:pt idx="383">
                  <c:v>42248</c:v>
                </c:pt>
                <c:pt idx="384">
                  <c:v>42278</c:v>
                </c:pt>
                <c:pt idx="385">
                  <c:v>42278</c:v>
                </c:pt>
                <c:pt idx="386">
                  <c:v>42309</c:v>
                </c:pt>
                <c:pt idx="387">
                  <c:v>42309</c:v>
                </c:pt>
                <c:pt idx="388">
                  <c:v>42339</c:v>
                </c:pt>
                <c:pt idx="389">
                  <c:v>42339</c:v>
                </c:pt>
                <c:pt idx="390">
                  <c:v>42379</c:v>
                </c:pt>
                <c:pt idx="391">
                  <c:v>42374</c:v>
                </c:pt>
                <c:pt idx="392">
                  <c:v>42401</c:v>
                </c:pt>
                <c:pt idx="393">
                  <c:v>42401</c:v>
                </c:pt>
                <c:pt idx="394">
                  <c:v>42430</c:v>
                </c:pt>
                <c:pt idx="395">
                  <c:v>42430</c:v>
                </c:pt>
                <c:pt idx="396">
                  <c:v>42461</c:v>
                </c:pt>
                <c:pt idx="397">
                  <c:v>42461</c:v>
                </c:pt>
                <c:pt idx="398">
                  <c:v>42491</c:v>
                </c:pt>
                <c:pt idx="399">
                  <c:v>42491</c:v>
                </c:pt>
                <c:pt idx="400">
                  <c:v>42522</c:v>
                </c:pt>
                <c:pt idx="401">
                  <c:v>42522</c:v>
                </c:pt>
                <c:pt idx="402">
                  <c:v>42552</c:v>
                </c:pt>
                <c:pt idx="403">
                  <c:v>42552</c:v>
                </c:pt>
                <c:pt idx="404">
                  <c:v>42583</c:v>
                </c:pt>
                <c:pt idx="405">
                  <c:v>42583</c:v>
                </c:pt>
                <c:pt idx="406">
                  <c:v>42614</c:v>
                </c:pt>
                <c:pt idx="407">
                  <c:v>42614</c:v>
                </c:pt>
                <c:pt idx="408">
                  <c:v>42644</c:v>
                </c:pt>
                <c:pt idx="409">
                  <c:v>42644</c:v>
                </c:pt>
                <c:pt idx="410">
                  <c:v>42675</c:v>
                </c:pt>
                <c:pt idx="411">
                  <c:v>42675</c:v>
                </c:pt>
                <c:pt idx="412">
                  <c:v>42705</c:v>
                </c:pt>
                <c:pt idx="413">
                  <c:v>42705</c:v>
                </c:pt>
                <c:pt idx="414">
                  <c:v>42745</c:v>
                </c:pt>
                <c:pt idx="415">
                  <c:v>42740</c:v>
                </c:pt>
                <c:pt idx="416">
                  <c:v>42767</c:v>
                </c:pt>
                <c:pt idx="417">
                  <c:v>42767</c:v>
                </c:pt>
                <c:pt idx="418">
                  <c:v>42795</c:v>
                </c:pt>
                <c:pt idx="419">
                  <c:v>42795</c:v>
                </c:pt>
                <c:pt idx="420">
                  <c:v>42826</c:v>
                </c:pt>
                <c:pt idx="421">
                  <c:v>42826</c:v>
                </c:pt>
                <c:pt idx="422">
                  <c:v>42856</c:v>
                </c:pt>
                <c:pt idx="423">
                  <c:v>42856</c:v>
                </c:pt>
                <c:pt idx="424">
                  <c:v>42887</c:v>
                </c:pt>
                <c:pt idx="425">
                  <c:v>42887</c:v>
                </c:pt>
                <c:pt idx="426">
                  <c:v>42917</c:v>
                </c:pt>
                <c:pt idx="427">
                  <c:v>42917</c:v>
                </c:pt>
                <c:pt idx="428">
                  <c:v>42948</c:v>
                </c:pt>
                <c:pt idx="429">
                  <c:v>42948</c:v>
                </c:pt>
                <c:pt idx="430">
                  <c:v>42979</c:v>
                </c:pt>
                <c:pt idx="431">
                  <c:v>42979</c:v>
                </c:pt>
                <c:pt idx="432">
                  <c:v>43009</c:v>
                </c:pt>
                <c:pt idx="433">
                  <c:v>43009</c:v>
                </c:pt>
                <c:pt idx="434">
                  <c:v>43040</c:v>
                </c:pt>
                <c:pt idx="435">
                  <c:v>43040</c:v>
                </c:pt>
                <c:pt idx="436">
                  <c:v>43070</c:v>
                </c:pt>
                <c:pt idx="437">
                  <c:v>43070</c:v>
                </c:pt>
                <c:pt idx="438">
                  <c:v>43110</c:v>
                </c:pt>
                <c:pt idx="439">
                  <c:v>43105</c:v>
                </c:pt>
                <c:pt idx="440">
                  <c:v>43132</c:v>
                </c:pt>
                <c:pt idx="441">
                  <c:v>43132</c:v>
                </c:pt>
                <c:pt idx="442">
                  <c:v>43160</c:v>
                </c:pt>
                <c:pt idx="443">
                  <c:v>43160</c:v>
                </c:pt>
                <c:pt idx="444">
                  <c:v>43191</c:v>
                </c:pt>
                <c:pt idx="445">
                  <c:v>43191</c:v>
                </c:pt>
                <c:pt idx="446">
                  <c:v>43221</c:v>
                </c:pt>
                <c:pt idx="447">
                  <c:v>43221</c:v>
                </c:pt>
                <c:pt idx="448">
                  <c:v>43252</c:v>
                </c:pt>
                <c:pt idx="449">
                  <c:v>43252</c:v>
                </c:pt>
                <c:pt idx="450">
                  <c:v>43282</c:v>
                </c:pt>
                <c:pt idx="451">
                  <c:v>43282</c:v>
                </c:pt>
                <c:pt idx="452">
                  <c:v>43313</c:v>
                </c:pt>
                <c:pt idx="453">
                  <c:v>43313</c:v>
                </c:pt>
                <c:pt idx="454">
                  <c:v>43344</c:v>
                </c:pt>
                <c:pt idx="455">
                  <c:v>43344</c:v>
                </c:pt>
                <c:pt idx="456">
                  <c:v>43374</c:v>
                </c:pt>
                <c:pt idx="457">
                  <c:v>43374</c:v>
                </c:pt>
                <c:pt idx="458">
                  <c:v>43405</c:v>
                </c:pt>
                <c:pt idx="459">
                  <c:v>43405</c:v>
                </c:pt>
                <c:pt idx="460">
                  <c:v>43435</c:v>
                </c:pt>
                <c:pt idx="461">
                  <c:v>43435</c:v>
                </c:pt>
                <c:pt idx="462">
                  <c:v>43475</c:v>
                </c:pt>
                <c:pt idx="463">
                  <c:v>43470</c:v>
                </c:pt>
                <c:pt idx="464">
                  <c:v>43497</c:v>
                </c:pt>
                <c:pt idx="465">
                  <c:v>43497</c:v>
                </c:pt>
                <c:pt idx="466">
                  <c:v>43525</c:v>
                </c:pt>
                <c:pt idx="467">
                  <c:v>43525</c:v>
                </c:pt>
                <c:pt idx="468">
                  <c:v>43556</c:v>
                </c:pt>
                <c:pt idx="469">
                  <c:v>43556</c:v>
                </c:pt>
                <c:pt idx="470">
                  <c:v>43586</c:v>
                </c:pt>
                <c:pt idx="471">
                  <c:v>43586</c:v>
                </c:pt>
                <c:pt idx="472">
                  <c:v>43617</c:v>
                </c:pt>
                <c:pt idx="473">
                  <c:v>43617</c:v>
                </c:pt>
                <c:pt idx="474">
                  <c:v>43647</c:v>
                </c:pt>
                <c:pt idx="475">
                  <c:v>43647</c:v>
                </c:pt>
                <c:pt idx="476">
                  <c:v>43678</c:v>
                </c:pt>
                <c:pt idx="477">
                  <c:v>43678</c:v>
                </c:pt>
                <c:pt idx="478">
                  <c:v>43709</c:v>
                </c:pt>
                <c:pt idx="479">
                  <c:v>43709</c:v>
                </c:pt>
                <c:pt idx="480">
                  <c:v>43739</c:v>
                </c:pt>
                <c:pt idx="481">
                  <c:v>43739</c:v>
                </c:pt>
                <c:pt idx="482">
                  <c:v>43770</c:v>
                </c:pt>
                <c:pt idx="483">
                  <c:v>43770</c:v>
                </c:pt>
                <c:pt idx="484">
                  <c:v>43800</c:v>
                </c:pt>
                <c:pt idx="485">
                  <c:v>43800</c:v>
                </c:pt>
              </c:numCache>
            </c:numRef>
          </c:xVal>
          <c:yVal>
            <c:numRef>
              <c:f>'Peridin update'!$L$4:$L$489</c:f>
              <c:numCache>
                <c:formatCode>General</c:formatCode>
                <c:ptCount val="486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6.2362455704104633E-2</c:v>
                </c:pt>
                <c:pt idx="8">
                  <c:v>2.8979433137275832E-2</c:v>
                </c:pt>
                <c:pt idx="10">
                  <c:v>4.4503413135293046E-2</c:v>
                </c:pt>
                <c:pt idx="12">
                  <c:v>1.7425072620898222E-2</c:v>
                </c:pt>
                <c:pt idx="14">
                  <c:v>0</c:v>
                </c:pt>
                <c:pt idx="16">
                  <c:v>1.2936823272100806E-2</c:v>
                </c:pt>
                <c:pt idx="18">
                  <c:v>3.9831429004423421E-2</c:v>
                </c:pt>
                <c:pt idx="20">
                  <c:v>7.485392457440493E-3</c:v>
                </c:pt>
                <c:pt idx="22">
                  <c:v>0</c:v>
                </c:pt>
                <c:pt idx="24">
                  <c:v>0</c:v>
                </c:pt>
                <c:pt idx="26">
                  <c:v>0.13414849414596294</c:v>
                </c:pt>
                <c:pt idx="28">
                  <c:v>0.10737585392092151</c:v>
                </c:pt>
                <c:pt idx="30">
                  <c:v>4.3973775459963296E-2</c:v>
                </c:pt>
                <c:pt idx="32">
                  <c:v>3.7055738935078554E-2</c:v>
                </c:pt>
                <c:pt idx="34">
                  <c:v>0</c:v>
                </c:pt>
                <c:pt idx="36">
                  <c:v>2.0808641345205225E-2</c:v>
                </c:pt>
                <c:pt idx="38">
                  <c:v>0</c:v>
                </c:pt>
                <c:pt idx="40">
                  <c:v>3.0859017248775253E-2</c:v>
                </c:pt>
                <c:pt idx="42">
                  <c:v>4.6764156560021822E-2</c:v>
                </c:pt>
                <c:pt idx="44">
                  <c:v>1.2396811144889674E-2</c:v>
                </c:pt>
                <c:pt idx="46">
                  <c:v>5.9798775987654883E-3</c:v>
                </c:pt>
                <c:pt idx="48">
                  <c:v>0</c:v>
                </c:pt>
                <c:pt idx="50">
                  <c:v>0</c:v>
                </c:pt>
                <c:pt idx="52">
                  <c:v>0</c:v>
                </c:pt>
                <c:pt idx="54">
                  <c:v>2.5721853814068163E-2</c:v>
                </c:pt>
                <c:pt idx="56">
                  <c:v>5.2246028288576593E-2</c:v>
                </c:pt>
                <c:pt idx="58">
                  <c:v>5.2341595379513335E-2</c:v>
                </c:pt>
                <c:pt idx="60">
                  <c:v>1.4146139080206777E-2</c:v>
                </c:pt>
                <c:pt idx="72">
                  <c:v>2.0095717021795474E-2</c:v>
                </c:pt>
                <c:pt idx="74">
                  <c:v>1.6960830768691326E-2</c:v>
                </c:pt>
                <c:pt idx="76">
                  <c:v>6.1077920421967462E-2</c:v>
                </c:pt>
                <c:pt idx="78">
                  <c:v>9.5266392145071738E-2</c:v>
                </c:pt>
                <c:pt idx="80">
                  <c:v>7.1541237461573398E-2</c:v>
                </c:pt>
                <c:pt idx="82">
                  <c:v>3.5079637190338547E-2</c:v>
                </c:pt>
                <c:pt idx="84">
                  <c:v>5.0664983592827546E-3</c:v>
                </c:pt>
                <c:pt idx="86">
                  <c:v>6.855933457706906E-3</c:v>
                </c:pt>
                <c:pt idx="88">
                  <c:v>9.7258046331676583E-4</c:v>
                </c:pt>
                <c:pt idx="90">
                  <c:v>2.2718899229517787E-2</c:v>
                </c:pt>
                <c:pt idx="92">
                  <c:v>1.4621324540180598E-2</c:v>
                </c:pt>
                <c:pt idx="94">
                  <c:v>1.4510183684392631E-2</c:v>
                </c:pt>
                <c:pt idx="96">
                  <c:v>2.9342434729030219E-2</c:v>
                </c:pt>
                <c:pt idx="98">
                  <c:v>1.4077935019348189E-2</c:v>
                </c:pt>
                <c:pt idx="100">
                  <c:v>3.7569913287987304E-2</c:v>
                </c:pt>
                <c:pt idx="102">
                  <c:v>9.4257711270287724E-3</c:v>
                </c:pt>
                <c:pt idx="104">
                  <c:v>1.9598694723911351E-2</c:v>
                </c:pt>
                <c:pt idx="106">
                  <c:v>1.1793000538559492E-2</c:v>
                </c:pt>
                <c:pt idx="108">
                  <c:v>6.1081523787527722E-2</c:v>
                </c:pt>
                <c:pt idx="110">
                  <c:v>8.8860227303880577E-3</c:v>
                </c:pt>
                <c:pt idx="112">
                  <c:v>1.7819496906780789E-3</c:v>
                </c:pt>
                <c:pt idx="114">
                  <c:v>4.2487916413529309E-2</c:v>
                </c:pt>
                <c:pt idx="116">
                  <c:v>1.5310788958298517E-2</c:v>
                </c:pt>
                <c:pt idx="118">
                  <c:v>6.1850923648278768E-3</c:v>
                </c:pt>
                <c:pt idx="120">
                  <c:v>1.039229712752847E-2</c:v>
                </c:pt>
                <c:pt idx="122">
                  <c:v>2.4466831415079868E-2</c:v>
                </c:pt>
                <c:pt idx="124">
                  <c:v>3.3436182326353675E-2</c:v>
                </c:pt>
                <c:pt idx="126">
                  <c:v>1.2774718927625281E-2</c:v>
                </c:pt>
                <c:pt idx="128">
                  <c:v>6.1752881269596598E-2</c:v>
                </c:pt>
                <c:pt idx="130">
                  <c:v>3.0065843592417436E-2</c:v>
                </c:pt>
                <c:pt idx="132">
                  <c:v>9.0129423717501406E-3</c:v>
                </c:pt>
                <c:pt idx="134">
                  <c:v>1.2116075684205444E-2</c:v>
                </c:pt>
                <c:pt idx="136">
                  <c:v>7.0350128162191758E-3</c:v>
                </c:pt>
                <c:pt idx="138">
                  <c:v>0.11731460387025608</c:v>
                </c:pt>
                <c:pt idx="140">
                  <c:v>2.9856250022373788E-2</c:v>
                </c:pt>
                <c:pt idx="142">
                  <c:v>5.8184490973815913E-3</c:v>
                </c:pt>
                <c:pt idx="144">
                  <c:v>4.1664516794799036E-3</c:v>
                </c:pt>
                <c:pt idx="146">
                  <c:v>7.92927090354042E-5</c:v>
                </c:pt>
                <c:pt idx="148">
                  <c:v>9.0120689264769158E-3</c:v>
                </c:pt>
                <c:pt idx="150">
                  <c:v>3.2232536522252504E-2</c:v>
                </c:pt>
                <c:pt idx="152">
                  <c:v>6.4648372403066312E-2</c:v>
                </c:pt>
                <c:pt idx="154">
                  <c:v>3.3290774105074007E-2</c:v>
                </c:pt>
                <c:pt idx="156">
                  <c:v>4.0068689181453926E-2</c:v>
                </c:pt>
                <c:pt idx="158">
                  <c:v>5.538129042909244E-3</c:v>
                </c:pt>
                <c:pt idx="160">
                  <c:v>1.9544013177904725E-3</c:v>
                </c:pt>
                <c:pt idx="162">
                  <c:v>6.0151986833434498E-3</c:v>
                </c:pt>
                <c:pt idx="164">
                  <c:v>4.0885282069875262E-3</c:v>
                </c:pt>
                <c:pt idx="166">
                  <c:v>1.7480183827969565E-3</c:v>
                </c:pt>
                <c:pt idx="168">
                  <c:v>1.0988978668390431E-2</c:v>
                </c:pt>
                <c:pt idx="170">
                  <c:v>2.0628683693516697E-2</c:v>
                </c:pt>
                <c:pt idx="172">
                  <c:v>2.3861171366594359E-2</c:v>
                </c:pt>
                <c:pt idx="174">
                  <c:v>9.3874833555259649E-2</c:v>
                </c:pt>
                <c:pt idx="176">
                  <c:v>1.3123587693377368E-2</c:v>
                </c:pt>
                <c:pt idx="178">
                  <c:v>3.5627035830618888E-2</c:v>
                </c:pt>
                <c:pt idx="180">
                  <c:v>7.9946369087275163E-3</c:v>
                </c:pt>
                <c:pt idx="182">
                  <c:v>7.1164380354885523E-3</c:v>
                </c:pt>
                <c:pt idx="184">
                  <c:v>4.7866164308902632E-3</c:v>
                </c:pt>
                <c:pt idx="186">
                  <c:v>5.0558894721096578E-2</c:v>
                </c:pt>
                <c:pt idx="188">
                  <c:v>9.0272197896447431E-5</c:v>
                </c:pt>
                <c:pt idx="190">
                  <c:v>2.9804163418772072E-3</c:v>
                </c:pt>
                <c:pt idx="192">
                  <c:v>5.3680598159509194E-3</c:v>
                </c:pt>
                <c:pt idx="194">
                  <c:v>8.349895615866388E-4</c:v>
                </c:pt>
                <c:pt idx="196">
                  <c:v>3.3882263865228093E-2</c:v>
                </c:pt>
                <c:pt idx="198">
                  <c:v>4.1756882152799261E-2</c:v>
                </c:pt>
                <c:pt idx="200">
                  <c:v>2.3111612175873732E-2</c:v>
                </c:pt>
                <c:pt idx="202">
                  <c:v>3.3235294117647057E-2</c:v>
                </c:pt>
                <c:pt idx="204">
                  <c:v>3.1820110309715745E-2</c:v>
                </c:pt>
                <c:pt idx="206">
                  <c:v>3.0681190549248236E-4</c:v>
                </c:pt>
                <c:pt idx="208">
                  <c:v>8.8749317312943748E-3</c:v>
                </c:pt>
                <c:pt idx="210">
                  <c:v>0.1036895254438651</c:v>
                </c:pt>
                <c:pt idx="212">
                  <c:v>2.9546743670396537E-2</c:v>
                </c:pt>
                <c:pt idx="214">
                  <c:v>1.3042245534448538E-2</c:v>
                </c:pt>
                <c:pt idx="216">
                  <c:v>1.0746606334841627E-2</c:v>
                </c:pt>
                <c:pt idx="218">
                  <c:v>4.360257326661901E-2</c:v>
                </c:pt>
                <c:pt idx="220">
                  <c:v>7.2552922019178567E-2</c:v>
                </c:pt>
                <c:pt idx="222">
                  <c:v>1.1661807580174929E-2</c:v>
                </c:pt>
                <c:pt idx="224">
                  <c:v>5.2515756302521006E-4</c:v>
                </c:pt>
                <c:pt idx="226">
                  <c:v>1.4218009478672985E-2</c:v>
                </c:pt>
                <c:pt idx="228">
                  <c:v>1.6764459346186086E-2</c:v>
                </c:pt>
                <c:pt idx="230">
                  <c:v>1.9337016574585638E-2</c:v>
                </c:pt>
                <c:pt idx="232">
                  <c:v>2.4844543034605146E-3</c:v>
                </c:pt>
                <c:pt idx="234">
                  <c:v>2.6123703419131769E-2</c:v>
                </c:pt>
                <c:pt idx="236">
                  <c:v>4.5657307793230122E-2</c:v>
                </c:pt>
                <c:pt idx="238">
                  <c:v>1.0527898932170252E-2</c:v>
                </c:pt>
                <c:pt idx="240">
                  <c:v>1.189860320744956E-2</c:v>
                </c:pt>
                <c:pt idx="242">
                  <c:v>2.6218611521418023E-2</c:v>
                </c:pt>
                <c:pt idx="244">
                  <c:v>1.4097425681887833E-2</c:v>
                </c:pt>
                <c:pt idx="246">
                  <c:v>3.5533475119449952E-2</c:v>
                </c:pt>
                <c:pt idx="248">
                  <c:v>3.7415723851304552E-3</c:v>
                </c:pt>
                <c:pt idx="250">
                  <c:v>8.2136748016747446E-3</c:v>
                </c:pt>
                <c:pt idx="252">
                  <c:v>6.0308226495726499E-3</c:v>
                </c:pt>
                <c:pt idx="254">
                  <c:v>7.754473161033797E-3</c:v>
                </c:pt>
                <c:pt idx="256">
                  <c:v>6.1657332492462913E-2</c:v>
                </c:pt>
                <c:pt idx="258">
                  <c:v>2.9641845028447567E-2</c:v>
                </c:pt>
                <c:pt idx="260">
                  <c:v>2.8853222608836375E-2</c:v>
                </c:pt>
                <c:pt idx="262">
                  <c:v>7.7079749103942654E-3</c:v>
                </c:pt>
                <c:pt idx="264">
                  <c:v>0</c:v>
                </c:pt>
                <c:pt idx="266">
                  <c:v>4.9670804297328688E-2</c:v>
                </c:pt>
                <c:pt idx="268">
                  <c:v>8.6980952844894766E-3</c:v>
                </c:pt>
                <c:pt idx="270">
                  <c:v>1.6156201510292748E-2</c:v>
                </c:pt>
                <c:pt idx="272">
                  <c:v>8.2437577913030725E-3</c:v>
                </c:pt>
                <c:pt idx="274">
                  <c:v>2.6950624275629546E-2</c:v>
                </c:pt>
                <c:pt idx="276">
                  <c:v>8.5397755610972566E-3</c:v>
                </c:pt>
                <c:pt idx="278">
                  <c:v>1.2862453459509773E-2</c:v>
                </c:pt>
                <c:pt idx="280">
                  <c:v>1.0988247232472324E-2</c:v>
                </c:pt>
                <c:pt idx="282">
                  <c:v>0.10719992065562366</c:v>
                </c:pt>
                <c:pt idx="284">
                  <c:v>1.2869559164733178E-2</c:v>
                </c:pt>
                <c:pt idx="286">
                  <c:v>3.0295273348519367E-3</c:v>
                </c:pt>
                <c:pt idx="288">
                  <c:v>3.980650419124495E-2</c:v>
                </c:pt>
                <c:pt idx="290">
                  <c:v>3.4216729441305702E-2</c:v>
                </c:pt>
                <c:pt idx="292">
                  <c:v>5.4040973111395635E-2</c:v>
                </c:pt>
                <c:pt idx="294">
                  <c:v>6.8024816551161826E-2</c:v>
                </c:pt>
                <c:pt idx="296">
                  <c:v>0.10886241838955385</c:v>
                </c:pt>
                <c:pt idx="298">
                  <c:v>9.2745399579390098E-2</c:v>
                </c:pt>
                <c:pt idx="300">
                  <c:v>3.8991742833402565E-2</c:v>
                </c:pt>
                <c:pt idx="302">
                  <c:v>3.906527111498765E-3</c:v>
                </c:pt>
                <c:pt idx="304">
                  <c:v>4.0615915484702857E-2</c:v>
                </c:pt>
                <c:pt idx="306">
                  <c:v>5.6459566864552418E-2</c:v>
                </c:pt>
                <c:pt idx="308">
                  <c:v>1.5616446616732258E-2</c:v>
                </c:pt>
                <c:pt idx="310">
                  <c:v>0.12586288606517509</c:v>
                </c:pt>
                <c:pt idx="312">
                  <c:v>0</c:v>
                </c:pt>
                <c:pt idx="314">
                  <c:v>0</c:v>
                </c:pt>
                <c:pt idx="316">
                  <c:v>0.144540988372093</c:v>
                </c:pt>
                <c:pt idx="318">
                  <c:v>7.036820748059279E-2</c:v>
                </c:pt>
                <c:pt idx="320">
                  <c:v>3.7474623706491066E-2</c:v>
                </c:pt>
                <c:pt idx="322">
                  <c:v>0</c:v>
                </c:pt>
                <c:pt idx="325">
                  <c:v>0</c:v>
                </c:pt>
                <c:pt idx="327">
                  <c:v>2.5847104945717733E-2</c:v>
                </c:pt>
                <c:pt idx="329">
                  <c:v>1.395999290863964E-2</c:v>
                </c:pt>
                <c:pt idx="331">
                  <c:v>0.20039616688903714</c:v>
                </c:pt>
                <c:pt idx="333">
                  <c:v>3.2008827734095781E-2</c:v>
                </c:pt>
                <c:pt idx="335">
                  <c:v>0</c:v>
                </c:pt>
                <c:pt idx="337">
                  <c:v>0</c:v>
                </c:pt>
                <c:pt idx="339">
                  <c:v>0</c:v>
                </c:pt>
                <c:pt idx="341">
                  <c:v>0.1037983082706767</c:v>
                </c:pt>
                <c:pt idx="343">
                  <c:v>3.5358511058451808E-2</c:v>
                </c:pt>
                <c:pt idx="345">
                  <c:v>2.9202514792899405E-2</c:v>
                </c:pt>
                <c:pt idx="347">
                  <c:v>2.397278593680463E-2</c:v>
                </c:pt>
                <c:pt idx="349">
                  <c:v>3.2884942363112388E-2</c:v>
                </c:pt>
                <c:pt idx="351">
                  <c:v>2.9867969320672025E-2</c:v>
                </c:pt>
                <c:pt idx="353">
                  <c:v>1.2349548062351157E-2</c:v>
                </c:pt>
                <c:pt idx="355">
                  <c:v>1.6190706849541433E-2</c:v>
                </c:pt>
                <c:pt idx="357">
                  <c:v>3.4057573655310862E-2</c:v>
                </c:pt>
                <c:pt idx="359">
                  <c:v>1.2385197775030901E-2</c:v>
                </c:pt>
                <c:pt idx="361">
                  <c:v>0</c:v>
                </c:pt>
                <c:pt idx="363">
                  <c:v>0</c:v>
                </c:pt>
                <c:pt idx="365">
                  <c:v>0.17244632451815328</c:v>
                </c:pt>
                <c:pt idx="367">
                  <c:v>1.4025107885445271E-2</c:v>
                </c:pt>
                <c:pt idx="371">
                  <c:v>6.4469169179577823E-3</c:v>
                </c:pt>
                <c:pt idx="373">
                  <c:v>5.99647266313933E-3</c:v>
                </c:pt>
                <c:pt idx="375">
                  <c:v>4.7539576895650115E-3</c:v>
                </c:pt>
                <c:pt idx="377">
                  <c:v>3.0948384389425092E-2</c:v>
                </c:pt>
                <c:pt idx="379">
                  <c:v>8.8127662127302164E-2</c:v>
                </c:pt>
                <c:pt idx="381">
                  <c:v>4.7917434574272022E-3</c:v>
                </c:pt>
                <c:pt idx="383">
                  <c:v>3.7133308577794281E-3</c:v>
                </c:pt>
                <c:pt idx="385">
                  <c:v>3.7506924408540103E-3</c:v>
                </c:pt>
                <c:pt idx="387">
                  <c:v>2.1582613908872905E-2</c:v>
                </c:pt>
                <c:pt idx="389">
                  <c:v>0.12595837897042714</c:v>
                </c:pt>
                <c:pt idx="391">
                  <c:v>1.0323886639676113E-2</c:v>
                </c:pt>
                <c:pt idx="393">
                  <c:v>6.171171171171172E-2</c:v>
                </c:pt>
                <c:pt idx="395">
                  <c:v>1.09151973131822E-2</c:v>
                </c:pt>
                <c:pt idx="397">
                  <c:v>8.5106382978723423E-3</c:v>
                </c:pt>
                <c:pt idx="399">
                  <c:v>6.9620253164556951E-3</c:v>
                </c:pt>
                <c:pt idx="401">
                  <c:v>2.7762803234501351E-2</c:v>
                </c:pt>
                <c:pt idx="403">
                  <c:v>5.8908391440250056E-3</c:v>
                </c:pt>
                <c:pt idx="405">
                  <c:v>8.9641434262948214E-3</c:v>
                </c:pt>
                <c:pt idx="407">
                  <c:v>2.9798216799624588E-2</c:v>
                </c:pt>
                <c:pt idx="409">
                  <c:v>1.6875000000000001E-2</c:v>
                </c:pt>
                <c:pt idx="411">
                  <c:v>7.4157078651685387E-2</c:v>
                </c:pt>
                <c:pt idx="413">
                  <c:v>1.5086206896551725E-2</c:v>
                </c:pt>
                <c:pt idx="419">
                  <c:v>1.8672268907563021E-3</c:v>
                </c:pt>
                <c:pt idx="421">
                  <c:v>1.1642884864165592E-2</c:v>
                </c:pt>
                <c:pt idx="423">
                  <c:v>0.14142283419391855</c:v>
                </c:pt>
                <c:pt idx="425">
                  <c:v>2.7688830288189865E-2</c:v>
                </c:pt>
                <c:pt idx="427">
                  <c:v>4.9458483754512637E-2</c:v>
                </c:pt>
                <c:pt idx="431">
                  <c:v>1.8317985012489595E-2</c:v>
                </c:pt>
                <c:pt idx="435">
                  <c:v>5.3186170212765954E-3</c:v>
                </c:pt>
                <c:pt idx="437">
                  <c:v>0.13733387031816352</c:v>
                </c:pt>
                <c:pt idx="439">
                  <c:v>5.7597195267013084E-3</c:v>
                </c:pt>
                <c:pt idx="441">
                  <c:v>4.191849091755938E-3</c:v>
                </c:pt>
                <c:pt idx="443">
                  <c:v>7.3717466526252431E-3</c:v>
                </c:pt>
                <c:pt idx="445">
                  <c:v>1.0065068087625815E-2</c:v>
                </c:pt>
                <c:pt idx="447">
                  <c:v>3.3324302357084799E-2</c:v>
                </c:pt>
                <c:pt idx="449">
                  <c:v>1.9528228924980663E-2</c:v>
                </c:pt>
                <c:pt idx="451">
                  <c:v>1.5024363833243095E-2</c:v>
                </c:pt>
                <c:pt idx="453">
                  <c:v>1.109318273497378E-2</c:v>
                </c:pt>
                <c:pt idx="455">
                  <c:v>8.9361702127659579E-3</c:v>
                </c:pt>
                <c:pt idx="457">
                  <c:v>1.4339547169811321E-2</c:v>
                </c:pt>
                <c:pt idx="467">
                  <c:v>1.7450261780104714E-3</c:v>
                </c:pt>
                <c:pt idx="469">
                  <c:v>8.6640301844605923E-3</c:v>
                </c:pt>
                <c:pt idx="471">
                  <c:v>1.5947368421052632E-3</c:v>
                </c:pt>
                <c:pt idx="473">
                  <c:v>7.0034750066827051E-2</c:v>
                </c:pt>
                <c:pt idx="475">
                  <c:v>4.2351223074114638E-2</c:v>
                </c:pt>
                <c:pt idx="481">
                  <c:v>4.3285714285714282E-4</c:v>
                </c:pt>
                <c:pt idx="485">
                  <c:v>9.57562568008705E-3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45-6A44-AEF7-A05D956EC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874416"/>
        <c:axId val="1128957088"/>
      </c:scatterChart>
      <c:valAx>
        <c:axId val="1128874416"/>
        <c:scaling>
          <c:orientation val="minMax"/>
          <c:max val="45000"/>
          <c:min val="3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57088"/>
        <c:crosses val="autoZero"/>
        <c:crossBetween val="midCat"/>
        <c:majorUnit val="1095"/>
      </c:valAx>
      <c:valAx>
        <c:axId val="112895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74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5</xdr:row>
      <xdr:rowOff>0</xdr:rowOff>
    </xdr:from>
    <xdr:to>
      <xdr:col>22</xdr:col>
      <xdr:colOff>819150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11ED46-C0E5-834B-84B3-3EE8D8A664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22</xdr:col>
      <xdr:colOff>819150</xdr:colOff>
      <xdr:row>35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514DC1-9019-C04D-A38A-E17A9FBEAA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38</xdr:row>
      <xdr:rowOff>0</xdr:rowOff>
    </xdr:from>
    <xdr:to>
      <xdr:col>22</xdr:col>
      <xdr:colOff>819150</xdr:colOff>
      <xdr:row>52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BD5709-C534-FE49-9736-69B35282B9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54</xdr:row>
      <xdr:rowOff>0</xdr:rowOff>
    </xdr:from>
    <xdr:to>
      <xdr:col>22</xdr:col>
      <xdr:colOff>819150</xdr:colOff>
      <xdr:row>68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134E3E-46D0-994F-BF26-7AF07E3517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6</xdr:row>
      <xdr:rowOff>0</xdr:rowOff>
    </xdr:from>
    <xdr:to>
      <xdr:col>22</xdr:col>
      <xdr:colOff>819150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AFE5DB-D673-EB49-84F8-876B9D813A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23</xdr:row>
      <xdr:rowOff>0</xdr:rowOff>
    </xdr:from>
    <xdr:to>
      <xdr:col>22</xdr:col>
      <xdr:colOff>819150</xdr:colOff>
      <xdr:row>37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9230F6-C47F-CF47-BA00-CF717BC70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5</xdr:row>
      <xdr:rowOff>0</xdr:rowOff>
    </xdr:from>
    <xdr:to>
      <xdr:col>22</xdr:col>
      <xdr:colOff>819150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608907-3518-3546-88F6-6C13592CE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21</xdr:row>
      <xdr:rowOff>0</xdr:rowOff>
    </xdr:from>
    <xdr:to>
      <xdr:col>22</xdr:col>
      <xdr:colOff>819150</xdr:colOff>
      <xdr:row>35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1CAC57-F3F5-F64A-AB5E-67027D57D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806450</xdr:colOff>
      <xdr:row>3</xdr:row>
      <xdr:rowOff>82550</xdr:rowOff>
    </xdr:from>
    <xdr:to>
      <xdr:col>22</xdr:col>
      <xdr:colOff>800100</xdr:colOff>
      <xdr:row>17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53CAD-85FD-9C18-832E-3266F9002D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19</xdr:row>
      <xdr:rowOff>0</xdr:rowOff>
    </xdr:from>
    <xdr:to>
      <xdr:col>22</xdr:col>
      <xdr:colOff>819150</xdr:colOff>
      <xdr:row>33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0D7CB6-7E0A-EC4A-8456-4DB7790CE3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9"/>
  <sheetViews>
    <sheetView workbookViewId="0">
      <selection sqref="A1:J1048576"/>
    </sheetView>
  </sheetViews>
  <sheetFormatPr defaultColWidth="8.85546875" defaultRowHeight="15"/>
  <cols>
    <col min="1" max="10" width="11.140625" customWidth="1"/>
  </cols>
  <sheetData>
    <row r="1" spans="1:12" ht="18">
      <c r="F1" s="1" t="s">
        <v>0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</row>
    <row r="2" spans="1:12" ht="25.5">
      <c r="A2" s="2" t="s">
        <v>2</v>
      </c>
      <c r="B2" s="3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7" t="s">
        <v>13</v>
      </c>
    </row>
    <row r="3" spans="1:12">
      <c r="A3" s="8">
        <v>9</v>
      </c>
      <c r="B3" s="9">
        <v>36446</v>
      </c>
      <c r="C3" s="10">
        <v>1999</v>
      </c>
      <c r="D3" s="11" t="s">
        <v>14</v>
      </c>
      <c r="E3" s="12">
        <v>10</v>
      </c>
      <c r="F3" s="13">
        <v>0.81480390855350104</v>
      </c>
      <c r="G3" s="13">
        <v>0</v>
      </c>
      <c r="H3" s="13">
        <v>0</v>
      </c>
      <c r="I3" s="13">
        <v>8.4785111499999996E-2</v>
      </c>
      <c r="J3" s="13">
        <v>0</v>
      </c>
      <c r="K3" s="14" t="s">
        <v>15</v>
      </c>
    </row>
    <row r="4" spans="1:12">
      <c r="A4" s="8">
        <v>10</v>
      </c>
      <c r="B4" s="9">
        <v>36446</v>
      </c>
      <c r="C4" s="10">
        <v>1999</v>
      </c>
      <c r="D4" s="11" t="s">
        <v>14</v>
      </c>
      <c r="E4" s="12">
        <v>10</v>
      </c>
      <c r="F4" s="13">
        <v>1.0560991827525938</v>
      </c>
      <c r="G4" s="13">
        <v>0</v>
      </c>
      <c r="H4" s="13">
        <v>0</v>
      </c>
      <c r="I4" s="13">
        <v>0.18236785699999999</v>
      </c>
      <c r="J4" s="13">
        <v>0</v>
      </c>
      <c r="K4" s="14" t="s">
        <v>15</v>
      </c>
    </row>
    <row r="5" spans="1:12">
      <c r="A5" s="8">
        <v>9</v>
      </c>
      <c r="B5" s="9">
        <v>36473</v>
      </c>
      <c r="C5" s="10">
        <v>1999</v>
      </c>
      <c r="D5" s="11" t="s">
        <v>16</v>
      </c>
      <c r="E5" s="10">
        <v>11</v>
      </c>
      <c r="F5" s="13">
        <v>0.50144492594905754</v>
      </c>
      <c r="G5" s="13">
        <v>0</v>
      </c>
      <c r="H5" s="13">
        <v>0</v>
      </c>
      <c r="I5" s="13">
        <v>0.19313916750000001</v>
      </c>
      <c r="J5" s="13">
        <v>0</v>
      </c>
      <c r="K5" s="14" t="s">
        <v>15</v>
      </c>
    </row>
    <row r="6" spans="1:12">
      <c r="A6" s="8">
        <v>10</v>
      </c>
      <c r="B6" s="9">
        <v>36473</v>
      </c>
      <c r="C6" s="10">
        <v>1999</v>
      </c>
      <c r="D6" s="11" t="s">
        <v>16</v>
      </c>
      <c r="E6" s="10">
        <v>11</v>
      </c>
      <c r="F6" s="13">
        <v>0.60564519988186705</v>
      </c>
      <c r="G6" s="13">
        <v>0</v>
      </c>
      <c r="H6" s="13">
        <v>0</v>
      </c>
      <c r="I6" s="13">
        <v>0.14116971983333332</v>
      </c>
      <c r="J6" s="13">
        <v>0</v>
      </c>
      <c r="K6" s="14" t="s">
        <v>15</v>
      </c>
    </row>
    <row r="7" spans="1:12">
      <c r="A7" s="8">
        <v>9</v>
      </c>
      <c r="B7" s="9">
        <v>36502</v>
      </c>
      <c r="C7" s="10">
        <v>1999</v>
      </c>
      <c r="D7" s="11" t="s">
        <v>17</v>
      </c>
      <c r="E7" s="10">
        <v>12</v>
      </c>
      <c r="F7" s="13">
        <v>0.34286829680411729</v>
      </c>
      <c r="G7" s="13">
        <v>0</v>
      </c>
      <c r="H7" s="13">
        <v>0</v>
      </c>
      <c r="I7" s="13">
        <v>7.697356050000001E-2</v>
      </c>
      <c r="J7" s="13">
        <v>0</v>
      </c>
      <c r="K7" s="14" t="s">
        <v>15</v>
      </c>
    </row>
    <row r="8" spans="1:12">
      <c r="A8" s="8">
        <v>10</v>
      </c>
      <c r="B8" s="9">
        <v>36502</v>
      </c>
      <c r="C8" s="10">
        <v>1999</v>
      </c>
      <c r="D8" s="11" t="s">
        <v>17</v>
      </c>
      <c r="E8" s="10">
        <v>12</v>
      </c>
      <c r="F8" s="13">
        <v>0.57065639539668933</v>
      </c>
      <c r="G8" s="13">
        <v>0</v>
      </c>
      <c r="H8" s="13">
        <v>0</v>
      </c>
      <c r="I8" s="13">
        <v>0.1314135105</v>
      </c>
      <c r="J8" s="13">
        <v>0</v>
      </c>
      <c r="K8" s="14" t="s">
        <v>15</v>
      </c>
    </row>
    <row r="9" spans="1:12">
      <c r="A9" s="8">
        <v>9</v>
      </c>
      <c r="B9" s="9">
        <v>36531</v>
      </c>
      <c r="C9" s="12">
        <v>2000</v>
      </c>
      <c r="D9" s="11" t="s">
        <v>18</v>
      </c>
      <c r="E9" s="10">
        <v>1</v>
      </c>
      <c r="F9" s="13">
        <v>0.68891194013953239</v>
      </c>
      <c r="G9" s="13">
        <v>3.8110795499999996E-2</v>
      </c>
      <c r="H9" s="13">
        <v>0</v>
      </c>
      <c r="I9" s="13">
        <v>0.14787098099999998</v>
      </c>
      <c r="J9" s="13">
        <v>8.7263266666666676E-3</v>
      </c>
      <c r="K9" s="14" t="s">
        <v>15</v>
      </c>
    </row>
    <row r="10" spans="1:12">
      <c r="A10" s="8">
        <v>10</v>
      </c>
      <c r="B10" s="9">
        <v>36531</v>
      </c>
      <c r="C10" s="12">
        <v>2000</v>
      </c>
      <c r="D10" s="11" t="s">
        <v>18</v>
      </c>
      <c r="E10" s="10">
        <v>1</v>
      </c>
      <c r="F10" s="13">
        <v>1.3492125675996263</v>
      </c>
      <c r="G10" s="13">
        <v>8.8991653833333337E-2</v>
      </c>
      <c r="H10" s="13">
        <v>0</v>
      </c>
      <c r="I10" s="13">
        <v>0.24209738250000001</v>
      </c>
      <c r="J10" s="13">
        <v>1.2293805E-2</v>
      </c>
      <c r="K10" s="14" t="s">
        <v>15</v>
      </c>
    </row>
    <row r="11" spans="1:12">
      <c r="A11" s="8">
        <v>9</v>
      </c>
      <c r="B11" s="9">
        <v>36578</v>
      </c>
      <c r="C11" s="12">
        <v>2000</v>
      </c>
      <c r="D11" s="11" t="s">
        <v>19</v>
      </c>
      <c r="E11" s="12">
        <v>2</v>
      </c>
      <c r="F11" s="13">
        <v>4.9123786024972533</v>
      </c>
      <c r="G11" s="13">
        <v>4.3543992666666663E-2</v>
      </c>
      <c r="H11" s="13">
        <v>0</v>
      </c>
      <c r="I11" s="13">
        <v>1.8182539691666668</v>
      </c>
      <c r="J11" s="13">
        <v>1.4233745833333335E-2</v>
      </c>
      <c r="K11" s="14" t="s">
        <v>15</v>
      </c>
    </row>
    <row r="12" spans="1:12">
      <c r="A12" s="8">
        <v>10</v>
      </c>
      <c r="B12" s="9">
        <v>36578</v>
      </c>
      <c r="C12" s="12">
        <v>2000</v>
      </c>
      <c r="D12" s="11" t="s">
        <v>19</v>
      </c>
      <c r="E12" s="12">
        <v>2</v>
      </c>
      <c r="F12" s="13">
        <v>4.5288761327930205</v>
      </c>
      <c r="G12" s="13">
        <v>0.23005821766666665</v>
      </c>
      <c r="H12" s="13">
        <v>0</v>
      </c>
      <c r="I12" s="13">
        <v>1.3623071748333331</v>
      </c>
      <c r="J12" s="13">
        <v>5.8047265000000001E-2</v>
      </c>
      <c r="K12" s="14" t="s">
        <v>15</v>
      </c>
    </row>
    <row r="13" spans="1:12">
      <c r="A13" s="8">
        <v>9</v>
      </c>
      <c r="B13" s="9">
        <v>36599</v>
      </c>
      <c r="C13" s="12">
        <v>2000</v>
      </c>
      <c r="D13" s="11" t="s">
        <v>20</v>
      </c>
      <c r="E13" s="12">
        <v>3</v>
      </c>
      <c r="F13" s="13">
        <v>0.85382744653759191</v>
      </c>
      <c r="G13" s="13">
        <v>3.034977416666667E-2</v>
      </c>
      <c r="H13" s="13">
        <v>0</v>
      </c>
      <c r="I13" s="13">
        <v>0.21243101683333332</v>
      </c>
      <c r="J13" s="13">
        <v>1.3439004333333332E-2</v>
      </c>
      <c r="K13" s="14" t="s">
        <v>15</v>
      </c>
    </row>
    <row r="14" spans="1:12">
      <c r="A14" s="8">
        <v>10</v>
      </c>
      <c r="B14" s="9">
        <v>36599</v>
      </c>
      <c r="C14" s="12">
        <v>2000</v>
      </c>
      <c r="D14" s="11" t="s">
        <v>20</v>
      </c>
      <c r="E14" s="12">
        <v>3</v>
      </c>
      <c r="F14" s="13">
        <v>1.8556943782286839</v>
      </c>
      <c r="G14" s="13">
        <v>9.0233194999999988E-2</v>
      </c>
      <c r="H14" s="13">
        <v>0</v>
      </c>
      <c r="I14" s="13">
        <v>0.32125252466666665</v>
      </c>
      <c r="J14" s="13">
        <v>1.3369499833333333E-2</v>
      </c>
      <c r="K14" s="14" t="s">
        <v>15</v>
      </c>
    </row>
    <row r="15" spans="1:12">
      <c r="A15" s="8">
        <v>9</v>
      </c>
      <c r="B15" s="9">
        <v>36626</v>
      </c>
      <c r="C15" s="12">
        <v>2000</v>
      </c>
      <c r="D15" s="15" t="s">
        <v>21</v>
      </c>
      <c r="E15" s="12">
        <v>4</v>
      </c>
      <c r="F15" s="13">
        <v>0.98931851157363693</v>
      </c>
      <c r="G15" s="13">
        <v>1.6802372166666666E-2</v>
      </c>
      <c r="H15" s="13">
        <v>0</v>
      </c>
      <c r="I15" s="13">
        <v>0.20023156183333332</v>
      </c>
      <c r="J15" s="13">
        <v>0</v>
      </c>
      <c r="K15" s="14" t="s">
        <v>15</v>
      </c>
    </row>
    <row r="16" spans="1:12">
      <c r="A16" s="8">
        <v>10</v>
      </c>
      <c r="B16" s="9">
        <v>36626</v>
      </c>
      <c r="C16" s="12">
        <v>2000</v>
      </c>
      <c r="D16" s="15" t="s">
        <v>21</v>
      </c>
      <c r="E16" s="12">
        <v>4</v>
      </c>
      <c r="F16" s="13">
        <v>1.4558117858405109</v>
      </c>
      <c r="G16" s="13">
        <v>2.5804200833333332E-2</v>
      </c>
      <c r="H16" s="13">
        <v>0</v>
      </c>
      <c r="I16" s="13">
        <v>0.36165696866666663</v>
      </c>
      <c r="J16" s="13">
        <v>8.9873616666666673E-3</v>
      </c>
      <c r="K16" s="14" t="s">
        <v>15</v>
      </c>
    </row>
    <row r="17" spans="1:11">
      <c r="A17" s="8">
        <v>9</v>
      </c>
      <c r="B17" s="9">
        <v>36663</v>
      </c>
      <c r="C17" s="12">
        <v>2000</v>
      </c>
      <c r="D17" s="15" t="s">
        <v>22</v>
      </c>
      <c r="E17" s="12">
        <v>5</v>
      </c>
      <c r="F17" s="13">
        <v>2.0611459375832135</v>
      </c>
      <c r="G17" s="13">
        <v>0</v>
      </c>
      <c r="H17" s="13">
        <v>0</v>
      </c>
      <c r="I17" s="13">
        <v>0.44602389999999997</v>
      </c>
      <c r="J17" s="13">
        <v>0</v>
      </c>
      <c r="K17" s="14" t="s">
        <v>15</v>
      </c>
    </row>
    <row r="18" spans="1:11">
      <c r="A18" s="8">
        <v>10</v>
      </c>
      <c r="B18" s="9">
        <v>36663</v>
      </c>
      <c r="C18" s="12">
        <v>2000</v>
      </c>
      <c r="D18" s="15" t="s">
        <v>22</v>
      </c>
      <c r="E18" s="12">
        <v>5</v>
      </c>
      <c r="F18" s="13">
        <v>2.2679517126852482</v>
      </c>
      <c r="G18" s="13">
        <v>0</v>
      </c>
      <c r="H18" s="13">
        <v>3.2284879666666669E-2</v>
      </c>
      <c r="I18" s="13">
        <v>0.33529936299999996</v>
      </c>
      <c r="J18" s="13">
        <v>1.5154397999999999E-2</v>
      </c>
      <c r="K18" s="14" t="s">
        <v>15</v>
      </c>
    </row>
    <row r="19" spans="1:11">
      <c r="A19" s="8">
        <v>9</v>
      </c>
      <c r="B19" s="9">
        <v>36692</v>
      </c>
      <c r="C19" s="12">
        <v>2000</v>
      </c>
      <c r="D19" s="15" t="s">
        <v>23</v>
      </c>
      <c r="E19" s="12">
        <v>6</v>
      </c>
      <c r="F19" s="13">
        <v>3.1162979370312809</v>
      </c>
      <c r="G19" s="13">
        <v>4.6100982499999998E-2</v>
      </c>
      <c r="H19" s="13">
        <v>2.4104433166666665E-2</v>
      </c>
      <c r="I19" s="13">
        <v>0.87048431716666674</v>
      </c>
      <c r="J19" s="13">
        <v>4.3769174666666667E-2</v>
      </c>
      <c r="K19" s="14" t="s">
        <v>15</v>
      </c>
    </row>
    <row r="20" spans="1:11">
      <c r="A20" s="8">
        <v>10</v>
      </c>
      <c r="B20" s="9">
        <v>36692</v>
      </c>
      <c r="C20" s="12">
        <v>2000</v>
      </c>
      <c r="D20" s="15" t="s">
        <v>23</v>
      </c>
      <c r="E20" s="12">
        <v>6</v>
      </c>
      <c r="F20" s="13">
        <v>5.0290643195011295</v>
      </c>
      <c r="G20" s="13">
        <v>5.9274129500000008E-2</v>
      </c>
      <c r="H20" s="13">
        <v>0</v>
      </c>
      <c r="I20" s="13">
        <v>1.2113576581666667</v>
      </c>
      <c r="J20" s="13">
        <v>5.8476871999999999E-2</v>
      </c>
      <c r="K20" s="14" t="s">
        <v>15</v>
      </c>
    </row>
    <row r="21" spans="1:11">
      <c r="A21" s="8">
        <v>9</v>
      </c>
      <c r="B21" s="9">
        <v>36719</v>
      </c>
      <c r="C21" s="12">
        <v>2000</v>
      </c>
      <c r="D21" s="15" t="s">
        <v>24</v>
      </c>
      <c r="E21" s="12">
        <v>7</v>
      </c>
      <c r="F21" s="13">
        <v>5.8162761812081509</v>
      </c>
      <c r="G21" s="13">
        <v>0.176551494</v>
      </c>
      <c r="H21" s="13">
        <v>0</v>
      </c>
      <c r="I21" s="13">
        <v>1.0136247988333333</v>
      </c>
      <c r="J21" s="13">
        <v>2.7404586499999998E-2</v>
      </c>
      <c r="K21" s="14" t="s">
        <v>15</v>
      </c>
    </row>
    <row r="22" spans="1:11">
      <c r="A22" s="8">
        <v>10</v>
      </c>
      <c r="B22" s="9">
        <v>36719</v>
      </c>
      <c r="C22" s="12">
        <v>2000</v>
      </c>
      <c r="D22" s="15" t="s">
        <v>24</v>
      </c>
      <c r="E22" s="12">
        <v>7</v>
      </c>
      <c r="F22" s="13">
        <v>6.6924579211511181</v>
      </c>
      <c r="G22" s="13">
        <v>0.32168926033333334</v>
      </c>
      <c r="H22" s="13">
        <v>0</v>
      </c>
      <c r="I22" s="13">
        <v>0.85006645299999983</v>
      </c>
      <c r="J22" s="13">
        <v>4.4601131999999995E-2</v>
      </c>
      <c r="K22" s="14" t="s">
        <v>15</v>
      </c>
    </row>
    <row r="23" spans="1:11">
      <c r="A23" s="8">
        <v>9</v>
      </c>
      <c r="B23" s="9">
        <v>36755</v>
      </c>
      <c r="C23" s="12">
        <v>2000</v>
      </c>
      <c r="D23" s="15" t="s">
        <v>25</v>
      </c>
      <c r="E23" s="12">
        <v>8</v>
      </c>
      <c r="F23" s="13">
        <v>0.84630613564951318</v>
      </c>
      <c r="G23" s="13">
        <v>0</v>
      </c>
      <c r="H23" s="13">
        <v>0</v>
      </c>
      <c r="I23" s="13">
        <v>8.7203826166666665E-2</v>
      </c>
      <c r="J23" s="13">
        <v>4.6644333666666669E-2</v>
      </c>
      <c r="K23" s="14" t="s">
        <v>15</v>
      </c>
    </row>
    <row r="24" spans="1:11">
      <c r="A24" s="8">
        <v>10</v>
      </c>
      <c r="B24" s="9">
        <v>36755</v>
      </c>
      <c r="C24" s="12">
        <v>2000</v>
      </c>
      <c r="D24" s="15" t="s">
        <v>25</v>
      </c>
      <c r="E24" s="12">
        <v>8</v>
      </c>
      <c r="F24" s="13">
        <v>3.5766022851941686</v>
      </c>
      <c r="G24" s="13">
        <v>3.3107205333333334E-2</v>
      </c>
      <c r="H24" s="13">
        <v>0</v>
      </c>
      <c r="I24" s="13">
        <v>0.8821704033333333</v>
      </c>
      <c r="J24" s="13">
        <v>0.15226496533333334</v>
      </c>
      <c r="K24" s="14" t="s">
        <v>15</v>
      </c>
    </row>
    <row r="25" spans="1:11">
      <c r="A25" s="8">
        <v>9</v>
      </c>
      <c r="B25" s="9">
        <v>36783</v>
      </c>
      <c r="C25" s="12">
        <v>2000</v>
      </c>
      <c r="D25" s="15" t="s">
        <v>26</v>
      </c>
      <c r="E25" s="12">
        <v>9</v>
      </c>
      <c r="F25" s="13">
        <v>1.2064864205241426</v>
      </c>
      <c r="G25" s="13">
        <v>0</v>
      </c>
      <c r="H25" s="13">
        <v>0</v>
      </c>
      <c r="I25" s="13">
        <v>0.28493469366666668</v>
      </c>
      <c r="J25" s="13">
        <v>0</v>
      </c>
      <c r="K25" s="14" t="s">
        <v>15</v>
      </c>
    </row>
    <row r="26" spans="1:11">
      <c r="A26" s="8">
        <v>10</v>
      </c>
      <c r="B26" s="9">
        <v>36783</v>
      </c>
      <c r="C26" s="12">
        <v>2000</v>
      </c>
      <c r="D26" s="15" t="s">
        <v>26</v>
      </c>
      <c r="E26" s="12">
        <v>9</v>
      </c>
      <c r="F26" s="13">
        <v>1.8004016582666416</v>
      </c>
      <c r="G26" s="13">
        <v>0</v>
      </c>
      <c r="H26" s="13">
        <v>0</v>
      </c>
      <c r="I26" s="13">
        <v>0.40206288033333337</v>
      </c>
      <c r="J26" s="13">
        <v>3.3952790999999996E-2</v>
      </c>
      <c r="K26" s="14" t="s">
        <v>15</v>
      </c>
    </row>
    <row r="27" spans="1:11">
      <c r="A27" s="8">
        <v>9</v>
      </c>
      <c r="B27" s="9">
        <v>36815</v>
      </c>
      <c r="C27" s="12">
        <v>2000</v>
      </c>
      <c r="D27" s="15" t="s">
        <v>14</v>
      </c>
      <c r="E27" s="12">
        <v>10</v>
      </c>
      <c r="F27" s="14">
        <v>0.43998358844421992</v>
      </c>
      <c r="G27" s="14">
        <v>0</v>
      </c>
      <c r="H27" s="14">
        <v>0</v>
      </c>
      <c r="I27" s="14">
        <v>8.3515265333333324E-2</v>
      </c>
      <c r="J27" s="14">
        <v>0</v>
      </c>
      <c r="K27" s="14" t="s">
        <v>15</v>
      </c>
    </row>
    <row r="28" spans="1:11">
      <c r="A28" s="8">
        <v>10</v>
      </c>
      <c r="B28" s="9">
        <v>36815</v>
      </c>
      <c r="C28" s="12">
        <v>2000</v>
      </c>
      <c r="D28" s="15" t="s">
        <v>14</v>
      </c>
      <c r="E28" s="12">
        <v>10</v>
      </c>
      <c r="F28" s="14">
        <v>1.561920699400118</v>
      </c>
      <c r="G28" s="14">
        <v>0</v>
      </c>
      <c r="H28" s="14">
        <v>0</v>
      </c>
      <c r="I28" s="14">
        <v>0.10729618283333334</v>
      </c>
      <c r="J28" s="14">
        <v>0</v>
      </c>
      <c r="K28" s="14" t="s">
        <v>15</v>
      </c>
    </row>
    <row r="29" spans="1:11">
      <c r="A29" s="8">
        <v>9</v>
      </c>
      <c r="B29" s="9">
        <v>36846</v>
      </c>
      <c r="C29" s="12">
        <v>2000</v>
      </c>
      <c r="D29" s="15" t="s">
        <v>16</v>
      </c>
      <c r="E29" s="12">
        <v>11</v>
      </c>
      <c r="F29" s="14">
        <v>0.39527561709589693</v>
      </c>
      <c r="G29" s="14">
        <v>4.855355833333333E-2</v>
      </c>
      <c r="H29" s="14">
        <v>0</v>
      </c>
      <c r="I29" s="14">
        <v>5.0439824499999994E-2</v>
      </c>
      <c r="J29" s="14">
        <v>0</v>
      </c>
      <c r="K29" s="14" t="s">
        <v>15</v>
      </c>
    </row>
    <row r="30" spans="1:11">
      <c r="A30" s="8">
        <v>10</v>
      </c>
      <c r="B30" s="9">
        <v>36846</v>
      </c>
      <c r="C30" s="12">
        <v>2000</v>
      </c>
      <c r="D30" s="15" t="s">
        <v>16</v>
      </c>
      <c r="E30" s="12">
        <v>11</v>
      </c>
      <c r="F30" s="14">
        <v>0.53991698270694943</v>
      </c>
      <c r="G30" s="14">
        <v>7.6901120666666656E-2</v>
      </c>
      <c r="H30" s="14">
        <v>0</v>
      </c>
      <c r="I30" s="14">
        <v>6.8122482166666665E-2</v>
      </c>
      <c r="J30" s="14">
        <v>0</v>
      </c>
      <c r="K30" s="14" t="s">
        <v>15</v>
      </c>
    </row>
    <row r="31" spans="1:11">
      <c r="A31" s="8">
        <v>9</v>
      </c>
      <c r="B31" s="9">
        <v>36873</v>
      </c>
      <c r="C31" s="12">
        <v>2000</v>
      </c>
      <c r="D31" s="15" t="s">
        <v>17</v>
      </c>
      <c r="E31" s="12">
        <v>12</v>
      </c>
      <c r="F31" s="16">
        <v>3.3021338846700647</v>
      </c>
      <c r="G31" s="14">
        <v>0.23999266899999999</v>
      </c>
      <c r="H31" s="14">
        <v>2.0322000999999999E-2</v>
      </c>
      <c r="I31" s="14">
        <v>0.81257933400000015</v>
      </c>
      <c r="J31" s="14">
        <v>1.5500506000000001E-2</v>
      </c>
      <c r="K31" s="14" t="s">
        <v>15</v>
      </c>
    </row>
    <row r="32" spans="1:11">
      <c r="A32" s="8">
        <v>10</v>
      </c>
      <c r="B32" s="9">
        <v>36873</v>
      </c>
      <c r="C32" s="12">
        <v>2000</v>
      </c>
      <c r="D32" s="15" t="s">
        <v>17</v>
      </c>
      <c r="E32" s="12">
        <v>12</v>
      </c>
      <c r="F32" s="16">
        <v>3.3909891865182566</v>
      </c>
      <c r="G32" s="14">
        <v>0.47868713616666669</v>
      </c>
      <c r="H32" s="14">
        <v>0</v>
      </c>
      <c r="I32" s="14">
        <v>0.60923105416666667</v>
      </c>
      <c r="J32" s="14">
        <v>1.1542359666666668E-2</v>
      </c>
      <c r="K32" s="14" t="s">
        <v>15</v>
      </c>
    </row>
    <row r="33" spans="1:11">
      <c r="A33" s="8">
        <v>9</v>
      </c>
      <c r="B33" s="9">
        <v>36902</v>
      </c>
      <c r="C33" s="12">
        <v>2001</v>
      </c>
      <c r="D33" s="15" t="s">
        <v>18</v>
      </c>
      <c r="E33" s="12">
        <v>1</v>
      </c>
      <c r="F33" s="14">
        <v>3.9184009800716293</v>
      </c>
      <c r="G33" s="14">
        <v>0.14359535350000002</v>
      </c>
      <c r="H33" s="14">
        <v>0</v>
      </c>
      <c r="I33" s="14">
        <v>1.1262679009999998</v>
      </c>
      <c r="J33" s="14">
        <v>3.4302305333333331E-2</v>
      </c>
      <c r="K33" s="14" t="s">
        <v>15</v>
      </c>
    </row>
    <row r="34" spans="1:11">
      <c r="A34" s="8">
        <v>10</v>
      </c>
      <c r="B34" s="9">
        <v>36902</v>
      </c>
      <c r="C34" s="12">
        <v>2001</v>
      </c>
      <c r="D34" s="15" t="s">
        <v>18</v>
      </c>
      <c r="E34" s="12">
        <v>1</v>
      </c>
      <c r="F34" s="14">
        <v>3.823692504941226</v>
      </c>
      <c r="G34" s="14">
        <v>0.19685372699999998</v>
      </c>
      <c r="H34" s="14">
        <v>0</v>
      </c>
      <c r="I34" s="14">
        <v>1.0502414048333333</v>
      </c>
      <c r="J34" s="14">
        <v>4.1248666833333329E-2</v>
      </c>
      <c r="K34" s="14" t="s">
        <v>15</v>
      </c>
    </row>
    <row r="35" spans="1:11">
      <c r="A35" s="12">
        <v>9</v>
      </c>
      <c r="B35" s="9">
        <v>36929</v>
      </c>
      <c r="C35" s="12">
        <v>2001</v>
      </c>
      <c r="D35" s="11" t="s">
        <v>19</v>
      </c>
      <c r="E35" s="12">
        <v>2</v>
      </c>
      <c r="F35" s="14">
        <v>3.8858306868674863</v>
      </c>
      <c r="G35" s="14">
        <v>0.178769977</v>
      </c>
      <c r="H35" s="14">
        <v>0</v>
      </c>
      <c r="I35" s="14">
        <v>0.98002927983333354</v>
      </c>
      <c r="J35" s="14">
        <v>3.1477151833333335E-2</v>
      </c>
      <c r="K35" s="14" t="s">
        <v>15</v>
      </c>
    </row>
    <row r="36" spans="1:11">
      <c r="A36" s="12">
        <v>10</v>
      </c>
      <c r="B36" s="9">
        <v>36929</v>
      </c>
      <c r="C36" s="12">
        <v>2001</v>
      </c>
      <c r="D36" s="11" t="s">
        <v>19</v>
      </c>
      <c r="E36" s="12">
        <v>2</v>
      </c>
      <c r="F36" s="14">
        <v>2.3564985082205148</v>
      </c>
      <c r="G36" s="14">
        <v>5.2544144000000001E-2</v>
      </c>
      <c r="H36" s="14">
        <v>0</v>
      </c>
      <c r="I36" s="14">
        <v>0.73837502783333331</v>
      </c>
      <c r="J36" s="14">
        <v>2.8045852E-2</v>
      </c>
      <c r="K36" s="14" t="s">
        <v>15</v>
      </c>
    </row>
    <row r="37" spans="1:11">
      <c r="A37" s="8">
        <v>9</v>
      </c>
      <c r="B37" s="9">
        <v>36962</v>
      </c>
      <c r="C37" s="12">
        <v>2001</v>
      </c>
      <c r="D37" s="11" t="s">
        <v>20</v>
      </c>
      <c r="E37" s="12">
        <v>3</v>
      </c>
      <c r="F37" s="14">
        <v>5.6073203405111141</v>
      </c>
      <c r="G37" s="14">
        <v>0</v>
      </c>
      <c r="H37" s="14">
        <v>6.6446375333333335E-2</v>
      </c>
      <c r="I37" s="14">
        <v>2.1616217910000004</v>
      </c>
      <c r="J37" s="14">
        <v>4.786379733333334E-2</v>
      </c>
      <c r="K37" s="14" t="s">
        <v>15</v>
      </c>
    </row>
    <row r="38" spans="1:11">
      <c r="A38" s="8">
        <v>10</v>
      </c>
      <c r="B38" s="9">
        <v>36962</v>
      </c>
      <c r="C38" s="12">
        <v>2001</v>
      </c>
      <c r="D38" s="11" t="s">
        <v>20</v>
      </c>
      <c r="E38" s="12">
        <v>3</v>
      </c>
      <c r="F38" s="14">
        <v>8.9202021810742398</v>
      </c>
      <c r="G38" s="14">
        <v>0</v>
      </c>
      <c r="H38" s="14">
        <v>4.3621342333333334E-2</v>
      </c>
      <c r="I38" s="14">
        <v>3.4691181279999999</v>
      </c>
      <c r="J38" s="14">
        <v>4.3873575666666671E-2</v>
      </c>
      <c r="K38" s="14" t="s">
        <v>15</v>
      </c>
    </row>
    <row r="39" spans="1:11">
      <c r="A39" s="8">
        <v>9</v>
      </c>
      <c r="B39" s="9">
        <v>36998</v>
      </c>
      <c r="C39" s="12">
        <v>2001</v>
      </c>
      <c r="D39" s="15" t="s">
        <v>21</v>
      </c>
      <c r="E39" s="12">
        <v>4</v>
      </c>
      <c r="F39" s="14">
        <v>0.8225617702714082</v>
      </c>
      <c r="G39" s="14">
        <v>0</v>
      </c>
      <c r="H39" s="14">
        <v>0</v>
      </c>
      <c r="I39" s="14">
        <v>9.8716413166666669E-2</v>
      </c>
      <c r="J39" s="14">
        <v>0</v>
      </c>
      <c r="K39" s="14" t="s">
        <v>15</v>
      </c>
    </row>
    <row r="40" spans="1:11">
      <c r="A40" s="8">
        <v>10</v>
      </c>
      <c r="B40" s="9">
        <v>36998</v>
      </c>
      <c r="C40" s="12">
        <v>2001</v>
      </c>
      <c r="D40" s="15" t="s">
        <v>21</v>
      </c>
      <c r="E40" s="12">
        <v>4</v>
      </c>
      <c r="F40" s="14">
        <v>1.6086673519985339</v>
      </c>
      <c r="G40" s="14">
        <v>5.0590574833333332E-2</v>
      </c>
      <c r="H40" s="14">
        <v>0</v>
      </c>
      <c r="I40" s="14">
        <v>9.2241906500000012E-2</v>
      </c>
      <c r="J40" s="14">
        <v>0</v>
      </c>
      <c r="K40" s="14" t="s">
        <v>15</v>
      </c>
    </row>
    <row r="41" spans="1:11">
      <c r="A41" s="8">
        <v>9</v>
      </c>
      <c r="B41" s="9">
        <v>37025</v>
      </c>
      <c r="C41" s="12">
        <v>2001</v>
      </c>
      <c r="D41" s="15" t="s">
        <v>22</v>
      </c>
      <c r="E41" s="12">
        <v>5</v>
      </c>
      <c r="F41" s="14">
        <v>0.28314253986417204</v>
      </c>
      <c r="G41" s="14">
        <v>0</v>
      </c>
      <c r="H41" s="14">
        <v>0</v>
      </c>
      <c r="I41" s="14">
        <v>1.8947262166666666E-2</v>
      </c>
      <c r="J41" s="14">
        <v>0</v>
      </c>
      <c r="K41" s="14" t="s">
        <v>15</v>
      </c>
    </row>
    <row r="42" spans="1:11">
      <c r="A42" s="8">
        <v>10</v>
      </c>
      <c r="B42" s="9">
        <v>37025</v>
      </c>
      <c r="C42" s="12">
        <v>2001</v>
      </c>
      <c r="D42" s="15" t="s">
        <v>22</v>
      </c>
      <c r="E42" s="12">
        <v>5</v>
      </c>
      <c r="F42" s="14">
        <v>0.65344968643652213</v>
      </c>
      <c r="G42" s="14">
        <v>0</v>
      </c>
      <c r="H42" s="14">
        <v>0</v>
      </c>
      <c r="I42" s="14">
        <v>5.8485468333333325E-2</v>
      </c>
      <c r="J42" s="14">
        <v>0</v>
      </c>
      <c r="K42" s="14" t="s">
        <v>15</v>
      </c>
    </row>
    <row r="43" spans="1:11">
      <c r="A43" s="8">
        <v>9</v>
      </c>
      <c r="B43" s="9">
        <v>37054</v>
      </c>
      <c r="C43" s="12">
        <v>2001</v>
      </c>
      <c r="D43" s="15" t="s">
        <v>23</v>
      </c>
      <c r="E43" s="12">
        <v>6</v>
      </c>
      <c r="F43" s="14">
        <v>1.6625532837477026</v>
      </c>
      <c r="G43" s="14">
        <v>1.8407894666666667E-2</v>
      </c>
      <c r="H43" s="14">
        <v>0</v>
      </c>
      <c r="I43" s="14">
        <v>0.20409089616666665</v>
      </c>
      <c r="J43" s="14">
        <v>7.7282085000000009E-3</v>
      </c>
      <c r="K43" s="14" t="s">
        <v>15</v>
      </c>
    </row>
    <row r="44" spans="1:11">
      <c r="A44" s="8">
        <v>10</v>
      </c>
      <c r="B44" s="9">
        <v>37054</v>
      </c>
      <c r="C44" s="12">
        <v>2001</v>
      </c>
      <c r="D44" s="15" t="s">
        <v>23</v>
      </c>
      <c r="E44" s="12">
        <v>6</v>
      </c>
      <c r="F44" s="14">
        <v>3.5693979435090388</v>
      </c>
      <c r="G44" s="14">
        <v>0.14304497849999998</v>
      </c>
      <c r="H44" s="14">
        <v>0</v>
      </c>
      <c r="I44" s="14">
        <v>0.72396400883333323</v>
      </c>
      <c r="J44" s="14">
        <v>7.8895155500000008E-2</v>
      </c>
      <c r="K44" s="14" t="s">
        <v>15</v>
      </c>
    </row>
    <row r="45" spans="1:11">
      <c r="A45" s="8">
        <v>9</v>
      </c>
      <c r="B45" s="9">
        <v>37090</v>
      </c>
      <c r="C45" s="12">
        <v>2001</v>
      </c>
      <c r="D45" s="15" t="s">
        <v>24</v>
      </c>
      <c r="E45" s="12">
        <v>7</v>
      </c>
      <c r="F45" s="14">
        <v>4.9985278325977225</v>
      </c>
      <c r="G45" s="14">
        <v>0.13826971533333332</v>
      </c>
      <c r="H45" s="14">
        <v>0</v>
      </c>
      <c r="I45" s="14">
        <v>0.70814979566666669</v>
      </c>
      <c r="J45" s="14">
        <v>0.26581602899999995</v>
      </c>
      <c r="K45" s="14" t="s">
        <v>15</v>
      </c>
    </row>
    <row r="46" spans="1:11">
      <c r="A46" s="8">
        <v>10</v>
      </c>
      <c r="B46" s="9">
        <v>37090</v>
      </c>
      <c r="C46" s="12">
        <v>2001</v>
      </c>
      <c r="D46" s="15" t="s">
        <v>24</v>
      </c>
      <c r="E46" s="12">
        <v>7</v>
      </c>
      <c r="F46" s="14">
        <v>3.9285171139776001</v>
      </c>
      <c r="G46" s="14">
        <v>0.27919601216666667</v>
      </c>
      <c r="H46" s="14">
        <v>1.53598655E-2</v>
      </c>
      <c r="I46" s="14">
        <v>0.56219915166666667</v>
      </c>
      <c r="J46" s="14">
        <v>0.15362580683333335</v>
      </c>
      <c r="K46" s="14" t="s">
        <v>15</v>
      </c>
    </row>
    <row r="47" spans="1:11">
      <c r="A47" s="8">
        <v>9</v>
      </c>
      <c r="B47" s="9">
        <v>37117</v>
      </c>
      <c r="C47" s="12">
        <v>2001</v>
      </c>
      <c r="D47" s="15" t="s">
        <v>25</v>
      </c>
      <c r="E47" s="12">
        <v>8</v>
      </c>
      <c r="F47" s="14">
        <v>3.3041615557801189</v>
      </c>
      <c r="G47" s="14">
        <v>6.1606147000000007E-2</v>
      </c>
      <c r="H47" s="14">
        <v>0</v>
      </c>
      <c r="I47" s="14">
        <v>0.54791938399999995</v>
      </c>
      <c r="J47" s="14">
        <v>8.9062940499999993E-2</v>
      </c>
      <c r="K47" s="14" t="s">
        <v>15</v>
      </c>
    </row>
    <row r="48" spans="1:11">
      <c r="A48" s="8">
        <v>10</v>
      </c>
      <c r="B48" s="9">
        <v>37117</v>
      </c>
      <c r="C48" s="12">
        <v>2001</v>
      </c>
      <c r="D48" s="15" t="s">
        <v>25</v>
      </c>
      <c r="E48" s="12">
        <v>8</v>
      </c>
      <c r="F48" s="14">
        <v>1.6653540946535696</v>
      </c>
      <c r="G48" s="14">
        <v>0</v>
      </c>
      <c r="H48" s="14">
        <v>0</v>
      </c>
      <c r="I48" s="14">
        <v>0.22929167633333333</v>
      </c>
      <c r="J48" s="14">
        <v>6.9474517666666666E-2</v>
      </c>
      <c r="K48" s="14" t="s">
        <v>15</v>
      </c>
    </row>
    <row r="49" spans="1:11">
      <c r="A49" s="8">
        <v>9</v>
      </c>
      <c r="B49" s="9">
        <v>37145</v>
      </c>
      <c r="C49" s="12">
        <v>2001</v>
      </c>
      <c r="D49" s="15" t="s">
        <v>26</v>
      </c>
      <c r="E49" s="12">
        <v>9</v>
      </c>
      <c r="F49" s="14">
        <v>2.9347511423023387</v>
      </c>
      <c r="G49" s="14">
        <v>0</v>
      </c>
      <c r="H49" s="14">
        <v>0</v>
      </c>
      <c r="I49" s="14">
        <v>0.83006991399999985</v>
      </c>
      <c r="J49" s="14">
        <v>2.7733763166666665E-2</v>
      </c>
      <c r="K49" s="14" t="s">
        <v>15</v>
      </c>
    </row>
    <row r="50" spans="1:11">
      <c r="A50" s="8">
        <v>10</v>
      </c>
      <c r="B50" s="9">
        <v>37145</v>
      </c>
      <c r="C50" s="12">
        <v>2001</v>
      </c>
      <c r="D50" s="15" t="s">
        <v>26</v>
      </c>
      <c r="E50" s="12">
        <v>9</v>
      </c>
      <c r="F50" s="14">
        <v>2.7943675451893024</v>
      </c>
      <c r="G50" s="14">
        <v>3.4259428500000001E-2</v>
      </c>
      <c r="H50" s="14">
        <v>0</v>
      </c>
      <c r="I50" s="14">
        <v>0.47163206249999995</v>
      </c>
      <c r="J50" s="14">
        <v>4.9958429833333338E-2</v>
      </c>
      <c r="K50" s="14" t="s">
        <v>15</v>
      </c>
    </row>
    <row r="51" spans="1:11">
      <c r="A51" s="8">
        <v>9</v>
      </c>
      <c r="B51" s="9">
        <v>37182</v>
      </c>
      <c r="C51" s="12">
        <v>2001</v>
      </c>
      <c r="D51" s="15" t="s">
        <v>14</v>
      </c>
      <c r="E51" s="12">
        <v>10</v>
      </c>
      <c r="F51" s="13">
        <v>0.4721011143849117</v>
      </c>
      <c r="G51" s="13">
        <v>0</v>
      </c>
      <c r="H51" s="17">
        <v>0</v>
      </c>
      <c r="I51" s="13">
        <v>6.9160898081002758E-2</v>
      </c>
      <c r="J51" s="13">
        <v>0</v>
      </c>
      <c r="K51" s="14" t="s">
        <v>27</v>
      </c>
    </row>
    <row r="52" spans="1:11">
      <c r="A52" s="8">
        <v>10</v>
      </c>
      <c r="B52" s="9">
        <v>37182</v>
      </c>
      <c r="C52" s="12">
        <v>2001</v>
      </c>
      <c r="D52" s="15" t="s">
        <v>14</v>
      </c>
      <c r="E52" s="12">
        <v>10</v>
      </c>
      <c r="F52" s="13">
        <v>1.2112738867058166</v>
      </c>
      <c r="G52" s="13">
        <v>0</v>
      </c>
      <c r="H52" s="17">
        <v>0</v>
      </c>
      <c r="I52" s="13">
        <v>0.22157821833465818</v>
      </c>
      <c r="J52" s="13">
        <v>9.4182591288502777E-3</v>
      </c>
      <c r="K52" s="14" t="s">
        <v>27</v>
      </c>
    </row>
    <row r="53" spans="1:11">
      <c r="A53" s="8">
        <v>9</v>
      </c>
      <c r="B53" s="9">
        <v>37202</v>
      </c>
      <c r="C53" s="12">
        <v>2001</v>
      </c>
      <c r="D53" s="15" t="s">
        <v>16</v>
      </c>
      <c r="E53" s="12">
        <v>11</v>
      </c>
      <c r="F53" s="13">
        <v>0.47858704932321527</v>
      </c>
      <c r="G53" s="13">
        <v>0</v>
      </c>
      <c r="H53" s="17">
        <v>0</v>
      </c>
      <c r="I53" s="13">
        <v>8.0767425732963638E-2</v>
      </c>
      <c r="J53" s="13">
        <v>0</v>
      </c>
      <c r="K53" s="14" t="s">
        <v>27</v>
      </c>
    </row>
    <row r="54" spans="1:11">
      <c r="A54" s="8">
        <v>10</v>
      </c>
      <c r="B54" s="9">
        <v>37202</v>
      </c>
      <c r="C54" s="12">
        <v>2001</v>
      </c>
      <c r="D54" s="15" t="s">
        <v>16</v>
      </c>
      <c r="E54" s="12">
        <v>11</v>
      </c>
      <c r="F54" s="13">
        <v>0.30968197273470283</v>
      </c>
      <c r="G54" s="13">
        <v>0</v>
      </c>
      <c r="H54" s="17">
        <v>0</v>
      </c>
      <c r="I54" s="13">
        <v>3.3063723297488343E-2</v>
      </c>
      <c r="J54" s="13">
        <v>0</v>
      </c>
      <c r="K54" s="14" t="s">
        <v>27</v>
      </c>
    </row>
    <row r="55" spans="1:11">
      <c r="A55" s="8">
        <v>9</v>
      </c>
      <c r="B55" s="9">
        <v>37230</v>
      </c>
      <c r="C55" s="12">
        <v>2001</v>
      </c>
      <c r="D55" s="15" t="s">
        <v>17</v>
      </c>
      <c r="E55" s="12">
        <v>12</v>
      </c>
      <c r="F55" s="13">
        <v>0.4186981867733931</v>
      </c>
      <c r="G55" s="13">
        <v>0</v>
      </c>
      <c r="H55" s="17">
        <v>0</v>
      </c>
      <c r="I55" s="13">
        <v>6.6952349765493746E-2</v>
      </c>
      <c r="J55" s="13">
        <v>0</v>
      </c>
      <c r="K55" s="14" t="s">
        <v>27</v>
      </c>
    </row>
    <row r="56" spans="1:11">
      <c r="A56" s="8">
        <v>10</v>
      </c>
      <c r="B56" s="9">
        <v>37230</v>
      </c>
      <c r="C56" s="12">
        <v>2001</v>
      </c>
      <c r="D56" s="15" t="s">
        <v>17</v>
      </c>
      <c r="E56" s="12">
        <v>12</v>
      </c>
      <c r="F56" s="13">
        <v>0.7572648443264195</v>
      </c>
      <c r="G56" s="13">
        <v>0</v>
      </c>
      <c r="H56" s="17">
        <v>0</v>
      </c>
      <c r="I56" s="13">
        <v>9.9156378650162788E-2</v>
      </c>
      <c r="J56" s="13">
        <v>8.0001879931971501E-3</v>
      </c>
      <c r="K56" s="14" t="s">
        <v>27</v>
      </c>
    </row>
    <row r="57" spans="1:11">
      <c r="A57" s="8">
        <v>9</v>
      </c>
      <c r="B57" s="9">
        <v>37272</v>
      </c>
      <c r="C57" s="12">
        <v>2002</v>
      </c>
      <c r="D57" s="15" t="s">
        <v>18</v>
      </c>
      <c r="E57" s="12">
        <v>1</v>
      </c>
      <c r="F57" s="13">
        <v>1.147997067637754</v>
      </c>
      <c r="G57" s="13">
        <v>2.9213880920873701E-2</v>
      </c>
      <c r="H57" s="17">
        <v>0</v>
      </c>
      <c r="I57" s="13">
        <v>0.3154286488099774</v>
      </c>
      <c r="J57" s="13">
        <v>6.3082321198769074E-3</v>
      </c>
      <c r="K57" s="14" t="s">
        <v>27</v>
      </c>
    </row>
    <row r="58" spans="1:11">
      <c r="A58" s="8">
        <v>10</v>
      </c>
      <c r="B58" s="9">
        <v>37272</v>
      </c>
      <c r="C58" s="12">
        <v>2002</v>
      </c>
      <c r="D58" s="15" t="s">
        <v>18</v>
      </c>
      <c r="E58" s="12">
        <v>1</v>
      </c>
      <c r="F58" s="13">
        <v>1.682021769965901</v>
      </c>
      <c r="G58" s="13">
        <v>4.3579449911026608E-2</v>
      </c>
      <c r="H58" s="17">
        <v>0</v>
      </c>
      <c r="I58" s="13">
        <v>0.30435021393381639</v>
      </c>
      <c r="J58" s="13">
        <v>9.2987339124973416E-3</v>
      </c>
      <c r="K58" s="14" t="s">
        <v>27</v>
      </c>
    </row>
    <row r="59" spans="1:11">
      <c r="A59" s="8">
        <v>9</v>
      </c>
      <c r="B59" s="9">
        <v>37301</v>
      </c>
      <c r="C59" s="12">
        <v>2002</v>
      </c>
      <c r="D59" s="11" t="s">
        <v>19</v>
      </c>
      <c r="E59" s="12">
        <v>2</v>
      </c>
      <c r="F59" s="13">
        <v>0.71297686444235664</v>
      </c>
      <c r="G59" s="13">
        <v>2.038087636988679E-2</v>
      </c>
      <c r="H59" s="17">
        <v>0</v>
      </c>
      <c r="I59" s="13">
        <v>0.22453232410187637</v>
      </c>
      <c r="J59" s="13">
        <v>1.1449032506591175E-2</v>
      </c>
      <c r="K59" s="14" t="s">
        <v>27</v>
      </c>
    </row>
    <row r="60" spans="1:11">
      <c r="A60" s="8">
        <v>10</v>
      </c>
      <c r="B60" s="9">
        <v>37301</v>
      </c>
      <c r="C60" s="12">
        <v>2002</v>
      </c>
      <c r="D60" s="11" t="s">
        <v>19</v>
      </c>
      <c r="E60" s="12">
        <v>2</v>
      </c>
      <c r="F60" s="13">
        <v>0.9535940430726153</v>
      </c>
      <c r="G60" s="13">
        <v>6.6690834409059194E-2</v>
      </c>
      <c r="H60" s="17">
        <v>0</v>
      </c>
      <c r="I60" s="13">
        <v>0.2257179494722191</v>
      </c>
      <c r="J60" s="13">
        <v>2.1803382122767011E-2</v>
      </c>
      <c r="K60" s="14" t="s">
        <v>27</v>
      </c>
    </row>
    <row r="61" spans="1:11">
      <c r="A61" s="8">
        <v>9</v>
      </c>
      <c r="B61" s="18">
        <v>37336</v>
      </c>
      <c r="C61" s="12">
        <v>2002</v>
      </c>
      <c r="D61" s="11" t="s">
        <v>20</v>
      </c>
      <c r="E61" s="12">
        <v>3</v>
      </c>
      <c r="F61" s="13">
        <v>1.3481645884658155</v>
      </c>
      <c r="G61" s="13">
        <v>6.6137167934927008E-2</v>
      </c>
      <c r="H61" s="17">
        <v>0</v>
      </c>
      <c r="I61" s="13">
        <v>0.21208549873849719</v>
      </c>
      <c r="J61" s="13">
        <v>0</v>
      </c>
      <c r="K61" s="14" t="s">
        <v>27</v>
      </c>
    </row>
    <row r="62" spans="1:11">
      <c r="A62" s="8">
        <v>10</v>
      </c>
      <c r="B62" s="18">
        <v>37336</v>
      </c>
      <c r="C62" s="12">
        <v>2002</v>
      </c>
      <c r="D62" s="11" t="s">
        <v>20</v>
      </c>
      <c r="E62" s="12">
        <v>3</v>
      </c>
      <c r="F62" s="13">
        <v>1.2886443731512156</v>
      </c>
      <c r="G62" s="13">
        <v>7.1877619827106359E-2</v>
      </c>
      <c r="H62" s="17">
        <v>1.3812517482162699E-2</v>
      </c>
      <c r="I62" s="13">
        <v>0.30920880587239696</v>
      </c>
      <c r="J62" s="13">
        <v>1.1699137493648292E-2</v>
      </c>
      <c r="K62" s="14" t="s">
        <v>27</v>
      </c>
    </row>
    <row r="63" spans="1:11">
      <c r="A63" s="8">
        <v>9</v>
      </c>
      <c r="B63" s="18">
        <v>37363</v>
      </c>
      <c r="C63" s="12">
        <v>2002</v>
      </c>
      <c r="D63" s="15" t="s">
        <v>21</v>
      </c>
      <c r="E63" s="12">
        <v>4</v>
      </c>
      <c r="F63" s="13">
        <v>0.85757683671362128</v>
      </c>
      <c r="G63" s="13">
        <v>0</v>
      </c>
      <c r="H63" s="17">
        <v>0</v>
      </c>
      <c r="I63" s="13">
        <v>7.7827509989645521E-2</v>
      </c>
      <c r="J63" s="13">
        <v>0</v>
      </c>
      <c r="K63" s="14" t="s">
        <v>27</v>
      </c>
    </row>
    <row r="64" spans="1:11">
      <c r="A64" s="8">
        <v>10</v>
      </c>
      <c r="B64" s="18">
        <v>37363</v>
      </c>
      <c r="C64" s="12">
        <v>2002</v>
      </c>
      <c r="D64" s="15" t="s">
        <v>21</v>
      </c>
      <c r="E64" s="12">
        <v>4</v>
      </c>
      <c r="F64" s="13">
        <v>1.103174564508576</v>
      </c>
      <c r="G64" s="13">
        <v>2.7737062023399525E-2</v>
      </c>
      <c r="H64" s="17">
        <v>0</v>
      </c>
      <c r="I64" s="13">
        <v>0.19882377988567018</v>
      </c>
      <c r="J64" s="13">
        <v>1.3704998247623622E-2</v>
      </c>
      <c r="K64" s="14" t="s">
        <v>27</v>
      </c>
    </row>
    <row r="65" spans="1:11">
      <c r="A65" s="8">
        <v>9</v>
      </c>
      <c r="B65" s="18">
        <v>37391</v>
      </c>
      <c r="C65" s="12">
        <v>2002</v>
      </c>
      <c r="D65" s="15" t="s">
        <v>22</v>
      </c>
      <c r="E65" s="12">
        <v>5</v>
      </c>
      <c r="F65" s="13">
        <v>1.9396457396043549</v>
      </c>
      <c r="G65" s="19"/>
      <c r="H65" s="13">
        <v>0</v>
      </c>
      <c r="I65" s="19"/>
      <c r="J65" s="19"/>
      <c r="K65" s="14" t="s">
        <v>27</v>
      </c>
    </row>
    <row r="66" spans="1:11">
      <c r="A66" s="8">
        <v>10</v>
      </c>
      <c r="B66" s="18">
        <v>37391</v>
      </c>
      <c r="C66" s="12">
        <v>2002</v>
      </c>
      <c r="D66" s="15" t="s">
        <v>22</v>
      </c>
      <c r="E66" s="12">
        <v>5</v>
      </c>
      <c r="F66" s="13">
        <v>2.4335974169955601</v>
      </c>
      <c r="G66" s="19"/>
      <c r="H66" s="13">
        <v>0</v>
      </c>
      <c r="I66" s="19"/>
      <c r="J66" s="19"/>
      <c r="K66" s="14" t="s">
        <v>27</v>
      </c>
    </row>
    <row r="67" spans="1:11">
      <c r="A67" s="8">
        <v>9</v>
      </c>
      <c r="B67" s="18">
        <v>37420</v>
      </c>
      <c r="C67" s="12">
        <v>2002</v>
      </c>
      <c r="D67" s="15" t="s">
        <v>23</v>
      </c>
      <c r="E67" s="12">
        <v>6</v>
      </c>
      <c r="F67" s="13">
        <v>5.3147026553096444</v>
      </c>
      <c r="G67" s="19"/>
      <c r="H67" s="13">
        <v>2.6858252584694563E-2</v>
      </c>
      <c r="I67" s="19"/>
      <c r="J67" s="19"/>
      <c r="K67" s="14" t="s">
        <v>27</v>
      </c>
    </row>
    <row r="68" spans="1:11">
      <c r="A68" s="8">
        <v>10</v>
      </c>
      <c r="B68" s="18">
        <v>37420</v>
      </c>
      <c r="C68" s="12">
        <v>2002</v>
      </c>
      <c r="D68" s="15" t="s">
        <v>23</v>
      </c>
      <c r="E68" s="12">
        <v>6</v>
      </c>
      <c r="F68" s="13">
        <v>4.260691903620927</v>
      </c>
      <c r="G68" s="19"/>
      <c r="H68" s="13">
        <v>0</v>
      </c>
      <c r="I68" s="19"/>
      <c r="J68" s="19"/>
      <c r="K68" s="14" t="s">
        <v>27</v>
      </c>
    </row>
    <row r="69" spans="1:11">
      <c r="A69" s="8">
        <v>9</v>
      </c>
      <c r="B69" s="18">
        <v>37453</v>
      </c>
      <c r="C69" s="12">
        <v>2002</v>
      </c>
      <c r="D69" s="15" t="s">
        <v>24</v>
      </c>
      <c r="E69" s="12">
        <v>7</v>
      </c>
      <c r="F69" s="13">
        <v>10.683163546231519</v>
      </c>
      <c r="G69" s="19"/>
      <c r="H69" s="13">
        <v>0.18428582477836183</v>
      </c>
      <c r="I69" s="19"/>
      <c r="J69" s="19"/>
      <c r="K69" s="14" t="s">
        <v>27</v>
      </c>
    </row>
    <row r="70" spans="1:11">
      <c r="A70" s="8">
        <v>10</v>
      </c>
      <c r="B70" s="18">
        <v>37453</v>
      </c>
      <c r="C70" s="12">
        <v>2002</v>
      </c>
      <c r="D70" s="15" t="s">
        <v>24</v>
      </c>
      <c r="E70" s="12">
        <v>7</v>
      </c>
      <c r="F70" s="13">
        <v>8.4764523140248631</v>
      </c>
      <c r="G70" s="19"/>
      <c r="H70" s="13">
        <v>0</v>
      </c>
      <c r="I70" s="19"/>
      <c r="J70" s="19"/>
      <c r="K70" s="14" t="s">
        <v>27</v>
      </c>
    </row>
    <row r="71" spans="1:11">
      <c r="A71" s="8">
        <v>9</v>
      </c>
      <c r="B71" s="18">
        <v>37481</v>
      </c>
      <c r="C71" s="12">
        <v>2002</v>
      </c>
      <c r="D71" s="15" t="s">
        <v>25</v>
      </c>
      <c r="E71" s="12">
        <v>8</v>
      </c>
      <c r="F71" s="13">
        <v>7.9676668218483595</v>
      </c>
      <c r="G71" s="19"/>
      <c r="H71" s="13">
        <v>0</v>
      </c>
      <c r="I71" s="19"/>
      <c r="J71" s="19"/>
      <c r="K71" s="14" t="s">
        <v>27</v>
      </c>
    </row>
    <row r="72" spans="1:11">
      <c r="A72" s="8">
        <v>10</v>
      </c>
      <c r="B72" s="18">
        <v>37481</v>
      </c>
      <c r="C72" s="12">
        <v>2002</v>
      </c>
      <c r="D72" s="15" t="s">
        <v>25</v>
      </c>
      <c r="E72" s="12">
        <v>8</v>
      </c>
      <c r="F72" s="13">
        <v>4.6552995592289621</v>
      </c>
      <c r="G72" s="19"/>
      <c r="H72" s="13">
        <v>0</v>
      </c>
      <c r="I72" s="19"/>
      <c r="J72" s="19"/>
      <c r="K72" s="14" t="s">
        <v>27</v>
      </c>
    </row>
    <row r="73" spans="1:11">
      <c r="A73" s="8">
        <v>9</v>
      </c>
      <c r="B73" s="18">
        <v>37518</v>
      </c>
      <c r="C73" s="12">
        <v>2002</v>
      </c>
      <c r="D73" s="15" t="s">
        <v>26</v>
      </c>
      <c r="E73" s="12">
        <v>9</v>
      </c>
      <c r="F73" s="13">
        <v>1.9085816221617367</v>
      </c>
      <c r="G73" s="19"/>
      <c r="H73" s="13">
        <v>0</v>
      </c>
      <c r="I73" s="19"/>
      <c r="J73" s="19"/>
      <c r="K73" s="14" t="s">
        <v>27</v>
      </c>
    </row>
    <row r="74" spans="1:11">
      <c r="A74" s="8">
        <v>10</v>
      </c>
      <c r="B74" s="18">
        <v>37518</v>
      </c>
      <c r="C74" s="12">
        <v>2002</v>
      </c>
      <c r="D74" s="15" t="s">
        <v>26</v>
      </c>
      <c r="E74" s="12">
        <v>9</v>
      </c>
      <c r="F74" s="13">
        <v>1.7816744587190372</v>
      </c>
      <c r="G74" s="19"/>
      <c r="H74" s="13">
        <v>0</v>
      </c>
      <c r="I74" s="19"/>
      <c r="J74" s="19"/>
      <c r="K74" s="14" t="s">
        <v>27</v>
      </c>
    </row>
    <row r="75" spans="1:11">
      <c r="A75" s="8">
        <v>9</v>
      </c>
      <c r="B75" s="18">
        <v>37546</v>
      </c>
      <c r="C75" s="12">
        <v>2002</v>
      </c>
      <c r="D75" s="15" t="s">
        <v>14</v>
      </c>
      <c r="E75" s="12">
        <v>10</v>
      </c>
      <c r="F75" s="14">
        <v>1.2929485390832829</v>
      </c>
      <c r="G75" s="14">
        <v>1.8722281901882808E-2</v>
      </c>
      <c r="H75" s="14">
        <v>0</v>
      </c>
      <c r="I75" s="14">
        <v>0.34443415935485061</v>
      </c>
      <c r="J75" s="14">
        <v>5.9433665612240571E-3</v>
      </c>
      <c r="K75" s="14">
        <v>0</v>
      </c>
    </row>
    <row r="76" spans="1:11">
      <c r="A76" s="8">
        <v>10</v>
      </c>
      <c r="B76" s="18">
        <v>37546</v>
      </c>
      <c r="C76" s="12">
        <v>2002</v>
      </c>
      <c r="D76" s="15" t="s">
        <v>14</v>
      </c>
      <c r="E76" s="12">
        <v>10</v>
      </c>
      <c r="F76" s="14">
        <v>2.4992786733570096</v>
      </c>
      <c r="G76" s="14">
        <v>5.7485243041669583E-2</v>
      </c>
      <c r="H76" s="14">
        <v>0</v>
      </c>
      <c r="I76" s="14">
        <v>0.57341330123197498</v>
      </c>
      <c r="J76" s="14">
        <v>1.0554824996242914E-2</v>
      </c>
      <c r="K76" s="14">
        <v>0</v>
      </c>
    </row>
    <row r="77" spans="1:11">
      <c r="A77" s="8">
        <v>9</v>
      </c>
      <c r="B77" s="18">
        <v>37574</v>
      </c>
      <c r="C77" s="12">
        <v>2002</v>
      </c>
      <c r="D77" s="15" t="s">
        <v>16</v>
      </c>
      <c r="E77" s="12">
        <v>11</v>
      </c>
      <c r="F77" s="14">
        <v>1.0867194293237217</v>
      </c>
      <c r="G77" s="14">
        <v>1.4166699142119831E-2</v>
      </c>
      <c r="H77" s="14">
        <v>0</v>
      </c>
      <c r="I77" s="14">
        <v>0.34087343526840319</v>
      </c>
      <c r="J77" s="14">
        <v>4.4780668566476748E-3</v>
      </c>
      <c r="K77" s="14">
        <v>0</v>
      </c>
    </row>
    <row r="78" spans="1:11">
      <c r="A78" s="8">
        <v>10</v>
      </c>
      <c r="B78" s="18">
        <v>37574</v>
      </c>
      <c r="C78" s="12">
        <v>2002</v>
      </c>
      <c r="D78" s="15" t="s">
        <v>16</v>
      </c>
      <c r="E78" s="12">
        <v>11</v>
      </c>
      <c r="F78" s="14">
        <v>1.0767334892909848</v>
      </c>
      <c r="G78" s="14">
        <v>2.2527259686535531E-2</v>
      </c>
      <c r="H78" s="14">
        <v>0</v>
      </c>
      <c r="I78" s="14">
        <v>0.12516282716334096</v>
      </c>
      <c r="J78" s="14">
        <v>7.1243952969091626E-3</v>
      </c>
      <c r="K78" s="14">
        <v>0</v>
      </c>
    </row>
    <row r="79" spans="1:11">
      <c r="A79" s="8">
        <v>9</v>
      </c>
      <c r="B79" s="18">
        <v>37608</v>
      </c>
      <c r="C79" s="12">
        <v>2002</v>
      </c>
      <c r="D79" s="15" t="s">
        <v>17</v>
      </c>
      <c r="E79" s="12">
        <v>12</v>
      </c>
      <c r="F79" s="14">
        <v>2.5888372076756232</v>
      </c>
      <c r="G79" s="14">
        <v>0.1633068328491224</v>
      </c>
      <c r="H79" s="14">
        <v>0</v>
      </c>
      <c r="I79" s="14">
        <v>0.58889488883540586</v>
      </c>
      <c r="J79" s="14">
        <v>1.0400090755046283E-2</v>
      </c>
      <c r="K79" s="14">
        <v>0</v>
      </c>
    </row>
    <row r="80" spans="1:11">
      <c r="A80" s="8">
        <v>10</v>
      </c>
      <c r="B80" s="18">
        <v>37608</v>
      </c>
      <c r="C80" s="12">
        <v>2002</v>
      </c>
      <c r="D80" s="15" t="s">
        <v>17</v>
      </c>
      <c r="E80" s="12">
        <v>12</v>
      </c>
      <c r="F80" s="14">
        <v>2.8423970265451763</v>
      </c>
      <c r="G80" s="14">
        <v>0.16842165950168098</v>
      </c>
      <c r="H80" s="14">
        <v>0</v>
      </c>
      <c r="I80" s="14">
        <v>0.64029351771613074</v>
      </c>
      <c r="J80" s="14">
        <v>1.1831919564208536E-2</v>
      </c>
      <c r="K80" s="14">
        <v>0</v>
      </c>
    </row>
    <row r="81" spans="1:11">
      <c r="A81" s="8">
        <v>9</v>
      </c>
      <c r="B81" s="18">
        <v>37636</v>
      </c>
      <c r="C81" s="12">
        <v>2003</v>
      </c>
      <c r="D81" s="15" t="s">
        <v>18</v>
      </c>
      <c r="E81" s="12">
        <v>1</v>
      </c>
      <c r="F81" s="14">
        <v>3.1264525681107216</v>
      </c>
      <c r="G81" s="14">
        <v>0.22474307330159174</v>
      </c>
      <c r="H81" s="14">
        <v>0</v>
      </c>
      <c r="I81" s="14">
        <v>1.1607435016324106</v>
      </c>
      <c r="J81" s="14">
        <v>1.9830087462238553E-2</v>
      </c>
      <c r="K81" s="14">
        <v>0</v>
      </c>
    </row>
    <row r="82" spans="1:11">
      <c r="A82" s="8">
        <v>10</v>
      </c>
      <c r="B82" s="18">
        <v>37636</v>
      </c>
      <c r="C82" s="12">
        <v>2003</v>
      </c>
      <c r="D82" s="15" t="s">
        <v>18</v>
      </c>
      <c r="E82" s="12">
        <v>1</v>
      </c>
      <c r="F82" s="14">
        <v>3.2980055779066113</v>
      </c>
      <c r="G82" s="14">
        <v>0.38729187575649598</v>
      </c>
      <c r="H82" s="14">
        <v>0</v>
      </c>
      <c r="I82" s="14">
        <v>0.87674040842545797</v>
      </c>
      <c r="J82" s="14">
        <v>2.4096431094695142E-2</v>
      </c>
      <c r="K82" s="14">
        <v>0</v>
      </c>
    </row>
    <row r="83" spans="1:11">
      <c r="A83" s="8">
        <v>9</v>
      </c>
      <c r="B83" s="18">
        <v>37663</v>
      </c>
      <c r="C83" s="12">
        <v>2003</v>
      </c>
      <c r="D83" s="11" t="s">
        <v>19</v>
      </c>
      <c r="E83" s="12">
        <v>2</v>
      </c>
      <c r="F83" s="14">
        <v>3.1713906033163646</v>
      </c>
      <c r="G83" s="14">
        <v>0</v>
      </c>
      <c r="H83" s="14">
        <v>0</v>
      </c>
      <c r="I83" s="14">
        <v>1.1426493368951982</v>
      </c>
      <c r="J83" s="14">
        <v>1.3123884076250642E-2</v>
      </c>
      <c r="K83" s="14">
        <v>0</v>
      </c>
    </row>
    <row r="84" spans="1:11">
      <c r="A84" s="8">
        <v>10</v>
      </c>
      <c r="B84" s="18">
        <v>37663</v>
      </c>
      <c r="C84" s="12">
        <v>2003</v>
      </c>
      <c r="D84" s="11" t="s">
        <v>19</v>
      </c>
      <c r="E84" s="12">
        <v>2</v>
      </c>
      <c r="F84" s="14">
        <v>4.0365013086057164</v>
      </c>
      <c r="G84" s="14">
        <v>0.51566150686817191</v>
      </c>
      <c r="H84" s="14">
        <v>0</v>
      </c>
      <c r="I84" s="14">
        <v>1.1426805748797479</v>
      </c>
      <c r="J84" s="14">
        <v>2.223553991863125E-2</v>
      </c>
      <c r="K84" s="14">
        <v>0</v>
      </c>
    </row>
    <row r="85" spans="1:11">
      <c r="A85" s="8">
        <v>9</v>
      </c>
      <c r="B85" s="18">
        <v>37691</v>
      </c>
      <c r="C85" s="12">
        <v>2003</v>
      </c>
      <c r="D85" s="11" t="s">
        <v>20</v>
      </c>
      <c r="E85" s="12">
        <v>3</v>
      </c>
      <c r="F85" s="14">
        <v>5.0388886297177624</v>
      </c>
      <c r="G85" s="14">
        <v>0.15865869710360214</v>
      </c>
      <c r="H85" s="14">
        <v>2.7032515543638603E-2</v>
      </c>
      <c r="I85" s="14">
        <v>1.6815956410677575</v>
      </c>
      <c r="J85" s="14">
        <v>3.2389814082822627E-2</v>
      </c>
      <c r="K85" s="14">
        <v>0</v>
      </c>
    </row>
    <row r="86" spans="1:11">
      <c r="A86" s="8">
        <v>10</v>
      </c>
      <c r="B86" s="18">
        <v>37691</v>
      </c>
      <c r="C86" s="12">
        <v>2003</v>
      </c>
      <c r="D86" s="11" t="s">
        <v>20</v>
      </c>
      <c r="E86" s="12">
        <v>3</v>
      </c>
      <c r="F86" s="14">
        <v>7.6414041120201084</v>
      </c>
      <c r="G86" s="14">
        <v>0.28616137174384559</v>
      </c>
      <c r="H86" s="14">
        <v>3.6107352617702503E-2</v>
      </c>
      <c r="I86" s="14">
        <v>2.3893810892381824</v>
      </c>
      <c r="J86" s="14">
        <v>4.3224927866727471E-2</v>
      </c>
      <c r="K86" s="14">
        <v>0</v>
      </c>
    </row>
    <row r="87" spans="1:11">
      <c r="A87" s="8">
        <v>9</v>
      </c>
      <c r="B87" s="18">
        <v>37727</v>
      </c>
      <c r="C87" s="12">
        <v>2003</v>
      </c>
      <c r="D87" s="11" t="s">
        <v>21</v>
      </c>
      <c r="E87" s="12">
        <v>4</v>
      </c>
      <c r="F87" s="14">
        <v>12.053436115301217</v>
      </c>
      <c r="G87" s="14">
        <v>6.8553864762860503E-2</v>
      </c>
      <c r="H87" s="14">
        <v>0</v>
      </c>
      <c r="I87" s="14">
        <v>5.9619603296594335</v>
      </c>
      <c r="J87" s="14">
        <v>5.2939869874192406E-2</v>
      </c>
      <c r="K87" s="14">
        <v>0</v>
      </c>
    </row>
    <row r="88" spans="1:11">
      <c r="A88" s="8">
        <v>10</v>
      </c>
      <c r="B88" s="18">
        <v>37727</v>
      </c>
      <c r="C88" s="12">
        <v>2003</v>
      </c>
      <c r="D88" s="11" t="s">
        <v>21</v>
      </c>
      <c r="E88" s="12">
        <v>4</v>
      </c>
      <c r="F88" s="14">
        <v>13.397116729720528</v>
      </c>
      <c r="G88" s="14">
        <v>6.0391319469281203E-2</v>
      </c>
      <c r="H88" s="14">
        <v>0</v>
      </c>
      <c r="I88" s="14">
        <v>5.7964300519043936</v>
      </c>
      <c r="J88" s="14">
        <v>7.5620434813708642E-2</v>
      </c>
      <c r="K88" s="14">
        <v>0</v>
      </c>
    </row>
    <row r="89" spans="1:11">
      <c r="A89" s="8">
        <v>9</v>
      </c>
      <c r="B89" s="18">
        <v>37756</v>
      </c>
      <c r="C89" s="12">
        <v>2003</v>
      </c>
      <c r="D89" s="11" t="s">
        <v>22</v>
      </c>
      <c r="E89" s="12">
        <v>5</v>
      </c>
      <c r="F89" s="14">
        <v>1.8476474728478067</v>
      </c>
      <c r="G89" s="14">
        <v>0</v>
      </c>
      <c r="H89" s="14">
        <v>6.2671971555601891E-2</v>
      </c>
      <c r="I89" s="14">
        <v>0.64146033927334389</v>
      </c>
      <c r="J89" s="14">
        <v>2.9354351880696138E-2</v>
      </c>
      <c r="K89" s="14">
        <v>0</v>
      </c>
    </row>
    <row r="90" spans="1:11">
      <c r="A90" s="8">
        <v>10</v>
      </c>
      <c r="B90" s="18">
        <v>37756</v>
      </c>
      <c r="C90" s="12">
        <v>2003</v>
      </c>
      <c r="D90" s="11" t="s">
        <v>22</v>
      </c>
      <c r="E90" s="12">
        <v>5</v>
      </c>
      <c r="F90" s="14">
        <v>4.152192391345797</v>
      </c>
      <c r="G90" s="14">
        <v>4.1134502865808588E-2</v>
      </c>
      <c r="H90" s="14">
        <v>0</v>
      </c>
      <c r="I90" s="14">
        <v>0.78772361680645719</v>
      </c>
      <c r="J90" s="14">
        <v>3.1188968953732955E-2</v>
      </c>
      <c r="K90" s="14">
        <v>0</v>
      </c>
    </row>
    <row r="91" spans="1:11">
      <c r="A91" s="8">
        <v>9</v>
      </c>
      <c r="B91" s="18">
        <v>37790</v>
      </c>
      <c r="C91" s="12">
        <v>2003</v>
      </c>
      <c r="D91" s="11" t="s">
        <v>23</v>
      </c>
      <c r="E91" s="12">
        <v>6</v>
      </c>
      <c r="F91" s="14">
        <v>25.687010217391375</v>
      </c>
      <c r="G91" s="14">
        <v>0</v>
      </c>
      <c r="H91" s="14">
        <v>3.5997663823376378</v>
      </c>
      <c r="I91" s="14">
        <v>12.851072918188116</v>
      </c>
      <c r="J91" s="14">
        <v>0.25463367543640142</v>
      </c>
      <c r="K91" s="14">
        <v>0</v>
      </c>
    </row>
    <row r="92" spans="1:11">
      <c r="A92" s="8">
        <v>10</v>
      </c>
      <c r="B92" s="18">
        <v>37790</v>
      </c>
      <c r="C92" s="12">
        <v>2003</v>
      </c>
      <c r="D92" s="11" t="s">
        <v>23</v>
      </c>
      <c r="E92" s="12">
        <v>6</v>
      </c>
      <c r="F92" s="14">
        <v>23.761915212820931</v>
      </c>
      <c r="G92" s="14">
        <v>4.809305880543209E-2</v>
      </c>
      <c r="H92" s="14">
        <v>3.8283086458268425</v>
      </c>
      <c r="I92" s="14">
        <v>12.108158166220349</v>
      </c>
      <c r="J92" s="14">
        <v>0.24703306857768198</v>
      </c>
      <c r="K92" s="14">
        <v>0</v>
      </c>
    </row>
    <row r="93" spans="1:11">
      <c r="A93" s="8">
        <v>9</v>
      </c>
      <c r="B93" s="18">
        <v>37818</v>
      </c>
      <c r="C93" s="12">
        <v>2003</v>
      </c>
      <c r="D93" s="15" t="s">
        <v>24</v>
      </c>
      <c r="E93" s="12">
        <v>7</v>
      </c>
      <c r="F93" s="14">
        <v>17.655619443896327</v>
      </c>
      <c r="G93" s="14">
        <v>0.41232402340940155</v>
      </c>
      <c r="H93" s="14">
        <v>0</v>
      </c>
      <c r="I93" s="14">
        <v>3.4673334892972134</v>
      </c>
      <c r="J93" s="14">
        <v>0.49174074184285244</v>
      </c>
      <c r="K93" s="14">
        <v>0</v>
      </c>
    </row>
    <row r="94" spans="1:11">
      <c r="A94" s="8">
        <v>10</v>
      </c>
      <c r="B94" s="18">
        <v>37818</v>
      </c>
      <c r="C94" s="12">
        <v>2003</v>
      </c>
      <c r="D94" s="15" t="s">
        <v>24</v>
      </c>
      <c r="E94" s="12">
        <v>7</v>
      </c>
      <c r="F94" s="14">
        <v>16.888009174651454</v>
      </c>
      <c r="G94" s="14">
        <v>0.37246919419727226</v>
      </c>
      <c r="H94" s="14">
        <v>0</v>
      </c>
      <c r="I94" s="14">
        <v>2.7355301404133519</v>
      </c>
      <c r="J94" s="14">
        <v>0.5266684469273184</v>
      </c>
      <c r="K94" s="14">
        <v>0</v>
      </c>
    </row>
    <row r="95" spans="1:11">
      <c r="A95" s="8">
        <v>9</v>
      </c>
      <c r="B95" s="18">
        <v>37846</v>
      </c>
      <c r="C95" s="12">
        <v>2003</v>
      </c>
      <c r="D95" s="15" t="s">
        <v>25</v>
      </c>
      <c r="E95" s="12">
        <v>8</v>
      </c>
      <c r="F95" s="14">
        <v>24.113811290922982</v>
      </c>
      <c r="G95" s="14">
        <v>0.20884273998192615</v>
      </c>
      <c r="H95" s="14">
        <v>0</v>
      </c>
      <c r="I95" s="14">
        <v>8.431359273479778</v>
      </c>
      <c r="J95" s="14">
        <v>0.62094152479754416</v>
      </c>
      <c r="K95" s="14">
        <v>0</v>
      </c>
    </row>
    <row r="96" spans="1:11">
      <c r="A96" s="8">
        <v>10</v>
      </c>
      <c r="B96" s="18">
        <v>37846</v>
      </c>
      <c r="C96" s="12">
        <v>2003</v>
      </c>
      <c r="D96" s="15" t="s">
        <v>25</v>
      </c>
      <c r="E96" s="12">
        <v>8</v>
      </c>
      <c r="F96" s="14">
        <v>18.957917819459027</v>
      </c>
      <c r="G96" s="14">
        <v>0.42092298984771331</v>
      </c>
      <c r="H96" s="14">
        <v>0</v>
      </c>
      <c r="I96" s="14">
        <v>5.695922304972175</v>
      </c>
      <c r="J96" s="14">
        <v>0.56223404940662502</v>
      </c>
      <c r="K96" s="14">
        <v>0</v>
      </c>
    </row>
    <row r="97" spans="1:11">
      <c r="A97" s="8">
        <v>9</v>
      </c>
      <c r="B97" s="18">
        <v>37886</v>
      </c>
      <c r="C97" s="12">
        <v>2003</v>
      </c>
      <c r="D97" s="15" t="s">
        <v>26</v>
      </c>
      <c r="E97" s="12">
        <v>9</v>
      </c>
      <c r="F97" s="14">
        <v>13.35583266019621</v>
      </c>
      <c r="G97" s="14">
        <v>0.17459944359270016</v>
      </c>
      <c r="H97" s="14">
        <v>0</v>
      </c>
      <c r="I97" s="14">
        <v>2.9926865107898353</v>
      </c>
      <c r="J97" s="14">
        <v>0.14798682930337059</v>
      </c>
      <c r="K97" s="14">
        <v>0</v>
      </c>
    </row>
    <row r="98" spans="1:11">
      <c r="A98" s="8">
        <v>10</v>
      </c>
      <c r="B98" s="18">
        <v>37886</v>
      </c>
      <c r="C98" s="12">
        <v>2003</v>
      </c>
      <c r="D98" s="15" t="s">
        <v>26</v>
      </c>
      <c r="E98" s="12">
        <v>9</v>
      </c>
      <c r="F98" s="14">
        <v>11.568462130128601</v>
      </c>
      <c r="G98" s="14">
        <v>0.18705665201886312</v>
      </c>
      <c r="H98" s="14">
        <v>0</v>
      </c>
      <c r="I98" s="14">
        <v>1.8461065784330006</v>
      </c>
      <c r="J98" s="14">
        <v>8.7412821941975402E-2</v>
      </c>
      <c r="K98" s="14">
        <v>0</v>
      </c>
    </row>
    <row r="99" spans="1:11">
      <c r="A99" s="8">
        <v>9</v>
      </c>
      <c r="B99" s="18">
        <v>37910</v>
      </c>
      <c r="C99" s="12">
        <v>2003</v>
      </c>
      <c r="D99" s="15" t="s">
        <v>14</v>
      </c>
      <c r="E99" s="12">
        <v>10</v>
      </c>
      <c r="F99" s="13">
        <v>1.7733000000000001</v>
      </c>
      <c r="G99" s="14">
        <v>5.6155726344922642E-2</v>
      </c>
      <c r="H99" s="14">
        <v>0</v>
      </c>
      <c r="I99" s="14">
        <v>0.15930951969429141</v>
      </c>
      <c r="J99" s="14">
        <v>1.0894571259198398E-2</v>
      </c>
      <c r="K99" s="14">
        <v>0</v>
      </c>
    </row>
    <row r="100" spans="1:11">
      <c r="A100" s="8">
        <v>10</v>
      </c>
      <c r="B100" s="18">
        <v>37910</v>
      </c>
      <c r="C100" s="12">
        <v>2003</v>
      </c>
      <c r="D100" s="15" t="s">
        <v>14</v>
      </c>
      <c r="E100" s="12">
        <v>10</v>
      </c>
      <c r="F100" s="13">
        <v>2.1722999999999999</v>
      </c>
      <c r="G100" s="14">
        <v>5.9617784121938994E-2</v>
      </c>
      <c r="H100" s="14">
        <v>0</v>
      </c>
      <c r="I100" s="14">
        <v>0.12804640833142622</v>
      </c>
      <c r="J100" s="14">
        <v>1.8583609760220929E-2</v>
      </c>
      <c r="K100" s="14">
        <v>0</v>
      </c>
    </row>
    <row r="101" spans="1:11">
      <c r="A101" s="8">
        <v>9</v>
      </c>
      <c r="B101" s="18">
        <v>37942</v>
      </c>
      <c r="C101" s="12">
        <v>2003</v>
      </c>
      <c r="D101" s="15" t="s">
        <v>16</v>
      </c>
      <c r="E101" s="12">
        <v>11</v>
      </c>
      <c r="F101" s="13">
        <v>0.86929999999999996</v>
      </c>
      <c r="G101" s="14">
        <v>0</v>
      </c>
      <c r="H101" s="14">
        <v>0</v>
      </c>
      <c r="I101" s="14">
        <v>0.1246126040305244</v>
      </c>
      <c r="J101" s="14">
        <v>9.4256142587608241E-3</v>
      </c>
      <c r="K101" s="14">
        <v>0</v>
      </c>
    </row>
    <row r="102" spans="1:11">
      <c r="A102" s="8">
        <v>10</v>
      </c>
      <c r="B102" s="18">
        <v>37942</v>
      </c>
      <c r="C102" s="12">
        <v>2003</v>
      </c>
      <c r="D102" s="15" t="s">
        <v>16</v>
      </c>
      <c r="E102" s="12">
        <v>11</v>
      </c>
      <c r="F102" s="13">
        <v>1.3080000000000001</v>
      </c>
      <c r="G102" s="14">
        <v>3.0651887917626811E-2</v>
      </c>
      <c r="H102" s="14">
        <v>0</v>
      </c>
      <c r="I102" s="14">
        <v>0.17758804068981757</v>
      </c>
      <c r="J102" s="14">
        <v>1.5502820940459208E-2</v>
      </c>
      <c r="K102" s="14">
        <v>0</v>
      </c>
    </row>
    <row r="103" spans="1:11">
      <c r="A103" s="8">
        <v>9</v>
      </c>
      <c r="B103" s="18">
        <v>37971</v>
      </c>
      <c r="C103" s="12">
        <v>2003</v>
      </c>
      <c r="D103" s="15" t="s">
        <v>17</v>
      </c>
      <c r="E103" s="12">
        <v>12</v>
      </c>
      <c r="F103" s="13">
        <v>3.5051000000000001</v>
      </c>
      <c r="G103" s="14">
        <v>0.23214528792514044</v>
      </c>
      <c r="H103" s="14">
        <v>0</v>
      </c>
      <c r="I103" s="14">
        <v>0.62456426793931374</v>
      </c>
      <c r="J103" s="14">
        <v>1.7986150645638924E-2</v>
      </c>
      <c r="K103" s="14">
        <v>0</v>
      </c>
    </row>
    <row r="104" spans="1:11">
      <c r="A104" s="8">
        <v>10</v>
      </c>
      <c r="B104" s="18">
        <v>37971</v>
      </c>
      <c r="C104" s="12">
        <v>2003</v>
      </c>
      <c r="D104" s="15" t="s">
        <v>17</v>
      </c>
      <c r="E104" s="12">
        <v>12</v>
      </c>
      <c r="F104" s="13">
        <v>4.6539000000000001</v>
      </c>
      <c r="G104" s="14">
        <v>7.4387634591547999E-2</v>
      </c>
      <c r="H104" s="14">
        <v>0</v>
      </c>
      <c r="I104" s="14">
        <v>0.97874857922821323</v>
      </c>
      <c r="J104" s="14">
        <v>2.5215402814314399E-2</v>
      </c>
      <c r="K104" s="14">
        <v>0</v>
      </c>
    </row>
    <row r="105" spans="1:11">
      <c r="A105" s="8">
        <v>9</v>
      </c>
      <c r="B105" s="18">
        <v>37998</v>
      </c>
      <c r="C105" s="12">
        <v>2004</v>
      </c>
      <c r="D105" s="15" t="s">
        <v>18</v>
      </c>
      <c r="E105" s="12">
        <v>1</v>
      </c>
      <c r="F105" s="13">
        <v>5.7762000000000002</v>
      </c>
      <c r="G105" s="13">
        <v>5.3633708253288878E-2</v>
      </c>
      <c r="H105" s="13">
        <v>0</v>
      </c>
      <c r="I105" s="13">
        <v>1.6849382831383986</v>
      </c>
      <c r="J105" s="13">
        <v>1.3551812881034025E-2</v>
      </c>
      <c r="K105" s="13">
        <v>0</v>
      </c>
    </row>
    <row r="106" spans="1:11">
      <c r="A106" s="8">
        <v>10</v>
      </c>
      <c r="B106" s="18">
        <v>37998</v>
      </c>
      <c r="C106" s="12">
        <v>2004</v>
      </c>
      <c r="D106" s="15" t="s">
        <v>18</v>
      </c>
      <c r="E106" s="12">
        <v>1</v>
      </c>
      <c r="F106" s="13">
        <v>5.8978000000000002</v>
      </c>
      <c r="G106" s="13">
        <v>5.6402743883644996E-2</v>
      </c>
      <c r="H106" s="13">
        <v>0</v>
      </c>
      <c r="I106" s="13">
        <v>1.7167289948778295</v>
      </c>
      <c r="J106" s="13">
        <v>1.4940668730730324E-2</v>
      </c>
      <c r="K106" s="13">
        <v>0</v>
      </c>
    </row>
    <row r="107" spans="1:11">
      <c r="A107" s="8">
        <v>9</v>
      </c>
      <c r="B107" s="18">
        <v>38026</v>
      </c>
      <c r="C107" s="12">
        <v>2004</v>
      </c>
      <c r="D107" s="11" t="s">
        <v>19</v>
      </c>
      <c r="E107" s="12">
        <v>2</v>
      </c>
      <c r="F107" s="13">
        <v>13.942399999999999</v>
      </c>
      <c r="G107" s="13">
        <v>8.7540418959693389E-2</v>
      </c>
      <c r="H107" s="13">
        <v>0</v>
      </c>
      <c r="I107" s="13">
        <v>4.0355978152652936</v>
      </c>
      <c r="J107" s="13">
        <v>3.593835559792715E-2</v>
      </c>
      <c r="K107" s="13">
        <v>0</v>
      </c>
    </row>
    <row r="108" spans="1:11">
      <c r="A108" s="8">
        <v>10</v>
      </c>
      <c r="B108" s="18">
        <v>38026</v>
      </c>
      <c r="C108" s="12">
        <v>2004</v>
      </c>
      <c r="D108" s="11" t="s">
        <v>19</v>
      </c>
      <c r="E108" s="12">
        <v>2</v>
      </c>
      <c r="F108" s="13">
        <v>27.691099999999999</v>
      </c>
      <c r="G108" s="13">
        <v>0.72842183782826986</v>
      </c>
      <c r="H108" s="13">
        <v>0</v>
      </c>
      <c r="I108" s="13">
        <v>7.4831906949446898</v>
      </c>
      <c r="J108" s="13">
        <v>7.4805569814580655E-2</v>
      </c>
      <c r="K108" s="13">
        <v>0</v>
      </c>
    </row>
    <row r="109" spans="1:11">
      <c r="A109" s="8">
        <v>9</v>
      </c>
      <c r="B109" s="18">
        <v>38061</v>
      </c>
      <c r="C109" s="12">
        <v>2004</v>
      </c>
      <c r="D109" s="11" t="s">
        <v>20</v>
      </c>
      <c r="E109" s="12">
        <v>3</v>
      </c>
      <c r="F109" s="13">
        <v>10.276</v>
      </c>
      <c r="G109" s="13">
        <v>0.1114203618211103</v>
      </c>
      <c r="H109" s="13">
        <v>0</v>
      </c>
      <c r="I109" s="13">
        <v>4.6035466157951683</v>
      </c>
      <c r="J109" s="13">
        <v>5.1460611738834511E-2</v>
      </c>
      <c r="K109" s="13">
        <v>0</v>
      </c>
    </row>
    <row r="110" spans="1:11">
      <c r="A110" s="8">
        <v>10</v>
      </c>
      <c r="B110" s="18">
        <v>38061</v>
      </c>
      <c r="C110" s="12">
        <v>2004</v>
      </c>
      <c r="D110" s="11" t="s">
        <v>20</v>
      </c>
      <c r="E110" s="12">
        <v>3</v>
      </c>
      <c r="F110" s="13">
        <v>9.8984000000000005</v>
      </c>
      <c r="G110" s="13">
        <v>0.12649634824400433</v>
      </c>
      <c r="H110" s="13">
        <v>0</v>
      </c>
      <c r="I110" s="13">
        <v>4.2670753004649598</v>
      </c>
      <c r="J110" s="13">
        <v>7.3614602924470529E-2</v>
      </c>
      <c r="K110" s="13">
        <v>0</v>
      </c>
    </row>
    <row r="111" spans="1:11">
      <c r="A111" s="8">
        <v>9</v>
      </c>
      <c r="B111" s="18">
        <v>38093</v>
      </c>
      <c r="C111" s="12">
        <v>2004</v>
      </c>
      <c r="D111" s="11" t="s">
        <v>21</v>
      </c>
      <c r="E111" s="12">
        <v>4</v>
      </c>
      <c r="F111" s="13">
        <v>1.6172</v>
      </c>
      <c r="G111" s="20">
        <v>7.0470172818559662E-2</v>
      </c>
      <c r="H111" s="20">
        <v>1.6052095459349044E-2</v>
      </c>
      <c r="I111" s="20">
        <v>0.35943314923909303</v>
      </c>
      <c r="J111" s="20">
        <v>1.6449389643324631E-2</v>
      </c>
      <c r="K111" s="20">
        <v>0</v>
      </c>
    </row>
    <row r="112" spans="1:11">
      <c r="A112" s="8">
        <v>10</v>
      </c>
      <c r="B112" s="18">
        <v>38093</v>
      </c>
      <c r="C112" s="12">
        <v>2004</v>
      </c>
      <c r="D112" s="11" t="s">
        <v>21</v>
      </c>
      <c r="E112" s="12">
        <v>4</v>
      </c>
      <c r="F112" s="13">
        <v>1.2706999999999999</v>
      </c>
      <c r="G112" s="20">
        <v>0.10592715972744166</v>
      </c>
      <c r="H112" s="20">
        <v>0</v>
      </c>
      <c r="I112" s="20">
        <v>0.26871623775691356</v>
      </c>
      <c r="J112" s="20">
        <v>1.7534734157123474E-2</v>
      </c>
      <c r="K112" s="20">
        <v>0</v>
      </c>
    </row>
    <row r="113" spans="1:11">
      <c r="A113" s="8">
        <v>9</v>
      </c>
      <c r="B113" s="18">
        <v>38117</v>
      </c>
      <c r="C113" s="12">
        <v>2004</v>
      </c>
      <c r="D113" s="11" t="s">
        <v>22</v>
      </c>
      <c r="E113" s="12">
        <v>5</v>
      </c>
      <c r="F113" s="13">
        <v>2.1907000000000001</v>
      </c>
      <c r="G113" s="20">
        <v>1.467912115628991E-2</v>
      </c>
      <c r="H113" s="20">
        <v>7.3173521051607182E-2</v>
      </c>
      <c r="I113" s="20">
        <v>0.68361484968712094</v>
      </c>
      <c r="J113" s="20">
        <v>1.3060084137059003E-2</v>
      </c>
      <c r="K113" s="20">
        <v>0</v>
      </c>
    </row>
    <row r="114" spans="1:11">
      <c r="A114" s="8">
        <v>10</v>
      </c>
      <c r="B114" s="18">
        <v>38117</v>
      </c>
      <c r="C114" s="12">
        <v>2004</v>
      </c>
      <c r="D114" s="11" t="s">
        <v>22</v>
      </c>
      <c r="E114" s="12">
        <v>5</v>
      </c>
      <c r="F114" s="13">
        <v>2.0653000000000001</v>
      </c>
      <c r="G114" s="20">
        <v>2.3139791584241665E-2</v>
      </c>
      <c r="H114" s="20">
        <v>0</v>
      </c>
      <c r="I114" s="20">
        <v>0.42293627566683517</v>
      </c>
      <c r="J114" s="20">
        <v>8.299007207059915E-3</v>
      </c>
      <c r="K114" s="20">
        <v>0</v>
      </c>
    </row>
    <row r="115" spans="1:11">
      <c r="A115" s="8">
        <v>9</v>
      </c>
      <c r="B115" s="18">
        <v>38160</v>
      </c>
      <c r="C115" s="12">
        <v>2004</v>
      </c>
      <c r="D115" s="11" t="s">
        <v>23</v>
      </c>
      <c r="E115" s="12">
        <v>6</v>
      </c>
      <c r="F115" s="13">
        <v>26.334599999999998</v>
      </c>
      <c r="G115" s="20">
        <v>8.4493461118098995E-2</v>
      </c>
      <c r="H115" s="20">
        <v>0</v>
      </c>
      <c r="I115" s="20">
        <v>6.9889656781480136</v>
      </c>
      <c r="J115" s="20">
        <v>1.0417678726300963</v>
      </c>
      <c r="K115" s="20">
        <v>0</v>
      </c>
    </row>
    <row r="116" spans="1:11">
      <c r="A116" s="8">
        <v>10</v>
      </c>
      <c r="B116" s="18">
        <v>38160</v>
      </c>
      <c r="C116" s="12">
        <v>2004</v>
      </c>
      <c r="D116" s="11" t="s">
        <v>23</v>
      </c>
      <c r="E116" s="12">
        <v>6</v>
      </c>
      <c r="F116" s="13">
        <v>21.081700000000001</v>
      </c>
      <c r="G116" s="20">
        <v>0</v>
      </c>
      <c r="H116" s="20">
        <v>0</v>
      </c>
      <c r="I116" s="20">
        <v>8.8286223790994978</v>
      </c>
      <c r="J116" s="20">
        <v>0.43058469625330298</v>
      </c>
      <c r="K116" s="20">
        <v>0</v>
      </c>
    </row>
    <row r="117" spans="1:11">
      <c r="A117" s="8">
        <v>9</v>
      </c>
      <c r="B117" s="18">
        <v>38182</v>
      </c>
      <c r="C117" s="12">
        <v>2004</v>
      </c>
      <c r="D117" s="15" t="s">
        <v>24</v>
      </c>
      <c r="E117" s="12">
        <v>7</v>
      </c>
      <c r="F117" s="13">
        <v>14.373200000000001</v>
      </c>
      <c r="G117" s="20">
        <v>0.5420050617654516</v>
      </c>
      <c r="H117" s="20">
        <v>0</v>
      </c>
      <c r="I117" s="20">
        <v>2.8380220283951529</v>
      </c>
      <c r="J117" s="20">
        <v>0.53205327611241404</v>
      </c>
      <c r="K117" s="20">
        <v>0</v>
      </c>
    </row>
    <row r="118" spans="1:11">
      <c r="A118" s="8">
        <v>10</v>
      </c>
      <c r="B118" s="18">
        <v>38183</v>
      </c>
      <c r="C118" s="12">
        <v>2004</v>
      </c>
      <c r="D118" s="15" t="s">
        <v>24</v>
      </c>
      <c r="E118" s="12">
        <v>7</v>
      </c>
      <c r="F118" s="13">
        <v>11.0466</v>
      </c>
      <c r="G118" s="20">
        <v>0.53802927588318072</v>
      </c>
      <c r="H118" s="20">
        <v>0</v>
      </c>
      <c r="I118" s="20">
        <v>2.1664427328323703</v>
      </c>
      <c r="J118" s="20">
        <v>0.58769277208406878</v>
      </c>
      <c r="K118" s="20">
        <v>0</v>
      </c>
    </row>
    <row r="119" spans="1:11">
      <c r="A119" s="8">
        <v>9</v>
      </c>
      <c r="B119" s="18">
        <v>38218</v>
      </c>
      <c r="C119" s="12">
        <v>2004</v>
      </c>
      <c r="D119" s="15" t="s">
        <v>25</v>
      </c>
      <c r="E119" s="12">
        <v>8</v>
      </c>
      <c r="F119" s="13">
        <v>20.988299999999999</v>
      </c>
      <c r="G119" s="20">
        <v>9.2789099255482538E-2</v>
      </c>
      <c r="H119" s="20">
        <v>0</v>
      </c>
      <c r="I119" s="20">
        <v>7.0399304810656416</v>
      </c>
      <c r="J119" s="20">
        <v>0.44970641248038257</v>
      </c>
      <c r="K119" s="20">
        <v>0</v>
      </c>
    </row>
    <row r="120" spans="1:11">
      <c r="A120" s="8">
        <v>10</v>
      </c>
      <c r="B120" s="18">
        <v>38218</v>
      </c>
      <c r="C120" s="12">
        <v>2004</v>
      </c>
      <c r="D120" s="15" t="s">
        <v>25</v>
      </c>
      <c r="E120" s="12">
        <v>8</v>
      </c>
      <c r="F120" s="13">
        <v>21.952300000000001</v>
      </c>
      <c r="G120" s="20">
        <v>0.56466536508723086</v>
      </c>
      <c r="H120" s="20">
        <v>0</v>
      </c>
      <c r="I120" s="20">
        <v>5.1062949967024265</v>
      </c>
      <c r="J120" s="20">
        <v>0.42863335371410877</v>
      </c>
      <c r="K120" s="20">
        <v>0</v>
      </c>
    </row>
    <row r="121" spans="1:11">
      <c r="A121" s="8">
        <v>9</v>
      </c>
      <c r="B121" s="18">
        <v>38246</v>
      </c>
      <c r="C121" s="12">
        <v>2004</v>
      </c>
      <c r="D121" s="15" t="s">
        <v>26</v>
      </c>
      <c r="E121" s="12">
        <v>9</v>
      </c>
      <c r="F121" s="13">
        <v>3.903</v>
      </c>
      <c r="G121" s="20">
        <v>9.1809678542013277E-3</v>
      </c>
      <c r="H121" s="20">
        <v>0</v>
      </c>
      <c r="I121" s="20">
        <v>1.2969792186079121</v>
      </c>
      <c r="J121" s="20">
        <v>6.9807625978256141E-2</v>
      </c>
      <c r="K121" s="20">
        <v>0</v>
      </c>
    </row>
    <row r="122" spans="1:11">
      <c r="A122" s="8">
        <v>10</v>
      </c>
      <c r="B122" s="18">
        <v>38246</v>
      </c>
      <c r="C122" s="12">
        <v>2004</v>
      </c>
      <c r="D122" s="15" t="s">
        <v>26</v>
      </c>
      <c r="E122" s="12">
        <v>9</v>
      </c>
      <c r="F122" s="13">
        <v>3.9117999999999999</v>
      </c>
      <c r="G122" s="20">
        <v>3.9154291958455566E-2</v>
      </c>
      <c r="H122" s="20">
        <v>0</v>
      </c>
      <c r="I122" s="20">
        <v>0.87897330315792699</v>
      </c>
      <c r="J122" s="20">
        <v>0.1045687100298216</v>
      </c>
      <c r="K122" s="20">
        <v>0</v>
      </c>
    </row>
    <row r="123" spans="1:11">
      <c r="A123" s="8">
        <v>9</v>
      </c>
      <c r="B123" s="18">
        <v>38274</v>
      </c>
      <c r="C123" s="12">
        <v>2004</v>
      </c>
      <c r="D123" s="15" t="s">
        <v>14</v>
      </c>
      <c r="E123" s="12">
        <v>10</v>
      </c>
      <c r="F123" s="14">
        <v>1.80636</v>
      </c>
      <c r="G123" s="14">
        <v>1.8853760023822223E-2</v>
      </c>
      <c r="H123" s="14">
        <v>0</v>
      </c>
      <c r="I123" s="14">
        <v>0.16821037004560616</v>
      </c>
      <c r="J123" s="14">
        <v>1.6700792280480305E-2</v>
      </c>
      <c r="K123" s="14">
        <v>0</v>
      </c>
    </row>
    <row r="124" spans="1:11">
      <c r="A124" s="8">
        <v>10</v>
      </c>
      <c r="B124" s="18">
        <v>38274</v>
      </c>
      <c r="C124" s="12">
        <v>2004</v>
      </c>
      <c r="D124" s="15" t="s">
        <v>14</v>
      </c>
      <c r="E124" s="12">
        <v>10</v>
      </c>
      <c r="F124" s="14">
        <v>1.2798799999999999</v>
      </c>
      <c r="G124" s="14">
        <v>1.3219363063041249E-2</v>
      </c>
      <c r="H124" s="14">
        <v>0</v>
      </c>
      <c r="I124" s="14">
        <v>0.17669382885736795</v>
      </c>
      <c r="J124" s="14">
        <v>9.7784607468209793E-3</v>
      </c>
      <c r="K124" s="14">
        <v>0</v>
      </c>
    </row>
    <row r="125" spans="1:11">
      <c r="A125" s="8">
        <v>9</v>
      </c>
      <c r="B125" s="18">
        <v>38309</v>
      </c>
      <c r="C125" s="12">
        <v>2004</v>
      </c>
      <c r="D125" s="15" t="s">
        <v>16</v>
      </c>
      <c r="E125" s="12">
        <v>11</v>
      </c>
      <c r="F125" s="14">
        <v>1.70296</v>
      </c>
      <c r="G125" s="14">
        <v>3.7696741702325419E-2</v>
      </c>
      <c r="H125" s="14">
        <v>0</v>
      </c>
      <c r="I125" s="14">
        <v>0.30015940230597055</v>
      </c>
      <c r="J125" s="14">
        <v>7.581858547183561E-3</v>
      </c>
      <c r="K125" s="14">
        <v>0</v>
      </c>
    </row>
    <row r="126" spans="1:11">
      <c r="A126" s="8">
        <v>10</v>
      </c>
      <c r="B126" s="18">
        <v>38309</v>
      </c>
      <c r="C126" s="12">
        <v>2004</v>
      </c>
      <c r="D126" s="15" t="s">
        <v>16</v>
      </c>
      <c r="E126" s="12">
        <v>11</v>
      </c>
      <c r="F126" s="14">
        <v>1.3072299999999999</v>
      </c>
      <c r="G126" s="14">
        <v>3.5953069555033842E-2</v>
      </c>
      <c r="H126" s="14">
        <v>0</v>
      </c>
      <c r="I126" s="14">
        <v>0.29558067497291995</v>
      </c>
      <c r="J126" s="14">
        <v>0</v>
      </c>
      <c r="K126" s="14">
        <v>0</v>
      </c>
    </row>
    <row r="127" spans="1:11">
      <c r="A127" s="8">
        <v>9</v>
      </c>
      <c r="B127" s="18">
        <v>38337</v>
      </c>
      <c r="C127" s="12">
        <v>2004</v>
      </c>
      <c r="D127" s="15" t="s">
        <v>17</v>
      </c>
      <c r="E127" s="12">
        <v>12</v>
      </c>
      <c r="F127" s="14">
        <v>3.14832</v>
      </c>
      <c r="G127" s="14">
        <v>9.1800270058392641E-2</v>
      </c>
      <c r="H127" s="14">
        <v>0</v>
      </c>
      <c r="I127" s="14">
        <v>0.65562197959029778</v>
      </c>
      <c r="J127" s="14">
        <v>2.455715085436129E-2</v>
      </c>
      <c r="K127" s="14">
        <v>0</v>
      </c>
    </row>
    <row r="128" spans="1:11">
      <c r="A128" s="8">
        <v>10</v>
      </c>
      <c r="B128" s="18">
        <v>38337</v>
      </c>
      <c r="C128" s="12">
        <v>2004</v>
      </c>
      <c r="D128" s="15" t="s">
        <v>17</v>
      </c>
      <c r="E128" s="12">
        <v>12</v>
      </c>
      <c r="F128" s="14">
        <v>2.37168</v>
      </c>
      <c r="G128" s="14">
        <v>9.2767456383079649E-2</v>
      </c>
      <c r="H128" s="14">
        <v>0</v>
      </c>
      <c r="I128" s="14">
        <v>0.42690942105959789</v>
      </c>
      <c r="J128" s="14">
        <v>1.9521436560508542E-2</v>
      </c>
      <c r="K128" s="14">
        <v>0</v>
      </c>
    </row>
    <row r="129" spans="1:11">
      <c r="A129" s="8">
        <v>9</v>
      </c>
      <c r="B129" s="21">
        <v>38364</v>
      </c>
      <c r="C129" s="12">
        <v>2005</v>
      </c>
      <c r="D129" s="15" t="s">
        <v>18</v>
      </c>
      <c r="E129" s="12">
        <v>1</v>
      </c>
      <c r="F129" s="14">
        <v>4.34213</v>
      </c>
      <c r="G129" s="14">
        <v>6.3695933908416422E-2</v>
      </c>
      <c r="H129" s="14">
        <v>0</v>
      </c>
      <c r="I129" s="14">
        <v>1.3990121872852339</v>
      </c>
      <c r="J129" s="14">
        <v>1.2581201800703547E-2</v>
      </c>
      <c r="K129" s="14">
        <v>0</v>
      </c>
    </row>
    <row r="130" spans="1:11">
      <c r="A130" s="8">
        <v>10</v>
      </c>
      <c r="B130" s="21">
        <v>38364</v>
      </c>
      <c r="C130" s="12">
        <v>2005</v>
      </c>
      <c r="D130" s="15" t="s">
        <v>18</v>
      </c>
      <c r="E130" s="12">
        <v>1</v>
      </c>
      <c r="F130" s="14">
        <v>2.0388500000000001</v>
      </c>
      <c r="G130" s="14">
        <v>1.7819292074381946E-2</v>
      </c>
      <c r="H130" s="14">
        <v>0</v>
      </c>
      <c r="I130" s="14">
        <v>0.62782031884753375</v>
      </c>
      <c r="J130" s="14">
        <v>7.4417889078136536E-3</v>
      </c>
      <c r="K130" s="14">
        <v>0</v>
      </c>
    </row>
    <row r="131" spans="1:11">
      <c r="A131" s="8">
        <v>9</v>
      </c>
      <c r="B131" s="21">
        <v>38398</v>
      </c>
      <c r="C131" s="12">
        <v>2005</v>
      </c>
      <c r="D131" s="11" t="s">
        <v>19</v>
      </c>
      <c r="E131" s="12">
        <v>2</v>
      </c>
      <c r="F131" s="14">
        <v>4.7915900000000002</v>
      </c>
      <c r="G131" s="14">
        <v>6.0540292227620369E-2</v>
      </c>
      <c r="H131" s="14">
        <v>0</v>
      </c>
      <c r="I131" s="14">
        <v>1.1058875972156617</v>
      </c>
      <c r="J131" s="14">
        <v>2.1331403742456834E-2</v>
      </c>
      <c r="K131" s="14">
        <v>0</v>
      </c>
    </row>
    <row r="132" spans="1:11">
      <c r="A132" s="8">
        <v>10</v>
      </c>
      <c r="B132" s="21">
        <v>38398</v>
      </c>
      <c r="C132" s="12">
        <v>2005</v>
      </c>
      <c r="D132" s="11" t="s">
        <v>19</v>
      </c>
      <c r="E132" s="12">
        <v>2</v>
      </c>
      <c r="F132" s="14">
        <v>5.6125600000000002</v>
      </c>
      <c r="G132" s="14">
        <v>0.58194594743345318</v>
      </c>
      <c r="H132" s="14">
        <v>0</v>
      </c>
      <c r="I132" s="14">
        <v>1.1539832603063029</v>
      </c>
      <c r="J132" s="14">
        <v>3.1936419151348538E-2</v>
      </c>
      <c r="K132" s="14">
        <v>0</v>
      </c>
    </row>
    <row r="133" spans="1:11">
      <c r="A133" s="8">
        <v>9</v>
      </c>
      <c r="B133" s="21">
        <v>38427</v>
      </c>
      <c r="C133" s="12">
        <v>2005</v>
      </c>
      <c r="D133" s="11" t="s">
        <v>20</v>
      </c>
      <c r="E133" s="12">
        <v>3</v>
      </c>
      <c r="F133" s="14">
        <v>3.0385599999999999</v>
      </c>
      <c r="G133" s="14">
        <v>8.7593611644994351E-2</v>
      </c>
      <c r="H133" s="14">
        <v>0</v>
      </c>
      <c r="I133" s="14">
        <v>0.92770999727336934</v>
      </c>
      <c r="J133" s="14">
        <v>1.9567028787043885E-2</v>
      </c>
      <c r="K133" s="14">
        <v>0</v>
      </c>
    </row>
    <row r="134" spans="1:11">
      <c r="A134" s="8">
        <v>10</v>
      </c>
      <c r="B134" s="21">
        <v>38427</v>
      </c>
      <c r="C134" s="12">
        <v>2005</v>
      </c>
      <c r="D134" s="11" t="s">
        <v>20</v>
      </c>
      <c r="E134" s="12">
        <v>3</v>
      </c>
      <c r="F134" s="14">
        <v>2.036</v>
      </c>
      <c r="G134" s="14">
        <v>6.4977315615343464E-2</v>
      </c>
      <c r="H134" s="14">
        <v>0</v>
      </c>
      <c r="I134" s="14">
        <v>0.38562158863341417</v>
      </c>
      <c r="J134" s="14">
        <v>1.6046769807242508E-2</v>
      </c>
      <c r="K134" s="14">
        <v>0</v>
      </c>
    </row>
    <row r="135" spans="1:11">
      <c r="A135" s="8">
        <v>9</v>
      </c>
      <c r="B135" s="21">
        <v>38470</v>
      </c>
      <c r="C135" s="12">
        <v>2005</v>
      </c>
      <c r="D135" s="11" t="s">
        <v>21</v>
      </c>
      <c r="E135" s="12">
        <v>4</v>
      </c>
      <c r="F135" s="14">
        <v>3.6966299999999999</v>
      </c>
      <c r="G135" s="14">
        <v>3.836324480844773E-2</v>
      </c>
      <c r="H135" s="14">
        <v>0.16774882509637348</v>
      </c>
      <c r="I135" s="14">
        <v>1.4991214896970464</v>
      </c>
      <c r="J135" s="14">
        <v>3.2408548870282113E-2</v>
      </c>
      <c r="K135" s="14">
        <v>0</v>
      </c>
    </row>
    <row r="136" spans="1:11">
      <c r="A136" s="8">
        <v>10</v>
      </c>
      <c r="B136" s="21">
        <v>38470</v>
      </c>
      <c r="C136" s="12">
        <v>2005</v>
      </c>
      <c r="D136" s="11" t="s">
        <v>21</v>
      </c>
      <c r="E136" s="12">
        <v>4</v>
      </c>
      <c r="F136" s="14">
        <v>3.004</v>
      </c>
      <c r="G136" s="14">
        <v>2.2029147235972421E-2</v>
      </c>
      <c r="H136" s="14">
        <v>4.5188489634529254E-2</v>
      </c>
      <c r="I136" s="14">
        <v>0.88806486164737652</v>
      </c>
      <c r="J136" s="14">
        <v>2.5122485168123029E-2</v>
      </c>
      <c r="K136" s="14">
        <v>0</v>
      </c>
    </row>
    <row r="137" spans="1:11">
      <c r="A137" s="8">
        <v>9</v>
      </c>
      <c r="B137" s="21">
        <v>38488</v>
      </c>
      <c r="C137" s="12">
        <v>2005</v>
      </c>
      <c r="D137" s="11" t="s">
        <v>22</v>
      </c>
      <c r="E137" s="12">
        <v>5</v>
      </c>
      <c r="F137" s="14">
        <v>6.0048199999999996</v>
      </c>
      <c r="G137" s="14">
        <v>3.338895227798129E-2</v>
      </c>
      <c r="H137" s="14">
        <v>0</v>
      </c>
      <c r="I137" s="14">
        <v>1.9673076945107064</v>
      </c>
      <c r="J137" s="14">
        <v>1.2604312796448462E-2</v>
      </c>
      <c r="K137" s="14">
        <v>0</v>
      </c>
    </row>
    <row r="138" spans="1:11">
      <c r="A138" s="8">
        <v>10</v>
      </c>
      <c r="B138" s="21">
        <v>38488</v>
      </c>
      <c r="C138" s="12">
        <v>2005</v>
      </c>
      <c r="D138" s="11" t="s">
        <v>22</v>
      </c>
      <c r="E138" s="12">
        <v>5</v>
      </c>
      <c r="F138" s="14">
        <v>4.00244</v>
      </c>
      <c r="G138" s="14">
        <v>8.7859767273540473E-2</v>
      </c>
      <c r="H138" s="14">
        <v>0</v>
      </c>
      <c r="I138" s="14">
        <v>0.7911180050489377</v>
      </c>
      <c r="J138" s="14">
        <v>2.1756917182649955E-2</v>
      </c>
      <c r="K138" s="14">
        <v>0</v>
      </c>
    </row>
    <row r="139" spans="1:11">
      <c r="A139" s="8">
        <v>9</v>
      </c>
      <c r="B139" s="21">
        <v>38525</v>
      </c>
      <c r="C139" s="12">
        <v>2005</v>
      </c>
      <c r="D139" s="11" t="s">
        <v>23</v>
      </c>
      <c r="E139" s="12">
        <v>6</v>
      </c>
      <c r="F139" s="14">
        <v>15.88509</v>
      </c>
      <c r="G139" s="14">
        <v>5.994724295335499E-2</v>
      </c>
      <c r="H139" s="14">
        <v>0</v>
      </c>
      <c r="I139" s="14">
        <v>4.3056150079629614</v>
      </c>
      <c r="J139" s="14">
        <v>0.37487040181041797</v>
      </c>
      <c r="K139" s="14">
        <v>0</v>
      </c>
    </row>
    <row r="140" spans="1:11">
      <c r="A140" s="8">
        <v>10</v>
      </c>
      <c r="B140" s="21">
        <v>38525</v>
      </c>
      <c r="C140" s="12">
        <v>2005</v>
      </c>
      <c r="D140" s="11" t="s">
        <v>23</v>
      </c>
      <c r="E140" s="12">
        <v>6</v>
      </c>
      <c r="F140" s="14">
        <v>6.5588699999999998</v>
      </c>
      <c r="G140" s="14">
        <v>9.7946303293355547E-2</v>
      </c>
      <c r="H140" s="14">
        <v>0</v>
      </c>
      <c r="I140" s="14">
        <v>0.88193550179543012</v>
      </c>
      <c r="J140" s="14">
        <v>0.23302284243004523</v>
      </c>
      <c r="K140" s="14">
        <v>0</v>
      </c>
    </row>
    <row r="141" spans="1:11">
      <c r="A141" s="8">
        <v>9</v>
      </c>
      <c r="B141" s="21">
        <v>38546</v>
      </c>
      <c r="C141" s="12">
        <v>2005</v>
      </c>
      <c r="D141" s="15" t="s">
        <v>24</v>
      </c>
      <c r="E141" s="12">
        <v>7</v>
      </c>
      <c r="F141" s="14">
        <v>15.474449999999999</v>
      </c>
      <c r="G141" s="14">
        <v>0.49919472691675482</v>
      </c>
      <c r="H141" s="14">
        <v>0</v>
      </c>
      <c r="I141" s="14">
        <v>3.431563906564016</v>
      </c>
      <c r="J141" s="14">
        <v>0.70814635511566504</v>
      </c>
      <c r="K141" s="14">
        <v>0</v>
      </c>
    </row>
    <row r="142" spans="1:11">
      <c r="A142" s="8">
        <v>10</v>
      </c>
      <c r="B142" s="21">
        <v>38546</v>
      </c>
      <c r="C142" s="12">
        <v>2005</v>
      </c>
      <c r="D142" s="15" t="s">
        <v>24</v>
      </c>
      <c r="E142" s="12">
        <v>7</v>
      </c>
      <c r="F142" s="14">
        <v>17.4208</v>
      </c>
      <c r="G142" s="14">
        <v>3.3598984960462861</v>
      </c>
      <c r="H142" s="14">
        <v>0</v>
      </c>
      <c r="I142" s="14">
        <v>2.5507945878322356</v>
      </c>
      <c r="J142" s="14">
        <v>0.70396778496912493</v>
      </c>
      <c r="K142" s="14">
        <v>0</v>
      </c>
    </row>
    <row r="143" spans="1:11">
      <c r="A143" s="8">
        <v>9</v>
      </c>
      <c r="B143" s="21">
        <v>38594</v>
      </c>
      <c r="C143" s="12">
        <v>2005</v>
      </c>
      <c r="D143" s="15" t="s">
        <v>25</v>
      </c>
      <c r="E143" s="12">
        <v>8</v>
      </c>
      <c r="F143" s="14">
        <v>23.904499999999999</v>
      </c>
      <c r="G143" s="14">
        <v>0.47921651811919214</v>
      </c>
      <c r="H143" s="14">
        <v>0</v>
      </c>
      <c r="I143" s="14">
        <v>6.1733425407666616</v>
      </c>
      <c r="J143" s="14">
        <v>1.8038390085206482</v>
      </c>
      <c r="K143" s="14">
        <v>0</v>
      </c>
    </row>
    <row r="144" spans="1:11">
      <c r="A144" s="8">
        <v>10</v>
      </c>
      <c r="B144" s="21">
        <v>38594</v>
      </c>
      <c r="C144" s="12">
        <v>2005</v>
      </c>
      <c r="D144" s="15" t="s">
        <v>25</v>
      </c>
      <c r="E144" s="12">
        <v>8</v>
      </c>
      <c r="F144" s="14">
        <v>39.264499999999998</v>
      </c>
      <c r="G144" s="14">
        <v>1.4067729395441375</v>
      </c>
      <c r="H144" s="14">
        <v>0</v>
      </c>
      <c r="I144" s="14">
        <v>9.5205768788256933</v>
      </c>
      <c r="J144" s="14">
        <v>2.4169488717297396</v>
      </c>
      <c r="K144" s="14">
        <v>0</v>
      </c>
    </row>
    <row r="145" spans="1:11">
      <c r="A145" s="8">
        <v>9</v>
      </c>
      <c r="B145" s="21">
        <v>38609</v>
      </c>
      <c r="C145" s="12">
        <v>2005</v>
      </c>
      <c r="D145" s="15" t="s">
        <v>26</v>
      </c>
      <c r="E145" s="12">
        <v>9</v>
      </c>
      <c r="F145" s="14">
        <v>20.782630000000001</v>
      </c>
      <c r="G145" s="14">
        <v>0.10607993757876612</v>
      </c>
      <c r="H145" s="14">
        <v>0</v>
      </c>
      <c r="I145" s="14">
        <v>7.6550069615443261</v>
      </c>
      <c r="J145" s="14">
        <v>0.62984945756091204</v>
      </c>
      <c r="K145" s="14">
        <v>0</v>
      </c>
    </row>
    <row r="146" spans="1:11">
      <c r="A146" s="8">
        <v>10</v>
      </c>
      <c r="B146" s="21">
        <v>38609</v>
      </c>
      <c r="C146" s="12">
        <v>2005</v>
      </c>
      <c r="D146" s="15" t="s">
        <v>26</v>
      </c>
      <c r="E146" s="12">
        <v>9</v>
      </c>
      <c r="F146" s="14">
        <v>17.379480000000001</v>
      </c>
      <c r="G146" s="14">
        <v>0.11596435690491087</v>
      </c>
      <c r="H146" s="14">
        <v>0</v>
      </c>
      <c r="I146" s="14">
        <v>5.4068797278114813</v>
      </c>
      <c r="J146" s="14">
        <v>0.61842591350802079</v>
      </c>
      <c r="K146" s="14">
        <v>0</v>
      </c>
    </row>
    <row r="147" spans="1:11">
      <c r="A147" s="8">
        <v>9</v>
      </c>
      <c r="B147" s="21">
        <v>38643</v>
      </c>
      <c r="C147" s="12">
        <v>2005</v>
      </c>
      <c r="D147" s="15" t="s">
        <v>14</v>
      </c>
      <c r="E147" s="12">
        <v>10</v>
      </c>
      <c r="F147" s="14">
        <v>3.8508</v>
      </c>
      <c r="G147" s="14">
        <v>0.01</v>
      </c>
      <c r="H147" s="14">
        <v>1E-4</v>
      </c>
      <c r="I147" s="14">
        <v>0.86570000000000003</v>
      </c>
      <c r="J147" s="14">
        <v>3.4500000000000003E-2</v>
      </c>
      <c r="K147" s="14">
        <v>1E-4</v>
      </c>
    </row>
    <row r="148" spans="1:11">
      <c r="A148" s="8">
        <v>10</v>
      </c>
      <c r="B148" s="21">
        <v>38643</v>
      </c>
      <c r="C148" s="12">
        <v>2005</v>
      </c>
      <c r="D148" s="15" t="s">
        <v>14</v>
      </c>
      <c r="E148" s="12">
        <v>10</v>
      </c>
      <c r="F148" s="14">
        <v>3.9016000000000002</v>
      </c>
      <c r="G148" s="14">
        <v>2.23E-2</v>
      </c>
      <c r="H148" s="14">
        <v>1E-4</v>
      </c>
      <c r="I148" s="14">
        <v>0.4834</v>
      </c>
      <c r="J148" s="14">
        <v>3.3399999999999999E-2</v>
      </c>
      <c r="K148" s="14">
        <v>1E-4</v>
      </c>
    </row>
    <row r="149" spans="1:11">
      <c r="A149" s="8">
        <v>9</v>
      </c>
      <c r="B149" s="21">
        <v>38670</v>
      </c>
      <c r="C149" s="12">
        <v>2005</v>
      </c>
      <c r="D149" s="15" t="s">
        <v>16</v>
      </c>
      <c r="E149" s="12">
        <v>11</v>
      </c>
      <c r="F149" s="14">
        <v>0.92330000000000001</v>
      </c>
      <c r="G149" s="14">
        <v>1E-4</v>
      </c>
      <c r="H149" s="14">
        <v>1E-4</v>
      </c>
      <c r="I149" s="14">
        <v>9.6699999999999994E-2</v>
      </c>
      <c r="J149" s="14">
        <v>1E-4</v>
      </c>
      <c r="K149" s="14">
        <v>1E-4</v>
      </c>
    </row>
    <row r="150" spans="1:11">
      <c r="A150" s="8">
        <v>10</v>
      </c>
      <c r="B150" s="21">
        <v>38670</v>
      </c>
      <c r="C150" s="12">
        <v>2005</v>
      </c>
      <c r="D150" s="15" t="s">
        <v>16</v>
      </c>
      <c r="E150" s="12">
        <v>11</v>
      </c>
      <c r="F150" s="14">
        <v>1.599</v>
      </c>
      <c r="G150" s="14">
        <v>1E-4</v>
      </c>
      <c r="H150" s="14">
        <v>1E-4</v>
      </c>
      <c r="I150" s="14">
        <v>0.1285</v>
      </c>
      <c r="J150" s="14">
        <v>4.5999999999999999E-3</v>
      </c>
      <c r="K150" s="14">
        <v>1E-4</v>
      </c>
    </row>
    <row r="151" spans="1:11">
      <c r="A151" s="8">
        <v>9</v>
      </c>
      <c r="B151" s="21">
        <v>38706</v>
      </c>
      <c r="C151" s="12">
        <v>2005</v>
      </c>
      <c r="D151" s="15" t="s">
        <v>17</v>
      </c>
      <c r="E151" s="12">
        <v>12</v>
      </c>
      <c r="F151" s="14">
        <v>1.6493</v>
      </c>
      <c r="G151" s="14">
        <v>1.3299999999999999E-2</v>
      </c>
      <c r="H151" s="14">
        <v>1E-4</v>
      </c>
      <c r="I151" s="14">
        <v>0.41199999999999998</v>
      </c>
      <c r="J151" s="14">
        <v>4.7000000000000002E-3</v>
      </c>
      <c r="K151" s="14">
        <v>1E-4</v>
      </c>
    </row>
    <row r="152" spans="1:11">
      <c r="A152" s="8">
        <v>10</v>
      </c>
      <c r="B152" s="21">
        <v>38706</v>
      </c>
      <c r="C152" s="12">
        <v>2005</v>
      </c>
      <c r="D152" s="15" t="s">
        <v>17</v>
      </c>
      <c r="E152" s="12">
        <v>12</v>
      </c>
      <c r="F152" s="14">
        <v>2.7669999999999999</v>
      </c>
      <c r="G152" s="14">
        <v>2.6499999999999999E-2</v>
      </c>
      <c r="H152" s="14">
        <v>1E-4</v>
      </c>
      <c r="I152" s="14">
        <v>0.61680000000000001</v>
      </c>
      <c r="J152" s="14">
        <v>5.7000000000000002E-3</v>
      </c>
      <c r="K152" s="14">
        <v>1E-4</v>
      </c>
    </row>
    <row r="153" spans="1:11">
      <c r="A153" s="12">
        <v>9</v>
      </c>
      <c r="B153" s="21">
        <v>38737</v>
      </c>
      <c r="C153" s="12">
        <v>2006</v>
      </c>
      <c r="D153" s="11" t="s">
        <v>18</v>
      </c>
      <c r="E153" s="12">
        <v>1</v>
      </c>
      <c r="F153" s="14">
        <v>4.6208</v>
      </c>
      <c r="G153" s="14">
        <v>5.5300000000000002E-2</v>
      </c>
      <c r="H153" s="14">
        <v>1E-4</v>
      </c>
      <c r="I153" s="14">
        <v>1.5771999999999999</v>
      </c>
      <c r="J153" s="14">
        <v>3.39E-2</v>
      </c>
      <c r="K153" s="14">
        <v>1E-4</v>
      </c>
    </row>
    <row r="154" spans="1:11">
      <c r="A154" s="12">
        <v>10</v>
      </c>
      <c r="B154" s="21">
        <v>38737</v>
      </c>
      <c r="C154" s="12">
        <v>2006</v>
      </c>
      <c r="D154" s="11" t="s">
        <v>18</v>
      </c>
      <c r="E154" s="12">
        <v>1</v>
      </c>
      <c r="F154" s="14">
        <v>3.3401000000000001</v>
      </c>
      <c r="G154" s="14">
        <v>0.20130000000000001</v>
      </c>
      <c r="H154" s="14">
        <v>1E-4</v>
      </c>
      <c r="I154" s="14">
        <v>0.73070000000000002</v>
      </c>
      <c r="J154" s="14">
        <v>2.8899999999999999E-2</v>
      </c>
      <c r="K154" s="14">
        <v>1E-4</v>
      </c>
    </row>
    <row r="155" spans="1:11">
      <c r="A155" s="12">
        <v>9</v>
      </c>
      <c r="B155" s="21">
        <v>38763</v>
      </c>
      <c r="C155" s="15">
        <v>2006</v>
      </c>
      <c r="D155" s="11" t="s">
        <v>28</v>
      </c>
      <c r="E155" s="15">
        <v>2</v>
      </c>
      <c r="F155" s="14">
        <v>2.9337</v>
      </c>
      <c r="G155" s="14">
        <v>7.6799999999999993E-2</v>
      </c>
      <c r="H155" s="14">
        <v>2.5700000000000001E-2</v>
      </c>
      <c r="I155" s="14">
        <v>0.94389999999999996</v>
      </c>
      <c r="J155" s="14">
        <v>3.8600000000000002E-2</v>
      </c>
      <c r="K155" s="14">
        <v>1E-4</v>
      </c>
    </row>
    <row r="156" spans="1:11">
      <c r="A156" s="12">
        <v>10</v>
      </c>
      <c r="B156" s="21">
        <v>38763</v>
      </c>
      <c r="C156" s="15">
        <v>2006</v>
      </c>
      <c r="D156" s="11" t="s">
        <v>28</v>
      </c>
      <c r="E156" s="15">
        <v>2</v>
      </c>
      <c r="F156" s="14">
        <v>6.0673000000000004</v>
      </c>
      <c r="G156" s="14">
        <v>0.50509999999999999</v>
      </c>
      <c r="H156" s="14">
        <v>1E-4</v>
      </c>
      <c r="I156" s="14">
        <v>1.6879</v>
      </c>
      <c r="J156" s="14">
        <v>3.6200000000000003E-2</v>
      </c>
      <c r="K156" s="14">
        <v>1E-4</v>
      </c>
    </row>
    <row r="157" spans="1:11">
      <c r="A157" s="12">
        <v>9</v>
      </c>
      <c r="B157" s="21">
        <v>38792</v>
      </c>
      <c r="C157" s="12">
        <v>2006</v>
      </c>
      <c r="D157" s="11" t="s">
        <v>29</v>
      </c>
      <c r="E157" s="15">
        <v>3</v>
      </c>
      <c r="F157" s="14">
        <v>0.81259999999999999</v>
      </c>
      <c r="G157" s="14">
        <v>9.7999999999999997E-3</v>
      </c>
      <c r="H157" s="14">
        <v>1E-4</v>
      </c>
      <c r="I157" s="14">
        <v>0.23150000000000001</v>
      </c>
      <c r="J157" s="14">
        <v>1.0800000000000001E-2</v>
      </c>
      <c r="K157" s="14">
        <v>1E-4</v>
      </c>
    </row>
    <row r="158" spans="1:11">
      <c r="A158" s="12">
        <v>10</v>
      </c>
      <c r="B158" s="21">
        <v>38792</v>
      </c>
      <c r="C158" s="12">
        <v>2006</v>
      </c>
      <c r="D158" s="11" t="s">
        <v>29</v>
      </c>
      <c r="E158" s="15">
        <v>3</v>
      </c>
      <c r="F158" s="14">
        <v>1.3021</v>
      </c>
      <c r="G158" s="14">
        <v>6.0600000000000001E-2</v>
      </c>
      <c r="H158" s="14">
        <v>1E-4</v>
      </c>
      <c r="I158" s="14">
        <v>0.34649999999999997</v>
      </c>
      <c r="J158" s="14">
        <v>1.8700000000000001E-2</v>
      </c>
      <c r="K158" s="14">
        <v>1E-4</v>
      </c>
    </row>
    <row r="159" spans="1:11">
      <c r="A159" s="12">
        <v>9</v>
      </c>
      <c r="B159" s="9">
        <v>38826</v>
      </c>
      <c r="C159" s="12">
        <v>2006</v>
      </c>
      <c r="D159" s="11" t="s">
        <v>30</v>
      </c>
      <c r="E159" s="12">
        <v>4</v>
      </c>
      <c r="F159" s="14">
        <v>1.1544000000000001</v>
      </c>
      <c r="G159" s="14">
        <v>5.8400000000000001E-2</v>
      </c>
      <c r="H159" s="14">
        <v>1E-4</v>
      </c>
      <c r="I159" s="14">
        <v>9.2399999999999996E-2</v>
      </c>
      <c r="J159" s="14">
        <v>1.83E-2</v>
      </c>
      <c r="K159" s="14">
        <v>1E-4</v>
      </c>
    </row>
    <row r="160" spans="1:11">
      <c r="A160" s="12">
        <v>10</v>
      </c>
      <c r="B160" s="9">
        <v>38826</v>
      </c>
      <c r="C160" s="12">
        <v>2006</v>
      </c>
      <c r="D160" s="11" t="s">
        <v>30</v>
      </c>
      <c r="E160" s="12">
        <v>4</v>
      </c>
      <c r="F160" s="14">
        <v>0.94199999999999995</v>
      </c>
      <c r="G160" s="14">
        <v>2.5600000000000001E-2</v>
      </c>
      <c r="H160" s="14">
        <v>1E-4</v>
      </c>
      <c r="I160" s="14">
        <v>5.4800000000000001E-2</v>
      </c>
      <c r="J160" s="14">
        <v>1.7999999999999999E-2</v>
      </c>
      <c r="K160" s="14">
        <v>1E-4</v>
      </c>
    </row>
    <row r="161" spans="1:11">
      <c r="A161" s="12">
        <v>9</v>
      </c>
      <c r="B161" s="9">
        <v>38853</v>
      </c>
      <c r="C161" s="12">
        <v>2006</v>
      </c>
      <c r="D161" s="11" t="s">
        <v>31</v>
      </c>
      <c r="E161" s="12">
        <v>5</v>
      </c>
      <c r="F161" s="14">
        <v>1.7291000000000001</v>
      </c>
      <c r="G161" s="14">
        <v>1.14E-2</v>
      </c>
      <c r="H161" s="14">
        <v>1E-4</v>
      </c>
      <c r="I161" s="14">
        <v>0.252</v>
      </c>
      <c r="J161" s="14">
        <v>1.5900000000000001E-2</v>
      </c>
      <c r="K161" s="14">
        <v>1E-4</v>
      </c>
    </row>
    <row r="162" spans="1:11">
      <c r="A162" s="12">
        <v>10</v>
      </c>
      <c r="B162" s="9">
        <v>38853</v>
      </c>
      <c r="C162" s="12">
        <v>2006</v>
      </c>
      <c r="D162" s="11" t="s">
        <v>31</v>
      </c>
      <c r="E162" s="12">
        <v>5</v>
      </c>
      <c r="F162" s="14">
        <v>4.9337999999999997</v>
      </c>
      <c r="G162" s="14">
        <v>2.5499999999999998E-2</v>
      </c>
      <c r="H162" s="14">
        <v>1E-4</v>
      </c>
      <c r="I162" s="14">
        <v>1.0455000000000001</v>
      </c>
      <c r="J162" s="14">
        <v>3.4599999999999999E-2</v>
      </c>
      <c r="K162" s="14">
        <v>1E-4</v>
      </c>
    </row>
    <row r="163" spans="1:11">
      <c r="A163" s="12">
        <v>9</v>
      </c>
      <c r="B163" s="9">
        <v>38884</v>
      </c>
      <c r="C163" s="12">
        <v>2006</v>
      </c>
      <c r="D163" s="11" t="s">
        <v>32</v>
      </c>
      <c r="E163" s="12">
        <v>6</v>
      </c>
      <c r="F163" s="14">
        <v>14.875500000000001</v>
      </c>
      <c r="G163" s="14">
        <v>3.09E-2</v>
      </c>
      <c r="H163" s="14">
        <v>1.2762</v>
      </c>
      <c r="I163" s="14">
        <v>5.4286000000000003</v>
      </c>
      <c r="J163" s="14">
        <v>0.36430000000000001</v>
      </c>
      <c r="K163" s="14">
        <v>1E-4</v>
      </c>
    </row>
    <row r="164" spans="1:11">
      <c r="A164" s="12">
        <v>10</v>
      </c>
      <c r="B164" s="9">
        <v>38884</v>
      </c>
      <c r="C164" s="12">
        <v>2006</v>
      </c>
      <c r="D164" s="11" t="s">
        <v>32</v>
      </c>
      <c r="E164" s="12">
        <v>6</v>
      </c>
      <c r="F164" s="14">
        <v>18.331600000000002</v>
      </c>
      <c r="G164" s="14">
        <v>3.4000000000000002E-2</v>
      </c>
      <c r="H164" s="14">
        <v>2.0124</v>
      </c>
      <c r="I164" s="14">
        <v>6.8891</v>
      </c>
      <c r="J164" s="14">
        <v>0.55189999999999995</v>
      </c>
      <c r="K164" s="14">
        <v>1E-4</v>
      </c>
    </row>
    <row r="165" spans="1:11">
      <c r="A165" s="12">
        <v>9</v>
      </c>
      <c r="B165" s="9">
        <v>38915</v>
      </c>
      <c r="C165" s="12">
        <v>2006</v>
      </c>
      <c r="D165" s="11" t="s">
        <v>33</v>
      </c>
      <c r="E165" s="12">
        <v>7</v>
      </c>
      <c r="F165" s="14">
        <v>15.460800000000001</v>
      </c>
      <c r="G165" s="14">
        <v>3.56E-2</v>
      </c>
      <c r="H165" s="14">
        <v>1E-4</v>
      </c>
      <c r="I165" s="14">
        <v>4.1523000000000003</v>
      </c>
      <c r="J165" s="14">
        <v>0.69030000000000002</v>
      </c>
      <c r="K165" s="14">
        <v>1E-4</v>
      </c>
    </row>
    <row r="166" spans="1:11">
      <c r="A166" s="12">
        <v>10</v>
      </c>
      <c r="B166" s="9">
        <v>38915</v>
      </c>
      <c r="C166" s="12">
        <v>2006</v>
      </c>
      <c r="D166" s="11" t="s">
        <v>33</v>
      </c>
      <c r="E166" s="12">
        <v>7</v>
      </c>
      <c r="F166" s="14">
        <v>15.3445</v>
      </c>
      <c r="G166" s="14">
        <v>0.1497</v>
      </c>
      <c r="H166" s="14">
        <v>1E-4</v>
      </c>
      <c r="I166" s="14">
        <v>4.3220000000000001</v>
      </c>
      <c r="J166" s="14">
        <v>0.85440000000000005</v>
      </c>
      <c r="K166" s="14">
        <v>1E-4</v>
      </c>
    </row>
    <row r="167" spans="1:11">
      <c r="A167" s="12">
        <v>9</v>
      </c>
      <c r="B167" s="9">
        <v>38952</v>
      </c>
      <c r="C167" s="12">
        <v>2006</v>
      </c>
      <c r="D167" s="11" t="s">
        <v>34</v>
      </c>
      <c r="E167" s="12">
        <v>8</v>
      </c>
      <c r="F167" s="14">
        <v>15.3225</v>
      </c>
      <c r="G167" s="14">
        <v>2.7699999999999999E-2</v>
      </c>
      <c r="H167" s="14">
        <v>1E-4</v>
      </c>
      <c r="I167" s="14">
        <v>4.8970000000000002</v>
      </c>
      <c r="J167" s="14">
        <v>0.48080000000000001</v>
      </c>
      <c r="K167" s="14">
        <v>1E-4</v>
      </c>
    </row>
    <row r="168" spans="1:11">
      <c r="A168" s="12">
        <v>10</v>
      </c>
      <c r="B168" s="9">
        <v>38952</v>
      </c>
      <c r="C168" s="12">
        <v>2006</v>
      </c>
      <c r="D168" s="11" t="s">
        <v>34</v>
      </c>
      <c r="E168" s="12">
        <v>8</v>
      </c>
      <c r="F168" s="14">
        <v>10.6037</v>
      </c>
      <c r="G168" s="14">
        <v>7.8299999999999995E-2</v>
      </c>
      <c r="H168" s="14">
        <v>1E-4</v>
      </c>
      <c r="I168" s="14">
        <v>2.7477999999999998</v>
      </c>
      <c r="J168" s="14">
        <v>0.62460000000000004</v>
      </c>
      <c r="K168" s="14">
        <v>1E-4</v>
      </c>
    </row>
    <row r="169" spans="1:11">
      <c r="A169" s="12">
        <v>9</v>
      </c>
      <c r="B169" s="9">
        <v>38975</v>
      </c>
      <c r="C169" s="12">
        <v>2006</v>
      </c>
      <c r="D169" s="11" t="s">
        <v>35</v>
      </c>
      <c r="E169" s="12">
        <v>9</v>
      </c>
      <c r="F169" s="14">
        <v>9.8229000000000006</v>
      </c>
      <c r="G169" s="14">
        <v>1.29E-2</v>
      </c>
      <c r="H169" s="14">
        <v>1E-4</v>
      </c>
      <c r="I169" s="14">
        <v>2.6187</v>
      </c>
      <c r="J169" s="14">
        <v>8.3199999999999996E-2</v>
      </c>
      <c r="K169" s="14">
        <v>1E-4</v>
      </c>
    </row>
    <row r="170" spans="1:11">
      <c r="A170" s="12">
        <v>10</v>
      </c>
      <c r="B170" s="9">
        <v>38975</v>
      </c>
      <c r="C170" s="12">
        <v>2006</v>
      </c>
      <c r="D170" s="11" t="s">
        <v>35</v>
      </c>
      <c r="E170" s="12">
        <v>9</v>
      </c>
      <c r="F170" s="14">
        <v>5.9092000000000002</v>
      </c>
      <c r="G170" s="14">
        <v>1.46E-2</v>
      </c>
      <c r="H170" s="14">
        <v>1E-4</v>
      </c>
      <c r="I170" s="14">
        <v>1.5679000000000001</v>
      </c>
      <c r="J170" s="14">
        <v>5.3499999999999999E-2</v>
      </c>
      <c r="K170" s="14">
        <v>1E-4</v>
      </c>
    </row>
    <row r="171" spans="1:11">
      <c r="A171" s="12">
        <v>9</v>
      </c>
      <c r="B171" s="9">
        <v>39006</v>
      </c>
      <c r="C171" s="12">
        <v>2006</v>
      </c>
      <c r="D171" s="11" t="s">
        <v>36</v>
      </c>
      <c r="E171" s="12">
        <v>10</v>
      </c>
      <c r="F171" s="14">
        <v>1.724</v>
      </c>
      <c r="G171" s="14">
        <v>3.3000000000000002E-2</v>
      </c>
      <c r="H171" s="14">
        <v>9.9989999999999996E-4</v>
      </c>
      <c r="I171" s="14">
        <v>0.17899999999999999</v>
      </c>
      <c r="J171" s="14">
        <v>1.9E-2</v>
      </c>
      <c r="K171" s="14">
        <v>9.9989999999999996E-4</v>
      </c>
    </row>
    <row r="172" spans="1:11">
      <c r="A172" s="12">
        <v>10</v>
      </c>
      <c r="B172" s="9">
        <v>39006</v>
      </c>
      <c r="C172" s="12">
        <v>2006</v>
      </c>
      <c r="D172" s="11" t="s">
        <v>36</v>
      </c>
      <c r="E172" s="12">
        <v>10</v>
      </c>
      <c r="F172" s="14">
        <v>1.37</v>
      </c>
      <c r="G172" s="14">
        <v>9.9989999999999996E-4</v>
      </c>
      <c r="H172" s="14">
        <v>9.9989999999999996E-4</v>
      </c>
      <c r="I172" s="14">
        <v>0.11600000000000001</v>
      </c>
      <c r="J172" s="14">
        <v>8.0000000000000002E-3</v>
      </c>
      <c r="K172" s="14">
        <v>9.9989999999999996E-4</v>
      </c>
    </row>
    <row r="173" spans="1:11">
      <c r="A173" s="12">
        <v>9</v>
      </c>
      <c r="B173" s="9">
        <v>39041</v>
      </c>
      <c r="C173" s="12">
        <v>2006</v>
      </c>
      <c r="D173" s="11" t="s">
        <v>37</v>
      </c>
      <c r="E173" s="12">
        <v>11</v>
      </c>
      <c r="F173" s="14">
        <v>1.1399999999999999</v>
      </c>
      <c r="G173" s="14">
        <v>2.1999999999999999E-2</v>
      </c>
      <c r="H173" s="14">
        <v>9.9989999999999996E-4</v>
      </c>
      <c r="I173" s="14">
        <v>0.14000000000000001</v>
      </c>
      <c r="J173" s="14">
        <v>1.0999999999999999E-2</v>
      </c>
      <c r="K173" s="14">
        <v>9.9989999999999996E-4</v>
      </c>
    </row>
    <row r="174" spans="1:11">
      <c r="A174" s="12">
        <v>10</v>
      </c>
      <c r="B174" s="9">
        <v>39041</v>
      </c>
      <c r="C174" s="12">
        <v>2006</v>
      </c>
      <c r="D174" s="11" t="s">
        <v>37</v>
      </c>
      <c r="E174" s="12">
        <v>11</v>
      </c>
      <c r="F174" s="14">
        <v>0.89600000000000002</v>
      </c>
      <c r="G174" s="14">
        <v>0.02</v>
      </c>
      <c r="H174" s="14">
        <v>9.9989999999999996E-4</v>
      </c>
      <c r="I174" s="14">
        <v>0.11799999999999999</v>
      </c>
      <c r="J174" s="14">
        <v>8.0000000000000002E-3</v>
      </c>
      <c r="K174" s="14">
        <v>9.9989999999999996E-4</v>
      </c>
    </row>
    <row r="175" spans="1:11">
      <c r="A175" s="12">
        <v>9</v>
      </c>
      <c r="B175" s="21">
        <v>39062</v>
      </c>
      <c r="C175" s="15">
        <v>2006</v>
      </c>
      <c r="D175" s="11" t="s">
        <v>38</v>
      </c>
      <c r="E175" s="15">
        <v>12</v>
      </c>
      <c r="F175" s="14">
        <v>2.0030000000000001</v>
      </c>
      <c r="G175" s="14">
        <v>5.8999999999999997E-2</v>
      </c>
      <c r="H175" s="14">
        <v>3.6999999999999998E-2</v>
      </c>
      <c r="I175" s="14">
        <v>0.41699999999999998</v>
      </c>
      <c r="J175" s="14">
        <v>4.9000000000000002E-2</v>
      </c>
      <c r="K175" s="14">
        <v>9.9989999999999996E-4</v>
      </c>
    </row>
    <row r="176" spans="1:11">
      <c r="A176" s="12">
        <v>10</v>
      </c>
      <c r="B176" s="21">
        <v>39062</v>
      </c>
      <c r="C176" s="15">
        <v>2006</v>
      </c>
      <c r="D176" s="11" t="s">
        <v>38</v>
      </c>
      <c r="E176" s="15">
        <v>12</v>
      </c>
      <c r="F176" s="14">
        <v>0.76300000000000001</v>
      </c>
      <c r="G176" s="14">
        <v>7.0000000000000001E-3</v>
      </c>
      <c r="H176" s="14">
        <v>9.9989999999999996E-4</v>
      </c>
      <c r="I176" s="14">
        <v>0.16900000000000001</v>
      </c>
      <c r="J176" s="14">
        <v>0.02</v>
      </c>
      <c r="K176" s="14">
        <v>9.9989999999999996E-4</v>
      </c>
    </row>
    <row r="177" spans="1:11">
      <c r="A177" s="15">
        <v>9</v>
      </c>
      <c r="B177" s="21">
        <v>39100</v>
      </c>
      <c r="C177" s="15">
        <v>2007</v>
      </c>
      <c r="D177" s="11" t="s">
        <v>39</v>
      </c>
      <c r="E177" s="15">
        <v>1</v>
      </c>
      <c r="F177" s="14">
        <v>0.98499999999999999</v>
      </c>
      <c r="G177" s="14">
        <v>4.1000000000000002E-2</v>
      </c>
      <c r="H177" s="14">
        <v>9.9989999999999996E-4</v>
      </c>
      <c r="I177" s="14">
        <v>0.221</v>
      </c>
      <c r="J177" s="14">
        <v>6.0000000000000001E-3</v>
      </c>
      <c r="K177" s="14">
        <v>9.9989999999999996E-4</v>
      </c>
    </row>
    <row r="178" spans="1:11">
      <c r="A178" s="15">
        <v>10</v>
      </c>
      <c r="B178" s="21">
        <v>39100</v>
      </c>
      <c r="C178" s="15">
        <v>2007</v>
      </c>
      <c r="D178" s="11" t="s">
        <v>39</v>
      </c>
      <c r="E178" s="15">
        <v>1</v>
      </c>
      <c r="F178" s="14">
        <v>2.0190000000000001</v>
      </c>
      <c r="G178" s="14">
        <v>0.24099999999999999</v>
      </c>
      <c r="H178" s="14">
        <v>9.9989999999999996E-4</v>
      </c>
      <c r="I178" s="14">
        <v>0.39600000000000002</v>
      </c>
      <c r="J178" s="14">
        <v>1.2999999999999999E-2</v>
      </c>
      <c r="K178" s="14">
        <v>9.9989999999999996E-4</v>
      </c>
    </row>
    <row r="179" spans="1:11">
      <c r="A179" s="15">
        <v>9</v>
      </c>
      <c r="B179" s="21">
        <v>39135</v>
      </c>
      <c r="C179" s="15">
        <v>2007</v>
      </c>
      <c r="D179" s="11" t="s">
        <v>28</v>
      </c>
      <c r="E179" s="15">
        <v>2</v>
      </c>
      <c r="F179" s="14">
        <v>6.2530000000000001</v>
      </c>
      <c r="G179" s="14">
        <v>0.112</v>
      </c>
      <c r="H179" s="14">
        <v>2.1000000000000001E-2</v>
      </c>
      <c r="I179" s="14">
        <v>1.9450000000000001</v>
      </c>
      <c r="J179" s="14">
        <v>1.4999999999999999E-2</v>
      </c>
      <c r="K179" s="14">
        <v>9.9989999999999996E-4</v>
      </c>
    </row>
    <row r="180" spans="1:11">
      <c r="A180" s="15">
        <v>10</v>
      </c>
      <c r="B180" s="21">
        <v>39135</v>
      </c>
      <c r="C180" s="15">
        <v>2007</v>
      </c>
      <c r="D180" s="11" t="s">
        <v>28</v>
      </c>
      <c r="E180" s="15">
        <v>2</v>
      </c>
      <c r="F180" s="14">
        <v>5.2530000000000001</v>
      </c>
      <c r="G180" s="14">
        <v>3.9E-2</v>
      </c>
      <c r="H180" s="14">
        <v>9.9989999999999996E-4</v>
      </c>
      <c r="I180" s="14">
        <v>1.6040000000000001</v>
      </c>
      <c r="J180" s="14">
        <v>1.7999999999999999E-2</v>
      </c>
      <c r="K180" s="14">
        <v>9.9989999999999996E-4</v>
      </c>
    </row>
    <row r="181" spans="1:11">
      <c r="A181" s="15">
        <v>9</v>
      </c>
      <c r="B181" s="21">
        <v>39153</v>
      </c>
      <c r="C181" s="15">
        <v>2007</v>
      </c>
      <c r="D181" s="11" t="s">
        <v>29</v>
      </c>
      <c r="E181" s="15">
        <v>3</v>
      </c>
      <c r="F181" s="14">
        <v>1.6619999999999999</v>
      </c>
      <c r="G181" s="14">
        <v>3.4000000000000002E-2</v>
      </c>
      <c r="H181" s="14">
        <v>4.4999999999999998E-2</v>
      </c>
      <c r="I181" s="14">
        <v>0.63600000000000001</v>
      </c>
      <c r="J181" s="14">
        <v>2.4E-2</v>
      </c>
      <c r="K181" s="14">
        <v>9.9989999999999996E-4</v>
      </c>
    </row>
    <row r="182" spans="1:11">
      <c r="A182" s="15">
        <v>10</v>
      </c>
      <c r="B182" s="21">
        <v>39153</v>
      </c>
      <c r="C182" s="15">
        <v>2007</v>
      </c>
      <c r="D182" s="11" t="s">
        <v>29</v>
      </c>
      <c r="E182" s="15">
        <v>3</v>
      </c>
      <c r="F182" s="14">
        <v>3.25</v>
      </c>
      <c r="G182" s="14">
        <v>0.14099999999999999</v>
      </c>
      <c r="H182" s="14">
        <v>0.02</v>
      </c>
      <c r="I182" s="14">
        <v>0.86599999999999999</v>
      </c>
      <c r="J182" s="14">
        <v>3.2000000000000001E-2</v>
      </c>
      <c r="K182" s="14">
        <v>9.9989999999999996E-4</v>
      </c>
    </row>
    <row r="183" spans="1:11">
      <c r="A183" s="15">
        <v>9</v>
      </c>
      <c r="B183" s="21">
        <v>39191</v>
      </c>
      <c r="C183" s="15">
        <v>2007</v>
      </c>
      <c r="D183" s="11" t="s">
        <v>30</v>
      </c>
      <c r="E183" s="15">
        <v>4</v>
      </c>
      <c r="F183" s="14">
        <v>1.63</v>
      </c>
      <c r="G183" s="14">
        <v>2.3E-2</v>
      </c>
      <c r="H183" s="14">
        <v>9.9989999999999996E-4</v>
      </c>
      <c r="I183" s="14">
        <v>0.497</v>
      </c>
      <c r="J183" s="14">
        <v>9.9989999999999996E-4</v>
      </c>
      <c r="K183" s="14">
        <v>9.9989999999999996E-4</v>
      </c>
    </row>
    <row r="184" spans="1:11">
      <c r="A184" s="15">
        <v>10</v>
      </c>
      <c r="B184" s="21">
        <v>39191</v>
      </c>
      <c r="C184" s="15">
        <v>2007</v>
      </c>
      <c r="D184" s="11" t="s">
        <v>30</v>
      </c>
      <c r="E184" s="15">
        <v>4</v>
      </c>
      <c r="F184" s="14">
        <v>1.3720000000000001</v>
      </c>
      <c r="G184" s="14">
        <v>9.9989999999999996E-4</v>
      </c>
      <c r="H184" s="14">
        <v>9.9989999999999996E-4</v>
      </c>
      <c r="I184" s="14">
        <v>0.435</v>
      </c>
      <c r="J184" s="14">
        <v>4.0000000000000001E-3</v>
      </c>
      <c r="K184" s="14">
        <v>9.9989999999999996E-4</v>
      </c>
    </row>
    <row r="185" spans="1:11">
      <c r="A185" s="15">
        <v>9</v>
      </c>
      <c r="B185" s="21">
        <v>39216</v>
      </c>
      <c r="C185" s="15">
        <v>2007</v>
      </c>
      <c r="D185" s="11" t="s">
        <v>31</v>
      </c>
      <c r="E185" s="15">
        <v>5</v>
      </c>
      <c r="F185" s="14">
        <v>10.595000000000001</v>
      </c>
      <c r="G185" s="14">
        <v>4.9000000000000002E-2</v>
      </c>
      <c r="H185" s="14">
        <v>1.204</v>
      </c>
      <c r="I185" s="14">
        <v>5.4539999999999997</v>
      </c>
      <c r="J185" s="14">
        <v>7.5999999999999998E-2</v>
      </c>
      <c r="K185" s="14">
        <v>9.9989999999999996E-4</v>
      </c>
    </row>
    <row r="186" spans="1:11">
      <c r="A186" s="15">
        <v>10</v>
      </c>
      <c r="B186" s="21">
        <v>39216</v>
      </c>
      <c r="C186" s="15">
        <v>2007</v>
      </c>
      <c r="D186" s="11" t="s">
        <v>31</v>
      </c>
      <c r="E186" s="15">
        <v>5</v>
      </c>
      <c r="F186" s="14">
        <v>10.763999999999999</v>
      </c>
      <c r="G186" s="14">
        <v>0.10299999999999999</v>
      </c>
      <c r="H186" s="14">
        <v>0.91300000000000003</v>
      </c>
      <c r="I186" s="14">
        <v>5.3319999999999999</v>
      </c>
      <c r="J186" s="14">
        <v>9.7000000000000003E-2</v>
      </c>
      <c r="K186" s="22">
        <v>9.9989999999999996E-4</v>
      </c>
    </row>
    <row r="187" spans="1:11">
      <c r="A187" s="15">
        <v>9</v>
      </c>
      <c r="B187" s="21">
        <v>39248</v>
      </c>
      <c r="C187" s="15">
        <v>2007</v>
      </c>
      <c r="D187" s="11" t="s">
        <v>32</v>
      </c>
      <c r="E187" s="15">
        <v>6</v>
      </c>
      <c r="F187" s="14">
        <v>25.084</v>
      </c>
      <c r="G187" s="14">
        <v>7.1999999999999995E-2</v>
      </c>
      <c r="H187" s="14">
        <v>1.41</v>
      </c>
      <c r="I187" s="14">
        <v>11.398999999999999</v>
      </c>
      <c r="J187" s="14">
        <v>0.111</v>
      </c>
      <c r="K187" s="22">
        <v>9.9989999999999996E-4</v>
      </c>
    </row>
    <row r="188" spans="1:11">
      <c r="A188" s="15">
        <v>10</v>
      </c>
      <c r="B188" s="21">
        <v>39248</v>
      </c>
      <c r="C188" s="15">
        <v>2007</v>
      </c>
      <c r="D188" s="11" t="s">
        <v>32</v>
      </c>
      <c r="E188" s="15">
        <v>6</v>
      </c>
      <c r="F188" s="14">
        <v>17.117000000000001</v>
      </c>
      <c r="G188" s="14">
        <v>0.13</v>
      </c>
      <c r="H188" s="14">
        <v>0.55500000000000005</v>
      </c>
      <c r="I188" s="14">
        <v>6.7910000000000004</v>
      </c>
      <c r="J188" s="14">
        <v>6.9000000000000006E-2</v>
      </c>
      <c r="K188" s="14">
        <v>9.9989999999999996E-4</v>
      </c>
    </row>
    <row r="189" spans="1:11">
      <c r="A189" s="15">
        <v>9</v>
      </c>
      <c r="B189" s="21">
        <v>39279</v>
      </c>
      <c r="C189" s="15">
        <v>2007</v>
      </c>
      <c r="D189" s="11" t="s">
        <v>33</v>
      </c>
      <c r="E189" s="15">
        <v>7</v>
      </c>
      <c r="F189" s="14">
        <v>18.765999999999998</v>
      </c>
      <c r="G189" s="14">
        <v>0.82199999999999995</v>
      </c>
      <c r="H189" s="14">
        <v>9.9989999999999996E-4</v>
      </c>
      <c r="I189" s="14">
        <v>4.5190000000000001</v>
      </c>
      <c r="J189" s="14">
        <v>0.27300000000000002</v>
      </c>
      <c r="K189" s="14">
        <v>9.9989999999999996E-4</v>
      </c>
    </row>
    <row r="190" spans="1:11">
      <c r="A190" s="15">
        <v>10</v>
      </c>
      <c r="B190" s="21">
        <v>39279</v>
      </c>
      <c r="C190" s="15">
        <v>2007</v>
      </c>
      <c r="D190" s="11" t="s">
        <v>33</v>
      </c>
      <c r="E190" s="15">
        <v>7</v>
      </c>
      <c r="F190" s="14">
        <v>18.003</v>
      </c>
      <c r="G190" s="14">
        <v>1.0369999999999999</v>
      </c>
      <c r="H190" s="14">
        <v>9.9989999999999996E-4</v>
      </c>
      <c r="I190" s="14">
        <v>3.371</v>
      </c>
      <c r="J190" s="14">
        <v>0.315</v>
      </c>
      <c r="K190" s="14">
        <v>9.9989999999999996E-4</v>
      </c>
    </row>
    <row r="191" spans="1:11">
      <c r="A191" s="15">
        <v>9</v>
      </c>
      <c r="B191" s="21">
        <v>39308</v>
      </c>
      <c r="C191" s="15">
        <v>2007</v>
      </c>
      <c r="D191" s="11" t="s">
        <v>34</v>
      </c>
      <c r="E191" s="15">
        <v>8</v>
      </c>
      <c r="F191" s="14">
        <v>10.6</v>
      </c>
      <c r="G191" s="14">
        <v>9.9989999999999996E-4</v>
      </c>
      <c r="H191" s="14">
        <v>9.9989999999999996E-4</v>
      </c>
      <c r="I191" s="14">
        <v>3.6139999999999999</v>
      </c>
      <c r="J191" s="14">
        <v>0.217</v>
      </c>
      <c r="K191" s="14">
        <v>9.9989999999999996E-4</v>
      </c>
    </row>
    <row r="192" spans="1:11">
      <c r="A192" s="15">
        <v>10</v>
      </c>
      <c r="B192" s="21">
        <v>39308</v>
      </c>
      <c r="C192" s="15">
        <v>2007</v>
      </c>
      <c r="D192" s="11" t="s">
        <v>34</v>
      </c>
      <c r="E192" s="15">
        <v>8</v>
      </c>
      <c r="F192" s="14">
        <v>11.553000000000001</v>
      </c>
      <c r="G192" s="14">
        <v>9.9989999999999996E-4</v>
      </c>
      <c r="H192" s="14">
        <v>9.9989999999999996E-4</v>
      </c>
      <c r="I192" s="14">
        <v>4.0579999999999998</v>
      </c>
      <c r="J192" s="14">
        <v>0.14599999999999999</v>
      </c>
      <c r="K192" s="14">
        <v>9.9989999999999996E-4</v>
      </c>
    </row>
    <row r="193" spans="1:11">
      <c r="A193" s="15">
        <v>9</v>
      </c>
      <c r="B193" s="21">
        <v>39335</v>
      </c>
      <c r="C193" s="15">
        <v>2007</v>
      </c>
      <c r="D193" s="11" t="s">
        <v>40</v>
      </c>
      <c r="E193" s="15">
        <v>9</v>
      </c>
      <c r="F193" s="14">
        <v>13.128</v>
      </c>
      <c r="G193" s="14">
        <v>9.9989999999999996E-4</v>
      </c>
      <c r="H193" s="14">
        <v>9.9989999999999996E-4</v>
      </c>
      <c r="I193" s="14">
        <v>4.3070000000000004</v>
      </c>
      <c r="J193" s="14">
        <v>0.20899999999999999</v>
      </c>
      <c r="K193" s="14">
        <v>9.9989999999999996E-4</v>
      </c>
    </row>
    <row r="194" spans="1:11">
      <c r="A194" s="15">
        <v>10</v>
      </c>
      <c r="B194" s="21">
        <v>39335</v>
      </c>
      <c r="C194" s="15">
        <v>2007</v>
      </c>
      <c r="D194" s="11" t="s">
        <v>40</v>
      </c>
      <c r="E194" s="15">
        <v>9</v>
      </c>
      <c r="F194" s="14">
        <v>8.6809999999999992</v>
      </c>
      <c r="G194" s="14">
        <v>6.4000000000000001E-2</v>
      </c>
      <c r="H194" s="14">
        <v>9.9989999999999996E-4</v>
      </c>
      <c r="I194" s="14">
        <v>1.387</v>
      </c>
      <c r="J194" s="14">
        <v>0.32800000000000001</v>
      </c>
      <c r="K194" s="14">
        <v>9.9989999999999996E-4</v>
      </c>
    </row>
    <row r="195" spans="1:11">
      <c r="A195" s="15">
        <v>9</v>
      </c>
      <c r="B195" s="21">
        <v>39370</v>
      </c>
      <c r="C195" s="15">
        <v>2007</v>
      </c>
      <c r="D195" s="11" t="s">
        <v>36</v>
      </c>
      <c r="E195" s="15">
        <v>10</v>
      </c>
      <c r="F195" s="14">
        <v>1.5980000000000001</v>
      </c>
      <c r="G195" s="14">
        <v>1.2999999999999999E-2</v>
      </c>
      <c r="H195" s="14">
        <v>9.9989999999999996E-4</v>
      </c>
      <c r="I195" s="14">
        <v>0.158</v>
      </c>
      <c r="J195" s="14">
        <v>2.7E-2</v>
      </c>
      <c r="K195" s="14">
        <v>9.9989999999999996E-4</v>
      </c>
    </row>
    <row r="196" spans="1:11">
      <c r="A196" s="15">
        <v>10</v>
      </c>
      <c r="B196" s="21">
        <v>39370</v>
      </c>
      <c r="C196" s="15">
        <v>2007</v>
      </c>
      <c r="D196" s="11" t="s">
        <v>36</v>
      </c>
      <c r="E196" s="15">
        <v>10</v>
      </c>
      <c r="F196" s="14">
        <v>1.01</v>
      </c>
      <c r="G196" s="14">
        <v>9.9989999999999996E-4</v>
      </c>
      <c r="H196" s="14">
        <v>9.9989999999999996E-4</v>
      </c>
      <c r="I196" s="14">
        <v>0.13600000000000001</v>
      </c>
      <c r="J196" s="14">
        <v>2.4E-2</v>
      </c>
      <c r="K196" s="14">
        <v>9.9989999999999996E-4</v>
      </c>
    </row>
    <row r="197" spans="1:11">
      <c r="A197" s="15">
        <v>9</v>
      </c>
      <c r="B197" s="21">
        <v>39400</v>
      </c>
      <c r="C197" s="15">
        <v>2007</v>
      </c>
      <c r="D197" s="11" t="s">
        <v>37</v>
      </c>
      <c r="E197" s="15">
        <v>11</v>
      </c>
      <c r="F197" s="14">
        <v>1.105</v>
      </c>
      <c r="G197" s="14">
        <v>9.9989999999999996E-4</v>
      </c>
      <c r="H197" s="14">
        <v>9.9989999999999996E-4</v>
      </c>
      <c r="I197" s="14">
        <v>0.15</v>
      </c>
      <c r="J197" s="14">
        <v>5.0000000000000001E-3</v>
      </c>
      <c r="K197" s="14">
        <v>9.9989999999999996E-4</v>
      </c>
    </row>
    <row r="198" spans="1:11">
      <c r="A198" s="15">
        <v>10</v>
      </c>
      <c r="B198" s="21">
        <v>39400</v>
      </c>
      <c r="C198" s="15">
        <v>2007</v>
      </c>
      <c r="D198" s="11" t="s">
        <v>37</v>
      </c>
      <c r="E198" s="15">
        <v>11</v>
      </c>
      <c r="F198" s="14">
        <v>1.29</v>
      </c>
      <c r="G198" s="14">
        <v>9.9989999999999996E-4</v>
      </c>
      <c r="H198" s="14">
        <v>9.9989999999999996E-4</v>
      </c>
      <c r="I198" s="14">
        <v>0.09</v>
      </c>
      <c r="J198" s="14">
        <v>9.9989999999999996E-4</v>
      </c>
      <c r="K198" s="14">
        <v>9.9989999999999996E-4</v>
      </c>
    </row>
    <row r="199" spans="1:11">
      <c r="A199" s="15">
        <v>9</v>
      </c>
      <c r="B199" s="21">
        <v>39434</v>
      </c>
      <c r="C199" s="15">
        <v>2007</v>
      </c>
      <c r="D199" s="11" t="s">
        <v>38</v>
      </c>
      <c r="E199" s="15">
        <v>12</v>
      </c>
      <c r="F199" s="14">
        <v>2.456</v>
      </c>
      <c r="G199" s="14">
        <v>6.7000000000000004E-2</v>
      </c>
      <c r="H199" s="14">
        <v>9.9989999999999996E-4</v>
      </c>
      <c r="I199" s="14">
        <v>0.49199999999999999</v>
      </c>
      <c r="J199" s="14">
        <v>1.0999999999999999E-2</v>
      </c>
      <c r="K199" s="14">
        <v>9.9989999999999996E-4</v>
      </c>
    </row>
    <row r="200" spans="1:11">
      <c r="A200" s="15">
        <v>10</v>
      </c>
      <c r="B200" s="21">
        <v>39434</v>
      </c>
      <c r="C200" s="15">
        <v>2007</v>
      </c>
      <c r="D200" s="11" t="s">
        <v>38</v>
      </c>
      <c r="E200" s="15">
        <v>12</v>
      </c>
      <c r="F200" s="14">
        <v>2.827</v>
      </c>
      <c r="G200" s="14">
        <v>0.112</v>
      </c>
      <c r="H200" s="14">
        <v>9.9989999999999996E-4</v>
      </c>
      <c r="I200" s="14">
        <v>0.51300000000000001</v>
      </c>
      <c r="J200" s="14">
        <v>2.9000000000000001E-2</v>
      </c>
      <c r="K200" s="14">
        <v>9.9989999999999996E-4</v>
      </c>
    </row>
    <row r="201" spans="1:11">
      <c r="A201" s="15">
        <v>9</v>
      </c>
      <c r="B201" s="21">
        <v>39463</v>
      </c>
      <c r="C201" s="15">
        <v>2008</v>
      </c>
      <c r="D201" s="11" t="s">
        <v>39</v>
      </c>
      <c r="E201" s="15">
        <v>1</v>
      </c>
      <c r="F201" s="23">
        <v>1.5149999999999999</v>
      </c>
      <c r="G201" s="23">
        <v>7.8E-2</v>
      </c>
      <c r="H201" s="23">
        <v>1.2E-2</v>
      </c>
      <c r="I201" s="23">
        <v>0.28399999999999997</v>
      </c>
      <c r="J201" s="23">
        <v>3.6999999999999998E-2</v>
      </c>
      <c r="K201" s="23">
        <v>9.9989999999999996E-4</v>
      </c>
    </row>
    <row r="202" spans="1:11">
      <c r="A202" s="15">
        <v>10</v>
      </c>
      <c r="B202" s="21">
        <v>39463</v>
      </c>
      <c r="C202" s="15">
        <v>2008</v>
      </c>
      <c r="D202" s="11" t="s">
        <v>39</v>
      </c>
      <c r="E202" s="15">
        <v>1</v>
      </c>
      <c r="F202" s="23">
        <v>1.718</v>
      </c>
      <c r="G202" s="23">
        <v>5.7000000000000002E-2</v>
      </c>
      <c r="H202" s="23">
        <v>9.9989999999999996E-4</v>
      </c>
      <c r="I202" s="23">
        <v>0.40500000000000003</v>
      </c>
      <c r="J202" s="23">
        <v>1.7000000000000001E-2</v>
      </c>
      <c r="K202" s="23">
        <v>9.9989999999999996E-4</v>
      </c>
    </row>
    <row r="203" spans="1:11">
      <c r="A203" s="15">
        <v>9</v>
      </c>
      <c r="B203" s="21">
        <v>39493</v>
      </c>
      <c r="C203" s="15">
        <v>2008</v>
      </c>
      <c r="D203" s="11" t="s">
        <v>28</v>
      </c>
      <c r="E203" s="15">
        <v>2</v>
      </c>
      <c r="F203" s="23">
        <v>1.8859999999999999</v>
      </c>
      <c r="G203" s="23">
        <v>5.8000000000000003E-2</v>
      </c>
      <c r="H203" s="23">
        <v>9.9989999999999996E-4</v>
      </c>
      <c r="I203" s="23">
        <v>0.503</v>
      </c>
      <c r="J203" s="23">
        <v>7.0000000000000001E-3</v>
      </c>
      <c r="K203" s="23">
        <v>9.9989999999999996E-4</v>
      </c>
    </row>
    <row r="204" spans="1:11">
      <c r="A204" s="15">
        <v>10</v>
      </c>
      <c r="B204" s="21">
        <v>39493</v>
      </c>
      <c r="C204" s="15">
        <v>2008</v>
      </c>
      <c r="D204" s="11" t="s">
        <v>28</v>
      </c>
      <c r="E204" s="15">
        <v>2</v>
      </c>
      <c r="F204" s="23">
        <v>1.6619999999999999</v>
      </c>
      <c r="G204" s="23">
        <v>2.4E-2</v>
      </c>
      <c r="H204" s="23">
        <v>9.9989999999999996E-4</v>
      </c>
      <c r="I204" s="23">
        <v>0.443</v>
      </c>
      <c r="J204" s="23">
        <v>1.6E-2</v>
      </c>
      <c r="K204" s="23">
        <v>9.9989999999999996E-4</v>
      </c>
    </row>
    <row r="205" spans="1:11">
      <c r="A205" s="15">
        <v>9</v>
      </c>
      <c r="B205" s="21">
        <v>39517</v>
      </c>
      <c r="C205" s="15">
        <v>2008</v>
      </c>
      <c r="D205" s="11" t="s">
        <v>29</v>
      </c>
      <c r="E205" s="15">
        <v>3</v>
      </c>
      <c r="F205" s="24">
        <v>1.875</v>
      </c>
      <c r="G205" s="23">
        <v>5.0999999999999997E-2</v>
      </c>
      <c r="H205" s="23">
        <v>9.9989999999999996E-4</v>
      </c>
      <c r="I205" s="23">
        <v>0.34399999999999997</v>
      </c>
      <c r="J205" s="23">
        <v>1.4E-2</v>
      </c>
      <c r="K205" s="23">
        <v>9.9989999999999996E-4</v>
      </c>
    </row>
    <row r="206" spans="1:11">
      <c r="A206" s="15">
        <v>10</v>
      </c>
      <c r="B206" s="21">
        <v>39517</v>
      </c>
      <c r="C206" s="15">
        <v>2008</v>
      </c>
      <c r="D206" s="11" t="s">
        <v>29</v>
      </c>
      <c r="E206" s="15">
        <v>3</v>
      </c>
      <c r="F206" s="24">
        <v>1.5249999999999999</v>
      </c>
      <c r="G206" s="23">
        <v>6.2E-2</v>
      </c>
      <c r="H206" s="23">
        <v>9.9989999999999996E-4</v>
      </c>
      <c r="I206" s="23">
        <v>0.254</v>
      </c>
      <c r="J206" s="23">
        <v>1.7999999999999999E-2</v>
      </c>
      <c r="K206" s="23">
        <v>9.9989999999999996E-4</v>
      </c>
    </row>
    <row r="207" spans="1:11">
      <c r="A207" s="15">
        <v>9</v>
      </c>
      <c r="B207" s="21">
        <v>39552</v>
      </c>
      <c r="C207" s="15">
        <v>2008</v>
      </c>
      <c r="D207" s="11" t="s">
        <v>30</v>
      </c>
      <c r="E207" s="15">
        <v>4</v>
      </c>
      <c r="F207" s="24">
        <v>1.222</v>
      </c>
      <c r="G207" s="23">
        <v>3.5000000000000003E-2</v>
      </c>
      <c r="H207" s="23">
        <v>9.9989999999999996E-4</v>
      </c>
      <c r="I207" s="23">
        <v>0.13400000000000001</v>
      </c>
      <c r="J207" s="23">
        <v>8.9999999999999993E-3</v>
      </c>
      <c r="K207" s="23">
        <v>9.9989999999999996E-4</v>
      </c>
    </row>
    <row r="208" spans="1:11">
      <c r="A208" s="15">
        <v>10</v>
      </c>
      <c r="B208" s="21">
        <v>39552</v>
      </c>
      <c r="C208" s="15">
        <v>2008</v>
      </c>
      <c r="D208" s="11" t="s">
        <v>30</v>
      </c>
      <c r="E208" s="15">
        <v>4</v>
      </c>
      <c r="F208" s="24">
        <v>1.135</v>
      </c>
      <c r="G208" s="23">
        <v>0.04</v>
      </c>
      <c r="H208" s="23">
        <v>9.9989999999999996E-4</v>
      </c>
      <c r="I208" s="23">
        <v>6.7000000000000004E-2</v>
      </c>
      <c r="J208" s="23">
        <v>7.0000000000000001E-3</v>
      </c>
      <c r="K208" s="23">
        <v>9.9989999999999996E-4</v>
      </c>
    </row>
    <row r="209" spans="1:11">
      <c r="A209" s="15">
        <v>9</v>
      </c>
      <c r="B209" s="21">
        <v>39583</v>
      </c>
      <c r="C209" s="15">
        <v>2008</v>
      </c>
      <c r="D209" s="11" t="s">
        <v>31</v>
      </c>
      <c r="E209" s="15">
        <v>5</v>
      </c>
      <c r="F209" s="24">
        <v>3.5169999999999999</v>
      </c>
      <c r="G209" s="23">
        <v>9.9989999999999996E-4</v>
      </c>
      <c r="H209" s="23">
        <v>9.9989999999999996E-4</v>
      </c>
      <c r="I209" s="23">
        <v>1.113</v>
      </c>
      <c r="J209" s="23">
        <v>1.2E-2</v>
      </c>
      <c r="K209" s="23">
        <v>9.9989999999999996E-4</v>
      </c>
    </row>
    <row r="210" spans="1:11">
      <c r="A210" s="15">
        <v>10</v>
      </c>
      <c r="B210" s="21">
        <v>39583</v>
      </c>
      <c r="C210" s="15">
        <v>2008</v>
      </c>
      <c r="D210" s="11" t="s">
        <v>31</v>
      </c>
      <c r="E210" s="15">
        <v>5</v>
      </c>
      <c r="F210" s="24">
        <v>3.0009999999999999</v>
      </c>
      <c r="G210" s="23">
        <v>9.9989999999999996E-4</v>
      </c>
      <c r="H210" s="23">
        <v>9.9989999999999996E-4</v>
      </c>
      <c r="I210" s="23">
        <v>0.48299999999999998</v>
      </c>
      <c r="J210" s="23">
        <v>1.4999999999999999E-2</v>
      </c>
      <c r="K210" s="23">
        <v>9.9989999999999996E-4</v>
      </c>
    </row>
    <row r="211" spans="1:11">
      <c r="A211" s="15">
        <v>9</v>
      </c>
      <c r="B211" s="21">
        <v>39617</v>
      </c>
      <c r="C211" s="15">
        <v>2008</v>
      </c>
      <c r="D211" s="11" t="s">
        <v>32</v>
      </c>
      <c r="E211" s="15">
        <v>6</v>
      </c>
      <c r="F211" s="24">
        <v>10.605</v>
      </c>
      <c r="G211" s="23">
        <v>3.4000000000000002E-2</v>
      </c>
      <c r="H211" s="23">
        <v>9.9989999999999996E-4</v>
      </c>
      <c r="I211" s="23">
        <v>2.4159999999999999</v>
      </c>
      <c r="J211" s="23">
        <v>0.14499999999999999</v>
      </c>
      <c r="K211" s="23">
        <v>9.9989999999999996E-4</v>
      </c>
    </row>
    <row r="212" spans="1:11">
      <c r="A212" s="15">
        <v>10</v>
      </c>
      <c r="B212" s="21">
        <v>39617</v>
      </c>
      <c r="C212" s="15">
        <v>2008</v>
      </c>
      <c r="D212" s="11" t="s">
        <v>32</v>
      </c>
      <c r="E212" s="15">
        <v>6</v>
      </c>
      <c r="F212" s="24">
        <v>4.0430000000000001</v>
      </c>
      <c r="G212" s="23">
        <v>9.6000000000000002E-2</v>
      </c>
      <c r="H212" s="23">
        <v>9.9989999999999996E-4</v>
      </c>
      <c r="I212" s="23">
        <v>0.50800000000000001</v>
      </c>
      <c r="J212" s="23">
        <v>8.5000000000000006E-2</v>
      </c>
      <c r="K212" s="23">
        <v>9.9989999999999996E-4</v>
      </c>
    </row>
    <row r="213" spans="1:11">
      <c r="A213" s="15">
        <v>9</v>
      </c>
      <c r="B213" s="21">
        <v>39645</v>
      </c>
      <c r="C213" s="15">
        <v>2008</v>
      </c>
      <c r="D213" s="11" t="s">
        <v>33</v>
      </c>
      <c r="E213" s="15">
        <v>7</v>
      </c>
      <c r="F213" s="24">
        <v>10.544</v>
      </c>
      <c r="G213" s="23">
        <v>0.36399999999999999</v>
      </c>
      <c r="H213" s="23">
        <v>9.9989999999999996E-4</v>
      </c>
      <c r="I213" s="23">
        <v>3.0920000000000001</v>
      </c>
      <c r="J213" s="23">
        <v>6.6000000000000003E-2</v>
      </c>
      <c r="K213" s="23">
        <v>9.9989999999999996E-4</v>
      </c>
    </row>
    <row r="214" spans="1:11">
      <c r="A214" s="15">
        <v>10</v>
      </c>
      <c r="B214" s="21">
        <v>39645</v>
      </c>
      <c r="C214" s="15">
        <v>2008</v>
      </c>
      <c r="D214" s="11" t="s">
        <v>33</v>
      </c>
      <c r="E214" s="15">
        <v>7</v>
      </c>
      <c r="F214" s="24">
        <v>4.6070000000000002</v>
      </c>
      <c r="G214" s="23">
        <v>1.2070000000000001</v>
      </c>
      <c r="H214" s="23">
        <v>9.9989999999999996E-4</v>
      </c>
      <c r="I214" s="23">
        <v>0.247</v>
      </c>
      <c r="J214" s="23">
        <v>7.0999999999999994E-2</v>
      </c>
      <c r="K214" s="23">
        <v>9.9989999999999996E-4</v>
      </c>
    </row>
    <row r="215" spans="1:11">
      <c r="A215" s="15">
        <v>9</v>
      </c>
      <c r="B215" s="21">
        <v>39672</v>
      </c>
      <c r="C215" s="15">
        <v>2008</v>
      </c>
      <c r="D215" s="11" t="s">
        <v>34</v>
      </c>
      <c r="E215" s="15">
        <v>8</v>
      </c>
      <c r="F215" s="24">
        <v>10.702999999999999</v>
      </c>
      <c r="G215" s="23">
        <v>0.45900000000000002</v>
      </c>
      <c r="H215" s="23">
        <v>9.9989999999999996E-4</v>
      </c>
      <c r="I215" s="23">
        <v>3.2829999999999999</v>
      </c>
      <c r="J215" s="23">
        <v>5.8999999999999997E-2</v>
      </c>
      <c r="K215" s="23">
        <v>9.9989999999999996E-4</v>
      </c>
    </row>
    <row r="216" spans="1:11">
      <c r="A216" s="15">
        <v>10</v>
      </c>
      <c r="B216" s="21">
        <v>39672</v>
      </c>
      <c r="C216" s="15">
        <v>2008</v>
      </c>
      <c r="D216" s="11" t="s">
        <v>34</v>
      </c>
      <c r="E216" s="15">
        <v>8</v>
      </c>
      <c r="F216" s="24">
        <v>8.69</v>
      </c>
      <c r="G216" s="23">
        <v>0.114</v>
      </c>
      <c r="H216" s="23">
        <v>9.9989999999999996E-4</v>
      </c>
      <c r="I216" s="23">
        <v>1.8580000000000001</v>
      </c>
      <c r="J216" s="23">
        <v>0.35399999999999998</v>
      </c>
      <c r="K216" s="23">
        <v>9.9989999999999996E-4</v>
      </c>
    </row>
    <row r="217" spans="1:11">
      <c r="A217" s="15">
        <v>9</v>
      </c>
      <c r="B217" s="21">
        <v>39709</v>
      </c>
      <c r="C217" s="15">
        <v>2008</v>
      </c>
      <c r="D217" s="11" t="s">
        <v>40</v>
      </c>
      <c r="E217" s="15">
        <v>9</v>
      </c>
      <c r="F217" s="23">
        <v>1.73</v>
      </c>
      <c r="G217" s="23">
        <v>1.9E-2</v>
      </c>
      <c r="H217" s="23">
        <v>9.9989999999999996E-4</v>
      </c>
      <c r="I217" s="23">
        <v>0.315</v>
      </c>
      <c r="J217" s="23">
        <v>1.7999999999999999E-2</v>
      </c>
      <c r="K217" s="23">
        <v>9.9989999999999996E-4</v>
      </c>
    </row>
    <row r="218" spans="1:11">
      <c r="A218" s="15">
        <v>10</v>
      </c>
      <c r="B218" s="21">
        <v>39709</v>
      </c>
      <c r="C218" s="15">
        <v>2008</v>
      </c>
      <c r="D218" s="11" t="s">
        <v>40</v>
      </c>
      <c r="E218" s="15">
        <v>9</v>
      </c>
      <c r="F218" s="23">
        <v>1.7969999999999999</v>
      </c>
      <c r="G218" s="23">
        <v>2.7E-2</v>
      </c>
      <c r="H218" s="23">
        <v>9.9989999999999996E-4</v>
      </c>
      <c r="I218" s="23">
        <v>0.313</v>
      </c>
      <c r="J218" s="23">
        <v>2.5999999999999999E-2</v>
      </c>
      <c r="K218" s="23">
        <v>9.9989999999999996E-4</v>
      </c>
    </row>
    <row r="219" spans="1:11">
      <c r="A219" s="15">
        <v>9</v>
      </c>
      <c r="B219" s="21">
        <v>39735</v>
      </c>
      <c r="C219" s="15">
        <v>2008</v>
      </c>
      <c r="D219" s="11" t="s">
        <v>36</v>
      </c>
      <c r="E219" s="15">
        <v>10</v>
      </c>
      <c r="F219" s="23">
        <v>3.992</v>
      </c>
      <c r="G219" s="23">
        <v>1.0999999999999999E-2</v>
      </c>
      <c r="H219" s="23">
        <v>0.214</v>
      </c>
      <c r="I219" s="23">
        <v>1.718</v>
      </c>
      <c r="J219" s="23">
        <v>9.1999999999999998E-2</v>
      </c>
      <c r="K219" s="23">
        <v>9.9989999999999996E-4</v>
      </c>
    </row>
    <row r="220" spans="1:11">
      <c r="A220" s="15">
        <v>10</v>
      </c>
      <c r="B220" s="21">
        <v>39735</v>
      </c>
      <c r="C220" s="15">
        <v>2008</v>
      </c>
      <c r="D220" s="11" t="s">
        <v>36</v>
      </c>
      <c r="E220" s="15">
        <v>10</v>
      </c>
      <c r="F220" s="23">
        <v>1.3120000000000001</v>
      </c>
      <c r="G220" s="23">
        <v>4.5999999999999999E-2</v>
      </c>
      <c r="H220" s="23">
        <v>9.9989999999999996E-4</v>
      </c>
      <c r="I220" s="23">
        <v>0.17100000000000001</v>
      </c>
      <c r="J220" s="23">
        <v>1.7000000000000001E-2</v>
      </c>
      <c r="K220" s="23">
        <v>9.9989999999999996E-4</v>
      </c>
    </row>
    <row r="221" spans="1:11">
      <c r="A221" s="15">
        <v>9</v>
      </c>
      <c r="B221" s="21">
        <v>39769</v>
      </c>
      <c r="C221" s="15">
        <v>2008</v>
      </c>
      <c r="D221" s="11" t="s">
        <v>37</v>
      </c>
      <c r="E221" s="15">
        <v>11</v>
      </c>
      <c r="F221" s="23">
        <v>0.627</v>
      </c>
      <c r="G221" s="23">
        <v>1.9E-2</v>
      </c>
      <c r="H221" s="23">
        <v>9.9989999999999996E-4</v>
      </c>
      <c r="I221" s="23">
        <v>0.10299999999999999</v>
      </c>
      <c r="J221" s="23">
        <v>4.0000000000000001E-3</v>
      </c>
      <c r="K221" s="23">
        <v>9.9989999999999996E-4</v>
      </c>
    </row>
    <row r="222" spans="1:11">
      <c r="A222" s="15">
        <v>10</v>
      </c>
      <c r="B222" s="21">
        <v>39769</v>
      </c>
      <c r="C222" s="15">
        <v>2008</v>
      </c>
      <c r="D222" s="11" t="s">
        <v>37</v>
      </c>
      <c r="E222" s="15">
        <v>11</v>
      </c>
      <c r="F222" s="23">
        <v>0.77200000000000002</v>
      </c>
      <c r="G222" s="23">
        <v>4.2000000000000003E-2</v>
      </c>
      <c r="H222" s="23">
        <v>9.9989999999999996E-4</v>
      </c>
      <c r="I222" s="23">
        <v>9.5000000000000001E-2</v>
      </c>
      <c r="J222" s="23">
        <v>4.0000000000000001E-3</v>
      </c>
      <c r="K222" s="23">
        <v>9.9989999999999996E-4</v>
      </c>
    </row>
    <row r="223" spans="1:11">
      <c r="A223" s="15">
        <v>9</v>
      </c>
      <c r="B223" s="21">
        <v>39797</v>
      </c>
      <c r="C223" s="15">
        <v>2008</v>
      </c>
      <c r="D223" s="11" t="s">
        <v>38</v>
      </c>
      <c r="E223" s="15">
        <v>12</v>
      </c>
      <c r="F223" s="23">
        <v>1.2150000000000001</v>
      </c>
      <c r="G223" s="23">
        <v>4.3999999999999997E-2</v>
      </c>
      <c r="H223" s="23">
        <v>9.9989999999999996E-4</v>
      </c>
      <c r="I223" s="23">
        <v>0.34100000000000003</v>
      </c>
      <c r="J223" s="23">
        <v>9.9989999999999996E-4</v>
      </c>
      <c r="K223" s="23">
        <v>9.9989999999999996E-4</v>
      </c>
    </row>
    <row r="224" spans="1:11">
      <c r="A224" s="15">
        <v>10</v>
      </c>
      <c r="B224" s="21">
        <v>39797</v>
      </c>
      <c r="C224" s="15">
        <v>2008</v>
      </c>
      <c r="D224" s="11" t="s">
        <v>38</v>
      </c>
      <c r="E224" s="15">
        <v>12</v>
      </c>
      <c r="F224" s="23">
        <v>4.3120000000000003</v>
      </c>
      <c r="G224" s="23">
        <v>0.35699999999999998</v>
      </c>
      <c r="H224" s="23">
        <v>9.9989999999999996E-4</v>
      </c>
      <c r="I224" s="23">
        <v>0.96599999999999997</v>
      </c>
      <c r="J224" s="23">
        <v>5.8000000000000003E-2</v>
      </c>
      <c r="K224" s="23">
        <v>9.9989999999999996E-4</v>
      </c>
    </row>
    <row r="225" spans="1:11">
      <c r="A225" s="15">
        <v>9</v>
      </c>
      <c r="B225" s="21">
        <v>39826</v>
      </c>
      <c r="C225" s="15">
        <v>2009</v>
      </c>
      <c r="D225" s="11" t="s">
        <v>39</v>
      </c>
      <c r="E225" s="12">
        <v>1</v>
      </c>
      <c r="F225" s="23">
        <v>2.718</v>
      </c>
      <c r="G225" s="23">
        <v>3.4000000000000002E-2</v>
      </c>
      <c r="H225" s="23">
        <v>9.9989999999999996E-4</v>
      </c>
      <c r="I225" s="23">
        <v>0.73</v>
      </c>
      <c r="J225" s="23">
        <v>9.9989999999999996E-4</v>
      </c>
      <c r="K225" s="23">
        <v>9.9989999999999996E-4</v>
      </c>
    </row>
    <row r="226" spans="1:11">
      <c r="A226" s="15">
        <v>10</v>
      </c>
      <c r="B226" s="21">
        <v>39826</v>
      </c>
      <c r="C226" s="15">
        <v>2009</v>
      </c>
      <c r="D226" s="11" t="s">
        <v>39</v>
      </c>
      <c r="E226" s="12">
        <v>1</v>
      </c>
      <c r="F226" s="23">
        <v>2.0840000000000001</v>
      </c>
      <c r="G226" s="23">
        <v>2.1999999999999999E-2</v>
      </c>
      <c r="H226" s="23">
        <v>9.9989999999999996E-4</v>
      </c>
      <c r="I226" s="23">
        <v>0.58699999999999997</v>
      </c>
      <c r="J226" s="23">
        <v>9.9989999999999996E-4</v>
      </c>
      <c r="K226" s="23">
        <v>9.9989999999999996E-4</v>
      </c>
    </row>
    <row r="227" spans="1:11">
      <c r="A227" s="12">
        <v>9</v>
      </c>
      <c r="B227" s="21">
        <v>39861</v>
      </c>
      <c r="C227" s="15">
        <v>2009</v>
      </c>
      <c r="D227" s="11" t="s">
        <v>28</v>
      </c>
      <c r="E227" s="12">
        <v>2</v>
      </c>
      <c r="F227" s="23">
        <v>2.077</v>
      </c>
      <c r="G227" s="23">
        <v>9.9989999999999996E-4</v>
      </c>
      <c r="H227" s="23">
        <v>9.9989999999999996E-4</v>
      </c>
      <c r="I227" s="23">
        <v>0.76200000000000001</v>
      </c>
      <c r="J227" s="23">
        <v>1.4E-2</v>
      </c>
      <c r="K227" s="23">
        <v>9.9989999999999996E-4</v>
      </c>
    </row>
    <row r="228" spans="1:11">
      <c r="A228" s="12">
        <v>10</v>
      </c>
      <c r="B228" s="21">
        <v>39861</v>
      </c>
      <c r="C228" s="15">
        <v>2009</v>
      </c>
      <c r="D228" s="11" t="s">
        <v>28</v>
      </c>
      <c r="E228" s="12">
        <v>2</v>
      </c>
      <c r="F228" s="23">
        <v>1.7310000000000001</v>
      </c>
      <c r="G228" s="23">
        <v>9.9989999999999996E-4</v>
      </c>
      <c r="H228" s="23">
        <v>9.9989999999999996E-4</v>
      </c>
      <c r="I228" s="23">
        <v>0.60599999999999998</v>
      </c>
      <c r="J228" s="23">
        <v>1.7000000000000001E-2</v>
      </c>
      <c r="K228" s="23">
        <v>9.9989999999999996E-4</v>
      </c>
    </row>
    <row r="229" spans="1:11">
      <c r="A229" s="12">
        <v>9</v>
      </c>
      <c r="B229" s="21">
        <v>39888</v>
      </c>
      <c r="C229" s="15">
        <v>2009</v>
      </c>
      <c r="D229" s="11" t="s">
        <v>29</v>
      </c>
      <c r="E229" s="12">
        <v>3</v>
      </c>
      <c r="F229" s="23">
        <v>3.859</v>
      </c>
      <c r="G229" s="25">
        <v>5.1999999999999998E-2</v>
      </c>
      <c r="H229" s="25">
        <v>9.9989999999999996E-4</v>
      </c>
      <c r="I229" s="25">
        <v>1.4139999999999999</v>
      </c>
      <c r="J229" s="25">
        <v>1.0999999999999999E-2</v>
      </c>
      <c r="K229" s="25">
        <v>9.9989999999999996E-4</v>
      </c>
    </row>
    <row r="230" spans="1:11">
      <c r="A230" s="12">
        <v>10</v>
      </c>
      <c r="B230" s="21">
        <v>39888</v>
      </c>
      <c r="C230" s="15">
        <v>2009</v>
      </c>
      <c r="D230" s="11" t="s">
        <v>29</v>
      </c>
      <c r="E230" s="12">
        <v>3</v>
      </c>
      <c r="F230" s="23">
        <v>3.5259999999999998</v>
      </c>
      <c r="G230" s="25">
        <v>5.2999999999999999E-2</v>
      </c>
      <c r="H230" s="25">
        <v>9.9989999999999996E-4</v>
      </c>
      <c r="I230" s="25">
        <v>1.1839999999999999</v>
      </c>
      <c r="J230" s="25">
        <v>1.2999999999999999E-2</v>
      </c>
      <c r="K230" s="25">
        <v>9.9989999999999996E-4</v>
      </c>
    </row>
    <row r="231" spans="1:11">
      <c r="A231" s="12">
        <v>9</v>
      </c>
      <c r="B231" s="21">
        <v>39916</v>
      </c>
      <c r="C231" s="15">
        <v>2009</v>
      </c>
      <c r="D231" s="11" t="s">
        <v>30</v>
      </c>
      <c r="E231" s="12">
        <v>4</v>
      </c>
      <c r="F231" s="23">
        <v>0.66500000000000004</v>
      </c>
      <c r="G231" s="25">
        <v>1.2E-2</v>
      </c>
      <c r="H231" s="25">
        <v>9.9989999999999996E-4</v>
      </c>
      <c r="I231" s="25">
        <v>9.8000000000000004E-2</v>
      </c>
      <c r="J231" s="25">
        <v>6.0000000000000001E-3</v>
      </c>
      <c r="K231" s="25">
        <v>9.9989999999999996E-4</v>
      </c>
    </row>
    <row r="232" spans="1:11">
      <c r="A232" s="12">
        <v>10</v>
      </c>
      <c r="B232" s="21">
        <v>39916</v>
      </c>
      <c r="C232" s="15">
        <v>2009</v>
      </c>
      <c r="D232" s="11" t="s">
        <v>30</v>
      </c>
      <c r="E232" s="12">
        <v>4</v>
      </c>
      <c r="F232" s="23">
        <v>0.52800000000000002</v>
      </c>
      <c r="G232" s="25">
        <v>8.0000000000000002E-3</v>
      </c>
      <c r="H232" s="25">
        <v>9.9989999999999996E-4</v>
      </c>
      <c r="I232" s="25">
        <v>0.06</v>
      </c>
      <c r="J232" s="25">
        <v>7.0000000000000001E-3</v>
      </c>
      <c r="K232" s="25">
        <v>9.9989999999999996E-4</v>
      </c>
    </row>
    <row r="233" spans="1:11">
      <c r="A233" s="12">
        <v>9</v>
      </c>
      <c r="B233" s="21">
        <v>39946</v>
      </c>
      <c r="C233" s="15">
        <v>2009</v>
      </c>
      <c r="D233" s="11" t="s">
        <v>31</v>
      </c>
      <c r="E233" s="12">
        <v>5</v>
      </c>
      <c r="F233" s="23">
        <v>0.59599999999999997</v>
      </c>
      <c r="G233" s="25">
        <v>7.0000000000000001E-3</v>
      </c>
      <c r="H233" s="25">
        <v>9.9989999999999996E-4</v>
      </c>
      <c r="I233" s="25">
        <v>7.2999999999999995E-2</v>
      </c>
      <c r="J233" s="25">
        <v>9.9989999999999996E-4</v>
      </c>
      <c r="K233" s="25">
        <v>9.9989999999999996E-4</v>
      </c>
    </row>
    <row r="234" spans="1:11">
      <c r="A234" s="12">
        <v>10</v>
      </c>
      <c r="B234" s="21">
        <v>39946</v>
      </c>
      <c r="C234" s="15">
        <v>2009</v>
      </c>
      <c r="D234" s="11" t="s">
        <v>31</v>
      </c>
      <c r="E234" s="12">
        <v>5</v>
      </c>
      <c r="F234" s="23">
        <v>0.85199999999999998</v>
      </c>
      <c r="G234" s="25">
        <v>2.1000000000000001E-2</v>
      </c>
      <c r="H234" s="25">
        <v>9.9989999999999996E-4</v>
      </c>
      <c r="I234" s="25">
        <v>0.10100000000000001</v>
      </c>
      <c r="J234" s="25">
        <v>4.0000000000000001E-3</v>
      </c>
      <c r="K234" s="25">
        <v>9.9989999999999996E-4</v>
      </c>
    </row>
    <row r="235" spans="1:11">
      <c r="A235" s="15">
        <v>9</v>
      </c>
      <c r="B235" s="21">
        <v>39983</v>
      </c>
      <c r="C235" s="15">
        <v>2009</v>
      </c>
      <c r="D235" s="11" t="s">
        <v>32</v>
      </c>
      <c r="E235" s="12">
        <v>6</v>
      </c>
      <c r="F235" s="23">
        <v>3.1190000000000002</v>
      </c>
      <c r="G235" s="25">
        <v>1.2999999999999999E-2</v>
      </c>
      <c r="H235" s="25">
        <v>1E-3</v>
      </c>
      <c r="I235" s="25">
        <v>1.042</v>
      </c>
      <c r="J235" s="25">
        <v>2.9000000000000001E-2</v>
      </c>
      <c r="K235" s="25">
        <v>9.9989999999999996E-4</v>
      </c>
    </row>
    <row r="236" spans="1:11">
      <c r="A236" s="15">
        <v>10</v>
      </c>
      <c r="B236" s="21">
        <v>39983</v>
      </c>
      <c r="C236" s="15">
        <v>2009</v>
      </c>
      <c r="D236" s="11" t="s">
        <v>32</v>
      </c>
      <c r="E236" s="12">
        <v>6</v>
      </c>
      <c r="F236" s="23">
        <v>2.516</v>
      </c>
      <c r="G236" s="25">
        <v>9.9989999999999996E-4</v>
      </c>
      <c r="H236" s="25">
        <v>9.9989999999999996E-4</v>
      </c>
      <c r="I236" s="25">
        <v>0.64</v>
      </c>
      <c r="J236" s="25">
        <v>2.5999999999999999E-2</v>
      </c>
      <c r="K236" s="25">
        <v>9.9989999999999996E-4</v>
      </c>
    </row>
    <row r="237" spans="1:11">
      <c r="A237" s="15">
        <v>9</v>
      </c>
      <c r="B237" s="21">
        <v>40007</v>
      </c>
      <c r="C237" s="15">
        <v>2009</v>
      </c>
      <c r="D237" s="11" t="s">
        <v>33</v>
      </c>
      <c r="E237" s="12">
        <v>7</v>
      </c>
      <c r="F237" s="23">
        <v>4.57</v>
      </c>
      <c r="G237" s="25">
        <v>8.5999999999999993E-2</v>
      </c>
      <c r="H237" s="25">
        <v>1E-3</v>
      </c>
      <c r="I237" s="25">
        <v>0.95699999999999996</v>
      </c>
      <c r="J237" s="25">
        <v>3.1E-2</v>
      </c>
      <c r="K237" s="25">
        <v>9.9989999999999996E-4</v>
      </c>
    </row>
    <row r="238" spans="1:11">
      <c r="A238" s="15">
        <v>10</v>
      </c>
      <c r="B238" s="21">
        <v>40007</v>
      </c>
      <c r="C238" s="15">
        <v>2009</v>
      </c>
      <c r="D238" s="11" t="s">
        <v>33</v>
      </c>
      <c r="E238" s="12">
        <v>7</v>
      </c>
      <c r="F238" s="23">
        <v>3.2389999999999999</v>
      </c>
      <c r="G238" s="25">
        <v>0.11799999999999999</v>
      </c>
      <c r="H238" s="25">
        <v>9.9989999999999996E-4</v>
      </c>
      <c r="I238" s="25">
        <v>0.45300000000000001</v>
      </c>
      <c r="J238" s="25">
        <v>2.5999999999999999E-2</v>
      </c>
      <c r="K238" s="25">
        <v>9.9989999999999996E-4</v>
      </c>
    </row>
    <row r="239" spans="1:11">
      <c r="A239" s="15">
        <v>9</v>
      </c>
      <c r="B239" s="21">
        <v>40042</v>
      </c>
      <c r="C239" s="15">
        <v>2009</v>
      </c>
      <c r="D239" s="11" t="s">
        <v>34</v>
      </c>
      <c r="E239" s="12">
        <v>8</v>
      </c>
      <c r="F239" s="23">
        <v>5.7190000000000003</v>
      </c>
      <c r="G239" s="25">
        <v>9.7000000000000003E-2</v>
      </c>
      <c r="H239" s="25">
        <v>1E-3</v>
      </c>
      <c r="I239" s="25">
        <v>1.538</v>
      </c>
      <c r="J239" s="25">
        <v>0.108</v>
      </c>
      <c r="K239" s="25">
        <v>9.9989999999999996E-4</v>
      </c>
    </row>
    <row r="240" spans="1:11">
      <c r="A240" s="15">
        <v>10</v>
      </c>
      <c r="B240" s="21">
        <v>40042</v>
      </c>
      <c r="C240" s="15">
        <v>2009</v>
      </c>
      <c r="D240" s="11" t="s">
        <v>34</v>
      </c>
      <c r="E240" s="12">
        <v>8</v>
      </c>
      <c r="F240" s="23">
        <v>13.336</v>
      </c>
      <c r="G240" s="25">
        <v>0.77300000000000002</v>
      </c>
      <c r="H240" s="25">
        <v>9.9989999999999996E-4</v>
      </c>
      <c r="I240" s="25">
        <v>2.9180000000000001</v>
      </c>
      <c r="J240" s="25">
        <v>0.33300000000000002</v>
      </c>
      <c r="K240" s="25">
        <v>9.9989999999999996E-4</v>
      </c>
    </row>
    <row r="241" spans="1:11">
      <c r="A241" s="15">
        <v>9</v>
      </c>
      <c r="B241" s="21">
        <v>40071</v>
      </c>
      <c r="C241" s="15">
        <v>2009</v>
      </c>
      <c r="D241" s="11" t="s">
        <v>40</v>
      </c>
      <c r="E241" s="12">
        <v>9</v>
      </c>
      <c r="F241" s="23">
        <v>3.0950000000000002</v>
      </c>
      <c r="G241" s="25">
        <v>2.1999999999999999E-2</v>
      </c>
      <c r="H241" s="25">
        <v>9.9989999999999996E-4</v>
      </c>
      <c r="I241" s="25">
        <v>0.45600000000000002</v>
      </c>
      <c r="J241" s="25">
        <v>2.4E-2</v>
      </c>
      <c r="K241" s="25">
        <v>9.9989999999999996E-4</v>
      </c>
    </row>
    <row r="242" spans="1:11">
      <c r="A242" s="15">
        <v>10</v>
      </c>
      <c r="B242" s="21">
        <v>40071</v>
      </c>
      <c r="C242" s="15">
        <v>2009</v>
      </c>
      <c r="D242" s="11" t="s">
        <v>40</v>
      </c>
      <c r="E242" s="12">
        <v>9</v>
      </c>
      <c r="F242" s="23">
        <v>3.5539999999999998</v>
      </c>
      <c r="G242" s="25">
        <v>4.8000000000000001E-2</v>
      </c>
      <c r="H242" s="25">
        <v>9.9989999999999996E-4</v>
      </c>
      <c r="I242" s="25">
        <v>0.42699999999999999</v>
      </c>
      <c r="J242" s="25">
        <v>3.5999999999999997E-2</v>
      </c>
      <c r="K242" s="25">
        <v>9.9989999999999996E-4</v>
      </c>
    </row>
    <row r="243" spans="1:11">
      <c r="A243" s="15">
        <v>9</v>
      </c>
      <c r="B243" s="21">
        <v>40100</v>
      </c>
      <c r="C243" s="15">
        <v>2009</v>
      </c>
      <c r="D243" s="11" t="s">
        <v>36</v>
      </c>
      <c r="E243" s="12">
        <v>10</v>
      </c>
      <c r="F243" s="23">
        <v>0.78600000000000003</v>
      </c>
      <c r="G243" s="25">
        <v>0.01</v>
      </c>
      <c r="H243" s="25">
        <v>9.9989999999999996E-4</v>
      </c>
      <c r="I243" s="25">
        <v>0.19600000000000001</v>
      </c>
      <c r="J243" s="25">
        <v>9.9989999999999996E-4</v>
      </c>
      <c r="K243" s="25">
        <v>9.9989999999999996E-4</v>
      </c>
    </row>
    <row r="244" spans="1:11">
      <c r="A244" s="15">
        <v>10</v>
      </c>
      <c r="B244" s="21">
        <v>40100</v>
      </c>
      <c r="C244" s="15">
        <v>2009</v>
      </c>
      <c r="D244" s="11" t="s">
        <v>36</v>
      </c>
      <c r="E244" s="12">
        <v>10</v>
      </c>
      <c r="F244" s="23">
        <v>1.147</v>
      </c>
      <c r="G244" s="25">
        <v>1.2999999999999999E-2</v>
      </c>
      <c r="H244" s="25">
        <v>9.9989999999999996E-4</v>
      </c>
      <c r="I244" s="25">
        <v>0.214</v>
      </c>
      <c r="J244" s="25">
        <v>9.9989999999999996E-4</v>
      </c>
      <c r="K244" s="25">
        <v>9.9989999999999996E-4</v>
      </c>
    </row>
    <row r="245" spans="1:11">
      <c r="A245" s="15">
        <v>9</v>
      </c>
      <c r="B245" s="21">
        <v>40133</v>
      </c>
      <c r="C245" s="15">
        <v>2009</v>
      </c>
      <c r="D245" s="11" t="s">
        <v>37</v>
      </c>
      <c r="E245" s="12">
        <v>11</v>
      </c>
      <c r="F245" s="23">
        <v>1.613</v>
      </c>
      <c r="G245" s="25">
        <v>4.2000000000000003E-2</v>
      </c>
      <c r="H245" s="25">
        <v>9.9989999999999996E-4</v>
      </c>
      <c r="I245" s="25">
        <v>0.47599999999999998</v>
      </c>
      <c r="J245" s="25">
        <v>1.4E-2</v>
      </c>
      <c r="K245" s="25">
        <v>9.9989999999999996E-4</v>
      </c>
    </row>
    <row r="246" spans="1:11">
      <c r="A246" s="15">
        <v>10</v>
      </c>
      <c r="B246" s="21">
        <v>40133</v>
      </c>
      <c r="C246" s="15">
        <v>2009</v>
      </c>
      <c r="D246" s="11" t="s">
        <v>37</v>
      </c>
      <c r="E246" s="12">
        <v>11</v>
      </c>
      <c r="F246" s="23">
        <v>1.095</v>
      </c>
      <c r="G246" s="25">
        <v>2.9000000000000001E-2</v>
      </c>
      <c r="H246" s="25">
        <v>9.9989999999999996E-4</v>
      </c>
      <c r="I246" s="25">
        <v>0.33500000000000002</v>
      </c>
      <c r="J246" s="25">
        <v>1.4999999999999999E-2</v>
      </c>
      <c r="K246" s="25">
        <v>9.9989999999999996E-4</v>
      </c>
    </row>
    <row r="247" spans="1:11">
      <c r="A247" s="15">
        <v>9</v>
      </c>
      <c r="B247" s="21">
        <v>40161</v>
      </c>
      <c r="C247" s="15">
        <v>2009</v>
      </c>
      <c r="D247" s="11" t="s">
        <v>38</v>
      </c>
      <c r="E247" s="12">
        <v>12</v>
      </c>
      <c r="F247" s="23">
        <v>1.8680000000000001</v>
      </c>
      <c r="G247" s="25">
        <v>4.4999999999999998E-2</v>
      </c>
      <c r="H247" s="25">
        <v>9.9989999999999996E-4</v>
      </c>
      <c r="I247" s="25">
        <v>0.46100000000000002</v>
      </c>
      <c r="J247" s="25">
        <v>8.9999999999999993E-3</v>
      </c>
      <c r="K247" s="25">
        <v>9.9989999999999996E-4</v>
      </c>
    </row>
    <row r="248" spans="1:11">
      <c r="A248" s="15">
        <v>10</v>
      </c>
      <c r="B248" s="21">
        <v>40161</v>
      </c>
      <c r="C248" s="15">
        <v>2009</v>
      </c>
      <c r="D248" s="11" t="s">
        <v>38</v>
      </c>
      <c r="E248" s="12">
        <v>12</v>
      </c>
      <c r="F248" s="23">
        <v>1.395</v>
      </c>
      <c r="G248" s="25">
        <v>9.9989999999999996E-4</v>
      </c>
      <c r="H248" s="25">
        <v>9.9989999999999996E-4</v>
      </c>
      <c r="I248" s="25">
        <v>0.33700000000000002</v>
      </c>
      <c r="J248" s="25">
        <v>1.2E-2</v>
      </c>
      <c r="K248" s="25">
        <v>9.9989999999999996E-4</v>
      </c>
    </row>
    <row r="249" spans="1:11">
      <c r="A249" s="15">
        <v>9</v>
      </c>
      <c r="B249" s="18">
        <v>40197</v>
      </c>
      <c r="C249" s="15">
        <v>2010</v>
      </c>
      <c r="D249" s="11" t="s">
        <v>39</v>
      </c>
      <c r="E249" s="15">
        <v>1</v>
      </c>
      <c r="F249" s="26">
        <v>9.4469999999999992</v>
      </c>
      <c r="G249" s="27">
        <v>0.48309225</v>
      </c>
      <c r="H249" s="27">
        <v>0</v>
      </c>
      <c r="I249" s="27">
        <v>3.7957485000000002</v>
      </c>
      <c r="J249" s="27">
        <v>1.8100499999999999E-2</v>
      </c>
      <c r="K249" s="27">
        <v>0</v>
      </c>
    </row>
    <row r="250" spans="1:11">
      <c r="A250" s="15">
        <v>10</v>
      </c>
      <c r="B250" s="18">
        <v>40197</v>
      </c>
      <c r="C250" s="15">
        <v>2010</v>
      </c>
      <c r="D250" s="11" t="s">
        <v>39</v>
      </c>
      <c r="E250" s="15">
        <v>1</v>
      </c>
      <c r="F250" s="26">
        <v>7.7149999999999999</v>
      </c>
      <c r="G250" s="27">
        <v>0.12673324999999999</v>
      </c>
      <c r="H250" s="27">
        <v>0</v>
      </c>
      <c r="I250" s="27">
        <v>3.3926626249999994</v>
      </c>
      <c r="J250" s="27">
        <v>2.2684124999999996E-2</v>
      </c>
      <c r="K250" s="27">
        <v>0</v>
      </c>
    </row>
    <row r="251" spans="1:11">
      <c r="A251" s="15">
        <v>9</v>
      </c>
      <c r="B251" s="18">
        <v>40225</v>
      </c>
      <c r="C251" s="15">
        <v>2010</v>
      </c>
      <c r="D251" s="11" t="s">
        <v>28</v>
      </c>
      <c r="E251" s="15">
        <v>2</v>
      </c>
      <c r="F251" s="26">
        <v>5.3949999999999996</v>
      </c>
      <c r="G251" s="27">
        <v>3.2409500000000001E-2</v>
      </c>
      <c r="H251" s="27">
        <v>0</v>
      </c>
      <c r="I251" s="27">
        <v>1.3329726249999998</v>
      </c>
      <c r="J251" s="27">
        <v>3.2966374999999992E-2</v>
      </c>
      <c r="K251" s="27">
        <v>0</v>
      </c>
    </row>
    <row r="252" spans="1:11">
      <c r="A252" s="15">
        <v>10</v>
      </c>
      <c r="B252" s="18">
        <v>40225</v>
      </c>
      <c r="C252" s="15">
        <v>2010</v>
      </c>
      <c r="D252" s="11" t="s">
        <v>28</v>
      </c>
      <c r="E252" s="15">
        <v>2</v>
      </c>
      <c r="F252" s="26">
        <v>3.2669999999999999</v>
      </c>
      <c r="G252" s="27">
        <v>0</v>
      </c>
      <c r="H252" s="27">
        <v>0</v>
      </c>
      <c r="I252" s="27">
        <v>0.82336724999999999</v>
      </c>
      <c r="J252" s="27">
        <v>3.2026875000000003E-2</v>
      </c>
      <c r="K252" s="27">
        <v>0</v>
      </c>
    </row>
    <row r="253" spans="1:11">
      <c r="A253" s="15">
        <v>9</v>
      </c>
      <c r="B253" s="18">
        <v>40255</v>
      </c>
      <c r="C253" s="15">
        <v>2010</v>
      </c>
      <c r="D253" s="11" t="s">
        <v>29</v>
      </c>
      <c r="E253" s="15">
        <v>3</v>
      </c>
      <c r="F253" s="26">
        <v>9.5939999999999994</v>
      </c>
      <c r="G253" s="27">
        <v>8.229874999999999E-2</v>
      </c>
      <c r="H253" s="27">
        <v>0</v>
      </c>
      <c r="I253" s="27">
        <v>4.6470500000000001</v>
      </c>
      <c r="J253" s="27">
        <v>0.15777825000000001</v>
      </c>
      <c r="K253" s="27">
        <v>0</v>
      </c>
    </row>
    <row r="254" spans="1:11">
      <c r="A254" s="15">
        <v>10</v>
      </c>
      <c r="B254" s="18">
        <v>40255</v>
      </c>
      <c r="C254" s="15">
        <v>2010</v>
      </c>
      <c r="D254" s="11" t="s">
        <v>29</v>
      </c>
      <c r="E254" s="15">
        <v>3</v>
      </c>
      <c r="F254" s="26">
        <v>8.5579999999999998</v>
      </c>
      <c r="G254" s="27">
        <v>6.6795875000000005E-2</v>
      </c>
      <c r="H254" s="27">
        <v>0</v>
      </c>
      <c r="I254" s="27">
        <v>4.1966479999999997</v>
      </c>
      <c r="J254" s="27">
        <v>0.17347062499999996</v>
      </c>
      <c r="K254" s="27">
        <v>0</v>
      </c>
    </row>
    <row r="255" spans="1:11">
      <c r="A255" s="15">
        <v>9</v>
      </c>
      <c r="B255" s="18">
        <v>40281</v>
      </c>
      <c r="C255" s="15">
        <v>2010</v>
      </c>
      <c r="D255" s="11" t="s">
        <v>30</v>
      </c>
      <c r="E255" s="15">
        <v>4</v>
      </c>
      <c r="F255" s="26">
        <v>2.2589999999999999</v>
      </c>
      <c r="G255" s="27">
        <v>0</v>
      </c>
      <c r="H255" s="27">
        <v>0</v>
      </c>
      <c r="I255" s="27">
        <v>0.91311675000000003</v>
      </c>
      <c r="J255" s="27">
        <v>1.0604624999999998E-2</v>
      </c>
      <c r="K255" s="27">
        <v>0</v>
      </c>
    </row>
    <row r="256" spans="1:11">
      <c r="A256" s="15">
        <v>10</v>
      </c>
      <c r="B256" s="18">
        <v>40281</v>
      </c>
      <c r="C256" s="15">
        <v>2010</v>
      </c>
      <c r="D256" s="11" t="s">
        <v>30</v>
      </c>
      <c r="E256" s="15">
        <v>4</v>
      </c>
      <c r="F256" s="26">
        <v>2.4209999999999998</v>
      </c>
      <c r="G256" s="27">
        <v>2.8224249999999999E-2</v>
      </c>
      <c r="H256" s="27">
        <v>0</v>
      </c>
      <c r="I256" s="27">
        <v>0.65076350000000005</v>
      </c>
      <c r="J256" s="27">
        <v>6.9958749999999995E-3</v>
      </c>
      <c r="K256" s="27">
        <v>0</v>
      </c>
    </row>
    <row r="257" spans="1:11">
      <c r="A257" s="15">
        <v>9</v>
      </c>
      <c r="B257" s="21">
        <v>40317</v>
      </c>
      <c r="C257" s="15">
        <v>2010</v>
      </c>
      <c r="D257" s="11" t="s">
        <v>31</v>
      </c>
      <c r="E257" s="15">
        <v>5</v>
      </c>
      <c r="F257" s="28">
        <v>2.9220000000000002</v>
      </c>
      <c r="G257" s="27">
        <v>0</v>
      </c>
      <c r="H257" s="27">
        <v>0</v>
      </c>
      <c r="I257" s="27">
        <v>1.3873073749999998</v>
      </c>
      <c r="J257" s="27">
        <v>1.3058874999999999E-2</v>
      </c>
      <c r="K257" s="27">
        <v>0</v>
      </c>
    </row>
    <row r="258" spans="1:11">
      <c r="A258" s="15">
        <v>10</v>
      </c>
      <c r="B258" s="21">
        <v>40317</v>
      </c>
      <c r="C258" s="15">
        <v>2010</v>
      </c>
      <c r="D258" s="11" t="s">
        <v>31</v>
      </c>
      <c r="E258" s="15">
        <v>5</v>
      </c>
      <c r="F258" s="28">
        <v>3.617</v>
      </c>
      <c r="G258" s="27">
        <v>5.0706499999999995E-2</v>
      </c>
      <c r="H258" s="27">
        <v>1.6410874999999998E-2</v>
      </c>
      <c r="I258" s="27">
        <v>1.01806475</v>
      </c>
      <c r="J258" s="27">
        <v>3.7441749999999996E-2</v>
      </c>
      <c r="K258" s="27">
        <v>0</v>
      </c>
    </row>
    <row r="259" spans="1:11">
      <c r="A259" s="15">
        <v>9</v>
      </c>
      <c r="B259" s="21">
        <v>40345</v>
      </c>
      <c r="C259" s="15">
        <v>2010</v>
      </c>
      <c r="D259" s="11" t="s">
        <v>32</v>
      </c>
      <c r="E259" s="15">
        <v>6</v>
      </c>
      <c r="F259" s="28">
        <v>7.1379999999999999</v>
      </c>
      <c r="G259" s="27">
        <v>0.23377012499999994</v>
      </c>
      <c r="H259" s="27">
        <v>0</v>
      </c>
      <c r="I259" s="27">
        <v>3.0713063749999989</v>
      </c>
      <c r="J259" s="27">
        <v>0.10227587499999997</v>
      </c>
      <c r="K259" s="27">
        <v>0</v>
      </c>
    </row>
    <row r="260" spans="1:11">
      <c r="A260" s="15">
        <v>10</v>
      </c>
      <c r="B260" s="21">
        <v>40345</v>
      </c>
      <c r="C260" s="15">
        <v>2010</v>
      </c>
      <c r="D260" s="11" t="s">
        <v>32</v>
      </c>
      <c r="E260" s="15">
        <v>6</v>
      </c>
      <c r="F260" s="28">
        <v>9.1150000000000002</v>
      </c>
      <c r="G260" s="27">
        <v>0.76834649999999993</v>
      </c>
      <c r="H260" s="27">
        <v>0</v>
      </c>
      <c r="I260" s="27">
        <v>3.6285796249999991</v>
      </c>
      <c r="J260" s="27">
        <v>0.12874437499999999</v>
      </c>
      <c r="K260" s="27">
        <v>0</v>
      </c>
    </row>
    <row r="261" spans="1:11">
      <c r="A261" s="15">
        <v>9</v>
      </c>
      <c r="B261" s="21">
        <v>40373</v>
      </c>
      <c r="C261" s="15">
        <v>2010</v>
      </c>
      <c r="D261" s="11" t="s">
        <v>33</v>
      </c>
      <c r="E261" s="15">
        <v>7</v>
      </c>
      <c r="F261" s="28">
        <v>6.0940000000000003</v>
      </c>
      <c r="G261" s="27">
        <v>0.211145</v>
      </c>
      <c r="H261" s="27">
        <v>0</v>
      </c>
      <c r="I261" s="27">
        <v>2.4686213750000001</v>
      </c>
      <c r="J261" s="27">
        <v>3.9361000000000007E-2</v>
      </c>
      <c r="K261" s="27">
        <v>0</v>
      </c>
    </row>
    <row r="262" spans="1:11">
      <c r="A262" s="15">
        <v>10</v>
      </c>
      <c r="B262" s="21">
        <v>40373</v>
      </c>
      <c r="C262" s="15">
        <v>2010</v>
      </c>
      <c r="D262" s="11" t="s">
        <v>33</v>
      </c>
      <c r="E262" s="15">
        <v>7</v>
      </c>
      <c r="F262" s="28">
        <v>12.361000000000001</v>
      </c>
      <c r="G262" s="27">
        <v>0.33589524999999992</v>
      </c>
      <c r="H262" s="27">
        <v>0</v>
      </c>
      <c r="I262" s="27">
        <v>4.9820033749999997</v>
      </c>
      <c r="J262" s="27">
        <v>0.15263025</v>
      </c>
      <c r="K262" s="27">
        <v>0</v>
      </c>
    </row>
    <row r="263" spans="1:11">
      <c r="A263" s="15">
        <v>9</v>
      </c>
      <c r="B263" s="21">
        <v>40409</v>
      </c>
      <c r="C263" s="15">
        <v>2010</v>
      </c>
      <c r="D263" s="11" t="s">
        <v>34</v>
      </c>
      <c r="E263" s="15">
        <v>8</v>
      </c>
      <c r="F263" s="28">
        <v>4.22</v>
      </c>
      <c r="G263" s="27">
        <v>0.20964037499999996</v>
      </c>
      <c r="H263" s="27">
        <v>6.2430624999999983E-2</v>
      </c>
      <c r="I263" s="27">
        <v>1.6029732499999998</v>
      </c>
      <c r="J263" s="27">
        <v>2.8655875000000004E-2</v>
      </c>
      <c r="K263" s="27">
        <v>0</v>
      </c>
    </row>
    <row r="264" spans="1:11">
      <c r="A264" s="15">
        <v>10</v>
      </c>
      <c r="B264" s="21">
        <v>40409</v>
      </c>
      <c r="C264" s="15">
        <v>2010</v>
      </c>
      <c r="D264" s="11" t="s">
        <v>34</v>
      </c>
      <c r="E264" s="15">
        <v>8</v>
      </c>
      <c r="F264" s="28">
        <v>8.1379999999999999</v>
      </c>
      <c r="G264" s="27">
        <v>0.14692775</v>
      </c>
      <c r="H264" s="27">
        <v>6.1454499999999995E-2</v>
      </c>
      <c r="I264" s="27">
        <v>2.8840490000000001</v>
      </c>
      <c r="J264" s="27">
        <v>0.29599112500000002</v>
      </c>
      <c r="K264" s="27">
        <v>0</v>
      </c>
    </row>
    <row r="265" spans="1:11">
      <c r="A265" s="15">
        <v>9</v>
      </c>
      <c r="B265" s="21">
        <v>40434</v>
      </c>
      <c r="C265" s="15">
        <v>2010</v>
      </c>
      <c r="D265" s="11" t="s">
        <v>40</v>
      </c>
      <c r="E265" s="15">
        <v>9</v>
      </c>
      <c r="F265" s="28">
        <v>2.3079999999999998</v>
      </c>
      <c r="G265" s="27">
        <v>0</v>
      </c>
      <c r="H265" s="27">
        <v>0</v>
      </c>
      <c r="I265" s="27">
        <v>0.94557862499999978</v>
      </c>
      <c r="J265" s="27">
        <v>1.5758250000000001E-2</v>
      </c>
      <c r="K265" s="27">
        <v>0</v>
      </c>
    </row>
    <row r="266" spans="1:11">
      <c r="A266" s="15">
        <v>10</v>
      </c>
      <c r="B266" s="21">
        <v>40434</v>
      </c>
      <c r="C266" s="15">
        <v>2010</v>
      </c>
      <c r="D266" s="11" t="s">
        <v>40</v>
      </c>
      <c r="E266" s="15">
        <v>9</v>
      </c>
      <c r="F266" s="28">
        <v>1.877</v>
      </c>
      <c r="G266" s="27">
        <v>3.2257874999999998E-2</v>
      </c>
      <c r="H266" s="27">
        <v>0</v>
      </c>
      <c r="I266" s="27">
        <v>0.44329337499999999</v>
      </c>
      <c r="J266" s="27">
        <v>2.2650874999999997E-2</v>
      </c>
      <c r="K266" s="27">
        <v>0</v>
      </c>
    </row>
    <row r="267" spans="1:11">
      <c r="A267" s="15">
        <v>9</v>
      </c>
      <c r="B267" s="21">
        <v>40463</v>
      </c>
      <c r="C267" s="15">
        <v>2010</v>
      </c>
      <c r="D267" s="11" t="s">
        <v>36</v>
      </c>
      <c r="E267" s="15">
        <v>10</v>
      </c>
      <c r="F267" s="26">
        <v>1.004</v>
      </c>
      <c r="G267" s="27">
        <v>0</v>
      </c>
      <c r="H267" s="27">
        <v>0</v>
      </c>
      <c r="I267" s="27">
        <v>0.11304487499999999</v>
      </c>
      <c r="J267" s="27">
        <v>0</v>
      </c>
      <c r="K267" s="27">
        <v>0</v>
      </c>
    </row>
    <row r="268" spans="1:11">
      <c r="A268" s="15">
        <v>10</v>
      </c>
      <c r="B268" s="21">
        <v>40463</v>
      </c>
      <c r="C268" s="15">
        <v>2010</v>
      </c>
      <c r="D268" s="11" t="s">
        <v>36</v>
      </c>
      <c r="E268" s="15">
        <v>10</v>
      </c>
      <c r="F268" s="26">
        <v>0.58599999999999997</v>
      </c>
      <c r="G268" s="27">
        <v>0</v>
      </c>
      <c r="H268" s="27">
        <v>0</v>
      </c>
      <c r="I268" s="27">
        <v>8.8015999999999983E-2</v>
      </c>
      <c r="J268" s="27">
        <v>0</v>
      </c>
      <c r="K268" s="27">
        <v>0</v>
      </c>
    </row>
    <row r="269" spans="1:11">
      <c r="A269" s="15">
        <v>9</v>
      </c>
      <c r="B269" s="21">
        <v>40500</v>
      </c>
      <c r="C269" s="15">
        <v>2010</v>
      </c>
      <c r="D269" s="11" t="s">
        <v>37</v>
      </c>
      <c r="E269" s="15">
        <v>11</v>
      </c>
      <c r="F269" s="26">
        <v>0.45400000000000001</v>
      </c>
      <c r="G269" s="27">
        <v>1.6427750000000001E-2</v>
      </c>
      <c r="H269" s="27">
        <v>0</v>
      </c>
      <c r="I269" s="27">
        <v>7.1603874999999984E-2</v>
      </c>
      <c r="J269" s="27">
        <v>0</v>
      </c>
      <c r="K269" s="27">
        <v>0</v>
      </c>
    </row>
    <row r="270" spans="1:11">
      <c r="A270" s="15">
        <v>10</v>
      </c>
      <c r="B270" s="21">
        <v>40500</v>
      </c>
      <c r="C270" s="15">
        <v>2010</v>
      </c>
      <c r="D270" s="11" t="s">
        <v>37</v>
      </c>
      <c r="E270" s="15">
        <v>11</v>
      </c>
      <c r="F270" s="26">
        <v>1.268</v>
      </c>
      <c r="G270" s="27">
        <v>6.9105374999999997E-2</v>
      </c>
      <c r="H270" s="27">
        <v>0</v>
      </c>
      <c r="I270" s="27">
        <v>9.2491374999999987E-2</v>
      </c>
      <c r="J270" s="27">
        <v>0</v>
      </c>
      <c r="K270" s="27">
        <v>0</v>
      </c>
    </row>
    <row r="271" spans="1:11">
      <c r="A271" s="15">
        <v>9</v>
      </c>
      <c r="B271" s="21">
        <v>40521</v>
      </c>
      <c r="C271" s="15">
        <v>2010</v>
      </c>
      <c r="D271" s="11" t="s">
        <v>38</v>
      </c>
      <c r="E271" s="15">
        <v>12</v>
      </c>
      <c r="F271" s="26">
        <v>4.319</v>
      </c>
      <c r="G271" s="27">
        <v>1.0640499999999999E-2</v>
      </c>
      <c r="H271" s="27">
        <v>0.34529425000000002</v>
      </c>
      <c r="I271" s="27">
        <v>2.3249399999999998</v>
      </c>
      <c r="J271" s="27">
        <v>0.15849949999999996</v>
      </c>
      <c r="K271" s="27">
        <v>0</v>
      </c>
    </row>
    <row r="272" spans="1:11">
      <c r="A272" s="15">
        <v>10</v>
      </c>
      <c r="B272" s="21">
        <v>40521</v>
      </c>
      <c r="C272" s="15">
        <v>2010</v>
      </c>
      <c r="D272" s="11" t="s">
        <v>38</v>
      </c>
      <c r="E272" s="15">
        <v>12</v>
      </c>
      <c r="F272" s="26">
        <v>0.81299999999999994</v>
      </c>
      <c r="G272" s="27">
        <v>3.3998124999999997E-2</v>
      </c>
      <c r="H272" s="27">
        <v>0</v>
      </c>
      <c r="I272" s="27">
        <v>0.138599</v>
      </c>
      <c r="J272" s="27">
        <v>0</v>
      </c>
      <c r="K272" s="27">
        <v>0</v>
      </c>
    </row>
    <row r="273" spans="1:11">
      <c r="A273" s="15">
        <v>9</v>
      </c>
      <c r="B273" s="21">
        <v>40563</v>
      </c>
      <c r="C273" s="15">
        <v>2011</v>
      </c>
      <c r="D273" s="11" t="s">
        <v>39</v>
      </c>
      <c r="E273" s="15">
        <v>1</v>
      </c>
      <c r="F273" s="26">
        <v>4.4939999999999998</v>
      </c>
      <c r="G273" s="27">
        <v>8.1903124999999979E-2</v>
      </c>
      <c r="H273" s="27">
        <v>0</v>
      </c>
      <c r="I273" s="27">
        <v>1.58578525</v>
      </c>
      <c r="J273" s="27">
        <v>2.3742625E-2</v>
      </c>
      <c r="K273" s="27">
        <v>0</v>
      </c>
    </row>
    <row r="274" spans="1:11">
      <c r="A274" s="15">
        <v>10</v>
      </c>
      <c r="B274" s="21">
        <v>40563</v>
      </c>
      <c r="C274" s="15">
        <v>2011</v>
      </c>
      <c r="D274" s="11" t="s">
        <v>39</v>
      </c>
      <c r="E274" s="15">
        <v>1</v>
      </c>
      <c r="F274" s="26">
        <v>5.173</v>
      </c>
      <c r="G274" s="27">
        <v>7.4278874999999994E-2</v>
      </c>
      <c r="H274" s="27">
        <v>0</v>
      </c>
      <c r="I274" s="27">
        <v>1.9368928749999998</v>
      </c>
      <c r="J274" s="27">
        <v>2.8135749999999998E-2</v>
      </c>
      <c r="K274" s="27">
        <v>0</v>
      </c>
    </row>
    <row r="275" spans="1:11">
      <c r="A275" s="15">
        <v>9</v>
      </c>
      <c r="B275" s="21">
        <v>40598</v>
      </c>
      <c r="C275" s="15">
        <v>2011</v>
      </c>
      <c r="D275" s="11" t="s">
        <v>28</v>
      </c>
      <c r="E275" s="15">
        <v>2</v>
      </c>
      <c r="F275" s="26">
        <v>5.968</v>
      </c>
      <c r="G275" s="27">
        <v>7.5401374999999993E-2</v>
      </c>
      <c r="H275" s="27">
        <v>0</v>
      </c>
      <c r="I275" s="27">
        <v>2.3403397500000001</v>
      </c>
      <c r="J275" s="27">
        <v>1.5154374999999999E-2</v>
      </c>
      <c r="K275" s="27">
        <v>0</v>
      </c>
    </row>
    <row r="276" spans="1:11">
      <c r="A276" s="15">
        <v>10</v>
      </c>
      <c r="B276" s="21">
        <v>40598</v>
      </c>
      <c r="C276" s="15">
        <v>2011</v>
      </c>
      <c r="D276" s="11" t="s">
        <v>28</v>
      </c>
      <c r="E276" s="15">
        <v>2</v>
      </c>
      <c r="F276" s="26">
        <v>7.6689999999999996</v>
      </c>
      <c r="G276" s="27">
        <v>3.7018750000000003E-2</v>
      </c>
      <c r="H276" s="27">
        <v>0</v>
      </c>
      <c r="I276" s="27">
        <v>2.945148375</v>
      </c>
      <c r="J276" s="27">
        <v>3.0515999999999998E-2</v>
      </c>
      <c r="K276" s="27">
        <v>0</v>
      </c>
    </row>
    <row r="277" spans="1:11">
      <c r="A277" s="15">
        <v>9</v>
      </c>
      <c r="B277" s="21">
        <v>40617</v>
      </c>
      <c r="C277" s="15">
        <v>2011</v>
      </c>
      <c r="D277" s="11" t="s">
        <v>29</v>
      </c>
      <c r="E277" s="15">
        <v>3</v>
      </c>
      <c r="F277" s="26">
        <v>3.0249999999999999</v>
      </c>
      <c r="G277" s="27">
        <v>4.8845499999999986E-2</v>
      </c>
      <c r="H277" s="27">
        <v>0</v>
      </c>
      <c r="I277" s="27">
        <v>1.30086675</v>
      </c>
      <c r="J277" s="27">
        <v>1.22525E-2</v>
      </c>
      <c r="K277" s="27">
        <v>0</v>
      </c>
    </row>
    <row r="278" spans="1:11">
      <c r="A278" s="15">
        <v>10</v>
      </c>
      <c r="B278" s="21">
        <v>40617</v>
      </c>
      <c r="C278" s="15">
        <v>2011</v>
      </c>
      <c r="D278" s="11" t="s">
        <v>29</v>
      </c>
      <c r="E278" s="15">
        <v>3</v>
      </c>
      <c r="F278" s="26">
        <v>6.4660000000000002</v>
      </c>
      <c r="G278" s="27">
        <v>0.20694287500000003</v>
      </c>
      <c r="H278" s="27">
        <v>0</v>
      </c>
      <c r="I278" s="27">
        <v>2.330419375</v>
      </c>
      <c r="J278" s="27">
        <v>3.5279749999999999E-2</v>
      </c>
      <c r="K278" s="27">
        <v>0</v>
      </c>
    </row>
    <row r="279" spans="1:11">
      <c r="A279" s="15">
        <v>9</v>
      </c>
      <c r="B279" s="21">
        <v>40647</v>
      </c>
      <c r="C279" s="15">
        <v>2011</v>
      </c>
      <c r="D279" s="11" t="s">
        <v>30</v>
      </c>
      <c r="E279" s="15">
        <v>4</v>
      </c>
      <c r="F279" s="26">
        <v>0.82199999999999995</v>
      </c>
      <c r="G279" s="27">
        <v>0</v>
      </c>
      <c r="H279" s="27">
        <v>0</v>
      </c>
      <c r="I279" s="27">
        <v>0.10765237499999999</v>
      </c>
      <c r="J279" s="27">
        <v>0</v>
      </c>
      <c r="K279" s="27">
        <v>0</v>
      </c>
    </row>
    <row r="280" spans="1:11">
      <c r="A280" s="15">
        <v>10</v>
      </c>
      <c r="B280" s="21">
        <v>40647</v>
      </c>
      <c r="C280" s="15">
        <v>2011</v>
      </c>
      <c r="D280" s="11" t="s">
        <v>30</v>
      </c>
      <c r="E280" s="15">
        <v>4</v>
      </c>
      <c r="F280" s="26">
        <v>1.1830000000000001</v>
      </c>
      <c r="G280" s="27">
        <v>1.7122249999999999E-2</v>
      </c>
      <c r="H280" s="27">
        <v>0</v>
      </c>
      <c r="I280" s="27">
        <v>0.29365837500000003</v>
      </c>
      <c r="J280" s="27">
        <v>4.078749999999999E-3</v>
      </c>
      <c r="K280" s="27">
        <v>0</v>
      </c>
    </row>
    <row r="281" spans="1:11">
      <c r="A281" s="15">
        <v>9</v>
      </c>
      <c r="B281" s="21">
        <v>40682</v>
      </c>
      <c r="C281" s="15">
        <v>2011</v>
      </c>
      <c r="D281" s="11" t="s">
        <v>31</v>
      </c>
      <c r="E281" s="15">
        <v>5</v>
      </c>
      <c r="F281" s="26">
        <v>4.0890000000000004</v>
      </c>
      <c r="G281" s="27">
        <v>4.8167750000000002E-2</v>
      </c>
      <c r="H281" s="27">
        <v>0</v>
      </c>
      <c r="I281" s="27">
        <v>1.5232528749999998</v>
      </c>
      <c r="J281" s="27">
        <v>0</v>
      </c>
      <c r="K281" s="27">
        <v>0</v>
      </c>
    </row>
    <row r="282" spans="1:11">
      <c r="A282" s="15">
        <v>10</v>
      </c>
      <c r="B282" s="21">
        <v>40682</v>
      </c>
      <c r="C282" s="15">
        <v>2011</v>
      </c>
      <c r="D282" s="11" t="s">
        <v>31</v>
      </c>
      <c r="E282" s="15">
        <v>5</v>
      </c>
      <c r="F282" s="26">
        <v>2.3570000000000002</v>
      </c>
      <c r="G282" s="27">
        <v>3.4743625E-2</v>
      </c>
      <c r="H282" s="27">
        <v>0</v>
      </c>
      <c r="I282" s="27">
        <v>0.55446287500000002</v>
      </c>
      <c r="J282" s="27">
        <v>1.3599874999999999E-2</v>
      </c>
      <c r="K282" s="27">
        <v>0</v>
      </c>
    </row>
    <row r="283" spans="1:11">
      <c r="A283" s="15">
        <v>9</v>
      </c>
      <c r="B283" s="21">
        <v>40709</v>
      </c>
      <c r="C283" s="15">
        <v>2011</v>
      </c>
      <c r="D283" s="11" t="s">
        <v>32</v>
      </c>
      <c r="E283" s="15">
        <v>6</v>
      </c>
      <c r="F283" s="26">
        <v>2.9489999999999998</v>
      </c>
      <c r="G283" s="27">
        <v>1.8820374999999997E-2</v>
      </c>
      <c r="H283" s="27">
        <v>0</v>
      </c>
      <c r="I283" s="27">
        <v>0.64987112499999999</v>
      </c>
      <c r="J283" s="27">
        <v>7.5697749999999994E-2</v>
      </c>
      <c r="K283" s="27">
        <v>0</v>
      </c>
    </row>
    <row r="284" spans="1:11">
      <c r="A284" s="15">
        <v>10</v>
      </c>
      <c r="B284" s="21">
        <v>40709</v>
      </c>
      <c r="C284" s="15">
        <v>2011</v>
      </c>
      <c r="D284" s="11" t="s">
        <v>32</v>
      </c>
      <c r="E284" s="15">
        <v>6</v>
      </c>
      <c r="F284" s="26">
        <v>3.8260000000000001</v>
      </c>
      <c r="G284" s="27">
        <v>5.5624999999999994E-2</v>
      </c>
      <c r="H284" s="27">
        <v>0</v>
      </c>
      <c r="I284" s="27">
        <v>0.87934849999999987</v>
      </c>
      <c r="J284" s="27">
        <v>0.12230712499999997</v>
      </c>
      <c r="K284" s="27">
        <v>0</v>
      </c>
    </row>
    <row r="285" spans="1:11">
      <c r="A285" s="15">
        <v>9</v>
      </c>
      <c r="B285" s="21">
        <v>40736</v>
      </c>
      <c r="C285" s="15">
        <v>2011</v>
      </c>
      <c r="D285" s="11" t="s">
        <v>33</v>
      </c>
      <c r="E285" s="15">
        <v>7</v>
      </c>
      <c r="F285" s="26">
        <v>12.976000000000001</v>
      </c>
      <c r="G285" s="27">
        <v>0.68255262500000002</v>
      </c>
      <c r="H285" s="27">
        <v>0</v>
      </c>
      <c r="I285" s="27">
        <v>3.6394336249999997</v>
      </c>
      <c r="J285" s="27">
        <v>0.11013337499999999</v>
      </c>
      <c r="K285" s="27">
        <v>0</v>
      </c>
    </row>
    <row r="286" spans="1:11">
      <c r="A286" s="15">
        <v>10</v>
      </c>
      <c r="B286" s="21">
        <v>40736</v>
      </c>
      <c r="C286" s="15">
        <v>2011</v>
      </c>
      <c r="D286" s="11" t="s">
        <v>33</v>
      </c>
      <c r="E286" s="15">
        <v>7</v>
      </c>
      <c r="F286" s="26">
        <v>10.025</v>
      </c>
      <c r="G286" s="27">
        <v>1.78315275</v>
      </c>
      <c r="H286" s="27">
        <v>0</v>
      </c>
      <c r="I286" s="27">
        <v>2.047682</v>
      </c>
      <c r="J286" s="27">
        <v>0.44893462499999992</v>
      </c>
      <c r="K286" s="27">
        <v>9.8460000000000006E-3</v>
      </c>
    </row>
    <row r="287" spans="1:11">
      <c r="A287" s="15">
        <v>9</v>
      </c>
      <c r="B287" s="21">
        <v>40772</v>
      </c>
      <c r="C287" s="15">
        <v>2011</v>
      </c>
      <c r="D287" s="11" t="s">
        <v>34</v>
      </c>
      <c r="E287" s="15">
        <v>8</v>
      </c>
      <c r="F287" s="26">
        <v>4.3159999999999998</v>
      </c>
      <c r="G287" s="27">
        <v>4.3903249999999991E-2</v>
      </c>
      <c r="H287" s="27">
        <v>0</v>
      </c>
      <c r="I287" s="27">
        <v>1.1726419999999997</v>
      </c>
      <c r="J287" s="27">
        <v>6.9693875000000002E-2</v>
      </c>
      <c r="K287" s="27">
        <v>0</v>
      </c>
    </row>
    <row r="288" spans="1:11">
      <c r="A288" s="15">
        <v>10</v>
      </c>
      <c r="B288" s="21">
        <v>40772</v>
      </c>
      <c r="C288" s="15">
        <v>2011</v>
      </c>
      <c r="D288" s="11" t="s">
        <v>34</v>
      </c>
      <c r="E288" s="15">
        <v>8</v>
      </c>
      <c r="F288" s="26">
        <v>6.4589999999999996</v>
      </c>
      <c r="G288" s="27">
        <v>9.4766249999999982E-2</v>
      </c>
      <c r="H288" s="27">
        <v>0</v>
      </c>
      <c r="I288" s="27">
        <v>1.832049875</v>
      </c>
      <c r="J288" s="27">
        <v>0.236988</v>
      </c>
      <c r="K288" s="27">
        <v>0</v>
      </c>
    </row>
    <row r="289" spans="1:11">
      <c r="A289" s="15">
        <v>9</v>
      </c>
      <c r="B289" s="21">
        <v>40798</v>
      </c>
      <c r="C289" s="15">
        <v>2011</v>
      </c>
      <c r="D289" s="11" t="s">
        <v>40</v>
      </c>
      <c r="E289" s="15">
        <v>9</v>
      </c>
      <c r="F289" s="26">
        <v>1.679</v>
      </c>
      <c r="G289" s="27">
        <v>1.3299625000000001E-2</v>
      </c>
      <c r="H289" s="27">
        <v>0</v>
      </c>
      <c r="I289" s="27">
        <v>0.49355962499999995</v>
      </c>
      <c r="J289" s="27">
        <v>3.0884874999999999E-2</v>
      </c>
      <c r="K289" s="27">
        <v>0</v>
      </c>
    </row>
    <row r="290" spans="1:11">
      <c r="A290" s="15">
        <v>10</v>
      </c>
      <c r="B290" s="21">
        <v>40798</v>
      </c>
      <c r="C290" s="15">
        <v>2011</v>
      </c>
      <c r="D290" s="11" t="s">
        <v>40</v>
      </c>
      <c r="E290" s="15">
        <v>9</v>
      </c>
      <c r="F290" s="26">
        <v>2.7109999999999999</v>
      </c>
      <c r="G290" s="27">
        <v>0</v>
      </c>
      <c r="H290" s="27">
        <v>0</v>
      </c>
      <c r="I290" s="27">
        <v>0.76533099999999998</v>
      </c>
      <c r="J290" s="27">
        <v>0.127761125</v>
      </c>
      <c r="K290" s="27">
        <v>0</v>
      </c>
    </row>
    <row r="291" spans="1:11">
      <c r="A291" s="15">
        <v>9</v>
      </c>
      <c r="B291" s="21">
        <v>40829</v>
      </c>
      <c r="C291" s="15">
        <v>2011</v>
      </c>
      <c r="D291" s="11" t="s">
        <v>36</v>
      </c>
      <c r="E291" s="15">
        <v>10</v>
      </c>
      <c r="F291" s="28">
        <v>1.6930000000000001</v>
      </c>
      <c r="G291" s="27">
        <v>8.0790625000000005E-2</v>
      </c>
      <c r="H291" s="27">
        <v>0</v>
      </c>
      <c r="I291" s="27">
        <v>0.57383262499999999</v>
      </c>
      <c r="J291" s="27">
        <v>4.7457374999999996E-2</v>
      </c>
      <c r="K291" s="27">
        <v>0</v>
      </c>
    </row>
    <row r="292" spans="1:11">
      <c r="A292" s="15">
        <v>10</v>
      </c>
      <c r="B292" s="21">
        <v>40829</v>
      </c>
      <c r="C292" s="15">
        <v>2011</v>
      </c>
      <c r="D292" s="11" t="s">
        <v>36</v>
      </c>
      <c r="E292" s="15">
        <v>10</v>
      </c>
      <c r="F292" s="28">
        <v>1.528</v>
      </c>
      <c r="G292" s="27">
        <v>4.7426124999999993E-2</v>
      </c>
      <c r="H292" s="27">
        <v>0</v>
      </c>
      <c r="I292" s="27">
        <v>0.44474887499999999</v>
      </c>
      <c r="J292" s="27">
        <v>3.3738374999999994E-2</v>
      </c>
      <c r="K292" s="27">
        <v>0</v>
      </c>
    </row>
    <row r="293" spans="1:11">
      <c r="A293" s="15">
        <v>9</v>
      </c>
      <c r="B293" s="29">
        <v>40877</v>
      </c>
      <c r="C293" s="15">
        <v>2011</v>
      </c>
      <c r="D293" s="11" t="s">
        <v>37</v>
      </c>
      <c r="E293" s="15">
        <v>11</v>
      </c>
      <c r="F293" s="28">
        <v>0.92700000000000005</v>
      </c>
      <c r="G293" s="27">
        <v>5.4507249999999986E-2</v>
      </c>
      <c r="H293" s="27">
        <v>0</v>
      </c>
      <c r="I293" s="27">
        <v>0.261216375</v>
      </c>
      <c r="J293" s="27">
        <v>0</v>
      </c>
      <c r="K293" s="27">
        <v>0</v>
      </c>
    </row>
    <row r="294" spans="1:11">
      <c r="A294" s="15">
        <v>10</v>
      </c>
      <c r="B294" s="29">
        <v>40877</v>
      </c>
      <c r="C294" s="15">
        <v>2011</v>
      </c>
      <c r="D294" s="11" t="s">
        <v>37</v>
      </c>
      <c r="E294" s="15">
        <v>11</v>
      </c>
      <c r="F294" s="28">
        <v>0.66600000000000004</v>
      </c>
      <c r="G294" s="27">
        <v>0</v>
      </c>
      <c r="H294" s="27">
        <v>0</v>
      </c>
      <c r="I294" s="27">
        <v>0.152389</v>
      </c>
      <c r="J294" s="27">
        <v>0</v>
      </c>
      <c r="K294" s="27">
        <v>0</v>
      </c>
    </row>
    <row r="295" spans="1:11">
      <c r="A295" s="15">
        <v>9</v>
      </c>
      <c r="B295" s="29">
        <v>40891</v>
      </c>
      <c r="C295" s="15">
        <v>2011</v>
      </c>
      <c r="D295" s="11" t="s">
        <v>38</v>
      </c>
      <c r="E295" s="15">
        <v>12</v>
      </c>
      <c r="F295" s="28">
        <v>0.36799999999999999</v>
      </c>
      <c r="G295" s="27">
        <v>4.2205999999999987E-2</v>
      </c>
      <c r="H295" s="27">
        <v>0</v>
      </c>
      <c r="I295" s="27">
        <v>6.3031749999999998E-2</v>
      </c>
      <c r="J295" s="27">
        <v>0</v>
      </c>
      <c r="K295" s="27">
        <v>0</v>
      </c>
    </row>
    <row r="296" spans="1:11">
      <c r="A296" s="15">
        <v>10</v>
      </c>
      <c r="B296" s="29">
        <v>40891</v>
      </c>
      <c r="C296" s="15">
        <v>2011</v>
      </c>
      <c r="D296" s="11" t="s">
        <v>38</v>
      </c>
      <c r="E296" s="15">
        <v>12</v>
      </c>
      <c r="F296" s="28">
        <v>0.41299999999999998</v>
      </c>
      <c r="G296" s="27">
        <v>0</v>
      </c>
      <c r="H296" s="27">
        <v>0</v>
      </c>
      <c r="I296" s="27">
        <v>0.10032387499999998</v>
      </c>
      <c r="J296" s="27">
        <v>0</v>
      </c>
      <c r="K296" s="27">
        <v>0</v>
      </c>
    </row>
    <row r="297" spans="1:11">
      <c r="A297" s="15">
        <v>9</v>
      </c>
      <c r="B297" s="21">
        <v>40919</v>
      </c>
      <c r="C297" s="15">
        <v>2012</v>
      </c>
      <c r="D297" s="11" t="s">
        <v>39</v>
      </c>
      <c r="E297" s="15">
        <v>1</v>
      </c>
      <c r="F297" s="30">
        <v>1.2430000000000001</v>
      </c>
      <c r="G297" s="27">
        <v>7.5330875000000005E-2</v>
      </c>
      <c r="H297" s="27">
        <v>0</v>
      </c>
      <c r="I297" s="27">
        <v>0.36483262500000002</v>
      </c>
      <c r="J297" s="27">
        <v>9.5107499999999984E-3</v>
      </c>
      <c r="K297" s="27">
        <v>0</v>
      </c>
    </row>
    <row r="298" spans="1:11">
      <c r="A298" s="15">
        <v>10</v>
      </c>
      <c r="B298" s="21">
        <v>40919</v>
      </c>
      <c r="C298" s="15">
        <v>2012</v>
      </c>
      <c r="D298" s="11" t="s">
        <v>39</v>
      </c>
      <c r="E298" s="15">
        <v>1</v>
      </c>
      <c r="F298" s="30">
        <v>1.21</v>
      </c>
      <c r="G298" s="27">
        <v>9.153399999999999E-2</v>
      </c>
      <c r="H298" s="27">
        <v>0</v>
      </c>
      <c r="I298" s="27">
        <v>0.37111662499999992</v>
      </c>
      <c r="J298" s="27">
        <v>8.525375E-3</v>
      </c>
      <c r="K298" s="27">
        <v>0</v>
      </c>
    </row>
    <row r="299" spans="1:11">
      <c r="A299" s="15">
        <v>9</v>
      </c>
      <c r="B299" s="21">
        <v>40960</v>
      </c>
      <c r="C299" s="15">
        <v>2012</v>
      </c>
      <c r="D299" s="11" t="s">
        <v>28</v>
      </c>
      <c r="E299" s="15">
        <v>2</v>
      </c>
      <c r="F299" s="30">
        <v>1.022</v>
      </c>
      <c r="G299" s="27">
        <v>8.276887500000002E-2</v>
      </c>
      <c r="H299" s="27">
        <v>0</v>
      </c>
      <c r="I299" s="27">
        <v>0.35902124999999996</v>
      </c>
      <c r="J299" s="27">
        <v>7.8476249999999987E-3</v>
      </c>
      <c r="K299" s="27">
        <v>0</v>
      </c>
    </row>
    <row r="300" spans="1:11">
      <c r="A300" s="15">
        <v>10</v>
      </c>
      <c r="B300" s="21">
        <v>40960</v>
      </c>
      <c r="C300" s="15">
        <v>2012</v>
      </c>
      <c r="D300" s="11" t="s">
        <v>28</v>
      </c>
      <c r="E300" s="15">
        <v>2</v>
      </c>
      <c r="F300" s="30">
        <v>2.6539999999999999</v>
      </c>
      <c r="G300" s="27">
        <v>0.31740937499999994</v>
      </c>
      <c r="H300" s="27">
        <v>0</v>
      </c>
      <c r="I300" s="27">
        <v>0.93769099999999994</v>
      </c>
      <c r="J300" s="27">
        <v>3.8599125000000005E-2</v>
      </c>
      <c r="K300" s="27">
        <v>0</v>
      </c>
    </row>
    <row r="301" spans="1:11">
      <c r="A301" s="15">
        <v>9</v>
      </c>
      <c r="B301" s="21">
        <v>40982</v>
      </c>
      <c r="C301" s="15">
        <v>2012</v>
      </c>
      <c r="D301" s="11" t="s">
        <v>29</v>
      </c>
      <c r="E301" s="15">
        <v>3</v>
      </c>
      <c r="F301" s="30">
        <v>0.80700000000000005</v>
      </c>
      <c r="G301" s="27">
        <v>5.3095875000000001E-2</v>
      </c>
      <c r="H301" s="27">
        <v>0</v>
      </c>
      <c r="I301" s="27">
        <v>0.18131012499999996</v>
      </c>
      <c r="J301" s="27">
        <v>1.2128125000000002E-2</v>
      </c>
      <c r="K301" s="27">
        <v>0</v>
      </c>
    </row>
    <row r="302" spans="1:11">
      <c r="A302" s="15">
        <v>10</v>
      </c>
      <c r="B302" s="21">
        <v>40982</v>
      </c>
      <c r="C302" s="15">
        <v>2012</v>
      </c>
      <c r="D302" s="11" t="s">
        <v>29</v>
      </c>
      <c r="E302" s="15">
        <v>3</v>
      </c>
      <c r="F302" s="30">
        <v>1.095</v>
      </c>
      <c r="G302" s="27">
        <v>0.12330587499999998</v>
      </c>
      <c r="H302" s="27">
        <v>0</v>
      </c>
      <c r="I302" s="27">
        <v>0.19362162499999999</v>
      </c>
      <c r="J302" s="27">
        <v>1.5827500000000001E-2</v>
      </c>
      <c r="K302" s="27">
        <v>0</v>
      </c>
    </row>
    <row r="303" spans="1:11">
      <c r="A303" s="15">
        <v>9</v>
      </c>
      <c r="B303" s="21">
        <v>41016</v>
      </c>
      <c r="C303" s="15">
        <v>2012</v>
      </c>
      <c r="D303" s="11" t="s">
        <v>30</v>
      </c>
      <c r="E303" s="15">
        <v>4</v>
      </c>
      <c r="F303" s="26">
        <v>1.5580000000000001</v>
      </c>
      <c r="G303" s="27">
        <v>6.1180499999999985E-2</v>
      </c>
      <c r="H303" s="27">
        <v>0</v>
      </c>
      <c r="I303" s="27">
        <v>0.43511324999999995</v>
      </c>
      <c r="J303" s="27">
        <v>2.3074999999999995E-2</v>
      </c>
      <c r="K303" s="27">
        <v>0</v>
      </c>
    </row>
    <row r="304" spans="1:11">
      <c r="A304" s="15">
        <v>10</v>
      </c>
      <c r="B304" s="21">
        <v>41016</v>
      </c>
      <c r="C304" s="15">
        <v>2012</v>
      </c>
      <c r="D304" s="11" t="s">
        <v>30</v>
      </c>
      <c r="E304" s="15">
        <v>4</v>
      </c>
      <c r="F304" s="26">
        <v>0.84899999999999998</v>
      </c>
      <c r="G304" s="27">
        <v>3.2672624999999997E-2</v>
      </c>
      <c r="H304" s="27">
        <v>0</v>
      </c>
      <c r="I304" s="27">
        <v>0.20103325</v>
      </c>
      <c r="J304" s="27">
        <v>1.8075000000000001E-2</v>
      </c>
      <c r="K304" s="27">
        <v>0</v>
      </c>
    </row>
    <row r="305" spans="1:11">
      <c r="A305" s="15">
        <v>9</v>
      </c>
      <c r="B305" s="21">
        <v>41051</v>
      </c>
      <c r="C305" s="15">
        <v>2012</v>
      </c>
      <c r="D305" s="11" t="s">
        <v>31</v>
      </c>
      <c r="E305" s="15">
        <v>5</v>
      </c>
      <c r="F305" s="26">
        <v>3.21</v>
      </c>
      <c r="G305" s="27">
        <v>0</v>
      </c>
      <c r="H305" s="27">
        <v>0</v>
      </c>
      <c r="I305" s="27">
        <v>0.99816862500000014</v>
      </c>
      <c r="J305" s="27">
        <v>1.8366250000000001E-2</v>
      </c>
      <c r="K305" s="27">
        <v>0</v>
      </c>
    </row>
    <row r="306" spans="1:11">
      <c r="A306" s="15">
        <v>10</v>
      </c>
      <c r="B306" s="21">
        <v>41051</v>
      </c>
      <c r="C306" s="15">
        <v>2012</v>
      </c>
      <c r="D306" s="11" t="s">
        <v>31</v>
      </c>
      <c r="E306" s="15">
        <v>5</v>
      </c>
      <c r="F306" s="26">
        <v>3.669</v>
      </c>
      <c r="G306" s="27">
        <v>2.6873000000000001E-2</v>
      </c>
      <c r="H306" s="27">
        <v>0</v>
      </c>
      <c r="I306" s="27">
        <v>0.7123426249999999</v>
      </c>
      <c r="J306" s="27">
        <v>2.1178124999999996E-2</v>
      </c>
      <c r="K306" s="27">
        <v>0</v>
      </c>
    </row>
    <row r="307" spans="1:11">
      <c r="A307" s="15">
        <v>9</v>
      </c>
      <c r="B307" s="21">
        <v>41080</v>
      </c>
      <c r="C307" s="15">
        <v>2012</v>
      </c>
      <c r="D307" s="11" t="s">
        <v>32</v>
      </c>
      <c r="E307" s="15">
        <v>6</v>
      </c>
      <c r="F307" s="26">
        <v>5.1959999999999997</v>
      </c>
      <c r="G307" s="27">
        <v>0.15164050000000001</v>
      </c>
      <c r="H307" s="27">
        <v>0</v>
      </c>
      <c r="I307" s="27">
        <v>1.7098007500000001</v>
      </c>
      <c r="J307" s="27">
        <v>7.1582750000000001E-2</v>
      </c>
      <c r="K307" s="27">
        <v>0</v>
      </c>
    </row>
    <row r="308" spans="1:11">
      <c r="A308" s="15">
        <v>10</v>
      </c>
      <c r="B308" s="21">
        <v>41080</v>
      </c>
      <c r="C308" s="15">
        <v>2012</v>
      </c>
      <c r="D308" s="11" t="s">
        <v>32</v>
      </c>
      <c r="E308" s="15">
        <v>6</v>
      </c>
      <c r="F308" s="26">
        <v>3.335</v>
      </c>
      <c r="G308" s="27">
        <v>0.19485387499999998</v>
      </c>
      <c r="H308" s="27">
        <v>0</v>
      </c>
      <c r="I308" s="27">
        <v>0.39559775000000008</v>
      </c>
      <c r="J308" s="27">
        <v>0.103142</v>
      </c>
      <c r="K308" s="27">
        <v>0</v>
      </c>
    </row>
    <row r="309" spans="1:11">
      <c r="A309" s="15">
        <v>9</v>
      </c>
      <c r="B309" s="21">
        <v>41106</v>
      </c>
      <c r="C309" s="15">
        <v>2012</v>
      </c>
      <c r="D309" s="11" t="s">
        <v>33</v>
      </c>
      <c r="E309" s="15">
        <v>7</v>
      </c>
      <c r="F309" s="26">
        <v>8.5009999999999994</v>
      </c>
      <c r="G309" s="27">
        <v>0.53465762500000003</v>
      </c>
      <c r="H309" s="27">
        <v>0</v>
      </c>
      <c r="I309" s="27">
        <v>3.4850270000000001</v>
      </c>
      <c r="J309" s="27">
        <v>7.1438000000000001E-2</v>
      </c>
      <c r="K309" s="27">
        <v>0</v>
      </c>
    </row>
    <row r="310" spans="1:11">
      <c r="A310" s="15">
        <v>10</v>
      </c>
      <c r="B310" s="21">
        <v>41106</v>
      </c>
      <c r="C310" s="15">
        <v>2012</v>
      </c>
      <c r="D310" s="11" t="s">
        <v>33</v>
      </c>
      <c r="E310" s="15">
        <v>7</v>
      </c>
      <c r="F310" s="26">
        <v>4.3010000000000002</v>
      </c>
      <c r="G310" s="27">
        <v>0.18813775000000002</v>
      </c>
      <c r="H310" s="27">
        <v>0</v>
      </c>
      <c r="I310" s="27">
        <v>1.3677557499999999</v>
      </c>
      <c r="J310" s="27">
        <v>0.10530762499999999</v>
      </c>
      <c r="K310" s="27">
        <v>0</v>
      </c>
    </row>
    <row r="311" spans="1:11">
      <c r="A311" s="15">
        <v>9</v>
      </c>
      <c r="B311" s="21">
        <v>41137</v>
      </c>
      <c r="C311" s="15">
        <v>2012</v>
      </c>
      <c r="D311" s="11" t="s">
        <v>34</v>
      </c>
      <c r="E311" s="15">
        <v>8</v>
      </c>
      <c r="F311" s="26">
        <v>4.9180000000000001</v>
      </c>
      <c r="G311" s="27">
        <v>9.4007499999999994E-2</v>
      </c>
      <c r="H311" s="27">
        <v>0</v>
      </c>
      <c r="I311" s="27">
        <v>2.0796511249999994</v>
      </c>
      <c r="J311" s="27">
        <v>5.6160624999999985E-2</v>
      </c>
      <c r="K311" s="27">
        <v>0</v>
      </c>
    </row>
    <row r="312" spans="1:11">
      <c r="A312" s="15">
        <v>10</v>
      </c>
      <c r="B312" s="21">
        <v>41137</v>
      </c>
      <c r="C312" s="15">
        <v>2012</v>
      </c>
      <c r="D312" s="11" t="s">
        <v>34</v>
      </c>
      <c r="E312" s="15">
        <v>8</v>
      </c>
      <c r="F312" s="26">
        <v>2.9590000000000001</v>
      </c>
      <c r="G312" s="27">
        <v>2.9003250000000001E-2</v>
      </c>
      <c r="H312" s="27">
        <v>0</v>
      </c>
      <c r="I312" s="27">
        <v>1.0017266249999999</v>
      </c>
      <c r="J312" s="27">
        <v>0.15306824999999996</v>
      </c>
      <c r="K312" s="27">
        <v>0</v>
      </c>
    </row>
    <row r="313" spans="1:11">
      <c r="A313" s="15">
        <v>9</v>
      </c>
      <c r="B313" s="21">
        <v>41163</v>
      </c>
      <c r="C313" s="15">
        <v>2012</v>
      </c>
      <c r="D313" s="11" t="s">
        <v>40</v>
      </c>
      <c r="E313" s="15">
        <v>9</v>
      </c>
      <c r="F313" s="26">
        <v>5.3540000000000001</v>
      </c>
      <c r="G313" s="27">
        <v>0.95435712499999992</v>
      </c>
      <c r="H313" s="27">
        <v>0</v>
      </c>
      <c r="I313" s="27">
        <v>1.4551315</v>
      </c>
      <c r="J313" s="27">
        <v>4.2667999999999991E-2</v>
      </c>
      <c r="K313" s="27">
        <v>0</v>
      </c>
    </row>
    <row r="314" spans="1:11">
      <c r="A314" s="15">
        <v>10</v>
      </c>
      <c r="B314" s="21">
        <v>41163</v>
      </c>
      <c r="C314" s="15">
        <v>2012</v>
      </c>
      <c r="D314" s="11" t="s">
        <v>40</v>
      </c>
      <c r="E314" s="15">
        <v>9</v>
      </c>
      <c r="F314" s="26">
        <v>2.87</v>
      </c>
      <c r="G314" s="27">
        <v>8.0739249999999985E-2</v>
      </c>
      <c r="H314" s="27">
        <v>0</v>
      </c>
      <c r="I314" s="27">
        <v>0.87318324999999986</v>
      </c>
      <c r="J314" s="27">
        <v>4.4393374999999992E-2</v>
      </c>
      <c r="K314" s="27">
        <v>0</v>
      </c>
    </row>
    <row r="315" spans="1:11">
      <c r="A315" s="15">
        <v>9</v>
      </c>
      <c r="B315" s="21">
        <v>41199</v>
      </c>
      <c r="C315" s="15">
        <v>2012</v>
      </c>
      <c r="D315" s="11" t="s">
        <v>36</v>
      </c>
      <c r="E315" s="15">
        <v>10</v>
      </c>
      <c r="F315" s="26">
        <v>0.81899999999999995</v>
      </c>
      <c r="G315" s="27">
        <v>0</v>
      </c>
      <c r="H315" s="27">
        <v>0</v>
      </c>
      <c r="I315" s="27">
        <v>0.27374549999999992</v>
      </c>
      <c r="J315" s="27">
        <v>0</v>
      </c>
      <c r="K315" s="27">
        <v>0</v>
      </c>
    </row>
    <row r="316" spans="1:11">
      <c r="A316" s="15">
        <v>10</v>
      </c>
      <c r="B316" s="21">
        <v>41199</v>
      </c>
      <c r="C316" s="15">
        <v>2012</v>
      </c>
      <c r="D316" s="11" t="s">
        <v>36</v>
      </c>
      <c r="E316" s="15">
        <v>10</v>
      </c>
      <c r="F316" s="26">
        <v>0.44900000000000001</v>
      </c>
      <c r="G316" s="27">
        <v>0</v>
      </c>
      <c r="H316" s="27">
        <v>0</v>
      </c>
      <c r="I316" s="27">
        <v>0.11627849999999998</v>
      </c>
      <c r="J316" s="27">
        <v>0</v>
      </c>
      <c r="K316" s="27">
        <v>0</v>
      </c>
    </row>
    <row r="317" spans="1:11">
      <c r="A317" s="15">
        <v>9</v>
      </c>
      <c r="B317" s="21">
        <v>41225</v>
      </c>
      <c r="C317" s="15">
        <v>2012</v>
      </c>
      <c r="D317" s="11" t="s">
        <v>37</v>
      </c>
      <c r="E317" s="15">
        <v>11</v>
      </c>
      <c r="F317" s="26">
        <v>0.96099999999999997</v>
      </c>
      <c r="G317" s="27">
        <v>0</v>
      </c>
      <c r="H317" s="27">
        <v>0</v>
      </c>
      <c r="I317" s="27">
        <v>0.18161925000000001</v>
      </c>
      <c r="J317" s="27">
        <v>0</v>
      </c>
      <c r="K317" s="27">
        <v>0</v>
      </c>
    </row>
    <row r="318" spans="1:11">
      <c r="A318" s="15">
        <v>10</v>
      </c>
      <c r="B318" s="21">
        <v>41225</v>
      </c>
      <c r="C318" s="15">
        <v>2012</v>
      </c>
      <c r="D318" s="11" t="s">
        <v>37</v>
      </c>
      <c r="E318" s="15">
        <v>11</v>
      </c>
      <c r="F318" s="26">
        <v>1.843</v>
      </c>
      <c r="G318" s="27">
        <v>0</v>
      </c>
      <c r="H318" s="27">
        <v>0</v>
      </c>
      <c r="I318" s="27">
        <v>0.29811887500000001</v>
      </c>
      <c r="J318" s="27">
        <v>1.4069E-2</v>
      </c>
      <c r="K318" s="27">
        <v>0</v>
      </c>
    </row>
    <row r="319" spans="1:11">
      <c r="A319" s="15">
        <v>9</v>
      </c>
      <c r="B319" s="21">
        <v>41255</v>
      </c>
      <c r="C319" s="15">
        <v>2012</v>
      </c>
      <c r="D319" s="11" t="s">
        <v>38</v>
      </c>
      <c r="E319" s="15">
        <v>12</v>
      </c>
      <c r="F319" s="26">
        <v>0.89900000000000002</v>
      </c>
      <c r="G319" s="27">
        <v>0.10483737499999998</v>
      </c>
      <c r="H319" s="27">
        <v>0</v>
      </c>
      <c r="I319" s="27">
        <v>0.35662712499999999</v>
      </c>
      <c r="J319" s="27">
        <v>0</v>
      </c>
      <c r="K319" s="27">
        <v>0</v>
      </c>
    </row>
    <row r="320" spans="1:11">
      <c r="A320" s="15">
        <v>10</v>
      </c>
      <c r="B320" s="21">
        <v>41255</v>
      </c>
      <c r="C320" s="15">
        <v>2012</v>
      </c>
      <c r="D320" s="11" t="s">
        <v>38</v>
      </c>
      <c r="E320" s="15">
        <v>12</v>
      </c>
      <c r="F320" s="26">
        <v>1.2509999999999999</v>
      </c>
      <c r="G320" s="27">
        <v>0.20592574999999996</v>
      </c>
      <c r="H320" s="27">
        <v>0</v>
      </c>
      <c r="I320" s="27">
        <v>0.321115875</v>
      </c>
      <c r="J320" s="27">
        <v>0</v>
      </c>
      <c r="K320" s="27">
        <v>0</v>
      </c>
    </row>
    <row r="321" spans="1:12">
      <c r="A321" s="15">
        <v>9</v>
      </c>
      <c r="B321" s="21">
        <v>41297</v>
      </c>
      <c r="C321" s="15">
        <v>2013</v>
      </c>
      <c r="D321" s="11" t="s">
        <v>39</v>
      </c>
      <c r="E321" s="15">
        <v>1</v>
      </c>
      <c r="F321" s="26">
        <v>1.665</v>
      </c>
      <c r="G321" s="27">
        <v>0.1039455</v>
      </c>
      <c r="H321" s="27">
        <v>0</v>
      </c>
      <c r="I321" s="27">
        <v>0.43227937500000002</v>
      </c>
      <c r="J321" s="27">
        <v>1.3470499999999998E-2</v>
      </c>
      <c r="K321" s="27">
        <v>0</v>
      </c>
    </row>
    <row r="322" spans="1:12">
      <c r="A322" s="15">
        <v>10</v>
      </c>
      <c r="B322" s="21">
        <v>41297</v>
      </c>
      <c r="C322" s="15">
        <v>2013</v>
      </c>
      <c r="D322" s="11" t="s">
        <v>39</v>
      </c>
      <c r="E322" s="15">
        <v>1</v>
      </c>
      <c r="F322" s="26">
        <v>1.169</v>
      </c>
      <c r="G322" s="27">
        <v>9.547799999999998E-2</v>
      </c>
      <c r="H322" s="27">
        <v>0</v>
      </c>
      <c r="I322" s="27">
        <v>0.29257512499999994</v>
      </c>
      <c r="J322" s="27">
        <v>1.2965374999999996E-2</v>
      </c>
      <c r="K322" s="27">
        <v>0</v>
      </c>
    </row>
    <row r="323" spans="1:12">
      <c r="A323" s="15">
        <v>9</v>
      </c>
      <c r="B323" s="21">
        <v>41319</v>
      </c>
      <c r="C323" s="15">
        <v>2013</v>
      </c>
      <c r="D323" s="11" t="s">
        <v>28</v>
      </c>
      <c r="E323" s="15">
        <v>2</v>
      </c>
      <c r="F323" s="31">
        <v>2.944</v>
      </c>
      <c r="G323" s="27">
        <v>0.13853750000000001</v>
      </c>
      <c r="H323" s="27">
        <v>0</v>
      </c>
      <c r="I323" s="27">
        <v>1.2439344999999999</v>
      </c>
      <c r="J323" s="27">
        <v>0</v>
      </c>
      <c r="K323" s="27">
        <v>0</v>
      </c>
    </row>
    <row r="324" spans="1:12">
      <c r="A324" s="15">
        <v>10</v>
      </c>
      <c r="B324" s="21">
        <v>41319</v>
      </c>
      <c r="C324" s="15">
        <v>2013</v>
      </c>
      <c r="D324" s="11" t="s">
        <v>28</v>
      </c>
      <c r="E324" s="15">
        <v>2</v>
      </c>
      <c r="F324" s="31">
        <v>2.371</v>
      </c>
      <c r="G324" s="27">
        <v>6.0640124999999996E-2</v>
      </c>
      <c r="H324" s="27">
        <v>0</v>
      </c>
      <c r="I324" s="27">
        <v>0.99689749999999999</v>
      </c>
      <c r="J324" s="27">
        <v>0</v>
      </c>
      <c r="K324" s="27">
        <v>0</v>
      </c>
    </row>
    <row r="325" spans="1:12">
      <c r="A325" s="15">
        <v>9</v>
      </c>
      <c r="B325" s="21">
        <v>41346</v>
      </c>
      <c r="C325" s="15">
        <v>2013</v>
      </c>
      <c r="D325" s="11" t="s">
        <v>29</v>
      </c>
      <c r="E325" s="15">
        <v>3</v>
      </c>
      <c r="F325" s="31">
        <v>8.3840000000000003</v>
      </c>
      <c r="G325" s="27">
        <v>0</v>
      </c>
      <c r="H325" s="27">
        <v>0</v>
      </c>
      <c r="I325" s="27">
        <v>5.4693857499999998</v>
      </c>
      <c r="J325" s="27">
        <v>4.7836624999999994E-2</v>
      </c>
      <c r="K325" s="27">
        <v>0</v>
      </c>
    </row>
    <row r="326" spans="1:12">
      <c r="A326" s="15">
        <v>10</v>
      </c>
      <c r="B326" s="21">
        <v>41346</v>
      </c>
      <c r="C326" s="15">
        <v>2013</v>
      </c>
      <c r="D326" s="11" t="s">
        <v>29</v>
      </c>
      <c r="E326" s="15">
        <v>3</v>
      </c>
      <c r="F326" s="31">
        <v>8.6709999999999994</v>
      </c>
      <c r="G326" s="27">
        <v>0</v>
      </c>
      <c r="H326" s="27">
        <v>0</v>
      </c>
      <c r="I326" s="27">
        <v>5.441261374999999</v>
      </c>
      <c r="J326" s="27">
        <v>7.794524999999998E-2</v>
      </c>
      <c r="K326" s="27">
        <v>0</v>
      </c>
    </row>
    <row r="327" spans="1:12">
      <c r="A327" s="15">
        <v>9</v>
      </c>
      <c r="B327" s="21">
        <v>41380</v>
      </c>
      <c r="C327" s="15">
        <v>2013</v>
      </c>
      <c r="D327" s="11" t="s">
        <v>30</v>
      </c>
      <c r="E327" s="15">
        <v>4</v>
      </c>
      <c r="F327" s="32">
        <v>0.495</v>
      </c>
      <c r="G327" s="27">
        <v>0</v>
      </c>
      <c r="H327" s="27">
        <v>0</v>
      </c>
      <c r="I327" s="27">
        <v>0.12992349999999997</v>
      </c>
      <c r="J327" s="27">
        <v>0</v>
      </c>
      <c r="K327" s="27">
        <v>0</v>
      </c>
    </row>
    <row r="328" spans="1:12">
      <c r="A328" s="15">
        <v>10</v>
      </c>
      <c r="B328" s="21">
        <v>41380</v>
      </c>
      <c r="C328" s="15">
        <v>2013</v>
      </c>
      <c r="D328" s="11" t="s">
        <v>30</v>
      </c>
      <c r="E328" s="15">
        <v>4</v>
      </c>
      <c r="F328" s="32">
        <v>0.755</v>
      </c>
      <c r="G328" s="27">
        <v>0</v>
      </c>
      <c r="H328" s="27">
        <v>0</v>
      </c>
      <c r="I328" s="27">
        <v>0.158333</v>
      </c>
      <c r="J328" s="27">
        <v>8.3277500000000001E-3</v>
      </c>
      <c r="K328" s="27">
        <v>0</v>
      </c>
    </row>
    <row r="329" spans="1:12">
      <c r="A329" s="15">
        <v>10</v>
      </c>
      <c r="B329" s="21">
        <v>41380</v>
      </c>
      <c r="C329" s="15">
        <v>2013</v>
      </c>
      <c r="D329" s="11" t="s">
        <v>30</v>
      </c>
      <c r="E329" s="15">
        <v>4</v>
      </c>
      <c r="F329" s="32">
        <v>0.755</v>
      </c>
      <c r="G329" s="27">
        <v>0</v>
      </c>
      <c r="H329" s="27">
        <v>0</v>
      </c>
      <c r="I329" s="27">
        <v>0.15867087499999996</v>
      </c>
      <c r="J329" s="27">
        <v>8.3812499999999981E-3</v>
      </c>
      <c r="K329" s="27">
        <v>0</v>
      </c>
      <c r="L329" t="s">
        <v>41</v>
      </c>
    </row>
    <row r="330" spans="1:12">
      <c r="A330" s="15">
        <v>9</v>
      </c>
      <c r="B330" s="21">
        <v>41407</v>
      </c>
      <c r="C330" s="15">
        <v>2013</v>
      </c>
      <c r="D330" s="11" t="s">
        <v>31</v>
      </c>
      <c r="E330" s="15">
        <v>5</v>
      </c>
      <c r="F330" s="32">
        <v>0.65900000000000003</v>
      </c>
      <c r="G330" s="27">
        <v>1.9669624999999996E-2</v>
      </c>
      <c r="H330" s="27">
        <v>0</v>
      </c>
      <c r="I330" s="27">
        <v>0.100426375</v>
      </c>
      <c r="J330" s="27">
        <v>9.3333749999999997E-3</v>
      </c>
      <c r="K330" s="27">
        <v>0</v>
      </c>
    </row>
    <row r="331" spans="1:12">
      <c r="A331" s="15">
        <v>10</v>
      </c>
      <c r="B331" s="21">
        <v>41407</v>
      </c>
      <c r="C331" s="15">
        <v>2013</v>
      </c>
      <c r="D331" s="11" t="s">
        <v>31</v>
      </c>
      <c r="E331" s="15">
        <v>5</v>
      </c>
      <c r="F331" s="32">
        <v>2.657</v>
      </c>
      <c r="G331" s="27">
        <v>6.6039374999999997E-2</v>
      </c>
      <c r="H331" s="27">
        <v>0</v>
      </c>
      <c r="I331" s="27">
        <v>0.51168612499999999</v>
      </c>
      <c r="J331" s="27">
        <v>2.1961624999999999E-2</v>
      </c>
      <c r="K331" s="27">
        <v>0</v>
      </c>
    </row>
    <row r="332" spans="1:12">
      <c r="A332" s="15">
        <v>9</v>
      </c>
      <c r="B332" s="21">
        <v>41437</v>
      </c>
      <c r="C332" s="15">
        <v>2013</v>
      </c>
      <c r="D332" s="11" t="s">
        <v>32</v>
      </c>
      <c r="E332" s="15">
        <v>6</v>
      </c>
      <c r="F332" s="32">
        <v>4.7809999999999997</v>
      </c>
      <c r="G332" s="27">
        <v>6.2047625000000009E-2</v>
      </c>
      <c r="H332" s="27">
        <v>0</v>
      </c>
      <c r="I332" s="27">
        <v>2.2065641249999999</v>
      </c>
      <c r="J332" s="27">
        <v>1.4484374999999997E-2</v>
      </c>
      <c r="K332" s="27">
        <v>0</v>
      </c>
    </row>
    <row r="333" spans="1:12">
      <c r="A333" s="15">
        <v>10</v>
      </c>
      <c r="B333" s="21">
        <v>41437</v>
      </c>
      <c r="C333" s="15">
        <v>2013</v>
      </c>
      <c r="D333" s="11" t="s">
        <v>32</v>
      </c>
      <c r="E333" s="15">
        <v>6</v>
      </c>
      <c r="F333" s="32">
        <v>3.68</v>
      </c>
      <c r="G333" s="27">
        <v>5.6067874999999989E-2</v>
      </c>
      <c r="H333" s="27">
        <v>0</v>
      </c>
      <c r="I333" s="27">
        <v>1.194240875</v>
      </c>
      <c r="J333" s="27">
        <v>4.2951749999999997E-2</v>
      </c>
      <c r="K333" s="27">
        <v>0</v>
      </c>
    </row>
    <row r="334" spans="1:12">
      <c r="A334" s="15">
        <v>9</v>
      </c>
      <c r="B334" s="21">
        <v>41470</v>
      </c>
      <c r="C334" s="15">
        <v>2013</v>
      </c>
      <c r="D334" s="11" t="s">
        <v>33</v>
      </c>
      <c r="E334" s="15">
        <v>7</v>
      </c>
      <c r="F334" s="32">
        <v>7.8250000000000002</v>
      </c>
      <c r="G334" s="27">
        <v>0.61174775000000003</v>
      </c>
      <c r="H334" s="27">
        <v>0</v>
      </c>
      <c r="I334" s="27">
        <v>2.728973125</v>
      </c>
      <c r="J334" s="27">
        <v>0.117590625</v>
      </c>
      <c r="K334" s="27">
        <v>0</v>
      </c>
    </row>
    <row r="335" spans="1:12">
      <c r="A335" s="15">
        <v>10</v>
      </c>
      <c r="B335" s="21">
        <v>41470</v>
      </c>
      <c r="C335" s="15">
        <v>2013</v>
      </c>
      <c r="D335" s="11" t="s">
        <v>33</v>
      </c>
      <c r="E335" s="15">
        <v>7</v>
      </c>
      <c r="F335" s="32">
        <v>10.163</v>
      </c>
      <c r="G335" s="27">
        <v>2.9929784999999995</v>
      </c>
      <c r="H335" s="27">
        <v>0</v>
      </c>
      <c r="I335" s="27">
        <v>1.8482620000000001</v>
      </c>
      <c r="J335" s="27">
        <v>0.25031775000000001</v>
      </c>
      <c r="K335" s="27">
        <v>0</v>
      </c>
    </row>
    <row r="336" spans="1:12">
      <c r="A336" s="15">
        <v>9</v>
      </c>
      <c r="B336" s="21">
        <v>41498</v>
      </c>
      <c r="C336" s="15">
        <v>2013</v>
      </c>
      <c r="D336" s="11" t="s">
        <v>34</v>
      </c>
      <c r="E336" s="15">
        <v>8</v>
      </c>
      <c r="F336" s="32">
        <v>3.544</v>
      </c>
      <c r="G336" s="27">
        <v>8.8444749999999989E-2</v>
      </c>
      <c r="H336" s="27">
        <v>0</v>
      </c>
      <c r="I336" s="27">
        <v>1.3128916249999998</v>
      </c>
      <c r="J336" s="27">
        <v>3.1042249999999997E-2</v>
      </c>
      <c r="K336" s="27">
        <v>0</v>
      </c>
    </row>
    <row r="337" spans="1:11">
      <c r="A337" s="15">
        <v>10</v>
      </c>
      <c r="B337" s="21">
        <v>41498</v>
      </c>
      <c r="C337" s="15">
        <v>2013</v>
      </c>
      <c r="D337" s="11" t="s">
        <v>34</v>
      </c>
      <c r="E337" s="15">
        <v>8</v>
      </c>
      <c r="F337" s="32">
        <v>3.4510000000000001</v>
      </c>
      <c r="G337" s="27">
        <v>0.13545699999999999</v>
      </c>
      <c r="H337" s="27">
        <v>0</v>
      </c>
      <c r="I337" s="27">
        <v>0.76320624999999986</v>
      </c>
      <c r="J337" s="27">
        <v>0.15326387499999997</v>
      </c>
      <c r="K337" s="27">
        <v>0</v>
      </c>
    </row>
    <row r="338" spans="1:11">
      <c r="A338" s="15">
        <v>9</v>
      </c>
      <c r="B338" s="21">
        <v>41535</v>
      </c>
      <c r="C338" s="15">
        <v>2013</v>
      </c>
      <c r="D338" s="11" t="s">
        <v>40</v>
      </c>
      <c r="E338" s="15">
        <v>9</v>
      </c>
      <c r="F338" s="32">
        <v>1.6279999999999999</v>
      </c>
      <c r="G338" s="27">
        <v>0</v>
      </c>
      <c r="H338" s="27">
        <v>0</v>
      </c>
      <c r="I338" s="27">
        <v>0.65804099999999999</v>
      </c>
      <c r="J338" s="27">
        <v>2.7882624999999998E-2</v>
      </c>
      <c r="K338" s="27">
        <v>0</v>
      </c>
    </row>
    <row r="339" spans="1:11">
      <c r="A339" s="15">
        <v>10</v>
      </c>
      <c r="B339" s="21">
        <v>41535</v>
      </c>
      <c r="C339" s="15">
        <v>2013</v>
      </c>
      <c r="D339" s="11" t="s">
        <v>40</v>
      </c>
      <c r="E339" s="15">
        <v>9</v>
      </c>
      <c r="F339" s="32">
        <v>1.2649999999999999</v>
      </c>
      <c r="G339" s="27">
        <v>0</v>
      </c>
      <c r="H339" s="27">
        <v>0</v>
      </c>
      <c r="I339" s="27">
        <v>0.4926371249999999</v>
      </c>
      <c r="J339" s="27">
        <v>3.2875000000000001E-2</v>
      </c>
      <c r="K339" s="27">
        <v>0</v>
      </c>
    </row>
    <row r="340" spans="1:11">
      <c r="A340" s="15">
        <v>9</v>
      </c>
      <c r="B340" s="21">
        <v>406810</v>
      </c>
      <c r="C340" s="15">
        <v>2013</v>
      </c>
      <c r="D340" s="11" t="s">
        <v>36</v>
      </c>
      <c r="E340" s="15">
        <v>10</v>
      </c>
      <c r="F340" s="26">
        <v>0.60099999999999998</v>
      </c>
      <c r="G340" s="27">
        <v>0</v>
      </c>
      <c r="H340" s="27">
        <v>0</v>
      </c>
      <c r="I340" s="27">
        <v>5.4357249999999996E-2</v>
      </c>
      <c r="J340" s="27">
        <v>0</v>
      </c>
      <c r="K340" s="27">
        <v>0</v>
      </c>
    </row>
    <row r="341" spans="1:11">
      <c r="A341" s="15">
        <v>10</v>
      </c>
      <c r="B341" s="21">
        <v>406810</v>
      </c>
      <c r="C341" s="15">
        <v>2013</v>
      </c>
      <c r="D341" s="11" t="s">
        <v>36</v>
      </c>
      <c r="E341" s="15">
        <v>10</v>
      </c>
      <c r="F341" s="26">
        <v>0.93</v>
      </c>
      <c r="G341" s="27">
        <v>0</v>
      </c>
      <c r="H341" s="27">
        <v>0</v>
      </c>
      <c r="I341" s="27">
        <v>0.12325575</v>
      </c>
      <c r="J341" s="27">
        <v>0</v>
      </c>
      <c r="K341" s="27">
        <v>0</v>
      </c>
    </row>
    <row r="342" spans="1:11">
      <c r="A342" s="15">
        <v>9</v>
      </c>
      <c r="B342" s="21">
        <v>41599</v>
      </c>
      <c r="C342" s="15">
        <v>2013</v>
      </c>
      <c r="D342" s="11" t="s">
        <v>37</v>
      </c>
      <c r="E342" s="15">
        <v>11</v>
      </c>
      <c r="F342" s="26">
        <v>0.249</v>
      </c>
      <c r="G342" s="27">
        <v>0</v>
      </c>
      <c r="H342" s="27">
        <v>0</v>
      </c>
      <c r="I342" s="27">
        <v>7.1526124999999996E-2</v>
      </c>
      <c r="J342" s="27">
        <v>0</v>
      </c>
      <c r="K342" s="27">
        <v>0</v>
      </c>
    </row>
    <row r="343" spans="1:11">
      <c r="A343" s="15">
        <v>10</v>
      </c>
      <c r="B343" s="21">
        <v>41599</v>
      </c>
      <c r="C343" s="15">
        <v>2013</v>
      </c>
      <c r="D343" s="11" t="s">
        <v>37</v>
      </c>
      <c r="E343" s="15">
        <v>11</v>
      </c>
      <c r="F343" s="26">
        <v>0.36599999999999999</v>
      </c>
      <c r="G343" s="27">
        <v>0</v>
      </c>
      <c r="H343" s="27">
        <v>0</v>
      </c>
      <c r="I343" s="27">
        <v>0.12170925000000002</v>
      </c>
      <c r="J343" s="27">
        <v>0</v>
      </c>
      <c r="K343" s="27">
        <v>0</v>
      </c>
    </row>
    <row r="344" spans="1:11">
      <c r="A344" s="15">
        <v>9</v>
      </c>
      <c r="B344" s="21">
        <v>41627</v>
      </c>
      <c r="C344" s="15">
        <v>2013</v>
      </c>
      <c r="D344" s="11" t="s">
        <v>38</v>
      </c>
      <c r="E344" s="15">
        <v>12</v>
      </c>
      <c r="F344" s="26">
        <v>0.96</v>
      </c>
      <c r="G344" s="27">
        <v>0.106555</v>
      </c>
      <c r="H344" s="27">
        <v>0</v>
      </c>
      <c r="I344" s="27">
        <v>0.30925549999999996</v>
      </c>
      <c r="J344" s="27">
        <v>0</v>
      </c>
      <c r="K344" s="27">
        <v>0</v>
      </c>
    </row>
    <row r="345" spans="1:11">
      <c r="A345" s="15">
        <v>10</v>
      </c>
      <c r="B345" s="21">
        <v>41627</v>
      </c>
      <c r="C345" s="15">
        <v>2013</v>
      </c>
      <c r="D345" s="11" t="s">
        <v>38</v>
      </c>
      <c r="E345" s="15">
        <v>12</v>
      </c>
      <c r="F345" s="26">
        <v>1.0349999999999999</v>
      </c>
      <c r="G345" s="27">
        <v>0.10052262499999999</v>
      </c>
      <c r="H345" s="27">
        <v>0</v>
      </c>
      <c r="I345" s="27">
        <v>0.32358849999999995</v>
      </c>
      <c r="J345" s="27">
        <v>0</v>
      </c>
      <c r="K345" s="27">
        <v>0</v>
      </c>
    </row>
    <row r="346" spans="1:11">
      <c r="A346" s="15">
        <v>9</v>
      </c>
      <c r="B346" s="21">
        <v>41655</v>
      </c>
      <c r="C346" s="15">
        <v>2014</v>
      </c>
      <c r="D346" s="11" t="s">
        <v>39</v>
      </c>
      <c r="E346" s="15">
        <v>1</v>
      </c>
      <c r="F346" s="26">
        <v>1.9850000000000001</v>
      </c>
      <c r="G346" s="27">
        <v>6.830512499999998E-2</v>
      </c>
      <c r="H346" s="27">
        <v>0</v>
      </c>
      <c r="I346" s="27">
        <v>0.7155897499999998</v>
      </c>
      <c r="J346" s="27">
        <v>0</v>
      </c>
      <c r="K346" s="27">
        <v>0</v>
      </c>
    </row>
    <row r="347" spans="1:11">
      <c r="A347" s="15">
        <v>10</v>
      </c>
      <c r="B347" s="21">
        <v>41655</v>
      </c>
      <c r="C347" s="15">
        <v>2014</v>
      </c>
      <c r="D347" s="11" t="s">
        <v>39</v>
      </c>
      <c r="E347" s="15">
        <v>1</v>
      </c>
      <c r="F347" s="26">
        <v>1.8129999999999999</v>
      </c>
      <c r="G347" s="27">
        <v>6.598649999999999E-2</v>
      </c>
      <c r="H347" s="27">
        <v>0</v>
      </c>
      <c r="I347" s="27">
        <v>0.60328387500000002</v>
      </c>
      <c r="J347" s="27">
        <v>0</v>
      </c>
      <c r="K347" s="27">
        <v>0</v>
      </c>
    </row>
    <row r="348" spans="1:11">
      <c r="A348" s="15">
        <v>9</v>
      </c>
      <c r="B348" s="21">
        <v>41690</v>
      </c>
      <c r="C348" s="15">
        <v>2014</v>
      </c>
      <c r="D348" s="11" t="s">
        <v>28</v>
      </c>
      <c r="E348" s="15">
        <v>2</v>
      </c>
      <c r="F348" s="26">
        <v>3.0960000000000001</v>
      </c>
      <c r="G348" s="27">
        <v>3.5241124999999991E-2</v>
      </c>
      <c r="H348" s="27">
        <v>0</v>
      </c>
      <c r="I348" s="27">
        <v>1.2233618749999999</v>
      </c>
      <c r="J348" s="27">
        <v>2.8504000000000002E-2</v>
      </c>
      <c r="K348" s="27">
        <v>0</v>
      </c>
    </row>
    <row r="349" spans="1:11">
      <c r="A349" s="15">
        <v>10</v>
      </c>
      <c r="B349" s="21">
        <v>41690</v>
      </c>
      <c r="C349" s="15">
        <v>2014</v>
      </c>
      <c r="D349" s="11" t="s">
        <v>28</v>
      </c>
      <c r="E349" s="15">
        <v>2</v>
      </c>
      <c r="F349" s="26">
        <v>4.5090000000000003</v>
      </c>
      <c r="G349" s="27">
        <v>0.18684400000000001</v>
      </c>
      <c r="H349" s="27">
        <v>0</v>
      </c>
      <c r="I349" s="27">
        <v>1.7310584999999996</v>
      </c>
      <c r="J349" s="27">
        <v>3.91735E-2</v>
      </c>
      <c r="K349" s="27">
        <v>0</v>
      </c>
    </row>
    <row r="350" spans="1:11">
      <c r="A350" s="15">
        <v>9</v>
      </c>
      <c r="B350" s="21">
        <v>41718</v>
      </c>
      <c r="C350" s="15">
        <v>2014</v>
      </c>
      <c r="D350" s="11" t="s">
        <v>29</v>
      </c>
      <c r="E350" s="15">
        <v>3</v>
      </c>
      <c r="F350" s="26">
        <v>6.6929999999999996</v>
      </c>
      <c r="G350" s="27">
        <v>0.183051625</v>
      </c>
      <c r="H350" s="27">
        <v>0</v>
      </c>
      <c r="I350" s="27">
        <v>3.2065438749999995</v>
      </c>
      <c r="J350" s="27">
        <v>3.2197749999999997E-2</v>
      </c>
      <c r="K350" s="27">
        <v>0</v>
      </c>
    </row>
    <row r="351" spans="1:11">
      <c r="A351" s="15">
        <v>10</v>
      </c>
      <c r="B351" s="21">
        <v>41718</v>
      </c>
      <c r="C351" s="15">
        <v>2014</v>
      </c>
      <c r="D351" s="11" t="s">
        <v>29</v>
      </c>
      <c r="E351" s="15">
        <v>3</v>
      </c>
      <c r="F351" s="26">
        <v>4.5419999999999998</v>
      </c>
      <c r="G351" s="27">
        <v>8.6282624999999988E-2</v>
      </c>
      <c r="H351" s="27">
        <v>0</v>
      </c>
      <c r="I351" s="27">
        <v>2.0590714999999999</v>
      </c>
      <c r="J351" s="27">
        <v>5.8065125000000002E-2</v>
      </c>
      <c r="K351" s="27">
        <v>0</v>
      </c>
    </row>
    <row r="352" spans="1:11">
      <c r="A352" s="15">
        <v>9</v>
      </c>
      <c r="B352" s="21">
        <v>41750</v>
      </c>
      <c r="C352" s="15">
        <v>2014</v>
      </c>
      <c r="D352" s="11" t="s">
        <v>30</v>
      </c>
      <c r="E352" s="15">
        <v>4</v>
      </c>
      <c r="F352" s="33">
        <v>2.2000000000000002</v>
      </c>
      <c r="G352" s="27">
        <v>7.7988125000000005E-2</v>
      </c>
      <c r="H352" s="27">
        <v>0</v>
      </c>
      <c r="I352" s="27">
        <v>0.50230862499999995</v>
      </c>
      <c r="J352" s="27">
        <v>8.629249999999998E-3</v>
      </c>
      <c r="K352" s="27">
        <v>0</v>
      </c>
    </row>
    <row r="353" spans="1:11">
      <c r="A353" s="15">
        <v>10</v>
      </c>
      <c r="B353" s="21">
        <v>41750</v>
      </c>
      <c r="C353" s="15">
        <v>2014</v>
      </c>
      <c r="D353" s="11" t="s">
        <v>30</v>
      </c>
      <c r="E353" s="15">
        <v>4</v>
      </c>
      <c r="F353" s="33">
        <v>1.27</v>
      </c>
      <c r="G353" s="27">
        <v>3.6122624999999992E-2</v>
      </c>
      <c r="H353" s="27">
        <v>0</v>
      </c>
      <c r="I353" s="27">
        <v>0.44457325000000003</v>
      </c>
      <c r="J353" s="27">
        <v>1.2682125000000001E-2</v>
      </c>
      <c r="K353" s="27">
        <v>0</v>
      </c>
    </row>
    <row r="354" spans="1:11">
      <c r="A354" s="15">
        <v>9</v>
      </c>
      <c r="B354" s="21">
        <v>41406</v>
      </c>
      <c r="C354" s="15">
        <v>2014</v>
      </c>
      <c r="D354" s="11" t="s">
        <v>31</v>
      </c>
      <c r="E354" s="15">
        <v>5</v>
      </c>
      <c r="F354" s="33">
        <v>0.90700000000000003</v>
      </c>
      <c r="G354" s="27">
        <v>0</v>
      </c>
      <c r="H354" s="27">
        <v>0</v>
      </c>
      <c r="I354" s="27">
        <v>0.10242124999999999</v>
      </c>
      <c r="J354" s="27">
        <v>0</v>
      </c>
      <c r="K354" s="27">
        <v>0</v>
      </c>
    </row>
    <row r="355" spans="1:11">
      <c r="A355" s="15">
        <v>10</v>
      </c>
      <c r="B355" s="21">
        <v>41406</v>
      </c>
      <c r="C355" s="15">
        <v>2014</v>
      </c>
      <c r="D355" s="11" t="s">
        <v>31</v>
      </c>
      <c r="E355" s="15">
        <v>5</v>
      </c>
      <c r="F355" s="33">
        <v>3.2</v>
      </c>
      <c r="G355" s="27">
        <v>0.12266775000000001</v>
      </c>
      <c r="H355" s="27">
        <v>0</v>
      </c>
      <c r="I355" s="27">
        <v>0.71002425000000002</v>
      </c>
      <c r="J355" s="27">
        <v>2.5636874999999996E-2</v>
      </c>
      <c r="K355" s="27">
        <v>0</v>
      </c>
    </row>
    <row r="356" spans="1:11">
      <c r="A356" s="15">
        <v>9</v>
      </c>
      <c r="B356" s="21">
        <v>41807</v>
      </c>
      <c r="C356" s="15">
        <v>2014</v>
      </c>
      <c r="D356" s="11" t="s">
        <v>32</v>
      </c>
      <c r="E356" s="15">
        <v>6</v>
      </c>
      <c r="F356" s="33">
        <v>3.6440000000000001</v>
      </c>
      <c r="G356" s="27">
        <v>8.2667749999999984E-2</v>
      </c>
      <c r="H356" s="27">
        <v>0</v>
      </c>
      <c r="I356" s="27">
        <v>1.6596043749999996</v>
      </c>
      <c r="J356" s="27">
        <v>3.9655500000000003E-2</v>
      </c>
      <c r="K356" s="27">
        <v>0</v>
      </c>
    </row>
    <row r="357" spans="1:11">
      <c r="A357" s="15">
        <v>10</v>
      </c>
      <c r="B357" s="21">
        <v>41807</v>
      </c>
      <c r="C357" s="15">
        <v>2014</v>
      </c>
      <c r="D357" s="11" t="s">
        <v>32</v>
      </c>
      <c r="E357" s="15">
        <v>6</v>
      </c>
      <c r="F357" s="33">
        <v>5.5940000000000003</v>
      </c>
      <c r="G357" s="27">
        <v>3.141737499999999E-2</v>
      </c>
      <c r="H357" s="27">
        <v>0</v>
      </c>
      <c r="I357" s="27">
        <v>2.7114461250000002</v>
      </c>
      <c r="J357" s="27">
        <v>6.071725E-2</v>
      </c>
      <c r="K357" s="27">
        <v>0</v>
      </c>
    </row>
    <row r="358" spans="1:11">
      <c r="A358" s="15">
        <v>9</v>
      </c>
      <c r="B358" s="21">
        <v>41837</v>
      </c>
      <c r="C358" s="15">
        <v>2014</v>
      </c>
      <c r="D358" s="11" t="s">
        <v>33</v>
      </c>
      <c r="E358" s="15">
        <v>7</v>
      </c>
      <c r="F358" s="33">
        <v>5.2190000000000003</v>
      </c>
      <c r="G358" s="27">
        <v>0.13660899999999998</v>
      </c>
      <c r="H358" s="27">
        <v>0</v>
      </c>
      <c r="I358" s="27">
        <v>2.1525809999999996</v>
      </c>
      <c r="J358" s="27">
        <v>3.2733375000000002E-2</v>
      </c>
      <c r="K358" s="27">
        <v>0</v>
      </c>
    </row>
    <row r="359" spans="1:11">
      <c r="A359" s="15">
        <v>10</v>
      </c>
      <c r="B359" s="21">
        <v>41837</v>
      </c>
      <c r="C359" s="15">
        <v>2014</v>
      </c>
      <c r="D359" s="11" t="s">
        <v>33</v>
      </c>
      <c r="E359" s="15">
        <v>7</v>
      </c>
      <c r="F359" s="33">
        <v>6.8840000000000003</v>
      </c>
      <c r="G359" s="27">
        <v>5.9347124999999994E-2</v>
      </c>
      <c r="H359" s="27">
        <v>0</v>
      </c>
      <c r="I359" s="27">
        <v>2.8825774999999996</v>
      </c>
      <c r="J359" s="27">
        <v>0.23456362500000003</v>
      </c>
      <c r="K359" s="27">
        <v>0</v>
      </c>
    </row>
    <row r="360" spans="1:11">
      <c r="A360" s="15">
        <v>9</v>
      </c>
      <c r="B360" s="21">
        <v>41862</v>
      </c>
      <c r="C360" s="15">
        <v>2014</v>
      </c>
      <c r="D360" s="11" t="s">
        <v>34</v>
      </c>
      <c r="E360" s="15">
        <v>8</v>
      </c>
      <c r="F360" s="33">
        <v>9.9480000000000004</v>
      </c>
      <c r="G360" s="27">
        <v>0.42253825</v>
      </c>
      <c r="H360" s="27">
        <v>0</v>
      </c>
      <c r="I360" s="27">
        <v>3.8472354999999996</v>
      </c>
      <c r="J360" s="27">
        <v>7.8044125000000006E-2</v>
      </c>
      <c r="K360" s="27">
        <v>0</v>
      </c>
    </row>
    <row r="361" spans="1:11">
      <c r="A361" s="15">
        <v>10</v>
      </c>
      <c r="B361" s="21">
        <v>41862</v>
      </c>
      <c r="C361" s="15">
        <v>2014</v>
      </c>
      <c r="D361" s="11" t="s">
        <v>34</v>
      </c>
      <c r="E361" s="15">
        <v>8</v>
      </c>
      <c r="F361" s="33">
        <v>6.9889999999999999</v>
      </c>
      <c r="G361" s="27">
        <v>0.154294875</v>
      </c>
      <c r="H361" s="27">
        <v>0</v>
      </c>
      <c r="I361" s="27">
        <v>2.4611800000000001</v>
      </c>
      <c r="J361" s="27">
        <v>8.3518624999999985E-2</v>
      </c>
      <c r="K361" s="27">
        <v>0</v>
      </c>
    </row>
    <row r="362" spans="1:11">
      <c r="A362" s="15">
        <v>9</v>
      </c>
      <c r="B362" s="21">
        <v>41897</v>
      </c>
      <c r="C362" s="15">
        <v>2014</v>
      </c>
      <c r="D362" s="11" t="s">
        <v>40</v>
      </c>
      <c r="E362" s="15">
        <v>9</v>
      </c>
      <c r="F362" s="33">
        <v>1.9710000000000001</v>
      </c>
      <c r="G362" s="27">
        <v>5.0098124999999993E-2</v>
      </c>
      <c r="H362" s="27">
        <v>0</v>
      </c>
      <c r="I362" s="27">
        <v>0.46316999999999997</v>
      </c>
      <c r="J362" s="27">
        <v>2.2410500000000003E-2</v>
      </c>
      <c r="K362" s="27">
        <v>0</v>
      </c>
    </row>
    <row r="363" spans="1:11">
      <c r="A363" s="15">
        <v>10</v>
      </c>
      <c r="B363" s="21">
        <v>41897</v>
      </c>
      <c r="C363" s="15">
        <v>2014</v>
      </c>
      <c r="D363" s="11" t="s">
        <v>40</v>
      </c>
      <c r="E363" s="15">
        <v>9</v>
      </c>
      <c r="F363" s="33">
        <v>2.0739999999999998</v>
      </c>
      <c r="G363" s="27">
        <v>0</v>
      </c>
      <c r="H363" s="27">
        <v>0</v>
      </c>
      <c r="I363" s="27">
        <v>0.527969625</v>
      </c>
      <c r="J363" s="27">
        <v>2.2668999999999995E-2</v>
      </c>
      <c r="K363" s="27">
        <v>0</v>
      </c>
    </row>
    <row r="364" spans="1:11">
      <c r="A364" s="15">
        <v>9</v>
      </c>
      <c r="B364" s="21">
        <v>41928</v>
      </c>
      <c r="C364" s="15">
        <v>2014</v>
      </c>
      <c r="D364" s="11" t="s">
        <v>36</v>
      </c>
      <c r="E364" s="15">
        <v>10</v>
      </c>
      <c r="F364" s="26">
        <v>1.5629999999999999</v>
      </c>
      <c r="G364" s="27">
        <v>0</v>
      </c>
      <c r="H364" s="27">
        <v>0</v>
      </c>
      <c r="I364" s="27">
        <v>0.58754949999999984</v>
      </c>
      <c r="J364" s="27">
        <v>0</v>
      </c>
      <c r="K364" s="27">
        <v>0</v>
      </c>
    </row>
    <row r="365" spans="1:11">
      <c r="A365" s="15">
        <v>10</v>
      </c>
      <c r="B365" s="21">
        <v>41928</v>
      </c>
      <c r="C365" s="15">
        <v>2014</v>
      </c>
      <c r="D365" s="11" t="s">
        <v>36</v>
      </c>
      <c r="E365" s="15">
        <v>10</v>
      </c>
      <c r="F365" s="26">
        <v>1.704</v>
      </c>
      <c r="G365" s="27">
        <v>0</v>
      </c>
      <c r="H365" s="27">
        <v>0</v>
      </c>
      <c r="I365" s="27">
        <v>0.38177850000000002</v>
      </c>
      <c r="J365" s="27">
        <v>0.11469724999999999</v>
      </c>
      <c r="K365" s="27">
        <v>0</v>
      </c>
    </row>
    <row r="366" spans="1:11">
      <c r="A366" s="15">
        <v>9</v>
      </c>
      <c r="B366" s="21">
        <v>41955</v>
      </c>
      <c r="C366" s="15">
        <v>2014</v>
      </c>
      <c r="D366" s="11" t="s">
        <v>37</v>
      </c>
      <c r="E366" s="15">
        <v>11</v>
      </c>
      <c r="F366" s="26">
        <v>0.51700000000000002</v>
      </c>
      <c r="G366" s="27">
        <v>0</v>
      </c>
      <c r="H366" s="27">
        <v>0</v>
      </c>
      <c r="I366" s="27">
        <v>0.13433074999999997</v>
      </c>
      <c r="J366" s="27">
        <v>0</v>
      </c>
      <c r="K366" s="27">
        <v>0</v>
      </c>
    </row>
    <row r="367" spans="1:11">
      <c r="A367" s="15">
        <v>10</v>
      </c>
      <c r="B367" s="21">
        <v>41955</v>
      </c>
      <c r="C367" s="15">
        <v>2014</v>
      </c>
      <c r="D367" s="11" t="s">
        <v>37</v>
      </c>
      <c r="E367" s="15">
        <v>11</v>
      </c>
      <c r="F367" s="26">
        <v>0.57899999999999996</v>
      </c>
      <c r="G367" s="27">
        <v>0</v>
      </c>
      <c r="H367" s="27">
        <v>0</v>
      </c>
      <c r="I367" s="27">
        <v>0.17754025000000004</v>
      </c>
      <c r="J367" s="27">
        <v>0</v>
      </c>
      <c r="K367" s="27">
        <v>0</v>
      </c>
    </row>
    <row r="368" spans="1:11">
      <c r="A368" s="15">
        <v>9</v>
      </c>
      <c r="B368" s="21">
        <v>41992</v>
      </c>
      <c r="C368" s="15">
        <v>2014</v>
      </c>
      <c r="D368" s="11" t="s">
        <v>38</v>
      </c>
      <c r="E368" s="15">
        <v>12</v>
      </c>
      <c r="F368" s="26">
        <v>0.72499999999999998</v>
      </c>
      <c r="G368" s="27">
        <v>8.8569499999999968E-2</v>
      </c>
      <c r="H368" s="27">
        <v>0</v>
      </c>
      <c r="I368" s="27">
        <v>0.13081862499999999</v>
      </c>
      <c r="J368" s="27">
        <v>0</v>
      </c>
      <c r="K368" s="27">
        <v>0</v>
      </c>
    </row>
    <row r="369" spans="1:11">
      <c r="A369" s="15">
        <v>10</v>
      </c>
      <c r="B369" s="21">
        <v>41992</v>
      </c>
      <c r="C369" s="15">
        <v>2014</v>
      </c>
      <c r="D369" s="11" t="s">
        <v>38</v>
      </c>
      <c r="E369" s="15">
        <v>12</v>
      </c>
      <c r="F369" s="26">
        <v>1.506</v>
      </c>
      <c r="G369" s="27">
        <v>0.29615825000000001</v>
      </c>
      <c r="H369" s="27">
        <v>0</v>
      </c>
      <c r="I369" s="27">
        <v>0.18640537500000001</v>
      </c>
      <c r="J369" s="27">
        <v>0</v>
      </c>
      <c r="K369" s="27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8"/>
  <sheetViews>
    <sheetView topLeftCell="A345" workbookViewId="0">
      <selection activeCell="F3" sqref="F3:K368"/>
    </sheetView>
  </sheetViews>
  <sheetFormatPr defaultColWidth="8.85546875" defaultRowHeight="15"/>
  <sheetData>
    <row r="1" spans="1:12" ht="18">
      <c r="F1" s="1" t="s">
        <v>0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</row>
    <row r="2" spans="1:12" ht="25.5">
      <c r="A2" s="2" t="s">
        <v>2</v>
      </c>
      <c r="B2" s="3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7" t="s">
        <v>13</v>
      </c>
    </row>
    <row r="3" spans="1:12">
      <c r="A3" s="8">
        <v>9</v>
      </c>
      <c r="B3" s="9">
        <v>36446</v>
      </c>
      <c r="C3" s="10">
        <v>1999</v>
      </c>
      <c r="D3" s="11" t="s">
        <v>14</v>
      </c>
      <c r="E3" s="12">
        <v>10</v>
      </c>
      <c r="F3" s="13">
        <v>0.81480390855350104</v>
      </c>
      <c r="G3" s="13">
        <v>0</v>
      </c>
      <c r="H3" s="13">
        <v>0</v>
      </c>
      <c r="I3" s="13">
        <v>8.4785111499999996E-2</v>
      </c>
      <c r="J3" s="13">
        <v>0</v>
      </c>
      <c r="K3" s="14" t="s">
        <v>15</v>
      </c>
    </row>
    <row r="4" spans="1:12">
      <c r="A4" s="8">
        <v>10</v>
      </c>
      <c r="B4" s="9">
        <v>36446</v>
      </c>
      <c r="C4" s="10">
        <v>1999</v>
      </c>
      <c r="D4" s="11" t="s">
        <v>14</v>
      </c>
      <c r="E4" s="12">
        <v>10</v>
      </c>
      <c r="F4" s="13">
        <v>1.0560991827525938</v>
      </c>
      <c r="G4" s="13">
        <v>0</v>
      </c>
      <c r="H4" s="13">
        <v>0</v>
      </c>
      <c r="I4" s="13">
        <v>0.18236785699999999</v>
      </c>
      <c r="J4" s="13">
        <v>0</v>
      </c>
      <c r="K4" s="14" t="s">
        <v>15</v>
      </c>
    </row>
    <row r="5" spans="1:12">
      <c r="A5" s="8">
        <v>9</v>
      </c>
      <c r="B5" s="9">
        <v>36473</v>
      </c>
      <c r="C5" s="10">
        <v>1999</v>
      </c>
      <c r="D5" s="11" t="s">
        <v>16</v>
      </c>
      <c r="E5" s="10">
        <v>11</v>
      </c>
      <c r="F5" s="13">
        <v>0.50144492594905754</v>
      </c>
      <c r="G5" s="13">
        <v>0</v>
      </c>
      <c r="H5" s="13">
        <v>0</v>
      </c>
      <c r="I5" s="13">
        <v>0.19313916750000001</v>
      </c>
      <c r="J5" s="13">
        <v>0</v>
      </c>
      <c r="K5" s="14" t="s">
        <v>15</v>
      </c>
    </row>
    <row r="6" spans="1:12">
      <c r="A6" s="8">
        <v>10</v>
      </c>
      <c r="B6" s="9">
        <v>36473</v>
      </c>
      <c r="C6" s="10">
        <v>1999</v>
      </c>
      <c r="D6" s="11" t="s">
        <v>16</v>
      </c>
      <c r="E6" s="10">
        <v>11</v>
      </c>
      <c r="F6" s="13">
        <v>0.60564519988186705</v>
      </c>
      <c r="G6" s="13">
        <v>0</v>
      </c>
      <c r="H6" s="13">
        <v>0</v>
      </c>
      <c r="I6" s="13">
        <v>0.14116971983333332</v>
      </c>
      <c r="J6" s="13">
        <v>0</v>
      </c>
      <c r="K6" s="14" t="s">
        <v>15</v>
      </c>
    </row>
    <row r="7" spans="1:12">
      <c r="A7" s="8">
        <v>9</v>
      </c>
      <c r="B7" s="9">
        <v>36502</v>
      </c>
      <c r="C7" s="10">
        <v>1999</v>
      </c>
      <c r="D7" s="11" t="s">
        <v>17</v>
      </c>
      <c r="E7" s="10">
        <v>12</v>
      </c>
      <c r="F7" s="13">
        <v>0.34286829680411729</v>
      </c>
      <c r="G7" s="13">
        <v>0</v>
      </c>
      <c r="H7" s="13">
        <v>0</v>
      </c>
      <c r="I7" s="13">
        <v>7.697356050000001E-2</v>
      </c>
      <c r="J7" s="13">
        <v>0</v>
      </c>
      <c r="K7" s="14" t="s">
        <v>15</v>
      </c>
    </row>
    <row r="8" spans="1:12">
      <c r="A8" s="8">
        <v>10</v>
      </c>
      <c r="B8" s="9">
        <v>36502</v>
      </c>
      <c r="C8" s="10">
        <v>1999</v>
      </c>
      <c r="D8" s="11" t="s">
        <v>17</v>
      </c>
      <c r="E8" s="10">
        <v>12</v>
      </c>
      <c r="F8" s="13">
        <v>0.57065639539668933</v>
      </c>
      <c r="G8" s="13">
        <v>0</v>
      </c>
      <c r="H8" s="13">
        <v>0</v>
      </c>
      <c r="I8" s="13">
        <v>0.1314135105</v>
      </c>
      <c r="J8" s="13">
        <v>0</v>
      </c>
      <c r="K8" s="14" t="s">
        <v>15</v>
      </c>
    </row>
    <row r="9" spans="1:12">
      <c r="A9" s="8">
        <v>9</v>
      </c>
      <c r="B9" s="9">
        <v>36531</v>
      </c>
      <c r="C9" s="12">
        <v>2000</v>
      </c>
      <c r="D9" s="11" t="s">
        <v>18</v>
      </c>
      <c r="E9" s="10">
        <v>1</v>
      </c>
      <c r="F9" s="13">
        <v>0.68891194013953239</v>
      </c>
      <c r="G9" s="13">
        <v>3.8110795499999996E-2</v>
      </c>
      <c r="H9" s="13">
        <v>0</v>
      </c>
      <c r="I9" s="13">
        <v>0.14787098099999998</v>
      </c>
      <c r="J9" s="13">
        <v>8.7263266666666676E-3</v>
      </c>
      <c r="K9" s="14" t="s">
        <v>15</v>
      </c>
    </row>
    <row r="10" spans="1:12">
      <c r="A10" s="8">
        <v>10</v>
      </c>
      <c r="B10" s="9">
        <v>36531</v>
      </c>
      <c r="C10" s="12">
        <v>2000</v>
      </c>
      <c r="D10" s="11" t="s">
        <v>18</v>
      </c>
      <c r="E10" s="10">
        <v>1</v>
      </c>
      <c r="F10" s="13">
        <v>1.3492125675996263</v>
      </c>
      <c r="G10" s="13">
        <v>8.8991653833333337E-2</v>
      </c>
      <c r="H10" s="13">
        <v>0</v>
      </c>
      <c r="I10" s="13">
        <v>0.24209738250000001</v>
      </c>
      <c r="J10" s="13">
        <v>1.2293805E-2</v>
      </c>
      <c r="K10" s="14" t="s">
        <v>15</v>
      </c>
    </row>
    <row r="11" spans="1:12">
      <c r="A11" s="8">
        <v>9</v>
      </c>
      <c r="B11" s="9">
        <v>36578</v>
      </c>
      <c r="C11" s="12">
        <v>2000</v>
      </c>
      <c r="D11" s="11" t="s">
        <v>19</v>
      </c>
      <c r="E11" s="12">
        <v>2</v>
      </c>
      <c r="F11" s="13">
        <v>4.9123786024972533</v>
      </c>
      <c r="G11" s="13">
        <v>4.3543992666666663E-2</v>
      </c>
      <c r="H11" s="13">
        <v>0</v>
      </c>
      <c r="I11" s="13">
        <v>1.8182539691666668</v>
      </c>
      <c r="J11" s="13">
        <v>1.4233745833333335E-2</v>
      </c>
      <c r="K11" s="14" t="s">
        <v>15</v>
      </c>
    </row>
    <row r="12" spans="1:12">
      <c r="A12" s="8">
        <v>10</v>
      </c>
      <c r="B12" s="9">
        <v>36578</v>
      </c>
      <c r="C12" s="12">
        <v>2000</v>
      </c>
      <c r="D12" s="11" t="s">
        <v>19</v>
      </c>
      <c r="E12" s="12">
        <v>2</v>
      </c>
      <c r="F12" s="13">
        <v>4.5288761327930205</v>
      </c>
      <c r="G12" s="13">
        <v>0.23005821766666665</v>
      </c>
      <c r="H12" s="13">
        <v>0</v>
      </c>
      <c r="I12" s="13">
        <v>1.3623071748333331</v>
      </c>
      <c r="J12" s="13">
        <v>5.8047265000000001E-2</v>
      </c>
      <c r="K12" s="14" t="s">
        <v>15</v>
      </c>
    </row>
    <row r="13" spans="1:12">
      <c r="A13" s="8">
        <v>9</v>
      </c>
      <c r="B13" s="9">
        <v>36599</v>
      </c>
      <c r="C13" s="12">
        <v>2000</v>
      </c>
      <c r="D13" s="11" t="s">
        <v>20</v>
      </c>
      <c r="E13" s="12">
        <v>3</v>
      </c>
      <c r="F13" s="13">
        <v>0.85382744653759191</v>
      </c>
      <c r="G13" s="13">
        <v>3.034977416666667E-2</v>
      </c>
      <c r="H13" s="13">
        <v>0</v>
      </c>
      <c r="I13" s="13">
        <v>0.21243101683333332</v>
      </c>
      <c r="J13" s="13">
        <v>1.3439004333333332E-2</v>
      </c>
      <c r="K13" s="14" t="s">
        <v>15</v>
      </c>
    </row>
    <row r="14" spans="1:12">
      <c r="A14" s="8">
        <v>10</v>
      </c>
      <c r="B14" s="9">
        <v>36599</v>
      </c>
      <c r="C14" s="12">
        <v>2000</v>
      </c>
      <c r="D14" s="11" t="s">
        <v>20</v>
      </c>
      <c r="E14" s="12">
        <v>3</v>
      </c>
      <c r="F14" s="13">
        <v>1.8556943782286839</v>
      </c>
      <c r="G14" s="13">
        <v>9.0233194999999988E-2</v>
      </c>
      <c r="H14" s="13">
        <v>0</v>
      </c>
      <c r="I14" s="13">
        <v>0.32125252466666665</v>
      </c>
      <c r="J14" s="13">
        <v>1.3369499833333333E-2</v>
      </c>
      <c r="K14" s="14" t="s">
        <v>15</v>
      </c>
    </row>
    <row r="15" spans="1:12">
      <c r="A15" s="8">
        <v>9</v>
      </c>
      <c r="B15" s="9">
        <v>36626</v>
      </c>
      <c r="C15" s="12">
        <v>2000</v>
      </c>
      <c r="D15" s="15" t="s">
        <v>21</v>
      </c>
      <c r="E15" s="12">
        <v>4</v>
      </c>
      <c r="F15" s="13">
        <v>0.98931851157363693</v>
      </c>
      <c r="G15" s="13">
        <v>1.6802372166666666E-2</v>
      </c>
      <c r="H15" s="13">
        <v>0</v>
      </c>
      <c r="I15" s="13">
        <v>0.20023156183333332</v>
      </c>
      <c r="J15" s="13">
        <v>0</v>
      </c>
      <c r="K15" s="14" t="s">
        <v>15</v>
      </c>
    </row>
    <row r="16" spans="1:12">
      <c r="A16" s="8">
        <v>10</v>
      </c>
      <c r="B16" s="9">
        <v>36626</v>
      </c>
      <c r="C16" s="12">
        <v>2000</v>
      </c>
      <c r="D16" s="15" t="s">
        <v>21</v>
      </c>
      <c r="E16" s="12">
        <v>4</v>
      </c>
      <c r="F16" s="13">
        <v>1.4558117858405109</v>
      </c>
      <c r="G16" s="13">
        <v>2.5804200833333332E-2</v>
      </c>
      <c r="H16" s="13">
        <v>0</v>
      </c>
      <c r="I16" s="13">
        <v>0.36165696866666663</v>
      </c>
      <c r="J16" s="13">
        <v>8.9873616666666673E-3</v>
      </c>
      <c r="K16" s="14" t="s">
        <v>15</v>
      </c>
    </row>
    <row r="17" spans="1:11">
      <c r="A17" s="8">
        <v>9</v>
      </c>
      <c r="B17" s="9">
        <v>36663</v>
      </c>
      <c r="C17" s="12">
        <v>2000</v>
      </c>
      <c r="D17" s="15" t="s">
        <v>22</v>
      </c>
      <c r="E17" s="12">
        <v>5</v>
      </c>
      <c r="F17" s="13">
        <v>2.0611459375832135</v>
      </c>
      <c r="G17" s="13">
        <v>0</v>
      </c>
      <c r="H17" s="13">
        <v>0</v>
      </c>
      <c r="I17" s="13">
        <v>0.44602389999999997</v>
      </c>
      <c r="J17" s="13">
        <v>0</v>
      </c>
      <c r="K17" s="14" t="s">
        <v>15</v>
      </c>
    </row>
    <row r="18" spans="1:11">
      <c r="A18" s="8">
        <v>10</v>
      </c>
      <c r="B18" s="9">
        <v>36663</v>
      </c>
      <c r="C18" s="12">
        <v>2000</v>
      </c>
      <c r="D18" s="15" t="s">
        <v>22</v>
      </c>
      <c r="E18" s="12">
        <v>5</v>
      </c>
      <c r="F18" s="13">
        <v>2.2679517126852482</v>
      </c>
      <c r="G18" s="13">
        <v>0</v>
      </c>
      <c r="H18" s="13">
        <v>3.2284879666666669E-2</v>
      </c>
      <c r="I18" s="13">
        <v>0.33529936299999996</v>
      </c>
      <c r="J18" s="13">
        <v>1.5154397999999999E-2</v>
      </c>
      <c r="K18" s="14" t="s">
        <v>15</v>
      </c>
    </row>
    <row r="19" spans="1:11">
      <c r="A19" s="8">
        <v>9</v>
      </c>
      <c r="B19" s="9">
        <v>36692</v>
      </c>
      <c r="C19" s="12">
        <v>2000</v>
      </c>
      <c r="D19" s="15" t="s">
        <v>23</v>
      </c>
      <c r="E19" s="12">
        <v>6</v>
      </c>
      <c r="F19" s="13">
        <v>3.1162979370312809</v>
      </c>
      <c r="G19" s="13">
        <v>4.6100982499999998E-2</v>
      </c>
      <c r="H19" s="13">
        <v>2.4104433166666665E-2</v>
      </c>
      <c r="I19" s="13">
        <v>0.87048431716666674</v>
      </c>
      <c r="J19" s="13">
        <v>4.3769174666666667E-2</v>
      </c>
      <c r="K19" s="14" t="s">
        <v>15</v>
      </c>
    </row>
    <row r="20" spans="1:11">
      <c r="A20" s="8">
        <v>10</v>
      </c>
      <c r="B20" s="9">
        <v>36692</v>
      </c>
      <c r="C20" s="12">
        <v>2000</v>
      </c>
      <c r="D20" s="15" t="s">
        <v>23</v>
      </c>
      <c r="E20" s="12">
        <v>6</v>
      </c>
      <c r="F20" s="13">
        <v>5.0290643195011295</v>
      </c>
      <c r="G20" s="13">
        <v>5.9274129500000008E-2</v>
      </c>
      <c r="H20" s="13">
        <v>0</v>
      </c>
      <c r="I20" s="13">
        <v>1.2113576581666667</v>
      </c>
      <c r="J20" s="13">
        <v>5.8476871999999999E-2</v>
      </c>
      <c r="K20" s="14" t="s">
        <v>15</v>
      </c>
    </row>
    <row r="21" spans="1:11">
      <c r="A21" s="8">
        <v>9</v>
      </c>
      <c r="B21" s="9">
        <v>36719</v>
      </c>
      <c r="C21" s="12">
        <v>2000</v>
      </c>
      <c r="D21" s="15" t="s">
        <v>24</v>
      </c>
      <c r="E21" s="12">
        <v>7</v>
      </c>
      <c r="F21" s="13">
        <v>5.8162761812081509</v>
      </c>
      <c r="G21" s="13">
        <v>0.176551494</v>
      </c>
      <c r="H21" s="13">
        <v>0</v>
      </c>
      <c r="I21" s="13">
        <v>1.0136247988333333</v>
      </c>
      <c r="J21" s="13">
        <v>2.7404586499999998E-2</v>
      </c>
      <c r="K21" s="14" t="s">
        <v>15</v>
      </c>
    </row>
    <row r="22" spans="1:11">
      <c r="A22" s="8">
        <v>10</v>
      </c>
      <c r="B22" s="9">
        <v>36719</v>
      </c>
      <c r="C22" s="12">
        <v>2000</v>
      </c>
      <c r="D22" s="15" t="s">
        <v>24</v>
      </c>
      <c r="E22" s="12">
        <v>7</v>
      </c>
      <c r="F22" s="13">
        <v>6.6924579211511181</v>
      </c>
      <c r="G22" s="13">
        <v>0.32168926033333334</v>
      </c>
      <c r="H22" s="13">
        <v>0</v>
      </c>
      <c r="I22" s="13">
        <v>0.85006645299999983</v>
      </c>
      <c r="J22" s="13">
        <v>4.4601131999999995E-2</v>
      </c>
      <c r="K22" s="14" t="s">
        <v>15</v>
      </c>
    </row>
    <row r="23" spans="1:11">
      <c r="A23" s="8">
        <v>9</v>
      </c>
      <c r="B23" s="9">
        <v>36755</v>
      </c>
      <c r="C23" s="12">
        <v>2000</v>
      </c>
      <c r="D23" s="15" t="s">
        <v>25</v>
      </c>
      <c r="E23" s="12">
        <v>8</v>
      </c>
      <c r="F23" s="13">
        <v>0.84630613564951318</v>
      </c>
      <c r="G23" s="13">
        <v>0</v>
      </c>
      <c r="H23" s="13">
        <v>0</v>
      </c>
      <c r="I23" s="13">
        <v>8.7203826166666665E-2</v>
      </c>
      <c r="J23" s="13">
        <v>4.6644333666666669E-2</v>
      </c>
      <c r="K23" s="14" t="s">
        <v>15</v>
      </c>
    </row>
    <row r="24" spans="1:11">
      <c r="A24" s="8">
        <v>10</v>
      </c>
      <c r="B24" s="9">
        <v>36755</v>
      </c>
      <c r="C24" s="12">
        <v>2000</v>
      </c>
      <c r="D24" s="15" t="s">
        <v>25</v>
      </c>
      <c r="E24" s="12">
        <v>8</v>
      </c>
      <c r="F24" s="13">
        <v>3.5766022851941686</v>
      </c>
      <c r="G24" s="13">
        <v>3.3107205333333334E-2</v>
      </c>
      <c r="H24" s="13">
        <v>0</v>
      </c>
      <c r="I24" s="13">
        <v>0.8821704033333333</v>
      </c>
      <c r="J24" s="13">
        <v>0.15226496533333334</v>
      </c>
      <c r="K24" s="14" t="s">
        <v>15</v>
      </c>
    </row>
    <row r="25" spans="1:11">
      <c r="A25" s="8">
        <v>9</v>
      </c>
      <c r="B25" s="9">
        <v>36783</v>
      </c>
      <c r="C25" s="12">
        <v>2000</v>
      </c>
      <c r="D25" s="15" t="s">
        <v>26</v>
      </c>
      <c r="E25" s="12">
        <v>9</v>
      </c>
      <c r="F25" s="13">
        <v>1.2064864205241426</v>
      </c>
      <c r="G25" s="13">
        <v>0</v>
      </c>
      <c r="H25" s="13">
        <v>0</v>
      </c>
      <c r="I25" s="13">
        <v>0.28493469366666668</v>
      </c>
      <c r="J25" s="13">
        <v>0</v>
      </c>
      <c r="K25" s="14" t="s">
        <v>15</v>
      </c>
    </row>
    <row r="26" spans="1:11">
      <c r="A26" s="8">
        <v>10</v>
      </c>
      <c r="B26" s="9">
        <v>36783</v>
      </c>
      <c r="C26" s="12">
        <v>2000</v>
      </c>
      <c r="D26" s="15" t="s">
        <v>26</v>
      </c>
      <c r="E26" s="12">
        <v>9</v>
      </c>
      <c r="F26" s="13">
        <v>1.8004016582666416</v>
      </c>
      <c r="G26" s="13">
        <v>0</v>
      </c>
      <c r="H26" s="13">
        <v>0</v>
      </c>
      <c r="I26" s="13">
        <v>0.40206288033333337</v>
      </c>
      <c r="J26" s="13">
        <v>3.3952790999999996E-2</v>
      </c>
      <c r="K26" s="14" t="s">
        <v>15</v>
      </c>
    </row>
    <row r="27" spans="1:11">
      <c r="A27" s="8">
        <v>9</v>
      </c>
      <c r="B27" s="9">
        <v>36815</v>
      </c>
      <c r="C27" s="12">
        <v>2000</v>
      </c>
      <c r="D27" s="15" t="s">
        <v>14</v>
      </c>
      <c r="E27" s="12">
        <v>10</v>
      </c>
      <c r="F27" s="14">
        <v>0.43998358844421992</v>
      </c>
      <c r="G27" s="14">
        <v>0</v>
      </c>
      <c r="H27" s="14">
        <v>0</v>
      </c>
      <c r="I27" s="14">
        <v>8.3515265333333324E-2</v>
      </c>
      <c r="J27" s="14">
        <v>0</v>
      </c>
      <c r="K27" s="14" t="s">
        <v>15</v>
      </c>
    </row>
    <row r="28" spans="1:11">
      <c r="A28" s="8">
        <v>10</v>
      </c>
      <c r="B28" s="9">
        <v>36815</v>
      </c>
      <c r="C28" s="12">
        <v>2000</v>
      </c>
      <c r="D28" s="15" t="s">
        <v>14</v>
      </c>
      <c r="E28" s="12">
        <v>10</v>
      </c>
      <c r="F28" s="14">
        <v>1.561920699400118</v>
      </c>
      <c r="G28" s="14">
        <v>0</v>
      </c>
      <c r="H28" s="14">
        <v>0</v>
      </c>
      <c r="I28" s="14">
        <v>0.10729618283333334</v>
      </c>
      <c r="J28" s="14">
        <v>0</v>
      </c>
      <c r="K28" s="14" t="s">
        <v>15</v>
      </c>
    </row>
    <row r="29" spans="1:11">
      <c r="A29" s="8">
        <v>9</v>
      </c>
      <c r="B29" s="9">
        <v>36846</v>
      </c>
      <c r="C29" s="12">
        <v>2000</v>
      </c>
      <c r="D29" s="15" t="s">
        <v>16</v>
      </c>
      <c r="E29" s="12">
        <v>11</v>
      </c>
      <c r="F29" s="14">
        <v>0.39527561709589693</v>
      </c>
      <c r="G29" s="14">
        <v>4.855355833333333E-2</v>
      </c>
      <c r="H29" s="14">
        <v>0</v>
      </c>
      <c r="I29" s="14">
        <v>5.0439824499999994E-2</v>
      </c>
      <c r="J29" s="14">
        <v>0</v>
      </c>
      <c r="K29" s="14" t="s">
        <v>15</v>
      </c>
    </row>
    <row r="30" spans="1:11">
      <c r="A30" s="8">
        <v>10</v>
      </c>
      <c r="B30" s="9">
        <v>36846</v>
      </c>
      <c r="C30" s="12">
        <v>2000</v>
      </c>
      <c r="D30" s="15" t="s">
        <v>16</v>
      </c>
      <c r="E30" s="12">
        <v>11</v>
      </c>
      <c r="F30" s="14">
        <v>0.53991698270694943</v>
      </c>
      <c r="G30" s="14">
        <v>7.6901120666666656E-2</v>
      </c>
      <c r="H30" s="14">
        <v>0</v>
      </c>
      <c r="I30" s="14">
        <v>6.8122482166666665E-2</v>
      </c>
      <c r="J30" s="14">
        <v>0</v>
      </c>
      <c r="K30" s="14" t="s">
        <v>15</v>
      </c>
    </row>
    <row r="31" spans="1:11">
      <c r="A31" s="8">
        <v>9</v>
      </c>
      <c r="B31" s="9">
        <v>36873</v>
      </c>
      <c r="C31" s="12">
        <v>2000</v>
      </c>
      <c r="D31" s="15" t="s">
        <v>17</v>
      </c>
      <c r="E31" s="12">
        <v>12</v>
      </c>
      <c r="F31" s="16">
        <v>3.3021338846700647</v>
      </c>
      <c r="G31" s="14">
        <v>0.23999266899999999</v>
      </c>
      <c r="H31" s="14">
        <v>2.0322000999999999E-2</v>
      </c>
      <c r="I31" s="14">
        <v>0.81257933400000015</v>
      </c>
      <c r="J31" s="14">
        <v>1.5500506000000001E-2</v>
      </c>
      <c r="K31" s="14" t="s">
        <v>15</v>
      </c>
    </row>
    <row r="32" spans="1:11">
      <c r="A32" s="8">
        <v>10</v>
      </c>
      <c r="B32" s="9">
        <v>36873</v>
      </c>
      <c r="C32" s="12">
        <v>2000</v>
      </c>
      <c r="D32" s="15" t="s">
        <v>17</v>
      </c>
      <c r="E32" s="12">
        <v>12</v>
      </c>
      <c r="F32" s="16">
        <v>3.3909891865182566</v>
      </c>
      <c r="G32" s="14">
        <v>0.47868713616666669</v>
      </c>
      <c r="H32" s="14">
        <v>0</v>
      </c>
      <c r="I32" s="14">
        <v>0.60923105416666667</v>
      </c>
      <c r="J32" s="14">
        <v>1.1542359666666668E-2</v>
      </c>
      <c r="K32" s="14" t="s">
        <v>15</v>
      </c>
    </row>
    <row r="33" spans="1:11">
      <c r="A33" s="8">
        <v>9</v>
      </c>
      <c r="B33" s="9">
        <v>36902</v>
      </c>
      <c r="C33" s="12">
        <v>2001</v>
      </c>
      <c r="D33" s="15" t="s">
        <v>18</v>
      </c>
      <c r="E33" s="12">
        <v>1</v>
      </c>
      <c r="F33" s="14">
        <v>3.9184009800716293</v>
      </c>
      <c r="G33" s="14">
        <v>0.14359535350000002</v>
      </c>
      <c r="H33" s="14">
        <v>0</v>
      </c>
      <c r="I33" s="14">
        <v>1.1262679009999998</v>
      </c>
      <c r="J33" s="14">
        <v>3.4302305333333331E-2</v>
      </c>
      <c r="K33" s="14" t="s">
        <v>15</v>
      </c>
    </row>
    <row r="34" spans="1:11">
      <c r="A34" s="8">
        <v>10</v>
      </c>
      <c r="B34" s="9">
        <v>36902</v>
      </c>
      <c r="C34" s="12">
        <v>2001</v>
      </c>
      <c r="D34" s="15" t="s">
        <v>18</v>
      </c>
      <c r="E34" s="12">
        <v>1</v>
      </c>
      <c r="F34" s="14">
        <v>3.823692504941226</v>
      </c>
      <c r="G34" s="14">
        <v>0.19685372699999998</v>
      </c>
      <c r="H34" s="14">
        <v>0</v>
      </c>
      <c r="I34" s="14">
        <v>1.0502414048333333</v>
      </c>
      <c r="J34" s="14">
        <v>4.1248666833333329E-2</v>
      </c>
      <c r="K34" s="14" t="s">
        <v>15</v>
      </c>
    </row>
    <row r="35" spans="1:11">
      <c r="A35" s="12">
        <v>9</v>
      </c>
      <c r="B35" s="9">
        <v>36929</v>
      </c>
      <c r="C35" s="12">
        <v>2001</v>
      </c>
      <c r="D35" s="11" t="s">
        <v>19</v>
      </c>
      <c r="E35" s="12">
        <v>2</v>
      </c>
      <c r="F35" s="14">
        <v>3.8858306868674863</v>
      </c>
      <c r="G35" s="14">
        <v>0.178769977</v>
      </c>
      <c r="H35" s="14">
        <v>0</v>
      </c>
      <c r="I35" s="14">
        <v>0.98002927983333354</v>
      </c>
      <c r="J35" s="14">
        <v>3.1477151833333335E-2</v>
      </c>
      <c r="K35" s="14" t="s">
        <v>15</v>
      </c>
    </row>
    <row r="36" spans="1:11">
      <c r="A36" s="12">
        <v>10</v>
      </c>
      <c r="B36" s="9">
        <v>36929</v>
      </c>
      <c r="C36" s="12">
        <v>2001</v>
      </c>
      <c r="D36" s="11" t="s">
        <v>19</v>
      </c>
      <c r="E36" s="12">
        <v>2</v>
      </c>
      <c r="F36" s="14">
        <v>2.3564985082205148</v>
      </c>
      <c r="G36" s="14">
        <v>5.2544144000000001E-2</v>
      </c>
      <c r="H36" s="14">
        <v>0</v>
      </c>
      <c r="I36" s="14">
        <v>0.73837502783333331</v>
      </c>
      <c r="J36" s="14">
        <v>2.8045852E-2</v>
      </c>
      <c r="K36" s="14" t="s">
        <v>15</v>
      </c>
    </row>
    <row r="37" spans="1:11">
      <c r="A37" s="8">
        <v>9</v>
      </c>
      <c r="B37" s="9">
        <v>36962</v>
      </c>
      <c r="C37" s="12">
        <v>2001</v>
      </c>
      <c r="D37" s="11" t="s">
        <v>20</v>
      </c>
      <c r="E37" s="12">
        <v>3</v>
      </c>
      <c r="F37" s="14">
        <v>5.6073203405111141</v>
      </c>
      <c r="G37" s="14">
        <v>0</v>
      </c>
      <c r="H37" s="14">
        <v>6.6446375333333335E-2</v>
      </c>
      <c r="I37" s="14">
        <v>2.1616217910000004</v>
      </c>
      <c r="J37" s="14">
        <v>4.786379733333334E-2</v>
      </c>
      <c r="K37" s="14" t="s">
        <v>15</v>
      </c>
    </row>
    <row r="38" spans="1:11">
      <c r="A38" s="8">
        <v>10</v>
      </c>
      <c r="B38" s="9">
        <v>36962</v>
      </c>
      <c r="C38" s="12">
        <v>2001</v>
      </c>
      <c r="D38" s="11" t="s">
        <v>20</v>
      </c>
      <c r="E38" s="12">
        <v>3</v>
      </c>
      <c r="F38" s="14">
        <v>8.9202021810742398</v>
      </c>
      <c r="G38" s="14">
        <v>0</v>
      </c>
      <c r="H38" s="14">
        <v>4.3621342333333334E-2</v>
      </c>
      <c r="I38" s="14">
        <v>3.4691181279999999</v>
      </c>
      <c r="J38" s="14">
        <v>4.3873575666666671E-2</v>
      </c>
      <c r="K38" s="14" t="s">
        <v>15</v>
      </c>
    </row>
    <row r="39" spans="1:11">
      <c r="A39" s="8">
        <v>9</v>
      </c>
      <c r="B39" s="9">
        <v>36998</v>
      </c>
      <c r="C39" s="12">
        <v>2001</v>
      </c>
      <c r="D39" s="15" t="s">
        <v>21</v>
      </c>
      <c r="E39" s="12">
        <v>4</v>
      </c>
      <c r="F39" s="14">
        <v>0.8225617702714082</v>
      </c>
      <c r="G39" s="14">
        <v>0</v>
      </c>
      <c r="H39" s="14">
        <v>0</v>
      </c>
      <c r="I39" s="14">
        <v>9.8716413166666669E-2</v>
      </c>
      <c r="J39" s="14">
        <v>0</v>
      </c>
      <c r="K39" s="14" t="s">
        <v>15</v>
      </c>
    </row>
    <row r="40" spans="1:11">
      <c r="A40" s="8">
        <v>10</v>
      </c>
      <c r="B40" s="9">
        <v>36998</v>
      </c>
      <c r="C40" s="12">
        <v>2001</v>
      </c>
      <c r="D40" s="15" t="s">
        <v>21</v>
      </c>
      <c r="E40" s="12">
        <v>4</v>
      </c>
      <c r="F40" s="14">
        <v>1.6086673519985339</v>
      </c>
      <c r="G40" s="14">
        <v>5.0590574833333332E-2</v>
      </c>
      <c r="H40" s="14">
        <v>0</v>
      </c>
      <c r="I40" s="14">
        <v>9.2241906500000012E-2</v>
      </c>
      <c r="J40" s="14">
        <v>0</v>
      </c>
      <c r="K40" s="14" t="s">
        <v>15</v>
      </c>
    </row>
    <row r="41" spans="1:11">
      <c r="A41" s="8">
        <v>9</v>
      </c>
      <c r="B41" s="9">
        <v>37025</v>
      </c>
      <c r="C41" s="12">
        <v>2001</v>
      </c>
      <c r="D41" s="15" t="s">
        <v>22</v>
      </c>
      <c r="E41" s="12">
        <v>5</v>
      </c>
      <c r="F41" s="14">
        <v>0.28314253986417204</v>
      </c>
      <c r="G41" s="14">
        <v>0</v>
      </c>
      <c r="H41" s="14">
        <v>0</v>
      </c>
      <c r="I41" s="14">
        <v>1.8947262166666666E-2</v>
      </c>
      <c r="J41" s="14">
        <v>0</v>
      </c>
      <c r="K41" s="14" t="s">
        <v>15</v>
      </c>
    </row>
    <row r="42" spans="1:11">
      <c r="A42" s="8">
        <v>10</v>
      </c>
      <c r="B42" s="9">
        <v>37025</v>
      </c>
      <c r="C42" s="12">
        <v>2001</v>
      </c>
      <c r="D42" s="15" t="s">
        <v>22</v>
      </c>
      <c r="E42" s="12">
        <v>5</v>
      </c>
      <c r="F42" s="14">
        <v>0.65344968643652213</v>
      </c>
      <c r="G42" s="14">
        <v>0</v>
      </c>
      <c r="H42" s="14">
        <v>0</v>
      </c>
      <c r="I42" s="14">
        <v>5.8485468333333325E-2</v>
      </c>
      <c r="J42" s="14">
        <v>0</v>
      </c>
      <c r="K42" s="14" t="s">
        <v>15</v>
      </c>
    </row>
    <row r="43" spans="1:11">
      <c r="A43" s="8">
        <v>9</v>
      </c>
      <c r="B43" s="9">
        <v>37054</v>
      </c>
      <c r="C43" s="12">
        <v>2001</v>
      </c>
      <c r="D43" s="15" t="s">
        <v>23</v>
      </c>
      <c r="E43" s="12">
        <v>6</v>
      </c>
      <c r="F43" s="14">
        <v>1.6625532837477026</v>
      </c>
      <c r="G43" s="14">
        <v>1.8407894666666667E-2</v>
      </c>
      <c r="H43" s="14">
        <v>0</v>
      </c>
      <c r="I43" s="14">
        <v>0.20409089616666665</v>
      </c>
      <c r="J43" s="14">
        <v>7.7282085000000009E-3</v>
      </c>
      <c r="K43" s="14" t="s">
        <v>15</v>
      </c>
    </row>
    <row r="44" spans="1:11">
      <c r="A44" s="8">
        <v>10</v>
      </c>
      <c r="B44" s="9">
        <v>37054</v>
      </c>
      <c r="C44" s="12">
        <v>2001</v>
      </c>
      <c r="D44" s="15" t="s">
        <v>23</v>
      </c>
      <c r="E44" s="12">
        <v>6</v>
      </c>
      <c r="F44" s="14">
        <v>3.5693979435090388</v>
      </c>
      <c r="G44" s="14">
        <v>0.14304497849999998</v>
      </c>
      <c r="H44" s="14">
        <v>0</v>
      </c>
      <c r="I44" s="14">
        <v>0.72396400883333323</v>
      </c>
      <c r="J44" s="14">
        <v>7.8895155500000008E-2</v>
      </c>
      <c r="K44" s="14" t="s">
        <v>15</v>
      </c>
    </row>
    <row r="45" spans="1:11">
      <c r="A45" s="8">
        <v>9</v>
      </c>
      <c r="B45" s="9">
        <v>37090</v>
      </c>
      <c r="C45" s="12">
        <v>2001</v>
      </c>
      <c r="D45" s="15" t="s">
        <v>24</v>
      </c>
      <c r="E45" s="12">
        <v>7</v>
      </c>
      <c r="F45" s="14">
        <v>4.9985278325977225</v>
      </c>
      <c r="G45" s="14">
        <v>0.13826971533333332</v>
      </c>
      <c r="H45" s="14">
        <v>0</v>
      </c>
      <c r="I45" s="14">
        <v>0.70814979566666669</v>
      </c>
      <c r="J45" s="14">
        <v>0.26581602899999995</v>
      </c>
      <c r="K45" s="14" t="s">
        <v>15</v>
      </c>
    </row>
    <row r="46" spans="1:11">
      <c r="A46" s="8">
        <v>10</v>
      </c>
      <c r="B46" s="9">
        <v>37090</v>
      </c>
      <c r="C46" s="12">
        <v>2001</v>
      </c>
      <c r="D46" s="15" t="s">
        <v>24</v>
      </c>
      <c r="E46" s="12">
        <v>7</v>
      </c>
      <c r="F46" s="14">
        <v>3.9285171139776001</v>
      </c>
      <c r="G46" s="14">
        <v>0.27919601216666667</v>
      </c>
      <c r="H46" s="14">
        <v>1.53598655E-2</v>
      </c>
      <c r="I46" s="14">
        <v>0.56219915166666667</v>
      </c>
      <c r="J46" s="14">
        <v>0.15362580683333335</v>
      </c>
      <c r="K46" s="14" t="s">
        <v>15</v>
      </c>
    </row>
    <row r="47" spans="1:11">
      <c r="A47" s="8">
        <v>9</v>
      </c>
      <c r="B47" s="9">
        <v>37117</v>
      </c>
      <c r="C47" s="12">
        <v>2001</v>
      </c>
      <c r="D47" s="15" t="s">
        <v>25</v>
      </c>
      <c r="E47" s="12">
        <v>8</v>
      </c>
      <c r="F47" s="14">
        <v>3.3041615557801189</v>
      </c>
      <c r="G47" s="14">
        <v>6.1606147000000007E-2</v>
      </c>
      <c r="H47" s="14">
        <v>0</v>
      </c>
      <c r="I47" s="14">
        <v>0.54791938399999995</v>
      </c>
      <c r="J47" s="14">
        <v>8.9062940499999993E-2</v>
      </c>
      <c r="K47" s="14" t="s">
        <v>15</v>
      </c>
    </row>
    <row r="48" spans="1:11">
      <c r="A48" s="8">
        <v>10</v>
      </c>
      <c r="B48" s="9">
        <v>37117</v>
      </c>
      <c r="C48" s="12">
        <v>2001</v>
      </c>
      <c r="D48" s="15" t="s">
        <v>25</v>
      </c>
      <c r="E48" s="12">
        <v>8</v>
      </c>
      <c r="F48" s="14">
        <v>1.6653540946535696</v>
      </c>
      <c r="G48" s="14">
        <v>0</v>
      </c>
      <c r="H48" s="14">
        <v>0</v>
      </c>
      <c r="I48" s="14">
        <v>0.22929167633333333</v>
      </c>
      <c r="J48" s="14">
        <v>6.9474517666666666E-2</v>
      </c>
      <c r="K48" s="14" t="s">
        <v>15</v>
      </c>
    </row>
    <row r="49" spans="1:11">
      <c r="A49" s="8">
        <v>9</v>
      </c>
      <c r="B49" s="9">
        <v>37145</v>
      </c>
      <c r="C49" s="12">
        <v>2001</v>
      </c>
      <c r="D49" s="15" t="s">
        <v>26</v>
      </c>
      <c r="E49" s="12">
        <v>9</v>
      </c>
      <c r="F49" s="14">
        <v>2.9347511423023387</v>
      </c>
      <c r="G49" s="14">
        <v>0</v>
      </c>
      <c r="H49" s="14">
        <v>0</v>
      </c>
      <c r="I49" s="14">
        <v>0.83006991399999985</v>
      </c>
      <c r="J49" s="14">
        <v>2.7733763166666665E-2</v>
      </c>
      <c r="K49" s="14" t="s">
        <v>15</v>
      </c>
    </row>
    <row r="50" spans="1:11">
      <c r="A50" s="8">
        <v>10</v>
      </c>
      <c r="B50" s="9">
        <v>37145</v>
      </c>
      <c r="C50" s="12">
        <v>2001</v>
      </c>
      <c r="D50" s="15" t="s">
        <v>26</v>
      </c>
      <c r="E50" s="12">
        <v>9</v>
      </c>
      <c r="F50" s="14">
        <v>2.7943675451893024</v>
      </c>
      <c r="G50" s="14">
        <v>3.4259428500000001E-2</v>
      </c>
      <c r="H50" s="14">
        <v>0</v>
      </c>
      <c r="I50" s="14">
        <v>0.47163206249999995</v>
      </c>
      <c r="J50" s="14">
        <v>4.9958429833333338E-2</v>
      </c>
      <c r="K50" s="14" t="s">
        <v>15</v>
      </c>
    </row>
    <row r="51" spans="1:11">
      <c r="A51" s="8">
        <v>9</v>
      </c>
      <c r="B51" s="9">
        <v>37182</v>
      </c>
      <c r="C51" s="12">
        <v>2001</v>
      </c>
      <c r="D51" s="15" t="s">
        <v>14</v>
      </c>
      <c r="E51" s="12">
        <v>10</v>
      </c>
      <c r="F51" s="13">
        <v>0.4721011143849117</v>
      </c>
      <c r="G51" s="13">
        <v>0</v>
      </c>
      <c r="H51" s="17">
        <v>0</v>
      </c>
      <c r="I51" s="13">
        <v>6.9160898081002758E-2</v>
      </c>
      <c r="J51" s="13">
        <v>0</v>
      </c>
      <c r="K51" s="14" t="s">
        <v>27</v>
      </c>
    </row>
    <row r="52" spans="1:11">
      <c r="A52" s="8">
        <v>10</v>
      </c>
      <c r="B52" s="9">
        <v>37182</v>
      </c>
      <c r="C52" s="12">
        <v>2001</v>
      </c>
      <c r="D52" s="15" t="s">
        <v>14</v>
      </c>
      <c r="E52" s="12">
        <v>10</v>
      </c>
      <c r="F52" s="13">
        <v>1.2112738867058166</v>
      </c>
      <c r="G52" s="13">
        <v>0</v>
      </c>
      <c r="H52" s="17">
        <v>0</v>
      </c>
      <c r="I52" s="13">
        <v>0.22157821833465818</v>
      </c>
      <c r="J52" s="13">
        <v>9.4182591288502777E-3</v>
      </c>
      <c r="K52" s="14" t="s">
        <v>27</v>
      </c>
    </row>
    <row r="53" spans="1:11">
      <c r="A53" s="8">
        <v>9</v>
      </c>
      <c r="B53" s="9">
        <v>37202</v>
      </c>
      <c r="C53" s="12">
        <v>2001</v>
      </c>
      <c r="D53" s="15" t="s">
        <v>16</v>
      </c>
      <c r="E53" s="12">
        <v>11</v>
      </c>
      <c r="F53" s="13">
        <v>0.47858704932321527</v>
      </c>
      <c r="G53" s="13">
        <v>0</v>
      </c>
      <c r="H53" s="17">
        <v>0</v>
      </c>
      <c r="I53" s="13">
        <v>8.0767425732963638E-2</v>
      </c>
      <c r="J53" s="13">
        <v>0</v>
      </c>
      <c r="K53" s="14" t="s">
        <v>27</v>
      </c>
    </row>
    <row r="54" spans="1:11">
      <c r="A54" s="8">
        <v>10</v>
      </c>
      <c r="B54" s="9">
        <v>37202</v>
      </c>
      <c r="C54" s="12">
        <v>2001</v>
      </c>
      <c r="D54" s="15" t="s">
        <v>16</v>
      </c>
      <c r="E54" s="12">
        <v>11</v>
      </c>
      <c r="F54" s="13">
        <v>0.30968197273470283</v>
      </c>
      <c r="G54" s="13">
        <v>0</v>
      </c>
      <c r="H54" s="17">
        <v>0</v>
      </c>
      <c r="I54" s="13">
        <v>3.3063723297488343E-2</v>
      </c>
      <c r="J54" s="13">
        <v>0</v>
      </c>
      <c r="K54" s="14" t="s">
        <v>27</v>
      </c>
    </row>
    <row r="55" spans="1:11">
      <c r="A55" s="8">
        <v>9</v>
      </c>
      <c r="B55" s="9">
        <v>37230</v>
      </c>
      <c r="C55" s="12">
        <v>2001</v>
      </c>
      <c r="D55" s="15" t="s">
        <v>17</v>
      </c>
      <c r="E55" s="12">
        <v>12</v>
      </c>
      <c r="F55" s="13">
        <v>0.4186981867733931</v>
      </c>
      <c r="G55" s="13">
        <v>0</v>
      </c>
      <c r="H55" s="17">
        <v>0</v>
      </c>
      <c r="I55" s="13">
        <v>6.6952349765493746E-2</v>
      </c>
      <c r="J55" s="13">
        <v>0</v>
      </c>
      <c r="K55" s="14" t="s">
        <v>27</v>
      </c>
    </row>
    <row r="56" spans="1:11">
      <c r="A56" s="8">
        <v>10</v>
      </c>
      <c r="B56" s="9">
        <v>37230</v>
      </c>
      <c r="C56" s="12">
        <v>2001</v>
      </c>
      <c r="D56" s="15" t="s">
        <v>17</v>
      </c>
      <c r="E56" s="12">
        <v>12</v>
      </c>
      <c r="F56" s="13">
        <v>0.7572648443264195</v>
      </c>
      <c r="G56" s="13">
        <v>0</v>
      </c>
      <c r="H56" s="17">
        <v>0</v>
      </c>
      <c r="I56" s="13">
        <v>9.9156378650162788E-2</v>
      </c>
      <c r="J56" s="13">
        <v>8.0001879931971501E-3</v>
      </c>
      <c r="K56" s="14" t="s">
        <v>27</v>
      </c>
    </row>
    <row r="57" spans="1:11">
      <c r="A57" s="8">
        <v>9</v>
      </c>
      <c r="B57" s="9">
        <v>37272</v>
      </c>
      <c r="C57" s="12">
        <v>2002</v>
      </c>
      <c r="D57" s="15" t="s">
        <v>18</v>
      </c>
      <c r="E57" s="12">
        <v>1</v>
      </c>
      <c r="F57" s="13">
        <v>1.147997067637754</v>
      </c>
      <c r="G57" s="13">
        <v>2.9213880920873701E-2</v>
      </c>
      <c r="H57" s="17">
        <v>0</v>
      </c>
      <c r="I57" s="13">
        <v>0.3154286488099774</v>
      </c>
      <c r="J57" s="13">
        <v>6.3082321198769074E-3</v>
      </c>
      <c r="K57" s="14" t="s">
        <v>27</v>
      </c>
    </row>
    <row r="58" spans="1:11">
      <c r="A58" s="8">
        <v>10</v>
      </c>
      <c r="B58" s="9">
        <v>37272</v>
      </c>
      <c r="C58" s="12">
        <v>2002</v>
      </c>
      <c r="D58" s="15" t="s">
        <v>18</v>
      </c>
      <c r="E58" s="12">
        <v>1</v>
      </c>
      <c r="F58" s="13">
        <v>1.682021769965901</v>
      </c>
      <c r="G58" s="13">
        <v>4.3579449911026608E-2</v>
      </c>
      <c r="H58" s="17">
        <v>0</v>
      </c>
      <c r="I58" s="13">
        <v>0.30435021393381639</v>
      </c>
      <c r="J58" s="13">
        <v>9.2987339124973416E-3</v>
      </c>
      <c r="K58" s="14" t="s">
        <v>27</v>
      </c>
    </row>
    <row r="59" spans="1:11">
      <c r="A59" s="8">
        <v>9</v>
      </c>
      <c r="B59" s="9">
        <v>37301</v>
      </c>
      <c r="C59" s="12">
        <v>2002</v>
      </c>
      <c r="D59" s="11" t="s">
        <v>19</v>
      </c>
      <c r="E59" s="12">
        <v>2</v>
      </c>
      <c r="F59" s="13">
        <v>0.71297686444235664</v>
      </c>
      <c r="G59" s="13">
        <v>2.038087636988679E-2</v>
      </c>
      <c r="H59" s="17">
        <v>0</v>
      </c>
      <c r="I59" s="13">
        <v>0.22453232410187637</v>
      </c>
      <c r="J59" s="13">
        <v>1.1449032506591175E-2</v>
      </c>
      <c r="K59" s="14" t="s">
        <v>27</v>
      </c>
    </row>
    <row r="60" spans="1:11">
      <c r="A60" s="8">
        <v>10</v>
      </c>
      <c r="B60" s="9">
        <v>37301</v>
      </c>
      <c r="C60" s="12">
        <v>2002</v>
      </c>
      <c r="D60" s="11" t="s">
        <v>19</v>
      </c>
      <c r="E60" s="12">
        <v>2</v>
      </c>
      <c r="F60" s="13">
        <v>0.9535940430726153</v>
      </c>
      <c r="G60" s="13">
        <v>6.6690834409059194E-2</v>
      </c>
      <c r="H60" s="17">
        <v>0</v>
      </c>
      <c r="I60" s="13">
        <v>0.2257179494722191</v>
      </c>
      <c r="J60" s="13">
        <v>2.1803382122767011E-2</v>
      </c>
      <c r="K60" s="14" t="s">
        <v>27</v>
      </c>
    </row>
    <row r="61" spans="1:11">
      <c r="A61" s="8">
        <v>9</v>
      </c>
      <c r="B61" s="18">
        <v>37336</v>
      </c>
      <c r="C61" s="12">
        <v>2002</v>
      </c>
      <c r="D61" s="11" t="s">
        <v>20</v>
      </c>
      <c r="E61" s="12">
        <v>3</v>
      </c>
      <c r="F61" s="13">
        <v>1.3481645884658155</v>
      </c>
      <c r="G61" s="13">
        <v>6.6137167934927008E-2</v>
      </c>
      <c r="H61" s="17">
        <v>0</v>
      </c>
      <c r="I61" s="13">
        <v>0.21208549873849719</v>
      </c>
      <c r="J61" s="13">
        <v>0</v>
      </c>
      <c r="K61" s="14" t="s">
        <v>27</v>
      </c>
    </row>
    <row r="62" spans="1:11">
      <c r="A62" s="8">
        <v>10</v>
      </c>
      <c r="B62" s="18">
        <v>37336</v>
      </c>
      <c r="C62" s="12">
        <v>2002</v>
      </c>
      <c r="D62" s="11" t="s">
        <v>20</v>
      </c>
      <c r="E62" s="12">
        <v>3</v>
      </c>
      <c r="F62" s="13">
        <v>1.2886443731512156</v>
      </c>
      <c r="G62" s="13">
        <v>7.1877619827106359E-2</v>
      </c>
      <c r="H62" s="17">
        <v>1.3812517482162699E-2</v>
      </c>
      <c r="I62" s="13">
        <v>0.30920880587239696</v>
      </c>
      <c r="J62" s="13">
        <v>1.1699137493648292E-2</v>
      </c>
      <c r="K62" s="14" t="s">
        <v>27</v>
      </c>
    </row>
    <row r="63" spans="1:11">
      <c r="A63" s="8">
        <v>9</v>
      </c>
      <c r="B63" s="18">
        <v>37363</v>
      </c>
      <c r="C63" s="12">
        <v>2002</v>
      </c>
      <c r="D63" s="15" t="s">
        <v>21</v>
      </c>
      <c r="E63" s="12">
        <v>4</v>
      </c>
      <c r="F63" s="13">
        <v>0.85757683671362128</v>
      </c>
      <c r="G63" s="13">
        <v>0</v>
      </c>
      <c r="H63" s="17">
        <v>0</v>
      </c>
      <c r="I63" s="13">
        <v>7.7827509989645521E-2</v>
      </c>
      <c r="J63" s="13">
        <v>0</v>
      </c>
      <c r="K63" s="14" t="s">
        <v>27</v>
      </c>
    </row>
    <row r="64" spans="1:11">
      <c r="A64" s="8">
        <v>10</v>
      </c>
      <c r="B64" s="18">
        <v>37363</v>
      </c>
      <c r="C64" s="12">
        <v>2002</v>
      </c>
      <c r="D64" s="15" t="s">
        <v>21</v>
      </c>
      <c r="E64" s="12">
        <v>4</v>
      </c>
      <c r="F64" s="13">
        <v>1.103174564508576</v>
      </c>
      <c r="G64" s="13">
        <v>2.7737062023399525E-2</v>
      </c>
      <c r="H64" s="17">
        <v>0</v>
      </c>
      <c r="I64" s="13">
        <v>0.19882377988567018</v>
      </c>
      <c r="J64" s="13">
        <v>1.3704998247623622E-2</v>
      </c>
      <c r="K64" s="14" t="s">
        <v>27</v>
      </c>
    </row>
    <row r="65" spans="1:11">
      <c r="A65" s="8">
        <v>9</v>
      </c>
      <c r="B65" s="18">
        <v>37391</v>
      </c>
      <c r="C65" s="12">
        <v>2002</v>
      </c>
      <c r="D65" s="15" t="s">
        <v>22</v>
      </c>
      <c r="E65" s="12">
        <v>5</v>
      </c>
      <c r="F65" s="13">
        <v>1.9396457396043549</v>
      </c>
      <c r="G65" s="19"/>
      <c r="H65" s="13">
        <v>0</v>
      </c>
      <c r="I65" s="19"/>
      <c r="J65" s="19"/>
      <c r="K65" s="14" t="s">
        <v>27</v>
      </c>
    </row>
    <row r="66" spans="1:11">
      <c r="A66" s="8">
        <v>10</v>
      </c>
      <c r="B66" s="18">
        <v>37391</v>
      </c>
      <c r="C66" s="12">
        <v>2002</v>
      </c>
      <c r="D66" s="15" t="s">
        <v>22</v>
      </c>
      <c r="E66" s="12">
        <v>5</v>
      </c>
      <c r="F66" s="13">
        <v>2.4335974169955601</v>
      </c>
      <c r="G66" s="19"/>
      <c r="H66" s="13">
        <v>0</v>
      </c>
      <c r="I66" s="19"/>
      <c r="J66" s="19"/>
      <c r="K66" s="14" t="s">
        <v>27</v>
      </c>
    </row>
    <row r="67" spans="1:11">
      <c r="A67" s="8">
        <v>9</v>
      </c>
      <c r="B67" s="18">
        <v>37420</v>
      </c>
      <c r="C67" s="12">
        <v>2002</v>
      </c>
      <c r="D67" s="15" t="s">
        <v>23</v>
      </c>
      <c r="E67" s="12">
        <v>6</v>
      </c>
      <c r="F67" s="13">
        <v>5.3147026553096444</v>
      </c>
      <c r="G67" s="19"/>
      <c r="H67" s="13">
        <v>2.6858252584694563E-2</v>
      </c>
      <c r="I67" s="19"/>
      <c r="J67" s="19"/>
      <c r="K67" s="14" t="s">
        <v>27</v>
      </c>
    </row>
    <row r="68" spans="1:11">
      <c r="A68" s="8">
        <v>10</v>
      </c>
      <c r="B68" s="18">
        <v>37420</v>
      </c>
      <c r="C68" s="12">
        <v>2002</v>
      </c>
      <c r="D68" s="15" t="s">
        <v>23</v>
      </c>
      <c r="E68" s="12">
        <v>6</v>
      </c>
      <c r="F68" s="13">
        <v>4.260691903620927</v>
      </c>
      <c r="G68" s="19"/>
      <c r="H68" s="13">
        <v>0</v>
      </c>
      <c r="I68" s="19"/>
      <c r="J68" s="19"/>
      <c r="K68" s="14" t="s">
        <v>27</v>
      </c>
    </row>
    <row r="69" spans="1:11">
      <c r="A69" s="8">
        <v>9</v>
      </c>
      <c r="B69" s="18">
        <v>37453</v>
      </c>
      <c r="C69" s="12">
        <v>2002</v>
      </c>
      <c r="D69" s="15" t="s">
        <v>24</v>
      </c>
      <c r="E69" s="12">
        <v>7</v>
      </c>
      <c r="F69" s="13">
        <v>10.683163546231519</v>
      </c>
      <c r="G69" s="19"/>
      <c r="H69" s="13">
        <v>0.18428582477836183</v>
      </c>
      <c r="I69" s="19"/>
      <c r="J69" s="19"/>
      <c r="K69" s="14" t="s">
        <v>27</v>
      </c>
    </row>
    <row r="70" spans="1:11">
      <c r="A70" s="8">
        <v>10</v>
      </c>
      <c r="B70" s="18">
        <v>37453</v>
      </c>
      <c r="C70" s="12">
        <v>2002</v>
      </c>
      <c r="D70" s="15" t="s">
        <v>24</v>
      </c>
      <c r="E70" s="12">
        <v>7</v>
      </c>
      <c r="F70" s="13">
        <v>8.4764523140248631</v>
      </c>
      <c r="G70" s="19"/>
      <c r="H70" s="13">
        <v>0</v>
      </c>
      <c r="I70" s="19"/>
      <c r="J70" s="19"/>
      <c r="K70" s="14" t="s">
        <v>27</v>
      </c>
    </row>
    <row r="71" spans="1:11">
      <c r="A71" s="8">
        <v>9</v>
      </c>
      <c r="B71" s="18">
        <v>37481</v>
      </c>
      <c r="C71" s="12">
        <v>2002</v>
      </c>
      <c r="D71" s="15" t="s">
        <v>25</v>
      </c>
      <c r="E71" s="12">
        <v>8</v>
      </c>
      <c r="F71" s="13">
        <v>7.9676668218483595</v>
      </c>
      <c r="G71" s="19"/>
      <c r="H71" s="13">
        <v>0</v>
      </c>
      <c r="I71" s="19"/>
      <c r="J71" s="19"/>
      <c r="K71" s="14" t="s">
        <v>27</v>
      </c>
    </row>
    <row r="72" spans="1:11">
      <c r="A72" s="8">
        <v>10</v>
      </c>
      <c r="B72" s="18">
        <v>37481</v>
      </c>
      <c r="C72" s="12">
        <v>2002</v>
      </c>
      <c r="D72" s="15" t="s">
        <v>25</v>
      </c>
      <c r="E72" s="12">
        <v>8</v>
      </c>
      <c r="F72" s="13">
        <v>4.6552995592289621</v>
      </c>
      <c r="G72" s="19"/>
      <c r="H72" s="13">
        <v>0</v>
      </c>
      <c r="I72" s="19"/>
      <c r="J72" s="19"/>
      <c r="K72" s="14" t="s">
        <v>27</v>
      </c>
    </row>
    <row r="73" spans="1:11">
      <c r="A73" s="8">
        <v>9</v>
      </c>
      <c r="B73" s="18">
        <v>37518</v>
      </c>
      <c r="C73" s="12">
        <v>2002</v>
      </c>
      <c r="D73" s="15" t="s">
        <v>26</v>
      </c>
      <c r="E73" s="12">
        <v>9</v>
      </c>
      <c r="F73" s="13">
        <v>1.9085816221617367</v>
      </c>
      <c r="G73" s="19"/>
      <c r="H73" s="13">
        <v>0</v>
      </c>
      <c r="I73" s="19"/>
      <c r="J73" s="19"/>
      <c r="K73" s="14" t="s">
        <v>27</v>
      </c>
    </row>
    <row r="74" spans="1:11">
      <c r="A74" s="8">
        <v>10</v>
      </c>
      <c r="B74" s="18">
        <v>37518</v>
      </c>
      <c r="C74" s="12">
        <v>2002</v>
      </c>
      <c r="D74" s="15" t="s">
        <v>26</v>
      </c>
      <c r="E74" s="12">
        <v>9</v>
      </c>
      <c r="F74" s="13">
        <v>1.7816744587190372</v>
      </c>
      <c r="G74" s="19"/>
      <c r="H74" s="13">
        <v>0</v>
      </c>
      <c r="I74" s="19"/>
      <c r="J74" s="19"/>
      <c r="K74" s="14" t="s">
        <v>27</v>
      </c>
    </row>
    <row r="75" spans="1:11">
      <c r="A75" s="8">
        <v>9</v>
      </c>
      <c r="B75" s="18">
        <v>37546</v>
      </c>
      <c r="C75" s="12">
        <v>2002</v>
      </c>
      <c r="D75" s="15" t="s">
        <v>14</v>
      </c>
      <c r="E75" s="12">
        <v>10</v>
      </c>
      <c r="F75" s="14">
        <v>1.2929485390832829</v>
      </c>
      <c r="G75" s="14">
        <v>1.8722281901882808E-2</v>
      </c>
      <c r="H75" s="14">
        <v>0</v>
      </c>
      <c r="I75" s="14">
        <v>0.34443415935485061</v>
      </c>
      <c r="J75" s="14">
        <v>5.9433665612240571E-3</v>
      </c>
      <c r="K75" s="14">
        <v>0</v>
      </c>
    </row>
    <row r="76" spans="1:11">
      <c r="A76" s="8">
        <v>10</v>
      </c>
      <c r="B76" s="18">
        <v>37546</v>
      </c>
      <c r="C76" s="12">
        <v>2002</v>
      </c>
      <c r="D76" s="15" t="s">
        <v>14</v>
      </c>
      <c r="E76" s="12">
        <v>10</v>
      </c>
      <c r="F76" s="14">
        <v>2.4992786733570096</v>
      </c>
      <c r="G76" s="14">
        <v>5.7485243041669583E-2</v>
      </c>
      <c r="H76" s="14">
        <v>0</v>
      </c>
      <c r="I76" s="14">
        <v>0.57341330123197498</v>
      </c>
      <c r="J76" s="14">
        <v>1.0554824996242914E-2</v>
      </c>
      <c r="K76" s="14">
        <v>0</v>
      </c>
    </row>
    <row r="77" spans="1:11">
      <c r="A77" s="8">
        <v>9</v>
      </c>
      <c r="B77" s="18">
        <v>37574</v>
      </c>
      <c r="C77" s="12">
        <v>2002</v>
      </c>
      <c r="D77" s="15" t="s">
        <v>16</v>
      </c>
      <c r="E77" s="12">
        <v>11</v>
      </c>
      <c r="F77" s="14">
        <v>1.0867194293237217</v>
      </c>
      <c r="G77" s="14">
        <v>1.4166699142119831E-2</v>
      </c>
      <c r="H77" s="14">
        <v>0</v>
      </c>
      <c r="I77" s="14">
        <v>0.34087343526840319</v>
      </c>
      <c r="J77" s="14">
        <v>4.4780668566476748E-3</v>
      </c>
      <c r="K77" s="14">
        <v>0</v>
      </c>
    </row>
    <row r="78" spans="1:11">
      <c r="A78" s="8">
        <v>10</v>
      </c>
      <c r="B78" s="18">
        <v>37574</v>
      </c>
      <c r="C78" s="12">
        <v>2002</v>
      </c>
      <c r="D78" s="15" t="s">
        <v>16</v>
      </c>
      <c r="E78" s="12">
        <v>11</v>
      </c>
      <c r="F78" s="14">
        <v>1.0767334892909848</v>
      </c>
      <c r="G78" s="14">
        <v>2.2527259686535531E-2</v>
      </c>
      <c r="H78" s="14">
        <v>0</v>
      </c>
      <c r="I78" s="14">
        <v>0.12516282716334096</v>
      </c>
      <c r="J78" s="14">
        <v>7.1243952969091626E-3</v>
      </c>
      <c r="K78" s="14">
        <v>0</v>
      </c>
    </row>
    <row r="79" spans="1:11">
      <c r="A79" s="8">
        <v>9</v>
      </c>
      <c r="B79" s="18">
        <v>37608</v>
      </c>
      <c r="C79" s="12">
        <v>2002</v>
      </c>
      <c r="D79" s="15" t="s">
        <v>17</v>
      </c>
      <c r="E79" s="12">
        <v>12</v>
      </c>
      <c r="F79" s="14">
        <v>2.5888372076756232</v>
      </c>
      <c r="G79" s="14">
        <v>0.1633068328491224</v>
      </c>
      <c r="H79" s="14">
        <v>0</v>
      </c>
      <c r="I79" s="14">
        <v>0.58889488883540586</v>
      </c>
      <c r="J79" s="14">
        <v>1.0400090755046283E-2</v>
      </c>
      <c r="K79" s="14">
        <v>0</v>
      </c>
    </row>
    <row r="80" spans="1:11">
      <c r="A80" s="8">
        <v>10</v>
      </c>
      <c r="B80" s="18">
        <v>37608</v>
      </c>
      <c r="C80" s="12">
        <v>2002</v>
      </c>
      <c r="D80" s="15" t="s">
        <v>17</v>
      </c>
      <c r="E80" s="12">
        <v>12</v>
      </c>
      <c r="F80" s="14">
        <v>2.8423970265451763</v>
      </c>
      <c r="G80" s="14">
        <v>0.16842165950168098</v>
      </c>
      <c r="H80" s="14">
        <v>0</v>
      </c>
      <c r="I80" s="14">
        <v>0.64029351771613074</v>
      </c>
      <c r="J80" s="14">
        <v>1.1831919564208536E-2</v>
      </c>
      <c r="K80" s="14">
        <v>0</v>
      </c>
    </row>
    <row r="81" spans="1:11">
      <c r="A81" s="8">
        <v>9</v>
      </c>
      <c r="B81" s="18">
        <v>37636</v>
      </c>
      <c r="C81" s="12">
        <v>2003</v>
      </c>
      <c r="D81" s="15" t="s">
        <v>18</v>
      </c>
      <c r="E81" s="12">
        <v>1</v>
      </c>
      <c r="F81" s="14">
        <v>3.1264525681107216</v>
      </c>
      <c r="G81" s="14">
        <v>0.22474307330159174</v>
      </c>
      <c r="H81" s="14">
        <v>0</v>
      </c>
      <c r="I81" s="14">
        <v>1.1607435016324106</v>
      </c>
      <c r="J81" s="14">
        <v>1.9830087462238553E-2</v>
      </c>
      <c r="K81" s="14">
        <v>0</v>
      </c>
    </row>
    <row r="82" spans="1:11">
      <c r="A82" s="8">
        <v>10</v>
      </c>
      <c r="B82" s="18">
        <v>37636</v>
      </c>
      <c r="C82" s="12">
        <v>2003</v>
      </c>
      <c r="D82" s="15" t="s">
        <v>18</v>
      </c>
      <c r="E82" s="12">
        <v>1</v>
      </c>
      <c r="F82" s="14">
        <v>3.2980055779066113</v>
      </c>
      <c r="G82" s="14">
        <v>0.38729187575649598</v>
      </c>
      <c r="H82" s="14">
        <v>0</v>
      </c>
      <c r="I82" s="14">
        <v>0.87674040842545797</v>
      </c>
      <c r="J82" s="14">
        <v>2.4096431094695142E-2</v>
      </c>
      <c r="K82" s="14">
        <v>0</v>
      </c>
    </row>
    <row r="83" spans="1:11">
      <c r="A83" s="8">
        <v>9</v>
      </c>
      <c r="B83" s="18">
        <v>37663</v>
      </c>
      <c r="C83" s="12">
        <v>2003</v>
      </c>
      <c r="D83" s="11" t="s">
        <v>19</v>
      </c>
      <c r="E83" s="12">
        <v>2</v>
      </c>
      <c r="F83" s="14">
        <v>3.1713906033163646</v>
      </c>
      <c r="G83" s="14">
        <v>0</v>
      </c>
      <c r="H83" s="14">
        <v>0</v>
      </c>
      <c r="I83" s="14">
        <v>1.1426493368951982</v>
      </c>
      <c r="J83" s="14">
        <v>1.3123884076250642E-2</v>
      </c>
      <c r="K83" s="14">
        <v>0</v>
      </c>
    </row>
    <row r="84" spans="1:11">
      <c r="A84" s="8">
        <v>10</v>
      </c>
      <c r="B84" s="18">
        <v>37663</v>
      </c>
      <c r="C84" s="12">
        <v>2003</v>
      </c>
      <c r="D84" s="11" t="s">
        <v>19</v>
      </c>
      <c r="E84" s="12">
        <v>2</v>
      </c>
      <c r="F84" s="14">
        <v>4.0365013086057164</v>
      </c>
      <c r="G84" s="14">
        <v>0.51566150686817191</v>
      </c>
      <c r="H84" s="14">
        <v>0</v>
      </c>
      <c r="I84" s="14">
        <v>1.1426805748797479</v>
      </c>
      <c r="J84" s="14">
        <v>2.223553991863125E-2</v>
      </c>
      <c r="K84" s="14">
        <v>0</v>
      </c>
    </row>
    <row r="85" spans="1:11">
      <c r="A85" s="8">
        <v>9</v>
      </c>
      <c r="B85" s="18">
        <v>37691</v>
      </c>
      <c r="C85" s="12">
        <v>2003</v>
      </c>
      <c r="D85" s="11" t="s">
        <v>20</v>
      </c>
      <c r="E85" s="12">
        <v>3</v>
      </c>
      <c r="F85" s="14">
        <v>5.0388886297177624</v>
      </c>
      <c r="G85" s="14">
        <v>0.15865869710360214</v>
      </c>
      <c r="H85" s="14">
        <v>2.7032515543638603E-2</v>
      </c>
      <c r="I85" s="14">
        <v>1.6815956410677575</v>
      </c>
      <c r="J85" s="14">
        <v>3.2389814082822627E-2</v>
      </c>
      <c r="K85" s="14">
        <v>0</v>
      </c>
    </row>
    <row r="86" spans="1:11">
      <c r="A86" s="8">
        <v>10</v>
      </c>
      <c r="B86" s="18">
        <v>37691</v>
      </c>
      <c r="C86" s="12">
        <v>2003</v>
      </c>
      <c r="D86" s="11" t="s">
        <v>20</v>
      </c>
      <c r="E86" s="12">
        <v>3</v>
      </c>
      <c r="F86" s="14">
        <v>7.6414041120201084</v>
      </c>
      <c r="G86" s="14">
        <v>0.28616137174384559</v>
      </c>
      <c r="H86" s="14">
        <v>3.6107352617702503E-2</v>
      </c>
      <c r="I86" s="14">
        <v>2.3893810892381824</v>
      </c>
      <c r="J86" s="14">
        <v>4.3224927866727471E-2</v>
      </c>
      <c r="K86" s="14">
        <v>0</v>
      </c>
    </row>
    <row r="87" spans="1:11">
      <c r="A87" s="8">
        <v>9</v>
      </c>
      <c r="B87" s="18">
        <v>37727</v>
      </c>
      <c r="C87" s="12">
        <v>2003</v>
      </c>
      <c r="D87" s="11" t="s">
        <v>21</v>
      </c>
      <c r="E87" s="12">
        <v>4</v>
      </c>
      <c r="F87" s="14">
        <v>12.053436115301217</v>
      </c>
      <c r="G87" s="14">
        <v>6.8553864762860503E-2</v>
      </c>
      <c r="H87" s="14">
        <v>0</v>
      </c>
      <c r="I87" s="14">
        <v>5.9619603296594335</v>
      </c>
      <c r="J87" s="14">
        <v>5.2939869874192406E-2</v>
      </c>
      <c r="K87" s="14">
        <v>0</v>
      </c>
    </row>
    <row r="88" spans="1:11">
      <c r="A88" s="8">
        <v>10</v>
      </c>
      <c r="B88" s="18">
        <v>37727</v>
      </c>
      <c r="C88" s="12">
        <v>2003</v>
      </c>
      <c r="D88" s="11" t="s">
        <v>21</v>
      </c>
      <c r="E88" s="12">
        <v>4</v>
      </c>
      <c r="F88" s="14">
        <v>13.397116729720528</v>
      </c>
      <c r="G88" s="14">
        <v>6.0391319469281203E-2</v>
      </c>
      <c r="H88" s="14">
        <v>0</v>
      </c>
      <c r="I88" s="14">
        <v>5.7964300519043936</v>
      </c>
      <c r="J88" s="14">
        <v>7.5620434813708642E-2</v>
      </c>
      <c r="K88" s="14">
        <v>0</v>
      </c>
    </row>
    <row r="89" spans="1:11">
      <c r="A89" s="8">
        <v>9</v>
      </c>
      <c r="B89" s="18">
        <v>37756</v>
      </c>
      <c r="C89" s="12">
        <v>2003</v>
      </c>
      <c r="D89" s="11" t="s">
        <v>22</v>
      </c>
      <c r="E89" s="12">
        <v>5</v>
      </c>
      <c r="F89" s="14">
        <v>1.8476474728478067</v>
      </c>
      <c r="G89" s="14">
        <v>0</v>
      </c>
      <c r="H89" s="14">
        <v>6.2671971555601891E-2</v>
      </c>
      <c r="I89" s="14">
        <v>0.64146033927334389</v>
      </c>
      <c r="J89" s="14">
        <v>2.9354351880696138E-2</v>
      </c>
      <c r="K89" s="14">
        <v>0</v>
      </c>
    </row>
    <row r="90" spans="1:11">
      <c r="A90" s="8">
        <v>10</v>
      </c>
      <c r="B90" s="18">
        <v>37756</v>
      </c>
      <c r="C90" s="12">
        <v>2003</v>
      </c>
      <c r="D90" s="11" t="s">
        <v>22</v>
      </c>
      <c r="E90" s="12">
        <v>5</v>
      </c>
      <c r="F90" s="14">
        <v>4.152192391345797</v>
      </c>
      <c r="G90" s="14">
        <v>4.1134502865808588E-2</v>
      </c>
      <c r="H90" s="14">
        <v>0</v>
      </c>
      <c r="I90" s="14">
        <v>0.78772361680645719</v>
      </c>
      <c r="J90" s="14">
        <v>3.1188968953732955E-2</v>
      </c>
      <c r="K90" s="14">
        <v>0</v>
      </c>
    </row>
    <row r="91" spans="1:11">
      <c r="A91" s="8">
        <v>9</v>
      </c>
      <c r="B91" s="18">
        <v>37790</v>
      </c>
      <c r="C91" s="12">
        <v>2003</v>
      </c>
      <c r="D91" s="11" t="s">
        <v>23</v>
      </c>
      <c r="E91" s="12">
        <v>6</v>
      </c>
      <c r="F91" s="14">
        <v>25.687010217391375</v>
      </c>
      <c r="G91" s="14">
        <v>0</v>
      </c>
      <c r="H91" s="14">
        <v>3.5997663823376378</v>
      </c>
      <c r="I91" s="14">
        <v>12.851072918188116</v>
      </c>
      <c r="J91" s="14">
        <v>0.25463367543640142</v>
      </c>
      <c r="K91" s="14">
        <v>0</v>
      </c>
    </row>
    <row r="92" spans="1:11">
      <c r="A92" s="8">
        <v>10</v>
      </c>
      <c r="B92" s="18">
        <v>37790</v>
      </c>
      <c r="C92" s="12">
        <v>2003</v>
      </c>
      <c r="D92" s="11" t="s">
        <v>23</v>
      </c>
      <c r="E92" s="12">
        <v>6</v>
      </c>
      <c r="F92" s="14">
        <v>23.761915212820931</v>
      </c>
      <c r="G92" s="14">
        <v>4.809305880543209E-2</v>
      </c>
      <c r="H92" s="14">
        <v>3.8283086458268425</v>
      </c>
      <c r="I92" s="14">
        <v>12.108158166220349</v>
      </c>
      <c r="J92" s="14">
        <v>0.24703306857768198</v>
      </c>
      <c r="K92" s="14">
        <v>0</v>
      </c>
    </row>
    <row r="93" spans="1:11">
      <c r="A93" s="8">
        <v>9</v>
      </c>
      <c r="B93" s="18">
        <v>37818</v>
      </c>
      <c r="C93" s="12">
        <v>2003</v>
      </c>
      <c r="D93" s="15" t="s">
        <v>24</v>
      </c>
      <c r="E93" s="12">
        <v>7</v>
      </c>
      <c r="F93" s="14">
        <v>17.655619443896327</v>
      </c>
      <c r="G93" s="14">
        <v>0.41232402340940155</v>
      </c>
      <c r="H93" s="14">
        <v>0</v>
      </c>
      <c r="I93" s="14">
        <v>3.4673334892972134</v>
      </c>
      <c r="J93" s="14">
        <v>0.49174074184285244</v>
      </c>
      <c r="K93" s="14">
        <v>0</v>
      </c>
    </row>
    <row r="94" spans="1:11">
      <c r="A94" s="8">
        <v>10</v>
      </c>
      <c r="B94" s="18">
        <v>37818</v>
      </c>
      <c r="C94" s="12">
        <v>2003</v>
      </c>
      <c r="D94" s="15" t="s">
        <v>24</v>
      </c>
      <c r="E94" s="12">
        <v>7</v>
      </c>
      <c r="F94" s="14">
        <v>16.888009174651454</v>
      </c>
      <c r="G94" s="14">
        <v>0.37246919419727226</v>
      </c>
      <c r="H94" s="14">
        <v>0</v>
      </c>
      <c r="I94" s="14">
        <v>2.7355301404133519</v>
      </c>
      <c r="J94" s="14">
        <v>0.5266684469273184</v>
      </c>
      <c r="K94" s="14">
        <v>0</v>
      </c>
    </row>
    <row r="95" spans="1:11">
      <c r="A95" s="8">
        <v>9</v>
      </c>
      <c r="B95" s="18">
        <v>37846</v>
      </c>
      <c r="C95" s="12">
        <v>2003</v>
      </c>
      <c r="D95" s="15" t="s">
        <v>25</v>
      </c>
      <c r="E95" s="12">
        <v>8</v>
      </c>
      <c r="F95" s="14">
        <v>24.113811290922982</v>
      </c>
      <c r="G95" s="14">
        <v>0.20884273998192615</v>
      </c>
      <c r="H95" s="14">
        <v>0</v>
      </c>
      <c r="I95" s="14">
        <v>8.431359273479778</v>
      </c>
      <c r="J95" s="14">
        <v>0.62094152479754416</v>
      </c>
      <c r="K95" s="14">
        <v>0</v>
      </c>
    </row>
    <row r="96" spans="1:11">
      <c r="A96" s="8">
        <v>10</v>
      </c>
      <c r="B96" s="18">
        <v>37846</v>
      </c>
      <c r="C96" s="12">
        <v>2003</v>
      </c>
      <c r="D96" s="15" t="s">
        <v>25</v>
      </c>
      <c r="E96" s="12">
        <v>8</v>
      </c>
      <c r="F96" s="14">
        <v>18.957917819459027</v>
      </c>
      <c r="G96" s="14">
        <v>0.42092298984771331</v>
      </c>
      <c r="H96" s="14">
        <v>0</v>
      </c>
      <c r="I96" s="14">
        <v>5.695922304972175</v>
      </c>
      <c r="J96" s="14">
        <v>0.56223404940662502</v>
      </c>
      <c r="K96" s="14">
        <v>0</v>
      </c>
    </row>
    <row r="97" spans="1:11">
      <c r="A97" s="8">
        <v>9</v>
      </c>
      <c r="B97" s="18">
        <v>37886</v>
      </c>
      <c r="C97" s="12">
        <v>2003</v>
      </c>
      <c r="D97" s="15" t="s">
        <v>26</v>
      </c>
      <c r="E97" s="12">
        <v>9</v>
      </c>
      <c r="F97" s="14">
        <v>13.35583266019621</v>
      </c>
      <c r="G97" s="14">
        <v>0.17459944359270016</v>
      </c>
      <c r="H97" s="14">
        <v>0</v>
      </c>
      <c r="I97" s="14">
        <v>2.9926865107898353</v>
      </c>
      <c r="J97" s="14">
        <v>0.14798682930337059</v>
      </c>
      <c r="K97" s="14">
        <v>0</v>
      </c>
    </row>
    <row r="98" spans="1:11">
      <c r="A98" s="8">
        <v>10</v>
      </c>
      <c r="B98" s="18">
        <v>37886</v>
      </c>
      <c r="C98" s="12">
        <v>2003</v>
      </c>
      <c r="D98" s="15" t="s">
        <v>26</v>
      </c>
      <c r="E98" s="12">
        <v>9</v>
      </c>
      <c r="F98" s="14">
        <v>11.568462130128601</v>
      </c>
      <c r="G98" s="14">
        <v>0.18705665201886312</v>
      </c>
      <c r="H98" s="14">
        <v>0</v>
      </c>
      <c r="I98" s="14">
        <v>1.8461065784330006</v>
      </c>
      <c r="J98" s="14">
        <v>8.7412821941975402E-2</v>
      </c>
      <c r="K98" s="14">
        <v>0</v>
      </c>
    </row>
    <row r="99" spans="1:11">
      <c r="A99" s="8">
        <v>9</v>
      </c>
      <c r="B99" s="18">
        <v>37910</v>
      </c>
      <c r="C99" s="12">
        <v>2003</v>
      </c>
      <c r="D99" s="15" t="s">
        <v>14</v>
      </c>
      <c r="E99" s="12">
        <v>10</v>
      </c>
      <c r="F99" s="13">
        <v>1.7733000000000001</v>
      </c>
      <c r="G99" s="14">
        <v>5.6155726344922642E-2</v>
      </c>
      <c r="H99" s="14">
        <v>0</v>
      </c>
      <c r="I99" s="14">
        <v>0.15930951969429141</v>
      </c>
      <c r="J99" s="14">
        <v>1.0894571259198398E-2</v>
      </c>
      <c r="K99" s="14">
        <v>0</v>
      </c>
    </row>
    <row r="100" spans="1:11">
      <c r="A100" s="8">
        <v>10</v>
      </c>
      <c r="B100" s="18">
        <v>37910</v>
      </c>
      <c r="C100" s="12">
        <v>2003</v>
      </c>
      <c r="D100" s="15" t="s">
        <v>14</v>
      </c>
      <c r="E100" s="12">
        <v>10</v>
      </c>
      <c r="F100" s="13">
        <v>2.1722999999999999</v>
      </c>
      <c r="G100" s="14">
        <v>5.9617784121938994E-2</v>
      </c>
      <c r="H100" s="14">
        <v>0</v>
      </c>
      <c r="I100" s="14">
        <v>0.12804640833142622</v>
      </c>
      <c r="J100" s="14">
        <v>1.8583609760220929E-2</v>
      </c>
      <c r="K100" s="14">
        <v>0</v>
      </c>
    </row>
    <row r="101" spans="1:11">
      <c r="A101" s="8">
        <v>9</v>
      </c>
      <c r="B101" s="18">
        <v>37942</v>
      </c>
      <c r="C101" s="12">
        <v>2003</v>
      </c>
      <c r="D101" s="15" t="s">
        <v>16</v>
      </c>
      <c r="E101" s="12">
        <v>11</v>
      </c>
      <c r="F101" s="13">
        <v>0.86929999999999996</v>
      </c>
      <c r="G101" s="14">
        <v>0</v>
      </c>
      <c r="H101" s="14">
        <v>0</v>
      </c>
      <c r="I101" s="14">
        <v>0.1246126040305244</v>
      </c>
      <c r="J101" s="14">
        <v>9.4256142587608241E-3</v>
      </c>
      <c r="K101" s="14">
        <v>0</v>
      </c>
    </row>
    <row r="102" spans="1:11">
      <c r="A102" s="8">
        <v>10</v>
      </c>
      <c r="B102" s="18">
        <v>37942</v>
      </c>
      <c r="C102" s="12">
        <v>2003</v>
      </c>
      <c r="D102" s="15" t="s">
        <v>16</v>
      </c>
      <c r="E102" s="12">
        <v>11</v>
      </c>
      <c r="F102" s="13">
        <v>1.3080000000000001</v>
      </c>
      <c r="G102" s="14">
        <v>3.0651887917626811E-2</v>
      </c>
      <c r="H102" s="14">
        <v>0</v>
      </c>
      <c r="I102" s="14">
        <v>0.17758804068981757</v>
      </c>
      <c r="J102" s="14">
        <v>1.5502820940459208E-2</v>
      </c>
      <c r="K102" s="14">
        <v>0</v>
      </c>
    </row>
    <row r="103" spans="1:11">
      <c r="A103" s="8">
        <v>9</v>
      </c>
      <c r="B103" s="18">
        <v>37971</v>
      </c>
      <c r="C103" s="12">
        <v>2003</v>
      </c>
      <c r="D103" s="15" t="s">
        <v>17</v>
      </c>
      <c r="E103" s="12">
        <v>12</v>
      </c>
      <c r="F103" s="13">
        <v>3.5051000000000001</v>
      </c>
      <c r="G103" s="14">
        <v>0.23214528792514044</v>
      </c>
      <c r="H103" s="14">
        <v>0</v>
      </c>
      <c r="I103" s="14">
        <v>0.62456426793931374</v>
      </c>
      <c r="J103" s="14">
        <v>1.7986150645638924E-2</v>
      </c>
      <c r="K103" s="14">
        <v>0</v>
      </c>
    </row>
    <row r="104" spans="1:11">
      <c r="A104" s="8">
        <v>10</v>
      </c>
      <c r="B104" s="18">
        <v>37971</v>
      </c>
      <c r="C104" s="12">
        <v>2003</v>
      </c>
      <c r="D104" s="15" t="s">
        <v>17</v>
      </c>
      <c r="E104" s="12">
        <v>12</v>
      </c>
      <c r="F104" s="13">
        <v>4.6539000000000001</v>
      </c>
      <c r="G104" s="14">
        <v>7.4387634591547999E-2</v>
      </c>
      <c r="H104" s="14">
        <v>0</v>
      </c>
      <c r="I104" s="14">
        <v>0.97874857922821323</v>
      </c>
      <c r="J104" s="14">
        <v>2.5215402814314399E-2</v>
      </c>
      <c r="K104" s="14">
        <v>0</v>
      </c>
    </row>
    <row r="105" spans="1:11">
      <c r="A105" s="8">
        <v>9</v>
      </c>
      <c r="B105" s="18">
        <v>37998</v>
      </c>
      <c r="C105" s="12">
        <v>2004</v>
      </c>
      <c r="D105" s="15" t="s">
        <v>18</v>
      </c>
      <c r="E105" s="12">
        <v>1</v>
      </c>
      <c r="F105" s="13">
        <v>5.7762000000000002</v>
      </c>
      <c r="G105" s="13">
        <v>5.3633708253288878E-2</v>
      </c>
      <c r="H105" s="13">
        <v>0</v>
      </c>
      <c r="I105" s="13">
        <v>1.6849382831383986</v>
      </c>
      <c r="J105" s="13">
        <v>1.3551812881034025E-2</v>
      </c>
      <c r="K105" s="13">
        <v>0</v>
      </c>
    </row>
    <row r="106" spans="1:11">
      <c r="A106" s="8">
        <v>10</v>
      </c>
      <c r="B106" s="18">
        <v>37998</v>
      </c>
      <c r="C106" s="12">
        <v>2004</v>
      </c>
      <c r="D106" s="15" t="s">
        <v>18</v>
      </c>
      <c r="E106" s="12">
        <v>1</v>
      </c>
      <c r="F106" s="13">
        <v>5.8978000000000002</v>
      </c>
      <c r="G106" s="13">
        <v>5.6402743883644996E-2</v>
      </c>
      <c r="H106" s="13">
        <v>0</v>
      </c>
      <c r="I106" s="13">
        <v>1.7167289948778295</v>
      </c>
      <c r="J106" s="13">
        <v>1.4940668730730324E-2</v>
      </c>
      <c r="K106" s="13">
        <v>0</v>
      </c>
    </row>
    <row r="107" spans="1:11">
      <c r="A107" s="8">
        <v>9</v>
      </c>
      <c r="B107" s="18">
        <v>38026</v>
      </c>
      <c r="C107" s="12">
        <v>2004</v>
      </c>
      <c r="D107" s="11" t="s">
        <v>19</v>
      </c>
      <c r="E107" s="12">
        <v>2</v>
      </c>
      <c r="F107" s="13">
        <v>13.942399999999999</v>
      </c>
      <c r="G107" s="13">
        <v>8.7540418959693389E-2</v>
      </c>
      <c r="H107" s="13">
        <v>0</v>
      </c>
      <c r="I107" s="13">
        <v>4.0355978152652936</v>
      </c>
      <c r="J107" s="13">
        <v>3.593835559792715E-2</v>
      </c>
      <c r="K107" s="13">
        <v>0</v>
      </c>
    </row>
    <row r="108" spans="1:11">
      <c r="A108" s="8">
        <v>10</v>
      </c>
      <c r="B108" s="18">
        <v>38026</v>
      </c>
      <c r="C108" s="12">
        <v>2004</v>
      </c>
      <c r="D108" s="11" t="s">
        <v>19</v>
      </c>
      <c r="E108" s="12">
        <v>2</v>
      </c>
      <c r="F108" s="13">
        <v>27.691099999999999</v>
      </c>
      <c r="G108" s="13">
        <v>0.72842183782826986</v>
      </c>
      <c r="H108" s="13">
        <v>0</v>
      </c>
      <c r="I108" s="13">
        <v>7.4831906949446898</v>
      </c>
      <c r="J108" s="13">
        <v>7.4805569814580655E-2</v>
      </c>
      <c r="K108" s="13">
        <v>0</v>
      </c>
    </row>
    <row r="109" spans="1:11">
      <c r="A109" s="8">
        <v>9</v>
      </c>
      <c r="B109" s="18">
        <v>38061</v>
      </c>
      <c r="C109" s="12">
        <v>2004</v>
      </c>
      <c r="D109" s="11" t="s">
        <v>20</v>
      </c>
      <c r="E109" s="12">
        <v>3</v>
      </c>
      <c r="F109" s="13">
        <v>10.276</v>
      </c>
      <c r="G109" s="13">
        <v>0.1114203618211103</v>
      </c>
      <c r="H109" s="13">
        <v>0</v>
      </c>
      <c r="I109" s="13">
        <v>4.6035466157951683</v>
      </c>
      <c r="J109" s="13">
        <v>5.1460611738834511E-2</v>
      </c>
      <c r="K109" s="13">
        <v>0</v>
      </c>
    </row>
    <row r="110" spans="1:11">
      <c r="A110" s="8">
        <v>10</v>
      </c>
      <c r="B110" s="18">
        <v>38061</v>
      </c>
      <c r="C110" s="12">
        <v>2004</v>
      </c>
      <c r="D110" s="11" t="s">
        <v>20</v>
      </c>
      <c r="E110" s="12">
        <v>3</v>
      </c>
      <c r="F110" s="13">
        <v>9.8984000000000005</v>
      </c>
      <c r="G110" s="13">
        <v>0.12649634824400433</v>
      </c>
      <c r="H110" s="13">
        <v>0</v>
      </c>
      <c r="I110" s="13">
        <v>4.2670753004649598</v>
      </c>
      <c r="J110" s="13">
        <v>7.3614602924470529E-2</v>
      </c>
      <c r="K110" s="13">
        <v>0</v>
      </c>
    </row>
    <row r="111" spans="1:11">
      <c r="A111" s="8">
        <v>9</v>
      </c>
      <c r="B111" s="18">
        <v>38093</v>
      </c>
      <c r="C111" s="12">
        <v>2004</v>
      </c>
      <c r="D111" s="11" t="s">
        <v>21</v>
      </c>
      <c r="E111" s="12">
        <v>4</v>
      </c>
      <c r="F111" s="13">
        <v>1.6172</v>
      </c>
      <c r="G111" s="20">
        <v>7.0470172818559662E-2</v>
      </c>
      <c r="H111" s="20">
        <v>1.6052095459349044E-2</v>
      </c>
      <c r="I111" s="20">
        <v>0.35943314923909303</v>
      </c>
      <c r="J111" s="20">
        <v>1.6449389643324631E-2</v>
      </c>
      <c r="K111" s="20">
        <v>0</v>
      </c>
    </row>
    <row r="112" spans="1:11">
      <c r="A112" s="8">
        <v>10</v>
      </c>
      <c r="B112" s="18">
        <v>38093</v>
      </c>
      <c r="C112" s="12">
        <v>2004</v>
      </c>
      <c r="D112" s="11" t="s">
        <v>21</v>
      </c>
      <c r="E112" s="12">
        <v>4</v>
      </c>
      <c r="F112" s="13">
        <v>1.2706999999999999</v>
      </c>
      <c r="G112" s="20">
        <v>0.10592715972744166</v>
      </c>
      <c r="H112" s="20">
        <v>0</v>
      </c>
      <c r="I112" s="20">
        <v>0.26871623775691356</v>
      </c>
      <c r="J112" s="20">
        <v>1.7534734157123474E-2</v>
      </c>
      <c r="K112" s="20">
        <v>0</v>
      </c>
    </row>
    <row r="113" spans="1:11">
      <c r="A113" s="8">
        <v>9</v>
      </c>
      <c r="B113" s="18">
        <v>38117</v>
      </c>
      <c r="C113" s="12">
        <v>2004</v>
      </c>
      <c r="D113" s="11" t="s">
        <v>22</v>
      </c>
      <c r="E113" s="12">
        <v>5</v>
      </c>
      <c r="F113" s="13">
        <v>2.1907000000000001</v>
      </c>
      <c r="G113" s="20">
        <v>1.467912115628991E-2</v>
      </c>
      <c r="H113" s="20">
        <v>7.3173521051607182E-2</v>
      </c>
      <c r="I113" s="20">
        <v>0.68361484968712094</v>
      </c>
      <c r="J113" s="20">
        <v>1.3060084137059003E-2</v>
      </c>
      <c r="K113" s="20">
        <v>0</v>
      </c>
    </row>
    <row r="114" spans="1:11">
      <c r="A114" s="8">
        <v>10</v>
      </c>
      <c r="B114" s="18">
        <v>38117</v>
      </c>
      <c r="C114" s="12">
        <v>2004</v>
      </c>
      <c r="D114" s="11" t="s">
        <v>22</v>
      </c>
      <c r="E114" s="12">
        <v>5</v>
      </c>
      <c r="F114" s="13">
        <v>2.0653000000000001</v>
      </c>
      <c r="G114" s="20">
        <v>2.3139791584241665E-2</v>
      </c>
      <c r="H114" s="20">
        <v>0</v>
      </c>
      <c r="I114" s="20">
        <v>0.42293627566683517</v>
      </c>
      <c r="J114" s="20">
        <v>8.299007207059915E-3</v>
      </c>
      <c r="K114" s="20">
        <v>0</v>
      </c>
    </row>
    <row r="115" spans="1:11">
      <c r="A115" s="8">
        <v>9</v>
      </c>
      <c r="B115" s="18">
        <v>38160</v>
      </c>
      <c r="C115" s="12">
        <v>2004</v>
      </c>
      <c r="D115" s="11" t="s">
        <v>23</v>
      </c>
      <c r="E115" s="12">
        <v>6</v>
      </c>
      <c r="F115" s="13">
        <v>26.334599999999998</v>
      </c>
      <c r="G115" s="20">
        <v>8.4493461118098995E-2</v>
      </c>
      <c r="H115" s="20">
        <v>0</v>
      </c>
      <c r="I115" s="20">
        <v>6.9889656781480136</v>
      </c>
      <c r="J115" s="20">
        <v>1.0417678726300963</v>
      </c>
      <c r="K115" s="20">
        <v>0</v>
      </c>
    </row>
    <row r="116" spans="1:11">
      <c r="A116" s="8">
        <v>10</v>
      </c>
      <c r="B116" s="18">
        <v>38160</v>
      </c>
      <c r="C116" s="12">
        <v>2004</v>
      </c>
      <c r="D116" s="11" t="s">
        <v>23</v>
      </c>
      <c r="E116" s="12">
        <v>6</v>
      </c>
      <c r="F116" s="13">
        <v>21.081700000000001</v>
      </c>
      <c r="G116" s="20">
        <v>0</v>
      </c>
      <c r="H116" s="20">
        <v>0</v>
      </c>
      <c r="I116" s="20">
        <v>8.8286223790994978</v>
      </c>
      <c r="J116" s="20">
        <v>0.43058469625330298</v>
      </c>
      <c r="K116" s="20">
        <v>0</v>
      </c>
    </row>
    <row r="117" spans="1:11">
      <c r="A117" s="8">
        <v>9</v>
      </c>
      <c r="B117" s="18">
        <v>38182</v>
      </c>
      <c r="C117" s="12">
        <v>2004</v>
      </c>
      <c r="D117" s="15" t="s">
        <v>24</v>
      </c>
      <c r="E117" s="12">
        <v>7</v>
      </c>
      <c r="F117" s="13">
        <v>14.373200000000001</v>
      </c>
      <c r="G117" s="20">
        <v>0.5420050617654516</v>
      </c>
      <c r="H117" s="20">
        <v>0</v>
      </c>
      <c r="I117" s="20">
        <v>2.8380220283951529</v>
      </c>
      <c r="J117" s="20">
        <v>0.53205327611241404</v>
      </c>
      <c r="K117" s="20">
        <v>0</v>
      </c>
    </row>
    <row r="118" spans="1:11">
      <c r="A118" s="8">
        <v>10</v>
      </c>
      <c r="B118" s="18">
        <v>38183</v>
      </c>
      <c r="C118" s="12">
        <v>2004</v>
      </c>
      <c r="D118" s="15" t="s">
        <v>24</v>
      </c>
      <c r="E118" s="12">
        <v>7</v>
      </c>
      <c r="F118" s="13">
        <v>11.0466</v>
      </c>
      <c r="G118" s="20">
        <v>0.53802927588318072</v>
      </c>
      <c r="H118" s="20">
        <v>0</v>
      </c>
      <c r="I118" s="20">
        <v>2.1664427328323703</v>
      </c>
      <c r="J118" s="20">
        <v>0.58769277208406878</v>
      </c>
      <c r="K118" s="20">
        <v>0</v>
      </c>
    </row>
    <row r="119" spans="1:11">
      <c r="A119" s="8">
        <v>9</v>
      </c>
      <c r="B119" s="18">
        <v>38218</v>
      </c>
      <c r="C119" s="12">
        <v>2004</v>
      </c>
      <c r="D119" s="15" t="s">
        <v>25</v>
      </c>
      <c r="E119" s="12">
        <v>8</v>
      </c>
      <c r="F119" s="13">
        <v>20.988299999999999</v>
      </c>
      <c r="G119" s="20">
        <v>9.2789099255482538E-2</v>
      </c>
      <c r="H119" s="20">
        <v>0</v>
      </c>
      <c r="I119" s="20">
        <v>7.0399304810656416</v>
      </c>
      <c r="J119" s="20">
        <v>0.44970641248038257</v>
      </c>
      <c r="K119" s="20">
        <v>0</v>
      </c>
    </row>
    <row r="120" spans="1:11">
      <c r="A120" s="8">
        <v>10</v>
      </c>
      <c r="B120" s="18">
        <v>38218</v>
      </c>
      <c r="C120" s="12">
        <v>2004</v>
      </c>
      <c r="D120" s="15" t="s">
        <v>25</v>
      </c>
      <c r="E120" s="12">
        <v>8</v>
      </c>
      <c r="F120" s="13">
        <v>21.952300000000001</v>
      </c>
      <c r="G120" s="20">
        <v>0.56466536508723086</v>
      </c>
      <c r="H120" s="20">
        <v>0</v>
      </c>
      <c r="I120" s="20">
        <v>5.1062949967024265</v>
      </c>
      <c r="J120" s="20">
        <v>0.42863335371410877</v>
      </c>
      <c r="K120" s="20">
        <v>0</v>
      </c>
    </row>
    <row r="121" spans="1:11">
      <c r="A121" s="8">
        <v>9</v>
      </c>
      <c r="B121" s="18">
        <v>38246</v>
      </c>
      <c r="C121" s="12">
        <v>2004</v>
      </c>
      <c r="D121" s="15" t="s">
        <v>26</v>
      </c>
      <c r="E121" s="12">
        <v>9</v>
      </c>
      <c r="F121" s="13">
        <v>3.903</v>
      </c>
      <c r="G121" s="20">
        <v>9.1809678542013277E-3</v>
      </c>
      <c r="H121" s="20">
        <v>0</v>
      </c>
      <c r="I121" s="20">
        <v>1.2969792186079121</v>
      </c>
      <c r="J121" s="20">
        <v>6.9807625978256141E-2</v>
      </c>
      <c r="K121" s="20">
        <v>0</v>
      </c>
    </row>
    <row r="122" spans="1:11">
      <c r="A122" s="8">
        <v>10</v>
      </c>
      <c r="B122" s="18">
        <v>38246</v>
      </c>
      <c r="C122" s="12">
        <v>2004</v>
      </c>
      <c r="D122" s="15" t="s">
        <v>26</v>
      </c>
      <c r="E122" s="12">
        <v>9</v>
      </c>
      <c r="F122" s="13">
        <v>3.9117999999999999</v>
      </c>
      <c r="G122" s="20">
        <v>3.9154291958455566E-2</v>
      </c>
      <c r="H122" s="20">
        <v>0</v>
      </c>
      <c r="I122" s="20">
        <v>0.87897330315792699</v>
      </c>
      <c r="J122" s="20">
        <v>0.1045687100298216</v>
      </c>
      <c r="K122" s="20">
        <v>0</v>
      </c>
    </row>
    <row r="123" spans="1:11">
      <c r="A123" s="8">
        <v>9</v>
      </c>
      <c r="B123" s="18">
        <v>38274</v>
      </c>
      <c r="C123" s="12">
        <v>2004</v>
      </c>
      <c r="D123" s="15" t="s">
        <v>14</v>
      </c>
      <c r="E123" s="12">
        <v>10</v>
      </c>
      <c r="F123" s="14">
        <v>1.80636</v>
      </c>
      <c r="G123" s="14">
        <v>1.8853760023822223E-2</v>
      </c>
      <c r="H123" s="14">
        <v>0</v>
      </c>
      <c r="I123" s="14">
        <v>0.16821037004560616</v>
      </c>
      <c r="J123" s="14">
        <v>1.6700792280480305E-2</v>
      </c>
      <c r="K123" s="14">
        <v>0</v>
      </c>
    </row>
    <row r="124" spans="1:11">
      <c r="A124" s="8">
        <v>10</v>
      </c>
      <c r="B124" s="18">
        <v>38274</v>
      </c>
      <c r="C124" s="12">
        <v>2004</v>
      </c>
      <c r="D124" s="15" t="s">
        <v>14</v>
      </c>
      <c r="E124" s="12">
        <v>10</v>
      </c>
      <c r="F124" s="14">
        <v>1.2798799999999999</v>
      </c>
      <c r="G124" s="14">
        <v>1.3219363063041249E-2</v>
      </c>
      <c r="H124" s="14">
        <v>0</v>
      </c>
      <c r="I124" s="14">
        <v>0.17669382885736795</v>
      </c>
      <c r="J124" s="14">
        <v>9.7784607468209793E-3</v>
      </c>
      <c r="K124" s="14">
        <v>0</v>
      </c>
    </row>
    <row r="125" spans="1:11">
      <c r="A125" s="8">
        <v>9</v>
      </c>
      <c r="B125" s="18">
        <v>38309</v>
      </c>
      <c r="C125" s="12">
        <v>2004</v>
      </c>
      <c r="D125" s="15" t="s">
        <v>16</v>
      </c>
      <c r="E125" s="12">
        <v>11</v>
      </c>
      <c r="F125" s="14">
        <v>1.70296</v>
      </c>
      <c r="G125" s="14">
        <v>3.7696741702325419E-2</v>
      </c>
      <c r="H125" s="14">
        <v>0</v>
      </c>
      <c r="I125" s="14">
        <v>0.30015940230597055</v>
      </c>
      <c r="J125" s="14">
        <v>7.581858547183561E-3</v>
      </c>
      <c r="K125" s="14">
        <v>0</v>
      </c>
    </row>
    <row r="126" spans="1:11">
      <c r="A126" s="8">
        <v>10</v>
      </c>
      <c r="B126" s="18">
        <v>38309</v>
      </c>
      <c r="C126" s="12">
        <v>2004</v>
      </c>
      <c r="D126" s="15" t="s">
        <v>16</v>
      </c>
      <c r="E126" s="12">
        <v>11</v>
      </c>
      <c r="F126" s="14">
        <v>1.3072299999999999</v>
      </c>
      <c r="G126" s="14">
        <v>3.5953069555033842E-2</v>
      </c>
      <c r="H126" s="14">
        <v>0</v>
      </c>
      <c r="I126" s="14">
        <v>0.29558067497291995</v>
      </c>
      <c r="J126" s="14">
        <v>0</v>
      </c>
      <c r="K126" s="14">
        <v>0</v>
      </c>
    </row>
    <row r="127" spans="1:11">
      <c r="A127" s="8">
        <v>9</v>
      </c>
      <c r="B127" s="18">
        <v>38337</v>
      </c>
      <c r="C127" s="12">
        <v>2004</v>
      </c>
      <c r="D127" s="15" t="s">
        <v>17</v>
      </c>
      <c r="E127" s="12">
        <v>12</v>
      </c>
      <c r="F127" s="14">
        <v>3.14832</v>
      </c>
      <c r="G127" s="14">
        <v>9.1800270058392641E-2</v>
      </c>
      <c r="H127" s="14">
        <v>0</v>
      </c>
      <c r="I127" s="14">
        <v>0.65562197959029778</v>
      </c>
      <c r="J127" s="14">
        <v>2.455715085436129E-2</v>
      </c>
      <c r="K127" s="14">
        <v>0</v>
      </c>
    </row>
    <row r="128" spans="1:11">
      <c r="A128" s="8">
        <v>10</v>
      </c>
      <c r="B128" s="18">
        <v>38337</v>
      </c>
      <c r="C128" s="12">
        <v>2004</v>
      </c>
      <c r="D128" s="15" t="s">
        <v>17</v>
      </c>
      <c r="E128" s="12">
        <v>12</v>
      </c>
      <c r="F128" s="14">
        <v>2.37168</v>
      </c>
      <c r="G128" s="14">
        <v>9.2767456383079649E-2</v>
      </c>
      <c r="H128" s="14">
        <v>0</v>
      </c>
      <c r="I128" s="14">
        <v>0.42690942105959789</v>
      </c>
      <c r="J128" s="14">
        <v>1.9521436560508542E-2</v>
      </c>
      <c r="K128" s="14">
        <v>0</v>
      </c>
    </row>
    <row r="129" spans="1:11">
      <c r="A129" s="8">
        <v>9</v>
      </c>
      <c r="B129" s="21">
        <v>38364</v>
      </c>
      <c r="C129" s="12">
        <v>2005</v>
      </c>
      <c r="D129" s="15" t="s">
        <v>18</v>
      </c>
      <c r="E129" s="12">
        <v>1</v>
      </c>
      <c r="F129" s="14">
        <v>4.34213</v>
      </c>
      <c r="G129" s="14">
        <v>6.3695933908416422E-2</v>
      </c>
      <c r="H129" s="14">
        <v>0</v>
      </c>
      <c r="I129" s="14">
        <v>1.3990121872852339</v>
      </c>
      <c r="J129" s="14">
        <v>1.2581201800703547E-2</v>
      </c>
      <c r="K129" s="14">
        <v>0</v>
      </c>
    </row>
    <row r="130" spans="1:11">
      <c r="A130" s="8">
        <v>10</v>
      </c>
      <c r="B130" s="21">
        <v>38364</v>
      </c>
      <c r="C130" s="12">
        <v>2005</v>
      </c>
      <c r="D130" s="15" t="s">
        <v>18</v>
      </c>
      <c r="E130" s="12">
        <v>1</v>
      </c>
      <c r="F130" s="14">
        <v>2.0388500000000001</v>
      </c>
      <c r="G130" s="14">
        <v>1.7819292074381946E-2</v>
      </c>
      <c r="H130" s="14">
        <v>0</v>
      </c>
      <c r="I130" s="14">
        <v>0.62782031884753375</v>
      </c>
      <c r="J130" s="14">
        <v>7.4417889078136536E-3</v>
      </c>
      <c r="K130" s="14">
        <v>0</v>
      </c>
    </row>
    <row r="131" spans="1:11">
      <c r="A131" s="8">
        <v>9</v>
      </c>
      <c r="B131" s="21">
        <v>38398</v>
      </c>
      <c r="C131" s="12">
        <v>2005</v>
      </c>
      <c r="D131" s="11" t="s">
        <v>19</v>
      </c>
      <c r="E131" s="12">
        <v>2</v>
      </c>
      <c r="F131" s="14">
        <v>4.7915900000000002</v>
      </c>
      <c r="G131" s="14">
        <v>6.0540292227620369E-2</v>
      </c>
      <c r="H131" s="14">
        <v>0</v>
      </c>
      <c r="I131" s="14">
        <v>1.1058875972156617</v>
      </c>
      <c r="J131" s="14">
        <v>2.1331403742456834E-2</v>
      </c>
      <c r="K131" s="14">
        <v>0</v>
      </c>
    </row>
    <row r="132" spans="1:11">
      <c r="A132" s="8">
        <v>10</v>
      </c>
      <c r="B132" s="21">
        <v>38398</v>
      </c>
      <c r="C132" s="12">
        <v>2005</v>
      </c>
      <c r="D132" s="11" t="s">
        <v>19</v>
      </c>
      <c r="E132" s="12">
        <v>2</v>
      </c>
      <c r="F132" s="14">
        <v>5.6125600000000002</v>
      </c>
      <c r="G132" s="14">
        <v>0.58194594743345318</v>
      </c>
      <c r="H132" s="14">
        <v>0</v>
      </c>
      <c r="I132" s="14">
        <v>1.1539832603063029</v>
      </c>
      <c r="J132" s="14">
        <v>3.1936419151348538E-2</v>
      </c>
      <c r="K132" s="14">
        <v>0</v>
      </c>
    </row>
    <row r="133" spans="1:11">
      <c r="A133" s="8">
        <v>9</v>
      </c>
      <c r="B133" s="21">
        <v>38427</v>
      </c>
      <c r="C133" s="12">
        <v>2005</v>
      </c>
      <c r="D133" s="11" t="s">
        <v>20</v>
      </c>
      <c r="E133" s="12">
        <v>3</v>
      </c>
      <c r="F133" s="14">
        <v>3.0385599999999999</v>
      </c>
      <c r="G133" s="14">
        <v>8.7593611644994351E-2</v>
      </c>
      <c r="H133" s="14">
        <v>0</v>
      </c>
      <c r="I133" s="14">
        <v>0.92770999727336934</v>
      </c>
      <c r="J133" s="14">
        <v>1.9567028787043885E-2</v>
      </c>
      <c r="K133" s="14">
        <v>0</v>
      </c>
    </row>
    <row r="134" spans="1:11">
      <c r="A134" s="8">
        <v>10</v>
      </c>
      <c r="B134" s="21">
        <v>38427</v>
      </c>
      <c r="C134" s="12">
        <v>2005</v>
      </c>
      <c r="D134" s="11" t="s">
        <v>20</v>
      </c>
      <c r="E134" s="12">
        <v>3</v>
      </c>
      <c r="F134" s="14">
        <v>2.036</v>
      </c>
      <c r="G134" s="14">
        <v>6.4977315615343464E-2</v>
      </c>
      <c r="H134" s="14">
        <v>0</v>
      </c>
      <c r="I134" s="14">
        <v>0.38562158863341417</v>
      </c>
      <c r="J134" s="14">
        <v>1.6046769807242508E-2</v>
      </c>
      <c r="K134" s="14">
        <v>0</v>
      </c>
    </row>
    <row r="135" spans="1:11">
      <c r="A135" s="8">
        <v>9</v>
      </c>
      <c r="B135" s="21">
        <v>38470</v>
      </c>
      <c r="C135" s="12">
        <v>2005</v>
      </c>
      <c r="D135" s="11" t="s">
        <v>21</v>
      </c>
      <c r="E135" s="12">
        <v>4</v>
      </c>
      <c r="F135" s="14">
        <v>3.6966299999999999</v>
      </c>
      <c r="G135" s="14">
        <v>3.836324480844773E-2</v>
      </c>
      <c r="H135" s="14">
        <v>0.16774882509637348</v>
      </c>
      <c r="I135" s="14">
        <v>1.4991214896970464</v>
      </c>
      <c r="J135" s="14">
        <v>3.2408548870282113E-2</v>
      </c>
      <c r="K135" s="14">
        <v>0</v>
      </c>
    </row>
    <row r="136" spans="1:11">
      <c r="A136" s="8">
        <v>10</v>
      </c>
      <c r="B136" s="21">
        <v>38470</v>
      </c>
      <c r="C136" s="12">
        <v>2005</v>
      </c>
      <c r="D136" s="11" t="s">
        <v>21</v>
      </c>
      <c r="E136" s="12">
        <v>4</v>
      </c>
      <c r="F136" s="14">
        <v>3.004</v>
      </c>
      <c r="G136" s="14">
        <v>2.2029147235972421E-2</v>
      </c>
      <c r="H136" s="14">
        <v>4.5188489634529254E-2</v>
      </c>
      <c r="I136" s="14">
        <v>0.88806486164737652</v>
      </c>
      <c r="J136" s="14">
        <v>2.5122485168123029E-2</v>
      </c>
      <c r="K136" s="14">
        <v>0</v>
      </c>
    </row>
    <row r="137" spans="1:11">
      <c r="A137" s="8">
        <v>9</v>
      </c>
      <c r="B137" s="21">
        <v>38488</v>
      </c>
      <c r="C137" s="12">
        <v>2005</v>
      </c>
      <c r="D137" s="11" t="s">
        <v>22</v>
      </c>
      <c r="E137" s="12">
        <v>5</v>
      </c>
      <c r="F137" s="14">
        <v>6.0048199999999996</v>
      </c>
      <c r="G137" s="14">
        <v>3.338895227798129E-2</v>
      </c>
      <c r="H137" s="14">
        <v>0</v>
      </c>
      <c r="I137" s="14">
        <v>1.9673076945107064</v>
      </c>
      <c r="J137" s="14">
        <v>1.2604312796448462E-2</v>
      </c>
      <c r="K137" s="14">
        <v>0</v>
      </c>
    </row>
    <row r="138" spans="1:11">
      <c r="A138" s="8">
        <v>10</v>
      </c>
      <c r="B138" s="21">
        <v>38488</v>
      </c>
      <c r="C138" s="12">
        <v>2005</v>
      </c>
      <c r="D138" s="11" t="s">
        <v>22</v>
      </c>
      <c r="E138" s="12">
        <v>5</v>
      </c>
      <c r="F138" s="14">
        <v>4.00244</v>
      </c>
      <c r="G138" s="14">
        <v>8.7859767273540473E-2</v>
      </c>
      <c r="H138" s="14">
        <v>0</v>
      </c>
      <c r="I138" s="14">
        <v>0.7911180050489377</v>
      </c>
      <c r="J138" s="14">
        <v>2.1756917182649955E-2</v>
      </c>
      <c r="K138" s="14">
        <v>0</v>
      </c>
    </row>
    <row r="139" spans="1:11">
      <c r="A139" s="8">
        <v>9</v>
      </c>
      <c r="B139" s="21">
        <v>38525</v>
      </c>
      <c r="C139" s="12">
        <v>2005</v>
      </c>
      <c r="D139" s="11" t="s">
        <v>23</v>
      </c>
      <c r="E139" s="12">
        <v>6</v>
      </c>
      <c r="F139" s="14">
        <v>15.88509</v>
      </c>
      <c r="G139" s="14">
        <v>5.994724295335499E-2</v>
      </c>
      <c r="H139" s="14">
        <v>0</v>
      </c>
      <c r="I139" s="14">
        <v>4.3056150079629614</v>
      </c>
      <c r="J139" s="14">
        <v>0.37487040181041797</v>
      </c>
      <c r="K139" s="14">
        <v>0</v>
      </c>
    </row>
    <row r="140" spans="1:11">
      <c r="A140" s="8">
        <v>10</v>
      </c>
      <c r="B140" s="21">
        <v>38525</v>
      </c>
      <c r="C140" s="12">
        <v>2005</v>
      </c>
      <c r="D140" s="11" t="s">
        <v>23</v>
      </c>
      <c r="E140" s="12">
        <v>6</v>
      </c>
      <c r="F140" s="14">
        <v>6.5588699999999998</v>
      </c>
      <c r="G140" s="14">
        <v>9.7946303293355547E-2</v>
      </c>
      <c r="H140" s="14">
        <v>0</v>
      </c>
      <c r="I140" s="14">
        <v>0.88193550179543012</v>
      </c>
      <c r="J140" s="14">
        <v>0.23302284243004523</v>
      </c>
      <c r="K140" s="14">
        <v>0</v>
      </c>
    </row>
    <row r="141" spans="1:11">
      <c r="A141" s="8">
        <v>9</v>
      </c>
      <c r="B141" s="21">
        <v>38546</v>
      </c>
      <c r="C141" s="12">
        <v>2005</v>
      </c>
      <c r="D141" s="15" t="s">
        <v>24</v>
      </c>
      <c r="E141" s="12">
        <v>7</v>
      </c>
      <c r="F141" s="14">
        <v>15.474449999999999</v>
      </c>
      <c r="G141" s="14">
        <v>0.49919472691675482</v>
      </c>
      <c r="H141" s="14">
        <v>0</v>
      </c>
      <c r="I141" s="14">
        <v>3.431563906564016</v>
      </c>
      <c r="J141" s="14">
        <v>0.70814635511566504</v>
      </c>
      <c r="K141" s="14">
        <v>0</v>
      </c>
    </row>
    <row r="142" spans="1:11">
      <c r="A142" s="8">
        <v>10</v>
      </c>
      <c r="B142" s="21">
        <v>38546</v>
      </c>
      <c r="C142" s="12">
        <v>2005</v>
      </c>
      <c r="D142" s="15" t="s">
        <v>24</v>
      </c>
      <c r="E142" s="12">
        <v>7</v>
      </c>
      <c r="F142" s="14">
        <v>17.4208</v>
      </c>
      <c r="G142" s="14">
        <v>3.3598984960462861</v>
      </c>
      <c r="H142" s="14">
        <v>0</v>
      </c>
      <c r="I142" s="14">
        <v>2.5507945878322356</v>
      </c>
      <c r="J142" s="14">
        <v>0.70396778496912493</v>
      </c>
      <c r="K142" s="14">
        <v>0</v>
      </c>
    </row>
    <row r="143" spans="1:11">
      <c r="A143" s="8">
        <v>9</v>
      </c>
      <c r="B143" s="21">
        <v>38594</v>
      </c>
      <c r="C143" s="12">
        <v>2005</v>
      </c>
      <c r="D143" s="15" t="s">
        <v>25</v>
      </c>
      <c r="E143" s="12">
        <v>8</v>
      </c>
      <c r="F143" s="14">
        <v>23.904499999999999</v>
      </c>
      <c r="G143" s="14">
        <v>0.47921651811919214</v>
      </c>
      <c r="H143" s="14">
        <v>0</v>
      </c>
      <c r="I143" s="14">
        <v>6.1733425407666616</v>
      </c>
      <c r="J143" s="14">
        <v>1.8038390085206482</v>
      </c>
      <c r="K143" s="14">
        <v>0</v>
      </c>
    </row>
    <row r="144" spans="1:11">
      <c r="A144" s="8">
        <v>10</v>
      </c>
      <c r="B144" s="21">
        <v>38594</v>
      </c>
      <c r="C144" s="12">
        <v>2005</v>
      </c>
      <c r="D144" s="15" t="s">
        <v>25</v>
      </c>
      <c r="E144" s="12">
        <v>8</v>
      </c>
      <c r="F144" s="14">
        <v>39.264499999999998</v>
      </c>
      <c r="G144" s="14">
        <v>1.4067729395441375</v>
      </c>
      <c r="H144" s="14">
        <v>0</v>
      </c>
      <c r="I144" s="14">
        <v>9.5205768788256933</v>
      </c>
      <c r="J144" s="14">
        <v>2.4169488717297396</v>
      </c>
      <c r="K144" s="14">
        <v>0</v>
      </c>
    </row>
    <row r="145" spans="1:11">
      <c r="A145" s="8">
        <v>9</v>
      </c>
      <c r="B145" s="21">
        <v>38609</v>
      </c>
      <c r="C145" s="12">
        <v>2005</v>
      </c>
      <c r="D145" s="15" t="s">
        <v>26</v>
      </c>
      <c r="E145" s="12">
        <v>9</v>
      </c>
      <c r="F145" s="14">
        <v>20.782630000000001</v>
      </c>
      <c r="G145" s="14">
        <v>0.10607993757876612</v>
      </c>
      <c r="H145" s="14">
        <v>0</v>
      </c>
      <c r="I145" s="14">
        <v>7.6550069615443261</v>
      </c>
      <c r="J145" s="14">
        <v>0.62984945756091204</v>
      </c>
      <c r="K145" s="14">
        <v>0</v>
      </c>
    </row>
    <row r="146" spans="1:11">
      <c r="A146" s="8">
        <v>10</v>
      </c>
      <c r="B146" s="21">
        <v>38609</v>
      </c>
      <c r="C146" s="12">
        <v>2005</v>
      </c>
      <c r="D146" s="15" t="s">
        <v>26</v>
      </c>
      <c r="E146" s="12">
        <v>9</v>
      </c>
      <c r="F146" s="14">
        <v>17.379480000000001</v>
      </c>
      <c r="G146" s="14">
        <v>0.11596435690491087</v>
      </c>
      <c r="H146" s="14">
        <v>0</v>
      </c>
      <c r="I146" s="14">
        <v>5.4068797278114813</v>
      </c>
      <c r="J146" s="14">
        <v>0.61842591350802079</v>
      </c>
      <c r="K146" s="14">
        <v>0</v>
      </c>
    </row>
    <row r="147" spans="1:11">
      <c r="A147" s="8">
        <v>9</v>
      </c>
      <c r="B147" s="21">
        <v>38643</v>
      </c>
      <c r="C147" s="12">
        <v>2005</v>
      </c>
      <c r="D147" s="15" t="s">
        <v>14</v>
      </c>
      <c r="E147" s="12">
        <v>10</v>
      </c>
      <c r="F147" s="14">
        <v>3.8508</v>
      </c>
      <c r="G147" s="14">
        <v>0.01</v>
      </c>
      <c r="H147" s="14">
        <v>1E-4</v>
      </c>
      <c r="I147" s="14">
        <v>0.86570000000000003</v>
      </c>
      <c r="J147" s="14">
        <v>3.4500000000000003E-2</v>
      </c>
      <c r="K147" s="14">
        <v>1E-4</v>
      </c>
    </row>
    <row r="148" spans="1:11">
      <c r="A148" s="8">
        <v>10</v>
      </c>
      <c r="B148" s="21">
        <v>38643</v>
      </c>
      <c r="C148" s="12">
        <v>2005</v>
      </c>
      <c r="D148" s="15" t="s">
        <v>14</v>
      </c>
      <c r="E148" s="12">
        <v>10</v>
      </c>
      <c r="F148" s="14">
        <v>3.9016000000000002</v>
      </c>
      <c r="G148" s="14">
        <v>2.23E-2</v>
      </c>
      <c r="H148" s="14">
        <v>1E-4</v>
      </c>
      <c r="I148" s="14">
        <v>0.4834</v>
      </c>
      <c r="J148" s="14">
        <v>3.3399999999999999E-2</v>
      </c>
      <c r="K148" s="14">
        <v>1E-4</v>
      </c>
    </row>
    <row r="149" spans="1:11">
      <c r="A149" s="8">
        <v>9</v>
      </c>
      <c r="B149" s="21">
        <v>38670</v>
      </c>
      <c r="C149" s="12">
        <v>2005</v>
      </c>
      <c r="D149" s="15" t="s">
        <v>16</v>
      </c>
      <c r="E149" s="12">
        <v>11</v>
      </c>
      <c r="F149" s="14">
        <v>0.92330000000000001</v>
      </c>
      <c r="G149" s="14">
        <v>1E-4</v>
      </c>
      <c r="H149" s="14">
        <v>1E-4</v>
      </c>
      <c r="I149" s="14">
        <v>9.6699999999999994E-2</v>
      </c>
      <c r="J149" s="14">
        <v>1E-4</v>
      </c>
      <c r="K149" s="14">
        <v>1E-4</v>
      </c>
    </row>
    <row r="150" spans="1:11">
      <c r="A150" s="8">
        <v>10</v>
      </c>
      <c r="B150" s="21">
        <v>38670</v>
      </c>
      <c r="C150" s="12">
        <v>2005</v>
      </c>
      <c r="D150" s="15" t="s">
        <v>16</v>
      </c>
      <c r="E150" s="12">
        <v>11</v>
      </c>
      <c r="F150" s="14">
        <v>1.599</v>
      </c>
      <c r="G150" s="14">
        <v>1E-4</v>
      </c>
      <c r="H150" s="14">
        <v>1E-4</v>
      </c>
      <c r="I150" s="14">
        <v>0.1285</v>
      </c>
      <c r="J150" s="14">
        <v>4.5999999999999999E-3</v>
      </c>
      <c r="K150" s="14">
        <v>1E-4</v>
      </c>
    </row>
    <row r="151" spans="1:11">
      <c r="A151" s="8">
        <v>9</v>
      </c>
      <c r="B151" s="21">
        <v>38706</v>
      </c>
      <c r="C151" s="12">
        <v>2005</v>
      </c>
      <c r="D151" s="15" t="s">
        <v>17</v>
      </c>
      <c r="E151" s="12">
        <v>12</v>
      </c>
      <c r="F151" s="14">
        <v>1.6493</v>
      </c>
      <c r="G151" s="14">
        <v>1.3299999999999999E-2</v>
      </c>
      <c r="H151" s="14">
        <v>1E-4</v>
      </c>
      <c r="I151" s="14">
        <v>0.41199999999999998</v>
      </c>
      <c r="J151" s="14">
        <v>4.7000000000000002E-3</v>
      </c>
      <c r="K151" s="14">
        <v>1E-4</v>
      </c>
    </row>
    <row r="152" spans="1:11">
      <c r="A152" s="8">
        <v>10</v>
      </c>
      <c r="B152" s="21">
        <v>38706</v>
      </c>
      <c r="C152" s="12">
        <v>2005</v>
      </c>
      <c r="D152" s="15" t="s">
        <v>17</v>
      </c>
      <c r="E152" s="12">
        <v>12</v>
      </c>
      <c r="F152" s="14">
        <v>2.7669999999999999</v>
      </c>
      <c r="G152" s="14">
        <v>2.6499999999999999E-2</v>
      </c>
      <c r="H152" s="14">
        <v>1E-4</v>
      </c>
      <c r="I152" s="14">
        <v>0.61680000000000001</v>
      </c>
      <c r="J152" s="14">
        <v>5.7000000000000002E-3</v>
      </c>
      <c r="K152" s="14">
        <v>1E-4</v>
      </c>
    </row>
    <row r="153" spans="1:11">
      <c r="A153" s="12">
        <v>9</v>
      </c>
      <c r="B153" s="21">
        <v>38737</v>
      </c>
      <c r="C153" s="12">
        <v>2006</v>
      </c>
      <c r="D153" s="11" t="s">
        <v>18</v>
      </c>
      <c r="E153" s="12">
        <v>1</v>
      </c>
      <c r="F153" s="14">
        <v>4.6208</v>
      </c>
      <c r="G153" s="14">
        <v>5.5300000000000002E-2</v>
      </c>
      <c r="H153" s="14">
        <v>1E-4</v>
      </c>
      <c r="I153" s="14">
        <v>1.5771999999999999</v>
      </c>
      <c r="J153" s="14">
        <v>3.39E-2</v>
      </c>
      <c r="K153" s="14">
        <v>1E-4</v>
      </c>
    </row>
    <row r="154" spans="1:11">
      <c r="A154" s="12">
        <v>10</v>
      </c>
      <c r="B154" s="21">
        <v>38737</v>
      </c>
      <c r="C154" s="12">
        <v>2006</v>
      </c>
      <c r="D154" s="11" t="s">
        <v>18</v>
      </c>
      <c r="E154" s="12">
        <v>1</v>
      </c>
      <c r="F154" s="14">
        <v>3.3401000000000001</v>
      </c>
      <c r="G154" s="14">
        <v>0.20130000000000001</v>
      </c>
      <c r="H154" s="14">
        <v>1E-4</v>
      </c>
      <c r="I154" s="14">
        <v>0.73070000000000002</v>
      </c>
      <c r="J154" s="14">
        <v>2.8899999999999999E-2</v>
      </c>
      <c r="K154" s="14">
        <v>1E-4</v>
      </c>
    </row>
    <row r="155" spans="1:11">
      <c r="A155" s="12">
        <v>9</v>
      </c>
      <c r="B155" s="21">
        <v>38763</v>
      </c>
      <c r="C155" s="15">
        <v>2006</v>
      </c>
      <c r="D155" s="11" t="s">
        <v>28</v>
      </c>
      <c r="E155" s="15">
        <v>2</v>
      </c>
      <c r="F155" s="14">
        <v>2.9337</v>
      </c>
      <c r="G155" s="14">
        <v>7.6799999999999993E-2</v>
      </c>
      <c r="H155" s="14">
        <v>2.5700000000000001E-2</v>
      </c>
      <c r="I155" s="14">
        <v>0.94389999999999996</v>
      </c>
      <c r="J155" s="14">
        <v>3.8600000000000002E-2</v>
      </c>
      <c r="K155" s="14">
        <v>1E-4</v>
      </c>
    </row>
    <row r="156" spans="1:11">
      <c r="A156" s="12">
        <v>10</v>
      </c>
      <c r="B156" s="21">
        <v>38763</v>
      </c>
      <c r="C156" s="15">
        <v>2006</v>
      </c>
      <c r="D156" s="11" t="s">
        <v>28</v>
      </c>
      <c r="E156" s="15">
        <v>2</v>
      </c>
      <c r="F156" s="14">
        <v>6.0673000000000004</v>
      </c>
      <c r="G156" s="14">
        <v>0.50509999999999999</v>
      </c>
      <c r="H156" s="14">
        <v>1E-4</v>
      </c>
      <c r="I156" s="14">
        <v>1.6879</v>
      </c>
      <c r="J156" s="14">
        <v>3.6200000000000003E-2</v>
      </c>
      <c r="K156" s="14">
        <v>1E-4</v>
      </c>
    </row>
    <row r="157" spans="1:11">
      <c r="A157" s="12">
        <v>9</v>
      </c>
      <c r="B157" s="21">
        <v>38792</v>
      </c>
      <c r="C157" s="12">
        <v>2006</v>
      </c>
      <c r="D157" s="11" t="s">
        <v>29</v>
      </c>
      <c r="E157" s="15">
        <v>3</v>
      </c>
      <c r="F157" s="14">
        <v>0.81259999999999999</v>
      </c>
      <c r="G157" s="14">
        <v>9.7999999999999997E-3</v>
      </c>
      <c r="H157" s="14">
        <v>1E-4</v>
      </c>
      <c r="I157" s="14">
        <v>0.23150000000000001</v>
      </c>
      <c r="J157" s="14">
        <v>1.0800000000000001E-2</v>
      </c>
      <c r="K157" s="14">
        <v>1E-4</v>
      </c>
    </row>
    <row r="158" spans="1:11">
      <c r="A158" s="12">
        <v>10</v>
      </c>
      <c r="B158" s="21">
        <v>38792</v>
      </c>
      <c r="C158" s="12">
        <v>2006</v>
      </c>
      <c r="D158" s="11" t="s">
        <v>29</v>
      </c>
      <c r="E158" s="15">
        <v>3</v>
      </c>
      <c r="F158" s="14">
        <v>1.3021</v>
      </c>
      <c r="G158" s="14">
        <v>6.0600000000000001E-2</v>
      </c>
      <c r="H158" s="14">
        <v>1E-4</v>
      </c>
      <c r="I158" s="14">
        <v>0.34649999999999997</v>
      </c>
      <c r="J158" s="14">
        <v>1.8700000000000001E-2</v>
      </c>
      <c r="K158" s="14">
        <v>1E-4</v>
      </c>
    </row>
    <row r="159" spans="1:11">
      <c r="A159" s="12">
        <v>9</v>
      </c>
      <c r="B159" s="9">
        <v>38826</v>
      </c>
      <c r="C159" s="12">
        <v>2006</v>
      </c>
      <c r="D159" s="11" t="s">
        <v>30</v>
      </c>
      <c r="E159" s="12">
        <v>4</v>
      </c>
      <c r="F159" s="14">
        <v>1.1544000000000001</v>
      </c>
      <c r="G159" s="14">
        <v>5.8400000000000001E-2</v>
      </c>
      <c r="H159" s="14">
        <v>1E-4</v>
      </c>
      <c r="I159" s="14">
        <v>9.2399999999999996E-2</v>
      </c>
      <c r="J159" s="14">
        <v>1.83E-2</v>
      </c>
      <c r="K159" s="14">
        <v>1E-4</v>
      </c>
    </row>
    <row r="160" spans="1:11">
      <c r="A160" s="12">
        <v>10</v>
      </c>
      <c r="B160" s="9">
        <v>38826</v>
      </c>
      <c r="C160" s="12">
        <v>2006</v>
      </c>
      <c r="D160" s="11" t="s">
        <v>30</v>
      </c>
      <c r="E160" s="12">
        <v>4</v>
      </c>
      <c r="F160" s="14">
        <v>0.94199999999999995</v>
      </c>
      <c r="G160" s="14">
        <v>2.5600000000000001E-2</v>
      </c>
      <c r="H160" s="14">
        <v>1E-4</v>
      </c>
      <c r="I160" s="14">
        <v>5.4800000000000001E-2</v>
      </c>
      <c r="J160" s="14">
        <v>1.7999999999999999E-2</v>
      </c>
      <c r="K160" s="14">
        <v>1E-4</v>
      </c>
    </row>
    <row r="161" spans="1:11">
      <c r="A161" s="12">
        <v>9</v>
      </c>
      <c r="B161" s="9">
        <v>38853</v>
      </c>
      <c r="C161" s="12">
        <v>2006</v>
      </c>
      <c r="D161" s="11" t="s">
        <v>31</v>
      </c>
      <c r="E161" s="12">
        <v>5</v>
      </c>
      <c r="F161" s="14">
        <v>1.7291000000000001</v>
      </c>
      <c r="G161" s="14">
        <v>1.14E-2</v>
      </c>
      <c r="H161" s="14">
        <v>1E-4</v>
      </c>
      <c r="I161" s="14">
        <v>0.252</v>
      </c>
      <c r="J161" s="14">
        <v>1.5900000000000001E-2</v>
      </c>
      <c r="K161" s="14">
        <v>1E-4</v>
      </c>
    </row>
    <row r="162" spans="1:11">
      <c r="A162" s="12">
        <v>10</v>
      </c>
      <c r="B162" s="9">
        <v>38853</v>
      </c>
      <c r="C162" s="12">
        <v>2006</v>
      </c>
      <c r="D162" s="11" t="s">
        <v>31</v>
      </c>
      <c r="E162" s="12">
        <v>5</v>
      </c>
      <c r="F162" s="14">
        <v>4.9337999999999997</v>
      </c>
      <c r="G162" s="14">
        <v>2.5499999999999998E-2</v>
      </c>
      <c r="H162" s="14">
        <v>1E-4</v>
      </c>
      <c r="I162" s="14">
        <v>1.0455000000000001</v>
      </c>
      <c r="J162" s="14">
        <v>3.4599999999999999E-2</v>
      </c>
      <c r="K162" s="14">
        <v>1E-4</v>
      </c>
    </row>
    <row r="163" spans="1:11">
      <c r="A163" s="12">
        <v>9</v>
      </c>
      <c r="B163" s="9">
        <v>38884</v>
      </c>
      <c r="C163" s="12">
        <v>2006</v>
      </c>
      <c r="D163" s="11" t="s">
        <v>32</v>
      </c>
      <c r="E163" s="12">
        <v>6</v>
      </c>
      <c r="F163" s="14">
        <v>14.875500000000001</v>
      </c>
      <c r="G163" s="14">
        <v>3.09E-2</v>
      </c>
      <c r="H163" s="14">
        <v>1.2762</v>
      </c>
      <c r="I163" s="14">
        <v>5.4286000000000003</v>
      </c>
      <c r="J163" s="14">
        <v>0.36430000000000001</v>
      </c>
      <c r="K163" s="14">
        <v>1E-4</v>
      </c>
    </row>
    <row r="164" spans="1:11">
      <c r="A164" s="12">
        <v>10</v>
      </c>
      <c r="B164" s="9">
        <v>38884</v>
      </c>
      <c r="C164" s="12">
        <v>2006</v>
      </c>
      <c r="D164" s="11" t="s">
        <v>32</v>
      </c>
      <c r="E164" s="12">
        <v>6</v>
      </c>
      <c r="F164" s="14">
        <v>18.331600000000002</v>
      </c>
      <c r="G164" s="14">
        <v>3.4000000000000002E-2</v>
      </c>
      <c r="H164" s="14">
        <v>2.0124</v>
      </c>
      <c r="I164" s="14">
        <v>6.8891</v>
      </c>
      <c r="J164" s="14">
        <v>0.55189999999999995</v>
      </c>
      <c r="K164" s="14">
        <v>1E-4</v>
      </c>
    </row>
    <row r="165" spans="1:11">
      <c r="A165" s="12">
        <v>9</v>
      </c>
      <c r="B165" s="9">
        <v>38915</v>
      </c>
      <c r="C165" s="12">
        <v>2006</v>
      </c>
      <c r="D165" s="11" t="s">
        <v>33</v>
      </c>
      <c r="E165" s="12">
        <v>7</v>
      </c>
      <c r="F165" s="14">
        <v>15.460800000000001</v>
      </c>
      <c r="G165" s="14">
        <v>3.56E-2</v>
      </c>
      <c r="H165" s="14">
        <v>1E-4</v>
      </c>
      <c r="I165" s="14">
        <v>4.1523000000000003</v>
      </c>
      <c r="J165" s="14">
        <v>0.69030000000000002</v>
      </c>
      <c r="K165" s="14">
        <v>1E-4</v>
      </c>
    </row>
    <row r="166" spans="1:11">
      <c r="A166" s="12">
        <v>10</v>
      </c>
      <c r="B166" s="9">
        <v>38915</v>
      </c>
      <c r="C166" s="12">
        <v>2006</v>
      </c>
      <c r="D166" s="11" t="s">
        <v>33</v>
      </c>
      <c r="E166" s="12">
        <v>7</v>
      </c>
      <c r="F166" s="14">
        <v>15.3445</v>
      </c>
      <c r="G166" s="14">
        <v>0.1497</v>
      </c>
      <c r="H166" s="14">
        <v>1E-4</v>
      </c>
      <c r="I166" s="14">
        <v>4.3220000000000001</v>
      </c>
      <c r="J166" s="14">
        <v>0.85440000000000005</v>
      </c>
      <c r="K166" s="14">
        <v>1E-4</v>
      </c>
    </row>
    <row r="167" spans="1:11">
      <c r="A167" s="12">
        <v>9</v>
      </c>
      <c r="B167" s="9">
        <v>38952</v>
      </c>
      <c r="C167" s="12">
        <v>2006</v>
      </c>
      <c r="D167" s="11" t="s">
        <v>34</v>
      </c>
      <c r="E167" s="12">
        <v>8</v>
      </c>
      <c r="F167" s="14">
        <v>15.3225</v>
      </c>
      <c r="G167" s="14">
        <v>2.7699999999999999E-2</v>
      </c>
      <c r="H167" s="14">
        <v>1E-4</v>
      </c>
      <c r="I167" s="14">
        <v>4.8970000000000002</v>
      </c>
      <c r="J167" s="14">
        <v>0.48080000000000001</v>
      </c>
      <c r="K167" s="14">
        <v>1E-4</v>
      </c>
    </row>
    <row r="168" spans="1:11">
      <c r="A168" s="12">
        <v>10</v>
      </c>
      <c r="B168" s="9">
        <v>38952</v>
      </c>
      <c r="C168" s="12">
        <v>2006</v>
      </c>
      <c r="D168" s="11" t="s">
        <v>34</v>
      </c>
      <c r="E168" s="12">
        <v>8</v>
      </c>
      <c r="F168" s="14">
        <v>10.6037</v>
      </c>
      <c r="G168" s="14">
        <v>7.8299999999999995E-2</v>
      </c>
      <c r="H168" s="14">
        <v>1E-4</v>
      </c>
      <c r="I168" s="14">
        <v>2.7477999999999998</v>
      </c>
      <c r="J168" s="14">
        <v>0.62460000000000004</v>
      </c>
      <c r="K168" s="14">
        <v>1E-4</v>
      </c>
    </row>
    <row r="169" spans="1:11">
      <c r="A169" s="12">
        <v>9</v>
      </c>
      <c r="B169" s="9">
        <v>38975</v>
      </c>
      <c r="C169" s="12">
        <v>2006</v>
      </c>
      <c r="D169" s="11" t="s">
        <v>35</v>
      </c>
      <c r="E169" s="12">
        <v>9</v>
      </c>
      <c r="F169" s="14">
        <v>9.8229000000000006</v>
      </c>
      <c r="G169" s="14">
        <v>1.29E-2</v>
      </c>
      <c r="H169" s="14">
        <v>1E-4</v>
      </c>
      <c r="I169" s="14">
        <v>2.6187</v>
      </c>
      <c r="J169" s="14">
        <v>8.3199999999999996E-2</v>
      </c>
      <c r="K169" s="14">
        <v>1E-4</v>
      </c>
    </row>
    <row r="170" spans="1:11">
      <c r="A170" s="12">
        <v>10</v>
      </c>
      <c r="B170" s="9">
        <v>38975</v>
      </c>
      <c r="C170" s="12">
        <v>2006</v>
      </c>
      <c r="D170" s="11" t="s">
        <v>35</v>
      </c>
      <c r="E170" s="12">
        <v>9</v>
      </c>
      <c r="F170" s="14">
        <v>5.9092000000000002</v>
      </c>
      <c r="G170" s="14">
        <v>1.46E-2</v>
      </c>
      <c r="H170" s="14">
        <v>1E-4</v>
      </c>
      <c r="I170" s="14">
        <v>1.5679000000000001</v>
      </c>
      <c r="J170" s="14">
        <v>5.3499999999999999E-2</v>
      </c>
      <c r="K170" s="14">
        <v>1E-4</v>
      </c>
    </row>
    <row r="171" spans="1:11">
      <c r="A171" s="12">
        <v>9</v>
      </c>
      <c r="B171" s="9">
        <v>39006</v>
      </c>
      <c r="C171" s="12">
        <v>2006</v>
      </c>
      <c r="D171" s="11" t="s">
        <v>36</v>
      </c>
      <c r="E171" s="12">
        <v>10</v>
      </c>
      <c r="F171" s="14">
        <v>1.724</v>
      </c>
      <c r="G171" s="14">
        <v>3.3000000000000002E-2</v>
      </c>
      <c r="H171" s="14">
        <v>9.9989999999999996E-4</v>
      </c>
      <c r="I171" s="14">
        <v>0.17899999999999999</v>
      </c>
      <c r="J171" s="14">
        <v>1.9E-2</v>
      </c>
      <c r="K171" s="14">
        <v>9.9989999999999996E-4</v>
      </c>
    </row>
    <row r="172" spans="1:11">
      <c r="A172" s="12">
        <v>10</v>
      </c>
      <c r="B172" s="9">
        <v>39006</v>
      </c>
      <c r="C172" s="12">
        <v>2006</v>
      </c>
      <c r="D172" s="11" t="s">
        <v>36</v>
      </c>
      <c r="E172" s="12">
        <v>10</v>
      </c>
      <c r="F172" s="14">
        <v>1.37</v>
      </c>
      <c r="G172" s="14">
        <v>9.9989999999999996E-4</v>
      </c>
      <c r="H172" s="14">
        <v>9.9989999999999996E-4</v>
      </c>
      <c r="I172" s="14">
        <v>0.11600000000000001</v>
      </c>
      <c r="J172" s="14">
        <v>8.0000000000000002E-3</v>
      </c>
      <c r="K172" s="14">
        <v>9.9989999999999996E-4</v>
      </c>
    </row>
    <row r="173" spans="1:11">
      <c r="A173" s="12">
        <v>9</v>
      </c>
      <c r="B173" s="9">
        <v>39041</v>
      </c>
      <c r="C173" s="12">
        <v>2006</v>
      </c>
      <c r="D173" s="11" t="s">
        <v>37</v>
      </c>
      <c r="E173" s="12">
        <v>11</v>
      </c>
      <c r="F173" s="14">
        <v>1.1399999999999999</v>
      </c>
      <c r="G173" s="14">
        <v>2.1999999999999999E-2</v>
      </c>
      <c r="H173" s="14">
        <v>9.9989999999999996E-4</v>
      </c>
      <c r="I173" s="14">
        <v>0.14000000000000001</v>
      </c>
      <c r="J173" s="14">
        <v>1.0999999999999999E-2</v>
      </c>
      <c r="K173" s="14">
        <v>9.9989999999999996E-4</v>
      </c>
    </row>
    <row r="174" spans="1:11">
      <c r="A174" s="12">
        <v>10</v>
      </c>
      <c r="B174" s="9">
        <v>39041</v>
      </c>
      <c r="C174" s="12">
        <v>2006</v>
      </c>
      <c r="D174" s="11" t="s">
        <v>37</v>
      </c>
      <c r="E174" s="12">
        <v>11</v>
      </c>
      <c r="F174" s="14">
        <v>0.89600000000000002</v>
      </c>
      <c r="G174" s="14">
        <v>0.02</v>
      </c>
      <c r="H174" s="14">
        <v>9.9989999999999996E-4</v>
      </c>
      <c r="I174" s="14">
        <v>0.11799999999999999</v>
      </c>
      <c r="J174" s="14">
        <v>8.0000000000000002E-3</v>
      </c>
      <c r="K174" s="14">
        <v>9.9989999999999996E-4</v>
      </c>
    </row>
    <row r="175" spans="1:11">
      <c r="A175" s="12">
        <v>9</v>
      </c>
      <c r="B175" s="21">
        <v>39062</v>
      </c>
      <c r="C175" s="15">
        <v>2006</v>
      </c>
      <c r="D175" s="11" t="s">
        <v>38</v>
      </c>
      <c r="E175" s="15">
        <v>12</v>
      </c>
      <c r="F175" s="14">
        <v>2.0030000000000001</v>
      </c>
      <c r="G175" s="14">
        <v>5.8999999999999997E-2</v>
      </c>
      <c r="H175" s="14">
        <v>3.6999999999999998E-2</v>
      </c>
      <c r="I175" s="14">
        <v>0.41699999999999998</v>
      </c>
      <c r="J175" s="14">
        <v>4.9000000000000002E-2</v>
      </c>
      <c r="K175" s="14">
        <v>9.9989999999999996E-4</v>
      </c>
    </row>
    <row r="176" spans="1:11">
      <c r="A176" s="12">
        <v>10</v>
      </c>
      <c r="B176" s="21">
        <v>39062</v>
      </c>
      <c r="C176" s="15">
        <v>2006</v>
      </c>
      <c r="D176" s="11" t="s">
        <v>38</v>
      </c>
      <c r="E176" s="15">
        <v>12</v>
      </c>
      <c r="F176" s="14">
        <v>0.76300000000000001</v>
      </c>
      <c r="G176" s="14">
        <v>7.0000000000000001E-3</v>
      </c>
      <c r="H176" s="14">
        <v>9.9989999999999996E-4</v>
      </c>
      <c r="I176" s="14">
        <v>0.16900000000000001</v>
      </c>
      <c r="J176" s="14">
        <v>0.02</v>
      </c>
      <c r="K176" s="14">
        <v>9.9989999999999996E-4</v>
      </c>
    </row>
    <row r="177" spans="1:11">
      <c r="A177" s="15">
        <v>9</v>
      </c>
      <c r="B177" s="21">
        <v>39100</v>
      </c>
      <c r="C177" s="15">
        <v>2007</v>
      </c>
      <c r="D177" s="11" t="s">
        <v>39</v>
      </c>
      <c r="E177" s="15">
        <v>1</v>
      </c>
      <c r="F177" s="14">
        <v>0.98499999999999999</v>
      </c>
      <c r="G177" s="14">
        <v>4.1000000000000002E-2</v>
      </c>
      <c r="H177" s="14">
        <v>9.9989999999999996E-4</v>
      </c>
      <c r="I177" s="14">
        <v>0.221</v>
      </c>
      <c r="J177" s="14">
        <v>6.0000000000000001E-3</v>
      </c>
      <c r="K177" s="14">
        <v>9.9989999999999996E-4</v>
      </c>
    </row>
    <row r="178" spans="1:11">
      <c r="A178" s="15">
        <v>10</v>
      </c>
      <c r="B178" s="21">
        <v>39100</v>
      </c>
      <c r="C178" s="15">
        <v>2007</v>
      </c>
      <c r="D178" s="11" t="s">
        <v>39</v>
      </c>
      <c r="E178" s="15">
        <v>1</v>
      </c>
      <c r="F178" s="14">
        <v>2.0190000000000001</v>
      </c>
      <c r="G178" s="14">
        <v>0.24099999999999999</v>
      </c>
      <c r="H178" s="14">
        <v>9.9989999999999996E-4</v>
      </c>
      <c r="I178" s="14">
        <v>0.39600000000000002</v>
      </c>
      <c r="J178" s="14">
        <v>1.2999999999999999E-2</v>
      </c>
      <c r="K178" s="14">
        <v>9.9989999999999996E-4</v>
      </c>
    </row>
    <row r="179" spans="1:11">
      <c r="A179" s="15">
        <v>9</v>
      </c>
      <c r="B179" s="21">
        <v>39135</v>
      </c>
      <c r="C179" s="15">
        <v>2007</v>
      </c>
      <c r="D179" s="11" t="s">
        <v>28</v>
      </c>
      <c r="E179" s="15">
        <v>2</v>
      </c>
      <c r="F179" s="14">
        <v>6.2530000000000001</v>
      </c>
      <c r="G179" s="14">
        <v>0.112</v>
      </c>
      <c r="H179" s="14">
        <v>2.1000000000000001E-2</v>
      </c>
      <c r="I179" s="14">
        <v>1.9450000000000001</v>
      </c>
      <c r="J179" s="14">
        <v>1.4999999999999999E-2</v>
      </c>
      <c r="K179" s="14">
        <v>9.9989999999999996E-4</v>
      </c>
    </row>
    <row r="180" spans="1:11">
      <c r="A180" s="15">
        <v>10</v>
      </c>
      <c r="B180" s="21">
        <v>39135</v>
      </c>
      <c r="C180" s="15">
        <v>2007</v>
      </c>
      <c r="D180" s="11" t="s">
        <v>28</v>
      </c>
      <c r="E180" s="15">
        <v>2</v>
      </c>
      <c r="F180" s="14">
        <v>5.2530000000000001</v>
      </c>
      <c r="G180" s="14">
        <v>3.9E-2</v>
      </c>
      <c r="H180" s="14">
        <v>9.9989999999999996E-4</v>
      </c>
      <c r="I180" s="14">
        <v>1.6040000000000001</v>
      </c>
      <c r="J180" s="14">
        <v>1.7999999999999999E-2</v>
      </c>
      <c r="K180" s="14">
        <v>9.9989999999999996E-4</v>
      </c>
    </row>
    <row r="181" spans="1:11">
      <c r="A181" s="15">
        <v>9</v>
      </c>
      <c r="B181" s="21">
        <v>39153</v>
      </c>
      <c r="C181" s="15">
        <v>2007</v>
      </c>
      <c r="D181" s="11" t="s">
        <v>29</v>
      </c>
      <c r="E181" s="15">
        <v>3</v>
      </c>
      <c r="F181" s="14">
        <v>1.6619999999999999</v>
      </c>
      <c r="G181" s="14">
        <v>3.4000000000000002E-2</v>
      </c>
      <c r="H181" s="14">
        <v>4.4999999999999998E-2</v>
      </c>
      <c r="I181" s="14">
        <v>0.63600000000000001</v>
      </c>
      <c r="J181" s="14">
        <v>2.4E-2</v>
      </c>
      <c r="K181" s="14">
        <v>9.9989999999999996E-4</v>
      </c>
    </row>
    <row r="182" spans="1:11">
      <c r="A182" s="15">
        <v>10</v>
      </c>
      <c r="B182" s="21">
        <v>39153</v>
      </c>
      <c r="C182" s="15">
        <v>2007</v>
      </c>
      <c r="D182" s="11" t="s">
        <v>29</v>
      </c>
      <c r="E182" s="15">
        <v>3</v>
      </c>
      <c r="F182" s="14">
        <v>3.25</v>
      </c>
      <c r="G182" s="14">
        <v>0.14099999999999999</v>
      </c>
      <c r="H182" s="14">
        <v>0.02</v>
      </c>
      <c r="I182" s="14">
        <v>0.86599999999999999</v>
      </c>
      <c r="J182" s="14">
        <v>3.2000000000000001E-2</v>
      </c>
      <c r="K182" s="14">
        <v>9.9989999999999996E-4</v>
      </c>
    </row>
    <row r="183" spans="1:11">
      <c r="A183" s="15">
        <v>9</v>
      </c>
      <c r="B183" s="21">
        <v>39191</v>
      </c>
      <c r="C183" s="15">
        <v>2007</v>
      </c>
      <c r="D183" s="11" t="s">
        <v>30</v>
      </c>
      <c r="E183" s="15">
        <v>4</v>
      </c>
      <c r="F183" s="14">
        <v>1.63</v>
      </c>
      <c r="G183" s="14">
        <v>2.3E-2</v>
      </c>
      <c r="H183" s="14">
        <v>9.9989999999999996E-4</v>
      </c>
      <c r="I183" s="14">
        <v>0.497</v>
      </c>
      <c r="J183" s="14">
        <v>9.9989999999999996E-4</v>
      </c>
      <c r="K183" s="14">
        <v>9.9989999999999996E-4</v>
      </c>
    </row>
    <row r="184" spans="1:11">
      <c r="A184" s="15">
        <v>10</v>
      </c>
      <c r="B184" s="21">
        <v>39191</v>
      </c>
      <c r="C184" s="15">
        <v>2007</v>
      </c>
      <c r="D184" s="11" t="s">
        <v>30</v>
      </c>
      <c r="E184" s="15">
        <v>4</v>
      </c>
      <c r="F184" s="14">
        <v>1.3720000000000001</v>
      </c>
      <c r="G184" s="14">
        <v>9.9989999999999996E-4</v>
      </c>
      <c r="H184" s="14">
        <v>9.9989999999999996E-4</v>
      </c>
      <c r="I184" s="14">
        <v>0.435</v>
      </c>
      <c r="J184" s="14">
        <v>4.0000000000000001E-3</v>
      </c>
      <c r="K184" s="14">
        <v>9.9989999999999996E-4</v>
      </c>
    </row>
    <row r="185" spans="1:11">
      <c r="A185" s="15">
        <v>9</v>
      </c>
      <c r="B185" s="21">
        <v>39216</v>
      </c>
      <c r="C185" s="15">
        <v>2007</v>
      </c>
      <c r="D185" s="11" t="s">
        <v>31</v>
      </c>
      <c r="E185" s="15">
        <v>5</v>
      </c>
      <c r="F185" s="14">
        <v>10.595000000000001</v>
      </c>
      <c r="G185" s="14">
        <v>4.9000000000000002E-2</v>
      </c>
      <c r="H185" s="14">
        <v>1.204</v>
      </c>
      <c r="I185" s="14">
        <v>5.4539999999999997</v>
      </c>
      <c r="J185" s="14">
        <v>7.5999999999999998E-2</v>
      </c>
      <c r="K185" s="14">
        <v>9.9989999999999996E-4</v>
      </c>
    </row>
    <row r="186" spans="1:11">
      <c r="A186" s="15">
        <v>10</v>
      </c>
      <c r="B186" s="21">
        <v>39216</v>
      </c>
      <c r="C186" s="15">
        <v>2007</v>
      </c>
      <c r="D186" s="11" t="s">
        <v>31</v>
      </c>
      <c r="E186" s="15">
        <v>5</v>
      </c>
      <c r="F186" s="14">
        <v>10.763999999999999</v>
      </c>
      <c r="G186" s="14">
        <v>0.10299999999999999</v>
      </c>
      <c r="H186" s="14">
        <v>0.91300000000000003</v>
      </c>
      <c r="I186" s="14">
        <v>5.3319999999999999</v>
      </c>
      <c r="J186" s="14">
        <v>9.7000000000000003E-2</v>
      </c>
      <c r="K186" s="22">
        <v>9.9989999999999996E-4</v>
      </c>
    </row>
    <row r="187" spans="1:11">
      <c r="A187" s="15">
        <v>9</v>
      </c>
      <c r="B187" s="21">
        <v>39248</v>
      </c>
      <c r="C187" s="15">
        <v>2007</v>
      </c>
      <c r="D187" s="11" t="s">
        <v>32</v>
      </c>
      <c r="E187" s="15">
        <v>6</v>
      </c>
      <c r="F187" s="14">
        <v>25.084</v>
      </c>
      <c r="G187" s="14">
        <v>7.1999999999999995E-2</v>
      </c>
      <c r="H187" s="14">
        <v>1.41</v>
      </c>
      <c r="I187" s="14">
        <v>11.398999999999999</v>
      </c>
      <c r="J187" s="14">
        <v>0.111</v>
      </c>
      <c r="K187" s="22">
        <v>9.9989999999999996E-4</v>
      </c>
    </row>
    <row r="188" spans="1:11">
      <c r="A188" s="15">
        <v>10</v>
      </c>
      <c r="B188" s="21">
        <v>39248</v>
      </c>
      <c r="C188" s="15">
        <v>2007</v>
      </c>
      <c r="D188" s="11" t="s">
        <v>32</v>
      </c>
      <c r="E188" s="15">
        <v>6</v>
      </c>
      <c r="F188" s="14">
        <v>17.117000000000001</v>
      </c>
      <c r="G188" s="14">
        <v>0.13</v>
      </c>
      <c r="H188" s="14">
        <v>0.55500000000000005</v>
      </c>
      <c r="I188" s="14">
        <v>6.7910000000000004</v>
      </c>
      <c r="J188" s="14">
        <v>6.9000000000000006E-2</v>
      </c>
      <c r="K188" s="14">
        <v>9.9989999999999996E-4</v>
      </c>
    </row>
    <row r="189" spans="1:11">
      <c r="A189" s="15">
        <v>9</v>
      </c>
      <c r="B189" s="21">
        <v>39279</v>
      </c>
      <c r="C189" s="15">
        <v>2007</v>
      </c>
      <c r="D189" s="11" t="s">
        <v>33</v>
      </c>
      <c r="E189" s="15">
        <v>7</v>
      </c>
      <c r="F189" s="14">
        <v>18.765999999999998</v>
      </c>
      <c r="G189" s="14">
        <v>0.82199999999999995</v>
      </c>
      <c r="H189" s="14">
        <v>9.9989999999999996E-4</v>
      </c>
      <c r="I189" s="14">
        <v>4.5190000000000001</v>
      </c>
      <c r="J189" s="14">
        <v>0.27300000000000002</v>
      </c>
      <c r="K189" s="14">
        <v>9.9989999999999996E-4</v>
      </c>
    </row>
    <row r="190" spans="1:11">
      <c r="A190" s="15">
        <v>10</v>
      </c>
      <c r="B190" s="21">
        <v>39279</v>
      </c>
      <c r="C190" s="15">
        <v>2007</v>
      </c>
      <c r="D190" s="11" t="s">
        <v>33</v>
      </c>
      <c r="E190" s="15">
        <v>7</v>
      </c>
      <c r="F190" s="14">
        <v>18.003</v>
      </c>
      <c r="G190" s="14">
        <v>1.0369999999999999</v>
      </c>
      <c r="H190" s="14">
        <v>9.9989999999999996E-4</v>
      </c>
      <c r="I190" s="14">
        <v>3.371</v>
      </c>
      <c r="J190" s="14">
        <v>0.315</v>
      </c>
      <c r="K190" s="14">
        <v>9.9989999999999996E-4</v>
      </c>
    </row>
    <row r="191" spans="1:11">
      <c r="A191" s="15">
        <v>9</v>
      </c>
      <c r="B191" s="21">
        <v>39308</v>
      </c>
      <c r="C191" s="15">
        <v>2007</v>
      </c>
      <c r="D191" s="11" t="s">
        <v>34</v>
      </c>
      <c r="E191" s="15">
        <v>8</v>
      </c>
      <c r="F191" s="14">
        <v>10.6</v>
      </c>
      <c r="G191" s="14">
        <v>9.9989999999999996E-4</v>
      </c>
      <c r="H191" s="14">
        <v>9.9989999999999996E-4</v>
      </c>
      <c r="I191" s="14">
        <v>3.6139999999999999</v>
      </c>
      <c r="J191" s="14">
        <v>0.217</v>
      </c>
      <c r="K191" s="14">
        <v>9.9989999999999996E-4</v>
      </c>
    </row>
    <row r="192" spans="1:11">
      <c r="A192" s="15">
        <v>10</v>
      </c>
      <c r="B192" s="21">
        <v>39308</v>
      </c>
      <c r="C192" s="15">
        <v>2007</v>
      </c>
      <c r="D192" s="11" t="s">
        <v>34</v>
      </c>
      <c r="E192" s="15">
        <v>8</v>
      </c>
      <c r="F192" s="14">
        <v>11.553000000000001</v>
      </c>
      <c r="G192" s="14">
        <v>9.9989999999999996E-4</v>
      </c>
      <c r="H192" s="14">
        <v>9.9989999999999996E-4</v>
      </c>
      <c r="I192" s="14">
        <v>4.0579999999999998</v>
      </c>
      <c r="J192" s="14">
        <v>0.14599999999999999</v>
      </c>
      <c r="K192" s="14">
        <v>9.9989999999999996E-4</v>
      </c>
    </row>
    <row r="193" spans="1:11">
      <c r="A193" s="15">
        <v>9</v>
      </c>
      <c r="B193" s="21">
        <v>39335</v>
      </c>
      <c r="C193" s="15">
        <v>2007</v>
      </c>
      <c r="D193" s="11" t="s">
        <v>40</v>
      </c>
      <c r="E193" s="15">
        <v>9</v>
      </c>
      <c r="F193" s="14">
        <v>13.128</v>
      </c>
      <c r="G193" s="14">
        <v>9.9989999999999996E-4</v>
      </c>
      <c r="H193" s="14">
        <v>9.9989999999999996E-4</v>
      </c>
      <c r="I193" s="14">
        <v>4.3070000000000004</v>
      </c>
      <c r="J193" s="14">
        <v>0.20899999999999999</v>
      </c>
      <c r="K193" s="14">
        <v>9.9989999999999996E-4</v>
      </c>
    </row>
    <row r="194" spans="1:11">
      <c r="A194" s="15">
        <v>10</v>
      </c>
      <c r="B194" s="21">
        <v>39335</v>
      </c>
      <c r="C194" s="15">
        <v>2007</v>
      </c>
      <c r="D194" s="11" t="s">
        <v>40</v>
      </c>
      <c r="E194" s="15">
        <v>9</v>
      </c>
      <c r="F194" s="14">
        <v>8.6809999999999992</v>
      </c>
      <c r="G194" s="14">
        <v>6.4000000000000001E-2</v>
      </c>
      <c r="H194" s="14">
        <v>9.9989999999999996E-4</v>
      </c>
      <c r="I194" s="14">
        <v>1.387</v>
      </c>
      <c r="J194" s="14">
        <v>0.32800000000000001</v>
      </c>
      <c r="K194" s="14">
        <v>9.9989999999999996E-4</v>
      </c>
    </row>
    <row r="195" spans="1:11">
      <c r="A195" s="15">
        <v>9</v>
      </c>
      <c r="B195" s="21">
        <v>39370</v>
      </c>
      <c r="C195" s="15">
        <v>2007</v>
      </c>
      <c r="D195" s="11" t="s">
        <v>36</v>
      </c>
      <c r="E195" s="15">
        <v>10</v>
      </c>
      <c r="F195" s="14">
        <v>1.5980000000000001</v>
      </c>
      <c r="G195" s="14">
        <v>1.2999999999999999E-2</v>
      </c>
      <c r="H195" s="14">
        <v>9.9989999999999996E-4</v>
      </c>
      <c r="I195" s="14">
        <v>0.158</v>
      </c>
      <c r="J195" s="14">
        <v>2.7E-2</v>
      </c>
      <c r="K195" s="14">
        <v>9.9989999999999996E-4</v>
      </c>
    </row>
    <row r="196" spans="1:11">
      <c r="A196" s="15">
        <v>10</v>
      </c>
      <c r="B196" s="21">
        <v>39370</v>
      </c>
      <c r="C196" s="15">
        <v>2007</v>
      </c>
      <c r="D196" s="11" t="s">
        <v>36</v>
      </c>
      <c r="E196" s="15">
        <v>10</v>
      </c>
      <c r="F196" s="14">
        <v>1.01</v>
      </c>
      <c r="G196" s="14">
        <v>9.9989999999999996E-4</v>
      </c>
      <c r="H196" s="14">
        <v>9.9989999999999996E-4</v>
      </c>
      <c r="I196" s="14">
        <v>0.13600000000000001</v>
      </c>
      <c r="J196" s="14">
        <v>2.4E-2</v>
      </c>
      <c r="K196" s="14">
        <v>9.9989999999999996E-4</v>
      </c>
    </row>
    <row r="197" spans="1:11">
      <c r="A197" s="15">
        <v>9</v>
      </c>
      <c r="B197" s="21">
        <v>39400</v>
      </c>
      <c r="C197" s="15">
        <v>2007</v>
      </c>
      <c r="D197" s="11" t="s">
        <v>37</v>
      </c>
      <c r="E197" s="15">
        <v>11</v>
      </c>
      <c r="F197" s="14">
        <v>1.105</v>
      </c>
      <c r="G197" s="14">
        <v>9.9989999999999996E-4</v>
      </c>
      <c r="H197" s="14">
        <v>9.9989999999999996E-4</v>
      </c>
      <c r="I197" s="14">
        <v>0.15</v>
      </c>
      <c r="J197" s="14">
        <v>5.0000000000000001E-3</v>
      </c>
      <c r="K197" s="14">
        <v>9.9989999999999996E-4</v>
      </c>
    </row>
    <row r="198" spans="1:11">
      <c r="A198" s="15">
        <v>10</v>
      </c>
      <c r="B198" s="21">
        <v>39400</v>
      </c>
      <c r="C198" s="15">
        <v>2007</v>
      </c>
      <c r="D198" s="11" t="s">
        <v>37</v>
      </c>
      <c r="E198" s="15">
        <v>11</v>
      </c>
      <c r="F198" s="14">
        <v>1.29</v>
      </c>
      <c r="G198" s="14">
        <v>9.9989999999999996E-4</v>
      </c>
      <c r="H198" s="14">
        <v>9.9989999999999996E-4</v>
      </c>
      <c r="I198" s="14">
        <v>0.09</v>
      </c>
      <c r="J198" s="14">
        <v>9.9989999999999996E-4</v>
      </c>
      <c r="K198" s="14">
        <v>9.9989999999999996E-4</v>
      </c>
    </row>
    <row r="199" spans="1:11">
      <c r="A199" s="15">
        <v>9</v>
      </c>
      <c r="B199" s="21">
        <v>39434</v>
      </c>
      <c r="C199" s="15">
        <v>2007</v>
      </c>
      <c r="D199" s="11" t="s">
        <v>38</v>
      </c>
      <c r="E199" s="15">
        <v>12</v>
      </c>
      <c r="F199" s="14">
        <v>2.456</v>
      </c>
      <c r="G199" s="14">
        <v>6.7000000000000004E-2</v>
      </c>
      <c r="H199" s="14">
        <v>9.9989999999999996E-4</v>
      </c>
      <c r="I199" s="14">
        <v>0.49199999999999999</v>
      </c>
      <c r="J199" s="14">
        <v>1.0999999999999999E-2</v>
      </c>
      <c r="K199" s="14">
        <v>9.9989999999999996E-4</v>
      </c>
    </row>
    <row r="200" spans="1:11">
      <c r="A200" s="15">
        <v>10</v>
      </c>
      <c r="B200" s="21">
        <v>39434</v>
      </c>
      <c r="C200" s="15">
        <v>2007</v>
      </c>
      <c r="D200" s="11" t="s">
        <v>38</v>
      </c>
      <c r="E200" s="15">
        <v>12</v>
      </c>
      <c r="F200" s="14">
        <v>2.827</v>
      </c>
      <c r="G200" s="14">
        <v>0.112</v>
      </c>
      <c r="H200" s="14">
        <v>9.9989999999999996E-4</v>
      </c>
      <c r="I200" s="14">
        <v>0.51300000000000001</v>
      </c>
      <c r="J200" s="14">
        <v>2.9000000000000001E-2</v>
      </c>
      <c r="K200" s="14">
        <v>9.9989999999999996E-4</v>
      </c>
    </row>
    <row r="201" spans="1:11">
      <c r="A201" s="15">
        <v>9</v>
      </c>
      <c r="B201" s="21">
        <v>39463</v>
      </c>
      <c r="C201" s="15">
        <v>2008</v>
      </c>
      <c r="D201" s="11" t="s">
        <v>39</v>
      </c>
      <c r="E201" s="15">
        <v>1</v>
      </c>
      <c r="F201" s="23">
        <v>1.5149999999999999</v>
      </c>
      <c r="G201" s="23">
        <v>7.8E-2</v>
      </c>
      <c r="H201" s="23">
        <v>1.2E-2</v>
      </c>
      <c r="I201" s="23">
        <v>0.28399999999999997</v>
      </c>
      <c r="J201" s="23">
        <v>3.6999999999999998E-2</v>
      </c>
      <c r="K201" s="23">
        <v>9.9989999999999996E-4</v>
      </c>
    </row>
    <row r="202" spans="1:11">
      <c r="A202" s="15">
        <v>10</v>
      </c>
      <c r="B202" s="21">
        <v>39463</v>
      </c>
      <c r="C202" s="15">
        <v>2008</v>
      </c>
      <c r="D202" s="11" t="s">
        <v>39</v>
      </c>
      <c r="E202" s="15">
        <v>1</v>
      </c>
      <c r="F202" s="23">
        <v>1.718</v>
      </c>
      <c r="G202" s="23">
        <v>5.7000000000000002E-2</v>
      </c>
      <c r="H202" s="23">
        <v>9.9989999999999996E-4</v>
      </c>
      <c r="I202" s="23">
        <v>0.40500000000000003</v>
      </c>
      <c r="J202" s="23">
        <v>1.7000000000000001E-2</v>
      </c>
      <c r="K202" s="23">
        <v>9.9989999999999996E-4</v>
      </c>
    </row>
    <row r="203" spans="1:11">
      <c r="A203" s="15">
        <v>9</v>
      </c>
      <c r="B203" s="21">
        <v>39493</v>
      </c>
      <c r="C203" s="15">
        <v>2008</v>
      </c>
      <c r="D203" s="11" t="s">
        <v>28</v>
      </c>
      <c r="E203" s="15">
        <v>2</v>
      </c>
      <c r="F203" s="23">
        <v>1.8859999999999999</v>
      </c>
      <c r="G203" s="23">
        <v>5.8000000000000003E-2</v>
      </c>
      <c r="H203" s="23">
        <v>9.9989999999999996E-4</v>
      </c>
      <c r="I203" s="23">
        <v>0.503</v>
      </c>
      <c r="J203" s="23">
        <v>7.0000000000000001E-3</v>
      </c>
      <c r="K203" s="23">
        <v>9.9989999999999996E-4</v>
      </c>
    </row>
    <row r="204" spans="1:11">
      <c r="A204" s="15">
        <v>10</v>
      </c>
      <c r="B204" s="21">
        <v>39493</v>
      </c>
      <c r="C204" s="15">
        <v>2008</v>
      </c>
      <c r="D204" s="11" t="s">
        <v>28</v>
      </c>
      <c r="E204" s="15">
        <v>2</v>
      </c>
      <c r="F204" s="23">
        <v>1.6619999999999999</v>
      </c>
      <c r="G204" s="23">
        <v>2.4E-2</v>
      </c>
      <c r="H204" s="23">
        <v>9.9989999999999996E-4</v>
      </c>
      <c r="I204" s="23">
        <v>0.443</v>
      </c>
      <c r="J204" s="23">
        <v>1.6E-2</v>
      </c>
      <c r="K204" s="23">
        <v>9.9989999999999996E-4</v>
      </c>
    </row>
    <row r="205" spans="1:11">
      <c r="A205" s="15">
        <v>9</v>
      </c>
      <c r="B205" s="21">
        <v>39517</v>
      </c>
      <c r="C205" s="15">
        <v>2008</v>
      </c>
      <c r="D205" s="11" t="s">
        <v>29</v>
      </c>
      <c r="E205" s="15">
        <v>3</v>
      </c>
      <c r="F205" s="24">
        <v>1.875</v>
      </c>
      <c r="G205" s="23">
        <v>5.0999999999999997E-2</v>
      </c>
      <c r="H205" s="23">
        <v>9.9989999999999996E-4</v>
      </c>
      <c r="I205" s="23">
        <v>0.34399999999999997</v>
      </c>
      <c r="J205" s="23">
        <v>1.4E-2</v>
      </c>
      <c r="K205" s="23">
        <v>9.9989999999999996E-4</v>
      </c>
    </row>
    <row r="206" spans="1:11">
      <c r="A206" s="15">
        <v>10</v>
      </c>
      <c r="B206" s="21">
        <v>39517</v>
      </c>
      <c r="C206" s="15">
        <v>2008</v>
      </c>
      <c r="D206" s="11" t="s">
        <v>29</v>
      </c>
      <c r="E206" s="15">
        <v>3</v>
      </c>
      <c r="F206" s="24">
        <v>1.5249999999999999</v>
      </c>
      <c r="G206" s="23">
        <v>6.2E-2</v>
      </c>
      <c r="H206" s="23">
        <v>9.9989999999999996E-4</v>
      </c>
      <c r="I206" s="23">
        <v>0.254</v>
      </c>
      <c r="J206" s="23">
        <v>1.7999999999999999E-2</v>
      </c>
      <c r="K206" s="23">
        <v>9.9989999999999996E-4</v>
      </c>
    </row>
    <row r="207" spans="1:11">
      <c r="A207" s="15">
        <v>9</v>
      </c>
      <c r="B207" s="21">
        <v>39552</v>
      </c>
      <c r="C207" s="15">
        <v>2008</v>
      </c>
      <c r="D207" s="11" t="s">
        <v>30</v>
      </c>
      <c r="E207" s="15">
        <v>4</v>
      </c>
      <c r="F207" s="24">
        <v>1.222</v>
      </c>
      <c r="G207" s="23">
        <v>3.5000000000000003E-2</v>
      </c>
      <c r="H207" s="23">
        <v>9.9989999999999996E-4</v>
      </c>
      <c r="I207" s="23">
        <v>0.13400000000000001</v>
      </c>
      <c r="J207" s="23">
        <v>8.9999999999999993E-3</v>
      </c>
      <c r="K207" s="23">
        <v>9.9989999999999996E-4</v>
      </c>
    </row>
    <row r="208" spans="1:11">
      <c r="A208" s="15">
        <v>10</v>
      </c>
      <c r="B208" s="21">
        <v>39552</v>
      </c>
      <c r="C208" s="15">
        <v>2008</v>
      </c>
      <c r="D208" s="11" t="s">
        <v>30</v>
      </c>
      <c r="E208" s="15">
        <v>4</v>
      </c>
      <c r="F208" s="24">
        <v>1.135</v>
      </c>
      <c r="G208" s="23">
        <v>0.04</v>
      </c>
      <c r="H208" s="23">
        <v>9.9989999999999996E-4</v>
      </c>
      <c r="I208" s="23">
        <v>6.7000000000000004E-2</v>
      </c>
      <c r="J208" s="23">
        <v>7.0000000000000001E-3</v>
      </c>
      <c r="K208" s="23">
        <v>9.9989999999999996E-4</v>
      </c>
    </row>
    <row r="209" spans="1:11">
      <c r="A209" s="15">
        <v>9</v>
      </c>
      <c r="B209" s="21">
        <v>39583</v>
      </c>
      <c r="C209" s="15">
        <v>2008</v>
      </c>
      <c r="D209" s="11" t="s">
        <v>31</v>
      </c>
      <c r="E209" s="15">
        <v>5</v>
      </c>
      <c r="F209" s="24">
        <v>3.5169999999999999</v>
      </c>
      <c r="G209" s="23">
        <v>9.9989999999999996E-4</v>
      </c>
      <c r="H209" s="23">
        <v>9.9989999999999996E-4</v>
      </c>
      <c r="I209" s="23">
        <v>1.113</v>
      </c>
      <c r="J209" s="23">
        <v>1.2E-2</v>
      </c>
      <c r="K209" s="23">
        <v>9.9989999999999996E-4</v>
      </c>
    </row>
    <row r="210" spans="1:11">
      <c r="A210" s="15">
        <v>10</v>
      </c>
      <c r="B210" s="21">
        <v>39583</v>
      </c>
      <c r="C210" s="15">
        <v>2008</v>
      </c>
      <c r="D210" s="11" t="s">
        <v>31</v>
      </c>
      <c r="E210" s="15">
        <v>5</v>
      </c>
      <c r="F210" s="24">
        <v>3.0009999999999999</v>
      </c>
      <c r="G210" s="23">
        <v>9.9989999999999996E-4</v>
      </c>
      <c r="H210" s="23">
        <v>9.9989999999999996E-4</v>
      </c>
      <c r="I210" s="23">
        <v>0.48299999999999998</v>
      </c>
      <c r="J210" s="23">
        <v>1.4999999999999999E-2</v>
      </c>
      <c r="K210" s="23">
        <v>9.9989999999999996E-4</v>
      </c>
    </row>
    <row r="211" spans="1:11">
      <c r="A211" s="15">
        <v>9</v>
      </c>
      <c r="B211" s="21">
        <v>39617</v>
      </c>
      <c r="C211" s="15">
        <v>2008</v>
      </c>
      <c r="D211" s="11" t="s">
        <v>32</v>
      </c>
      <c r="E211" s="15">
        <v>6</v>
      </c>
      <c r="F211" s="24">
        <v>10.605</v>
      </c>
      <c r="G211" s="23">
        <v>3.4000000000000002E-2</v>
      </c>
      <c r="H211" s="23">
        <v>9.9989999999999996E-4</v>
      </c>
      <c r="I211" s="23">
        <v>2.4159999999999999</v>
      </c>
      <c r="J211" s="23">
        <v>0.14499999999999999</v>
      </c>
      <c r="K211" s="23">
        <v>9.9989999999999996E-4</v>
      </c>
    </row>
    <row r="212" spans="1:11">
      <c r="A212" s="15">
        <v>10</v>
      </c>
      <c r="B212" s="21">
        <v>39617</v>
      </c>
      <c r="C212" s="15">
        <v>2008</v>
      </c>
      <c r="D212" s="11" t="s">
        <v>32</v>
      </c>
      <c r="E212" s="15">
        <v>6</v>
      </c>
      <c r="F212" s="24">
        <v>4.0430000000000001</v>
      </c>
      <c r="G212" s="23">
        <v>9.6000000000000002E-2</v>
      </c>
      <c r="H212" s="23">
        <v>9.9989999999999996E-4</v>
      </c>
      <c r="I212" s="23">
        <v>0.50800000000000001</v>
      </c>
      <c r="J212" s="23">
        <v>8.5000000000000006E-2</v>
      </c>
      <c r="K212" s="23">
        <v>9.9989999999999996E-4</v>
      </c>
    </row>
    <row r="213" spans="1:11">
      <c r="A213" s="15">
        <v>9</v>
      </c>
      <c r="B213" s="21">
        <v>39645</v>
      </c>
      <c r="C213" s="15">
        <v>2008</v>
      </c>
      <c r="D213" s="11" t="s">
        <v>33</v>
      </c>
      <c r="E213" s="15">
        <v>7</v>
      </c>
      <c r="F213" s="24">
        <v>10.544</v>
      </c>
      <c r="G213" s="23">
        <v>0.36399999999999999</v>
      </c>
      <c r="H213" s="23">
        <v>9.9989999999999996E-4</v>
      </c>
      <c r="I213" s="23">
        <v>3.0920000000000001</v>
      </c>
      <c r="J213" s="23">
        <v>6.6000000000000003E-2</v>
      </c>
      <c r="K213" s="23">
        <v>9.9989999999999996E-4</v>
      </c>
    </row>
    <row r="214" spans="1:11">
      <c r="A214" s="15">
        <v>10</v>
      </c>
      <c r="B214" s="21">
        <v>39645</v>
      </c>
      <c r="C214" s="15">
        <v>2008</v>
      </c>
      <c r="D214" s="11" t="s">
        <v>33</v>
      </c>
      <c r="E214" s="15">
        <v>7</v>
      </c>
      <c r="F214" s="24">
        <v>4.6070000000000002</v>
      </c>
      <c r="G214" s="23">
        <v>1.2070000000000001</v>
      </c>
      <c r="H214" s="23">
        <v>9.9989999999999996E-4</v>
      </c>
      <c r="I214" s="23">
        <v>0.247</v>
      </c>
      <c r="J214" s="23">
        <v>7.0999999999999994E-2</v>
      </c>
      <c r="K214" s="23">
        <v>9.9989999999999996E-4</v>
      </c>
    </row>
    <row r="215" spans="1:11">
      <c r="A215" s="15">
        <v>9</v>
      </c>
      <c r="B215" s="21">
        <v>39672</v>
      </c>
      <c r="C215" s="15">
        <v>2008</v>
      </c>
      <c r="D215" s="11" t="s">
        <v>34</v>
      </c>
      <c r="E215" s="15">
        <v>8</v>
      </c>
      <c r="F215" s="24">
        <v>10.702999999999999</v>
      </c>
      <c r="G215" s="23">
        <v>0.45900000000000002</v>
      </c>
      <c r="H215" s="23">
        <v>9.9989999999999996E-4</v>
      </c>
      <c r="I215" s="23">
        <v>3.2829999999999999</v>
      </c>
      <c r="J215" s="23">
        <v>5.8999999999999997E-2</v>
      </c>
      <c r="K215" s="23">
        <v>9.9989999999999996E-4</v>
      </c>
    </row>
    <row r="216" spans="1:11">
      <c r="A216" s="15">
        <v>10</v>
      </c>
      <c r="B216" s="21">
        <v>39672</v>
      </c>
      <c r="C216" s="15">
        <v>2008</v>
      </c>
      <c r="D216" s="11" t="s">
        <v>34</v>
      </c>
      <c r="E216" s="15">
        <v>8</v>
      </c>
      <c r="F216" s="24">
        <v>8.69</v>
      </c>
      <c r="G216" s="23">
        <v>0.114</v>
      </c>
      <c r="H216" s="23">
        <v>9.9989999999999996E-4</v>
      </c>
      <c r="I216" s="23">
        <v>1.8580000000000001</v>
      </c>
      <c r="J216" s="23">
        <v>0.35399999999999998</v>
      </c>
      <c r="K216" s="23">
        <v>9.9989999999999996E-4</v>
      </c>
    </row>
    <row r="217" spans="1:11">
      <c r="A217" s="15">
        <v>9</v>
      </c>
      <c r="B217" s="21">
        <v>39709</v>
      </c>
      <c r="C217" s="15">
        <v>2008</v>
      </c>
      <c r="D217" s="11" t="s">
        <v>40</v>
      </c>
      <c r="E217" s="15">
        <v>9</v>
      </c>
      <c r="F217" s="23">
        <v>1.73</v>
      </c>
      <c r="G217" s="23">
        <v>1.9E-2</v>
      </c>
      <c r="H217" s="23">
        <v>9.9989999999999996E-4</v>
      </c>
      <c r="I217" s="23">
        <v>0.315</v>
      </c>
      <c r="J217" s="23">
        <v>1.7999999999999999E-2</v>
      </c>
      <c r="K217" s="23">
        <v>9.9989999999999996E-4</v>
      </c>
    </row>
    <row r="218" spans="1:11">
      <c r="A218" s="15">
        <v>10</v>
      </c>
      <c r="B218" s="21">
        <v>39709</v>
      </c>
      <c r="C218" s="15">
        <v>2008</v>
      </c>
      <c r="D218" s="11" t="s">
        <v>40</v>
      </c>
      <c r="E218" s="15">
        <v>9</v>
      </c>
      <c r="F218" s="23">
        <v>1.7969999999999999</v>
      </c>
      <c r="G218" s="23">
        <v>2.7E-2</v>
      </c>
      <c r="H218" s="23">
        <v>9.9989999999999996E-4</v>
      </c>
      <c r="I218" s="23">
        <v>0.313</v>
      </c>
      <c r="J218" s="23">
        <v>2.5999999999999999E-2</v>
      </c>
      <c r="K218" s="23">
        <v>9.9989999999999996E-4</v>
      </c>
    </row>
    <row r="219" spans="1:11">
      <c r="A219" s="15">
        <v>9</v>
      </c>
      <c r="B219" s="21">
        <v>39735</v>
      </c>
      <c r="C219" s="15">
        <v>2008</v>
      </c>
      <c r="D219" s="11" t="s">
        <v>36</v>
      </c>
      <c r="E219" s="15">
        <v>10</v>
      </c>
      <c r="F219" s="23">
        <v>3.992</v>
      </c>
      <c r="G219" s="23">
        <v>1.0999999999999999E-2</v>
      </c>
      <c r="H219" s="23">
        <v>0.214</v>
      </c>
      <c r="I219" s="23">
        <v>1.718</v>
      </c>
      <c r="J219" s="23">
        <v>9.1999999999999998E-2</v>
      </c>
      <c r="K219" s="23">
        <v>9.9989999999999996E-4</v>
      </c>
    </row>
    <row r="220" spans="1:11">
      <c r="A220" s="15">
        <v>10</v>
      </c>
      <c r="B220" s="21">
        <v>39735</v>
      </c>
      <c r="C220" s="15">
        <v>2008</v>
      </c>
      <c r="D220" s="11" t="s">
        <v>36</v>
      </c>
      <c r="E220" s="15">
        <v>10</v>
      </c>
      <c r="F220" s="23">
        <v>1.3120000000000001</v>
      </c>
      <c r="G220" s="23">
        <v>4.5999999999999999E-2</v>
      </c>
      <c r="H220" s="23">
        <v>9.9989999999999996E-4</v>
      </c>
      <c r="I220" s="23">
        <v>0.17100000000000001</v>
      </c>
      <c r="J220" s="23">
        <v>1.7000000000000001E-2</v>
      </c>
      <c r="K220" s="23">
        <v>9.9989999999999996E-4</v>
      </c>
    </row>
    <row r="221" spans="1:11">
      <c r="A221" s="15">
        <v>9</v>
      </c>
      <c r="B221" s="21">
        <v>39769</v>
      </c>
      <c r="C221" s="15">
        <v>2008</v>
      </c>
      <c r="D221" s="11" t="s">
        <v>37</v>
      </c>
      <c r="E221" s="15">
        <v>11</v>
      </c>
      <c r="F221" s="23">
        <v>0.627</v>
      </c>
      <c r="G221" s="23">
        <v>1.9E-2</v>
      </c>
      <c r="H221" s="23">
        <v>9.9989999999999996E-4</v>
      </c>
      <c r="I221" s="23">
        <v>0.10299999999999999</v>
      </c>
      <c r="J221" s="23">
        <v>4.0000000000000001E-3</v>
      </c>
      <c r="K221" s="23">
        <v>9.9989999999999996E-4</v>
      </c>
    </row>
    <row r="222" spans="1:11">
      <c r="A222" s="15">
        <v>10</v>
      </c>
      <c r="B222" s="21">
        <v>39769</v>
      </c>
      <c r="C222" s="15">
        <v>2008</v>
      </c>
      <c r="D222" s="11" t="s">
        <v>37</v>
      </c>
      <c r="E222" s="15">
        <v>11</v>
      </c>
      <c r="F222" s="23">
        <v>0.77200000000000002</v>
      </c>
      <c r="G222" s="23">
        <v>4.2000000000000003E-2</v>
      </c>
      <c r="H222" s="23">
        <v>9.9989999999999996E-4</v>
      </c>
      <c r="I222" s="23">
        <v>9.5000000000000001E-2</v>
      </c>
      <c r="J222" s="23">
        <v>4.0000000000000001E-3</v>
      </c>
      <c r="K222" s="23">
        <v>9.9989999999999996E-4</v>
      </c>
    </row>
    <row r="223" spans="1:11">
      <c r="A223" s="15">
        <v>9</v>
      </c>
      <c r="B223" s="21">
        <v>39797</v>
      </c>
      <c r="C223" s="15">
        <v>2008</v>
      </c>
      <c r="D223" s="11" t="s">
        <v>38</v>
      </c>
      <c r="E223" s="15">
        <v>12</v>
      </c>
      <c r="F223" s="23">
        <v>1.2150000000000001</v>
      </c>
      <c r="G223" s="23">
        <v>4.3999999999999997E-2</v>
      </c>
      <c r="H223" s="23">
        <v>9.9989999999999996E-4</v>
      </c>
      <c r="I223" s="23">
        <v>0.34100000000000003</v>
      </c>
      <c r="J223" s="23">
        <v>9.9989999999999996E-4</v>
      </c>
      <c r="K223" s="23">
        <v>9.9989999999999996E-4</v>
      </c>
    </row>
    <row r="224" spans="1:11">
      <c r="A224" s="15">
        <v>10</v>
      </c>
      <c r="B224" s="21">
        <v>39797</v>
      </c>
      <c r="C224" s="15">
        <v>2008</v>
      </c>
      <c r="D224" s="11" t="s">
        <v>38</v>
      </c>
      <c r="E224" s="15">
        <v>12</v>
      </c>
      <c r="F224" s="23">
        <v>4.3120000000000003</v>
      </c>
      <c r="G224" s="23">
        <v>0.35699999999999998</v>
      </c>
      <c r="H224" s="23">
        <v>9.9989999999999996E-4</v>
      </c>
      <c r="I224" s="23">
        <v>0.96599999999999997</v>
      </c>
      <c r="J224" s="23">
        <v>5.8000000000000003E-2</v>
      </c>
      <c r="K224" s="23">
        <v>9.9989999999999996E-4</v>
      </c>
    </row>
    <row r="225" spans="1:11">
      <c r="A225" s="15">
        <v>9</v>
      </c>
      <c r="B225" s="21">
        <v>39826</v>
      </c>
      <c r="C225" s="15">
        <v>2009</v>
      </c>
      <c r="D225" s="11" t="s">
        <v>39</v>
      </c>
      <c r="E225" s="12">
        <v>1</v>
      </c>
      <c r="F225" s="23">
        <v>2.718</v>
      </c>
      <c r="G225" s="23">
        <v>3.4000000000000002E-2</v>
      </c>
      <c r="H225" s="23">
        <v>9.9989999999999996E-4</v>
      </c>
      <c r="I225" s="23">
        <v>0.73</v>
      </c>
      <c r="J225" s="23">
        <v>9.9989999999999996E-4</v>
      </c>
      <c r="K225" s="23">
        <v>9.9989999999999996E-4</v>
      </c>
    </row>
    <row r="226" spans="1:11">
      <c r="A226" s="15">
        <v>10</v>
      </c>
      <c r="B226" s="21">
        <v>39826</v>
      </c>
      <c r="C226" s="15">
        <v>2009</v>
      </c>
      <c r="D226" s="11" t="s">
        <v>39</v>
      </c>
      <c r="E226" s="12">
        <v>1</v>
      </c>
      <c r="F226" s="23">
        <v>2.0840000000000001</v>
      </c>
      <c r="G226" s="23">
        <v>2.1999999999999999E-2</v>
      </c>
      <c r="H226" s="23">
        <v>9.9989999999999996E-4</v>
      </c>
      <c r="I226" s="23">
        <v>0.58699999999999997</v>
      </c>
      <c r="J226" s="23">
        <v>9.9989999999999996E-4</v>
      </c>
      <c r="K226" s="23">
        <v>9.9989999999999996E-4</v>
      </c>
    </row>
    <row r="227" spans="1:11">
      <c r="A227" s="12">
        <v>9</v>
      </c>
      <c r="B227" s="21">
        <v>39861</v>
      </c>
      <c r="C227" s="15">
        <v>2009</v>
      </c>
      <c r="D227" s="11" t="s">
        <v>28</v>
      </c>
      <c r="E227" s="12">
        <v>2</v>
      </c>
      <c r="F227" s="23">
        <v>2.077</v>
      </c>
      <c r="G227" s="23">
        <v>9.9989999999999996E-4</v>
      </c>
      <c r="H227" s="23">
        <v>9.9989999999999996E-4</v>
      </c>
      <c r="I227" s="23">
        <v>0.76200000000000001</v>
      </c>
      <c r="J227" s="23">
        <v>1.4E-2</v>
      </c>
      <c r="K227" s="23">
        <v>9.9989999999999996E-4</v>
      </c>
    </row>
    <row r="228" spans="1:11">
      <c r="A228" s="12">
        <v>10</v>
      </c>
      <c r="B228" s="21">
        <v>39861</v>
      </c>
      <c r="C228" s="15">
        <v>2009</v>
      </c>
      <c r="D228" s="11" t="s">
        <v>28</v>
      </c>
      <c r="E228" s="12">
        <v>2</v>
      </c>
      <c r="F228" s="23">
        <v>1.7310000000000001</v>
      </c>
      <c r="G228" s="23">
        <v>9.9989999999999996E-4</v>
      </c>
      <c r="H228" s="23">
        <v>9.9989999999999996E-4</v>
      </c>
      <c r="I228" s="23">
        <v>0.60599999999999998</v>
      </c>
      <c r="J228" s="23">
        <v>1.7000000000000001E-2</v>
      </c>
      <c r="K228" s="23">
        <v>9.9989999999999996E-4</v>
      </c>
    </row>
    <row r="229" spans="1:11">
      <c r="A229" s="12">
        <v>9</v>
      </c>
      <c r="B229" s="21">
        <v>39888</v>
      </c>
      <c r="C229" s="15">
        <v>2009</v>
      </c>
      <c r="D229" s="11" t="s">
        <v>29</v>
      </c>
      <c r="E229" s="12">
        <v>3</v>
      </c>
      <c r="F229" s="23">
        <v>3.859</v>
      </c>
      <c r="G229" s="25">
        <v>5.1999999999999998E-2</v>
      </c>
      <c r="H229" s="25">
        <v>9.9989999999999996E-4</v>
      </c>
      <c r="I229" s="25">
        <v>1.4139999999999999</v>
      </c>
      <c r="J229" s="25">
        <v>1.0999999999999999E-2</v>
      </c>
      <c r="K229" s="25">
        <v>9.9989999999999996E-4</v>
      </c>
    </row>
    <row r="230" spans="1:11">
      <c r="A230" s="12">
        <v>10</v>
      </c>
      <c r="B230" s="21">
        <v>39888</v>
      </c>
      <c r="C230" s="15">
        <v>2009</v>
      </c>
      <c r="D230" s="11" t="s">
        <v>29</v>
      </c>
      <c r="E230" s="12">
        <v>3</v>
      </c>
      <c r="F230" s="23">
        <v>3.5259999999999998</v>
      </c>
      <c r="G230" s="25">
        <v>5.2999999999999999E-2</v>
      </c>
      <c r="H230" s="25">
        <v>9.9989999999999996E-4</v>
      </c>
      <c r="I230" s="25">
        <v>1.1839999999999999</v>
      </c>
      <c r="J230" s="25">
        <v>1.2999999999999999E-2</v>
      </c>
      <c r="K230" s="25">
        <v>9.9989999999999996E-4</v>
      </c>
    </row>
    <row r="231" spans="1:11">
      <c r="A231" s="12">
        <v>9</v>
      </c>
      <c r="B231" s="21">
        <v>39916</v>
      </c>
      <c r="C231" s="15">
        <v>2009</v>
      </c>
      <c r="D231" s="11" t="s">
        <v>30</v>
      </c>
      <c r="E231" s="12">
        <v>4</v>
      </c>
      <c r="F231" s="23">
        <v>0.66500000000000004</v>
      </c>
      <c r="G231" s="25">
        <v>1.2E-2</v>
      </c>
      <c r="H231" s="25">
        <v>9.9989999999999996E-4</v>
      </c>
      <c r="I231" s="25">
        <v>9.8000000000000004E-2</v>
      </c>
      <c r="J231" s="25">
        <v>6.0000000000000001E-3</v>
      </c>
      <c r="K231" s="25">
        <v>9.9989999999999996E-4</v>
      </c>
    </row>
    <row r="232" spans="1:11">
      <c r="A232" s="12">
        <v>10</v>
      </c>
      <c r="B232" s="21">
        <v>39916</v>
      </c>
      <c r="C232" s="15">
        <v>2009</v>
      </c>
      <c r="D232" s="11" t="s">
        <v>30</v>
      </c>
      <c r="E232" s="12">
        <v>4</v>
      </c>
      <c r="F232" s="23">
        <v>0.52800000000000002</v>
      </c>
      <c r="G232" s="25">
        <v>8.0000000000000002E-3</v>
      </c>
      <c r="H232" s="25">
        <v>9.9989999999999996E-4</v>
      </c>
      <c r="I232" s="25">
        <v>0.06</v>
      </c>
      <c r="J232" s="25">
        <v>7.0000000000000001E-3</v>
      </c>
      <c r="K232" s="25">
        <v>9.9989999999999996E-4</v>
      </c>
    </row>
    <row r="233" spans="1:11">
      <c r="A233" s="12">
        <v>9</v>
      </c>
      <c r="B233" s="21">
        <v>39946</v>
      </c>
      <c r="C233" s="15">
        <v>2009</v>
      </c>
      <c r="D233" s="11" t="s">
        <v>31</v>
      </c>
      <c r="E233" s="12">
        <v>5</v>
      </c>
      <c r="F233" s="23">
        <v>0.59599999999999997</v>
      </c>
      <c r="G233" s="25">
        <v>7.0000000000000001E-3</v>
      </c>
      <c r="H233" s="25">
        <v>9.9989999999999996E-4</v>
      </c>
      <c r="I233" s="25">
        <v>7.2999999999999995E-2</v>
      </c>
      <c r="J233" s="25">
        <v>9.9989999999999996E-4</v>
      </c>
      <c r="K233" s="25">
        <v>9.9989999999999996E-4</v>
      </c>
    </row>
    <row r="234" spans="1:11">
      <c r="A234" s="12">
        <v>10</v>
      </c>
      <c r="B234" s="21">
        <v>39946</v>
      </c>
      <c r="C234" s="15">
        <v>2009</v>
      </c>
      <c r="D234" s="11" t="s">
        <v>31</v>
      </c>
      <c r="E234" s="12">
        <v>5</v>
      </c>
      <c r="F234" s="23">
        <v>0.85199999999999998</v>
      </c>
      <c r="G234" s="25">
        <v>2.1000000000000001E-2</v>
      </c>
      <c r="H234" s="25">
        <v>9.9989999999999996E-4</v>
      </c>
      <c r="I234" s="25">
        <v>0.10100000000000001</v>
      </c>
      <c r="J234" s="25">
        <v>4.0000000000000001E-3</v>
      </c>
      <c r="K234" s="25">
        <v>9.9989999999999996E-4</v>
      </c>
    </row>
    <row r="235" spans="1:11">
      <c r="A235" s="15">
        <v>9</v>
      </c>
      <c r="B235" s="21">
        <v>39983</v>
      </c>
      <c r="C235" s="15">
        <v>2009</v>
      </c>
      <c r="D235" s="11" t="s">
        <v>32</v>
      </c>
      <c r="E235" s="12">
        <v>6</v>
      </c>
      <c r="F235" s="23">
        <v>3.1190000000000002</v>
      </c>
      <c r="G235" s="25">
        <v>1.2999999999999999E-2</v>
      </c>
      <c r="H235" s="25">
        <v>1E-3</v>
      </c>
      <c r="I235" s="25">
        <v>1.042</v>
      </c>
      <c r="J235" s="25">
        <v>2.9000000000000001E-2</v>
      </c>
      <c r="K235" s="25">
        <v>9.9989999999999996E-4</v>
      </c>
    </row>
    <row r="236" spans="1:11">
      <c r="A236" s="15">
        <v>10</v>
      </c>
      <c r="B236" s="21">
        <v>39983</v>
      </c>
      <c r="C236" s="15">
        <v>2009</v>
      </c>
      <c r="D236" s="11" t="s">
        <v>32</v>
      </c>
      <c r="E236" s="12">
        <v>6</v>
      </c>
      <c r="F236" s="23">
        <v>2.516</v>
      </c>
      <c r="G236" s="25">
        <v>9.9989999999999996E-4</v>
      </c>
      <c r="H236" s="25">
        <v>9.9989999999999996E-4</v>
      </c>
      <c r="I236" s="25">
        <v>0.64</v>
      </c>
      <c r="J236" s="25">
        <v>2.5999999999999999E-2</v>
      </c>
      <c r="K236" s="25">
        <v>9.9989999999999996E-4</v>
      </c>
    </row>
    <row r="237" spans="1:11">
      <c r="A237" s="15">
        <v>9</v>
      </c>
      <c r="B237" s="21">
        <v>40007</v>
      </c>
      <c r="C237" s="15">
        <v>2009</v>
      </c>
      <c r="D237" s="11" t="s">
        <v>33</v>
      </c>
      <c r="E237" s="12">
        <v>7</v>
      </c>
      <c r="F237" s="23">
        <v>4.57</v>
      </c>
      <c r="G237" s="25">
        <v>8.5999999999999993E-2</v>
      </c>
      <c r="H237" s="25">
        <v>1E-3</v>
      </c>
      <c r="I237" s="25">
        <v>0.95699999999999996</v>
      </c>
      <c r="J237" s="25">
        <v>3.1E-2</v>
      </c>
      <c r="K237" s="25">
        <v>9.9989999999999996E-4</v>
      </c>
    </row>
    <row r="238" spans="1:11">
      <c r="A238" s="15">
        <v>10</v>
      </c>
      <c r="B238" s="21">
        <v>40007</v>
      </c>
      <c r="C238" s="15">
        <v>2009</v>
      </c>
      <c r="D238" s="11" t="s">
        <v>33</v>
      </c>
      <c r="E238" s="12">
        <v>7</v>
      </c>
      <c r="F238" s="23">
        <v>3.2389999999999999</v>
      </c>
      <c r="G238" s="25">
        <v>0.11799999999999999</v>
      </c>
      <c r="H238" s="25">
        <v>9.9989999999999996E-4</v>
      </c>
      <c r="I238" s="25">
        <v>0.45300000000000001</v>
      </c>
      <c r="J238" s="25">
        <v>2.5999999999999999E-2</v>
      </c>
      <c r="K238" s="25">
        <v>9.9989999999999996E-4</v>
      </c>
    </row>
    <row r="239" spans="1:11">
      <c r="A239" s="15">
        <v>9</v>
      </c>
      <c r="B239" s="21">
        <v>40042</v>
      </c>
      <c r="C239" s="15">
        <v>2009</v>
      </c>
      <c r="D239" s="11" t="s">
        <v>34</v>
      </c>
      <c r="E239" s="12">
        <v>8</v>
      </c>
      <c r="F239" s="23">
        <v>5.7190000000000003</v>
      </c>
      <c r="G239" s="25">
        <v>9.7000000000000003E-2</v>
      </c>
      <c r="H239" s="25">
        <v>1E-3</v>
      </c>
      <c r="I239" s="25">
        <v>1.538</v>
      </c>
      <c r="J239" s="25">
        <v>0.108</v>
      </c>
      <c r="K239" s="25">
        <v>9.9989999999999996E-4</v>
      </c>
    </row>
    <row r="240" spans="1:11">
      <c r="A240" s="15">
        <v>10</v>
      </c>
      <c r="B240" s="21">
        <v>40042</v>
      </c>
      <c r="C240" s="15">
        <v>2009</v>
      </c>
      <c r="D240" s="11" t="s">
        <v>34</v>
      </c>
      <c r="E240" s="12">
        <v>8</v>
      </c>
      <c r="F240" s="23">
        <v>13.336</v>
      </c>
      <c r="G240" s="25">
        <v>0.77300000000000002</v>
      </c>
      <c r="H240" s="25">
        <v>9.9989999999999996E-4</v>
      </c>
      <c r="I240" s="25">
        <v>2.9180000000000001</v>
      </c>
      <c r="J240" s="25">
        <v>0.33300000000000002</v>
      </c>
      <c r="K240" s="25">
        <v>9.9989999999999996E-4</v>
      </c>
    </row>
    <row r="241" spans="1:11">
      <c r="A241" s="15">
        <v>9</v>
      </c>
      <c r="B241" s="21">
        <v>40071</v>
      </c>
      <c r="C241" s="15">
        <v>2009</v>
      </c>
      <c r="D241" s="11" t="s">
        <v>40</v>
      </c>
      <c r="E241" s="12">
        <v>9</v>
      </c>
      <c r="F241" s="23">
        <v>3.0950000000000002</v>
      </c>
      <c r="G241" s="25">
        <v>2.1999999999999999E-2</v>
      </c>
      <c r="H241" s="25">
        <v>9.9989999999999996E-4</v>
      </c>
      <c r="I241" s="25">
        <v>0.45600000000000002</v>
      </c>
      <c r="J241" s="25">
        <v>2.4E-2</v>
      </c>
      <c r="K241" s="25">
        <v>9.9989999999999996E-4</v>
      </c>
    </row>
    <row r="242" spans="1:11">
      <c r="A242" s="15">
        <v>10</v>
      </c>
      <c r="B242" s="21">
        <v>40071</v>
      </c>
      <c r="C242" s="15">
        <v>2009</v>
      </c>
      <c r="D242" s="11" t="s">
        <v>40</v>
      </c>
      <c r="E242" s="12">
        <v>9</v>
      </c>
      <c r="F242" s="23">
        <v>3.5539999999999998</v>
      </c>
      <c r="G242" s="25">
        <v>4.8000000000000001E-2</v>
      </c>
      <c r="H242" s="25">
        <v>9.9989999999999996E-4</v>
      </c>
      <c r="I242" s="25">
        <v>0.42699999999999999</v>
      </c>
      <c r="J242" s="25">
        <v>3.5999999999999997E-2</v>
      </c>
      <c r="K242" s="25">
        <v>9.9989999999999996E-4</v>
      </c>
    </row>
    <row r="243" spans="1:11">
      <c r="A243" s="15">
        <v>9</v>
      </c>
      <c r="B243" s="21">
        <v>40100</v>
      </c>
      <c r="C243" s="15">
        <v>2009</v>
      </c>
      <c r="D243" s="11" t="s">
        <v>36</v>
      </c>
      <c r="E243" s="12">
        <v>10</v>
      </c>
      <c r="F243" s="23">
        <v>0.78600000000000003</v>
      </c>
      <c r="G243" s="25">
        <v>0.01</v>
      </c>
      <c r="H243" s="25">
        <v>9.9989999999999996E-4</v>
      </c>
      <c r="I243" s="25">
        <v>0.19600000000000001</v>
      </c>
      <c r="J243" s="25">
        <v>9.9989999999999996E-4</v>
      </c>
      <c r="K243" s="25">
        <v>9.9989999999999996E-4</v>
      </c>
    </row>
    <row r="244" spans="1:11">
      <c r="A244" s="15">
        <v>10</v>
      </c>
      <c r="B244" s="21">
        <v>40100</v>
      </c>
      <c r="C244" s="15">
        <v>2009</v>
      </c>
      <c r="D244" s="11" t="s">
        <v>36</v>
      </c>
      <c r="E244" s="12">
        <v>10</v>
      </c>
      <c r="F244" s="23">
        <v>1.147</v>
      </c>
      <c r="G244" s="25">
        <v>1.2999999999999999E-2</v>
      </c>
      <c r="H244" s="25">
        <v>9.9989999999999996E-4</v>
      </c>
      <c r="I244" s="25">
        <v>0.214</v>
      </c>
      <c r="J244" s="25">
        <v>9.9989999999999996E-4</v>
      </c>
      <c r="K244" s="25">
        <v>9.9989999999999996E-4</v>
      </c>
    </row>
    <row r="245" spans="1:11">
      <c r="A245" s="15">
        <v>9</v>
      </c>
      <c r="B245" s="21">
        <v>40133</v>
      </c>
      <c r="C245" s="15">
        <v>2009</v>
      </c>
      <c r="D245" s="11" t="s">
        <v>37</v>
      </c>
      <c r="E245" s="12">
        <v>11</v>
      </c>
      <c r="F245" s="23">
        <v>1.613</v>
      </c>
      <c r="G245" s="25">
        <v>4.2000000000000003E-2</v>
      </c>
      <c r="H245" s="25">
        <v>9.9989999999999996E-4</v>
      </c>
      <c r="I245" s="25">
        <v>0.47599999999999998</v>
      </c>
      <c r="J245" s="25">
        <v>1.4E-2</v>
      </c>
      <c r="K245" s="25">
        <v>9.9989999999999996E-4</v>
      </c>
    </row>
    <row r="246" spans="1:11">
      <c r="A246" s="15">
        <v>10</v>
      </c>
      <c r="B246" s="21">
        <v>40133</v>
      </c>
      <c r="C246" s="15">
        <v>2009</v>
      </c>
      <c r="D246" s="11" t="s">
        <v>37</v>
      </c>
      <c r="E246" s="12">
        <v>11</v>
      </c>
      <c r="F246" s="23">
        <v>1.095</v>
      </c>
      <c r="G246" s="25">
        <v>2.9000000000000001E-2</v>
      </c>
      <c r="H246" s="25">
        <v>9.9989999999999996E-4</v>
      </c>
      <c r="I246" s="25">
        <v>0.33500000000000002</v>
      </c>
      <c r="J246" s="25">
        <v>1.4999999999999999E-2</v>
      </c>
      <c r="K246" s="25">
        <v>9.9989999999999996E-4</v>
      </c>
    </row>
    <row r="247" spans="1:11">
      <c r="A247" s="15">
        <v>9</v>
      </c>
      <c r="B247" s="21">
        <v>40161</v>
      </c>
      <c r="C247" s="15">
        <v>2009</v>
      </c>
      <c r="D247" s="11" t="s">
        <v>38</v>
      </c>
      <c r="E247" s="12">
        <v>12</v>
      </c>
      <c r="F247" s="23">
        <v>1.8680000000000001</v>
      </c>
      <c r="G247" s="25">
        <v>4.4999999999999998E-2</v>
      </c>
      <c r="H247" s="25">
        <v>9.9989999999999996E-4</v>
      </c>
      <c r="I247" s="25">
        <v>0.46100000000000002</v>
      </c>
      <c r="J247" s="25">
        <v>8.9999999999999993E-3</v>
      </c>
      <c r="K247" s="25">
        <v>9.9989999999999996E-4</v>
      </c>
    </row>
    <row r="248" spans="1:11">
      <c r="A248" s="15">
        <v>10</v>
      </c>
      <c r="B248" s="21">
        <v>40161</v>
      </c>
      <c r="C248" s="15">
        <v>2009</v>
      </c>
      <c r="D248" s="11" t="s">
        <v>38</v>
      </c>
      <c r="E248" s="12">
        <v>12</v>
      </c>
      <c r="F248" s="23">
        <v>1.395</v>
      </c>
      <c r="G248" s="25">
        <v>9.9989999999999996E-4</v>
      </c>
      <c r="H248" s="25">
        <v>9.9989999999999996E-4</v>
      </c>
      <c r="I248" s="25">
        <v>0.33700000000000002</v>
      </c>
      <c r="J248" s="25">
        <v>1.2E-2</v>
      </c>
      <c r="K248" s="25">
        <v>9.9989999999999996E-4</v>
      </c>
    </row>
    <row r="249" spans="1:11">
      <c r="A249" s="15">
        <v>9</v>
      </c>
      <c r="B249" s="18">
        <v>40197</v>
      </c>
      <c r="C249" s="15">
        <v>2010</v>
      </c>
      <c r="D249" s="11" t="s">
        <v>39</v>
      </c>
      <c r="E249" s="15">
        <v>1</v>
      </c>
      <c r="F249" s="26">
        <v>9.4469999999999992</v>
      </c>
      <c r="G249" s="27">
        <v>0.48309225</v>
      </c>
      <c r="H249" s="27">
        <v>0</v>
      </c>
      <c r="I249" s="27">
        <v>3.7957485000000002</v>
      </c>
      <c r="J249" s="27">
        <v>1.8100499999999999E-2</v>
      </c>
      <c r="K249" s="27">
        <v>0</v>
      </c>
    </row>
    <row r="250" spans="1:11">
      <c r="A250" s="15">
        <v>10</v>
      </c>
      <c r="B250" s="18">
        <v>40197</v>
      </c>
      <c r="C250" s="15">
        <v>2010</v>
      </c>
      <c r="D250" s="11" t="s">
        <v>39</v>
      </c>
      <c r="E250" s="15">
        <v>1</v>
      </c>
      <c r="F250" s="26">
        <v>7.7149999999999999</v>
      </c>
      <c r="G250" s="27">
        <v>0.12673324999999999</v>
      </c>
      <c r="H250" s="27">
        <v>0</v>
      </c>
      <c r="I250" s="27">
        <v>3.3926626249999994</v>
      </c>
      <c r="J250" s="27">
        <v>2.2684124999999996E-2</v>
      </c>
      <c r="K250" s="27">
        <v>0</v>
      </c>
    </row>
    <row r="251" spans="1:11">
      <c r="A251" s="15">
        <v>9</v>
      </c>
      <c r="B251" s="18">
        <v>40225</v>
      </c>
      <c r="C251" s="15">
        <v>2010</v>
      </c>
      <c r="D251" s="11" t="s">
        <v>28</v>
      </c>
      <c r="E251" s="15">
        <v>2</v>
      </c>
      <c r="F251" s="26">
        <v>5.3949999999999996</v>
      </c>
      <c r="G251" s="27">
        <v>3.2409500000000001E-2</v>
      </c>
      <c r="H251" s="27">
        <v>0</v>
      </c>
      <c r="I251" s="27">
        <v>1.3329726249999998</v>
      </c>
      <c r="J251" s="27">
        <v>3.2966374999999992E-2</v>
      </c>
      <c r="K251" s="27">
        <v>0</v>
      </c>
    </row>
    <row r="252" spans="1:11">
      <c r="A252" s="15">
        <v>10</v>
      </c>
      <c r="B252" s="18">
        <v>40225</v>
      </c>
      <c r="C252" s="15">
        <v>2010</v>
      </c>
      <c r="D252" s="11" t="s">
        <v>28</v>
      </c>
      <c r="E252" s="15">
        <v>2</v>
      </c>
      <c r="F252" s="26">
        <v>3.2669999999999999</v>
      </c>
      <c r="G252" s="27">
        <v>0</v>
      </c>
      <c r="H252" s="27">
        <v>0</v>
      </c>
      <c r="I252" s="27">
        <v>0.82336724999999999</v>
      </c>
      <c r="J252" s="27">
        <v>3.2026875000000003E-2</v>
      </c>
      <c r="K252" s="27">
        <v>0</v>
      </c>
    </row>
    <row r="253" spans="1:11">
      <c r="A253" s="15">
        <v>9</v>
      </c>
      <c r="B253" s="18">
        <v>40255</v>
      </c>
      <c r="C253" s="15">
        <v>2010</v>
      </c>
      <c r="D253" s="11" t="s">
        <v>29</v>
      </c>
      <c r="E253" s="15">
        <v>3</v>
      </c>
      <c r="F253" s="26">
        <v>9.5939999999999994</v>
      </c>
      <c r="G253" s="27">
        <v>8.229874999999999E-2</v>
      </c>
      <c r="H253" s="27">
        <v>0</v>
      </c>
      <c r="I253" s="27">
        <v>4.6470500000000001</v>
      </c>
      <c r="J253" s="27">
        <v>0.15777825000000001</v>
      </c>
      <c r="K253" s="27">
        <v>0</v>
      </c>
    </row>
    <row r="254" spans="1:11">
      <c r="A254" s="15">
        <v>10</v>
      </c>
      <c r="B254" s="18">
        <v>40255</v>
      </c>
      <c r="C254" s="15">
        <v>2010</v>
      </c>
      <c r="D254" s="11" t="s">
        <v>29</v>
      </c>
      <c r="E254" s="15">
        <v>3</v>
      </c>
      <c r="F254" s="26">
        <v>8.5579999999999998</v>
      </c>
      <c r="G254" s="27">
        <v>6.6795875000000005E-2</v>
      </c>
      <c r="H254" s="27">
        <v>0</v>
      </c>
      <c r="I254" s="27">
        <v>4.1966479999999997</v>
      </c>
      <c r="J254" s="27">
        <v>0.17347062499999996</v>
      </c>
      <c r="K254" s="27">
        <v>0</v>
      </c>
    </row>
    <row r="255" spans="1:11">
      <c r="A255" s="15">
        <v>9</v>
      </c>
      <c r="B255" s="18">
        <v>40281</v>
      </c>
      <c r="C255" s="15">
        <v>2010</v>
      </c>
      <c r="D255" s="11" t="s">
        <v>30</v>
      </c>
      <c r="E255" s="15">
        <v>4</v>
      </c>
      <c r="F255" s="26">
        <v>2.2589999999999999</v>
      </c>
      <c r="G255" s="27">
        <v>0</v>
      </c>
      <c r="H255" s="27">
        <v>0</v>
      </c>
      <c r="I255" s="27">
        <v>0.91311675000000003</v>
      </c>
      <c r="J255" s="27">
        <v>1.0604624999999998E-2</v>
      </c>
      <c r="K255" s="27">
        <v>0</v>
      </c>
    </row>
    <row r="256" spans="1:11">
      <c r="A256" s="15">
        <v>10</v>
      </c>
      <c r="B256" s="18">
        <v>40281</v>
      </c>
      <c r="C256" s="15">
        <v>2010</v>
      </c>
      <c r="D256" s="11" t="s">
        <v>30</v>
      </c>
      <c r="E256" s="15">
        <v>4</v>
      </c>
      <c r="F256" s="26">
        <v>2.4209999999999998</v>
      </c>
      <c r="G256" s="27">
        <v>2.8224249999999999E-2</v>
      </c>
      <c r="H256" s="27">
        <v>0</v>
      </c>
      <c r="I256" s="27">
        <v>0.65076350000000005</v>
      </c>
      <c r="J256" s="27">
        <v>6.9958749999999995E-3</v>
      </c>
      <c r="K256" s="27">
        <v>0</v>
      </c>
    </row>
    <row r="257" spans="1:11">
      <c r="A257" s="15">
        <v>9</v>
      </c>
      <c r="B257" s="21">
        <v>40317</v>
      </c>
      <c r="C257" s="15">
        <v>2010</v>
      </c>
      <c r="D257" s="11" t="s">
        <v>31</v>
      </c>
      <c r="E257" s="15">
        <v>5</v>
      </c>
      <c r="F257" s="28">
        <v>2.9220000000000002</v>
      </c>
      <c r="G257" s="27">
        <v>0</v>
      </c>
      <c r="H257" s="27">
        <v>0</v>
      </c>
      <c r="I257" s="27">
        <v>1.3873073749999998</v>
      </c>
      <c r="J257" s="27">
        <v>1.3058874999999999E-2</v>
      </c>
      <c r="K257" s="27">
        <v>0</v>
      </c>
    </row>
    <row r="258" spans="1:11">
      <c r="A258" s="15">
        <v>10</v>
      </c>
      <c r="B258" s="21">
        <v>40317</v>
      </c>
      <c r="C258" s="15">
        <v>2010</v>
      </c>
      <c r="D258" s="11" t="s">
        <v>31</v>
      </c>
      <c r="E258" s="15">
        <v>5</v>
      </c>
      <c r="F258" s="28">
        <v>3.617</v>
      </c>
      <c r="G258" s="27">
        <v>5.0706499999999995E-2</v>
      </c>
      <c r="H258" s="27">
        <v>1.6410874999999998E-2</v>
      </c>
      <c r="I258" s="27">
        <v>1.01806475</v>
      </c>
      <c r="J258" s="27">
        <v>3.7441749999999996E-2</v>
      </c>
      <c r="K258" s="27">
        <v>0</v>
      </c>
    </row>
    <row r="259" spans="1:11">
      <c r="A259" s="15">
        <v>9</v>
      </c>
      <c r="B259" s="21">
        <v>40345</v>
      </c>
      <c r="C259" s="15">
        <v>2010</v>
      </c>
      <c r="D259" s="11" t="s">
        <v>32</v>
      </c>
      <c r="E259" s="15">
        <v>6</v>
      </c>
      <c r="F259" s="28">
        <v>7.1379999999999999</v>
      </c>
      <c r="G259" s="27">
        <v>0.23377012499999994</v>
      </c>
      <c r="H259" s="27">
        <v>0</v>
      </c>
      <c r="I259" s="27">
        <v>3.0713063749999989</v>
      </c>
      <c r="J259" s="27">
        <v>0.10227587499999997</v>
      </c>
      <c r="K259" s="27">
        <v>0</v>
      </c>
    </row>
    <row r="260" spans="1:11">
      <c r="A260" s="15">
        <v>10</v>
      </c>
      <c r="B260" s="21">
        <v>40345</v>
      </c>
      <c r="C260" s="15">
        <v>2010</v>
      </c>
      <c r="D260" s="11" t="s">
        <v>32</v>
      </c>
      <c r="E260" s="15">
        <v>6</v>
      </c>
      <c r="F260" s="28">
        <v>9.1150000000000002</v>
      </c>
      <c r="G260" s="27">
        <v>0.76834649999999993</v>
      </c>
      <c r="H260" s="27">
        <v>0</v>
      </c>
      <c r="I260" s="27">
        <v>3.6285796249999991</v>
      </c>
      <c r="J260" s="27">
        <v>0.12874437499999999</v>
      </c>
      <c r="K260" s="27">
        <v>0</v>
      </c>
    </row>
    <row r="261" spans="1:11">
      <c r="A261" s="15">
        <v>9</v>
      </c>
      <c r="B261" s="21">
        <v>40373</v>
      </c>
      <c r="C261" s="15">
        <v>2010</v>
      </c>
      <c r="D261" s="11" t="s">
        <v>33</v>
      </c>
      <c r="E261" s="15">
        <v>7</v>
      </c>
      <c r="F261" s="28">
        <v>6.0940000000000003</v>
      </c>
      <c r="G261" s="27">
        <v>0.211145</v>
      </c>
      <c r="H261" s="27">
        <v>0</v>
      </c>
      <c r="I261" s="27">
        <v>2.4686213750000001</v>
      </c>
      <c r="J261" s="27">
        <v>3.9361000000000007E-2</v>
      </c>
      <c r="K261" s="27">
        <v>0</v>
      </c>
    </row>
    <row r="262" spans="1:11">
      <c r="A262" s="15">
        <v>10</v>
      </c>
      <c r="B262" s="21">
        <v>40373</v>
      </c>
      <c r="C262" s="15">
        <v>2010</v>
      </c>
      <c r="D262" s="11" t="s">
        <v>33</v>
      </c>
      <c r="E262" s="15">
        <v>7</v>
      </c>
      <c r="F262" s="28">
        <v>12.361000000000001</v>
      </c>
      <c r="G262" s="27">
        <v>0.33589524999999992</v>
      </c>
      <c r="H262" s="27">
        <v>0</v>
      </c>
      <c r="I262" s="27">
        <v>4.9820033749999997</v>
      </c>
      <c r="J262" s="27">
        <v>0.15263025</v>
      </c>
      <c r="K262" s="27">
        <v>0</v>
      </c>
    </row>
    <row r="263" spans="1:11">
      <c r="A263" s="15">
        <v>9</v>
      </c>
      <c r="B263" s="21">
        <v>40409</v>
      </c>
      <c r="C263" s="15">
        <v>2010</v>
      </c>
      <c r="D263" s="11" t="s">
        <v>34</v>
      </c>
      <c r="E263" s="15">
        <v>8</v>
      </c>
      <c r="F263" s="28">
        <v>4.22</v>
      </c>
      <c r="G263" s="27">
        <v>0.20964037499999996</v>
      </c>
      <c r="H263" s="27">
        <v>6.2430624999999983E-2</v>
      </c>
      <c r="I263" s="27">
        <v>1.6029732499999998</v>
      </c>
      <c r="J263" s="27">
        <v>2.8655875000000004E-2</v>
      </c>
      <c r="K263" s="27">
        <v>0</v>
      </c>
    </row>
    <row r="264" spans="1:11">
      <c r="A264" s="15">
        <v>10</v>
      </c>
      <c r="B264" s="21">
        <v>40409</v>
      </c>
      <c r="C264" s="15">
        <v>2010</v>
      </c>
      <c r="D264" s="11" t="s">
        <v>34</v>
      </c>
      <c r="E264" s="15">
        <v>8</v>
      </c>
      <c r="F264" s="28">
        <v>8.1379999999999999</v>
      </c>
      <c r="G264" s="27">
        <v>0.14692775</v>
      </c>
      <c r="H264" s="27">
        <v>6.1454499999999995E-2</v>
      </c>
      <c r="I264" s="27">
        <v>2.8840490000000001</v>
      </c>
      <c r="J264" s="27">
        <v>0.29599112500000002</v>
      </c>
      <c r="K264" s="27">
        <v>0</v>
      </c>
    </row>
    <row r="265" spans="1:11">
      <c r="A265" s="15">
        <v>9</v>
      </c>
      <c r="B265" s="21">
        <v>40434</v>
      </c>
      <c r="C265" s="15">
        <v>2010</v>
      </c>
      <c r="D265" s="11" t="s">
        <v>40</v>
      </c>
      <c r="E265" s="15">
        <v>9</v>
      </c>
      <c r="F265" s="28">
        <v>2.3079999999999998</v>
      </c>
      <c r="G265" s="27">
        <v>0</v>
      </c>
      <c r="H265" s="27">
        <v>0</v>
      </c>
      <c r="I265" s="27">
        <v>0.94557862499999978</v>
      </c>
      <c r="J265" s="27">
        <v>1.5758250000000001E-2</v>
      </c>
      <c r="K265" s="27">
        <v>0</v>
      </c>
    </row>
    <row r="266" spans="1:11">
      <c r="A266" s="15">
        <v>10</v>
      </c>
      <c r="B266" s="21">
        <v>40434</v>
      </c>
      <c r="C266" s="15">
        <v>2010</v>
      </c>
      <c r="D266" s="11" t="s">
        <v>40</v>
      </c>
      <c r="E266" s="15">
        <v>9</v>
      </c>
      <c r="F266" s="28">
        <v>1.877</v>
      </c>
      <c r="G266" s="27">
        <v>3.2257874999999998E-2</v>
      </c>
      <c r="H266" s="27">
        <v>0</v>
      </c>
      <c r="I266" s="27">
        <v>0.44329337499999999</v>
      </c>
      <c r="J266" s="27">
        <v>2.2650874999999997E-2</v>
      </c>
      <c r="K266" s="27">
        <v>0</v>
      </c>
    </row>
    <row r="267" spans="1:11">
      <c r="A267" s="15">
        <v>9</v>
      </c>
      <c r="B267" s="21">
        <v>40463</v>
      </c>
      <c r="C267" s="15">
        <v>2010</v>
      </c>
      <c r="D267" s="11" t="s">
        <v>36</v>
      </c>
      <c r="E267" s="15">
        <v>10</v>
      </c>
      <c r="F267" s="26">
        <v>1.004</v>
      </c>
      <c r="G267" s="27">
        <v>0</v>
      </c>
      <c r="H267" s="27">
        <v>0</v>
      </c>
      <c r="I267" s="27">
        <v>0.11304487499999999</v>
      </c>
      <c r="J267" s="27">
        <v>0</v>
      </c>
      <c r="K267" s="27">
        <v>0</v>
      </c>
    </row>
    <row r="268" spans="1:11">
      <c r="A268" s="15">
        <v>10</v>
      </c>
      <c r="B268" s="21">
        <v>40463</v>
      </c>
      <c r="C268" s="15">
        <v>2010</v>
      </c>
      <c r="D268" s="11" t="s">
        <v>36</v>
      </c>
      <c r="E268" s="15">
        <v>10</v>
      </c>
      <c r="F268" s="26">
        <v>0.58599999999999997</v>
      </c>
      <c r="G268" s="27">
        <v>0</v>
      </c>
      <c r="H268" s="27">
        <v>0</v>
      </c>
      <c r="I268" s="27">
        <v>8.8015999999999983E-2</v>
      </c>
      <c r="J268" s="27">
        <v>0</v>
      </c>
      <c r="K268" s="27">
        <v>0</v>
      </c>
    </row>
    <row r="269" spans="1:11">
      <c r="A269" s="15">
        <v>9</v>
      </c>
      <c r="B269" s="21">
        <v>40500</v>
      </c>
      <c r="C269" s="15">
        <v>2010</v>
      </c>
      <c r="D269" s="11" t="s">
        <v>37</v>
      </c>
      <c r="E269" s="15">
        <v>11</v>
      </c>
      <c r="F269" s="26">
        <v>0.45400000000000001</v>
      </c>
      <c r="G269" s="27">
        <v>1.6427750000000001E-2</v>
      </c>
      <c r="H269" s="27">
        <v>0</v>
      </c>
      <c r="I269" s="27">
        <v>7.1603874999999984E-2</v>
      </c>
      <c r="J269" s="27">
        <v>0</v>
      </c>
      <c r="K269" s="27">
        <v>0</v>
      </c>
    </row>
    <row r="270" spans="1:11">
      <c r="A270" s="15">
        <v>10</v>
      </c>
      <c r="B270" s="21">
        <v>40500</v>
      </c>
      <c r="C270" s="15">
        <v>2010</v>
      </c>
      <c r="D270" s="11" t="s">
        <v>37</v>
      </c>
      <c r="E270" s="15">
        <v>11</v>
      </c>
      <c r="F270" s="26">
        <v>1.268</v>
      </c>
      <c r="G270" s="27">
        <v>6.9105374999999997E-2</v>
      </c>
      <c r="H270" s="27">
        <v>0</v>
      </c>
      <c r="I270" s="27">
        <v>9.2491374999999987E-2</v>
      </c>
      <c r="J270" s="27">
        <v>0</v>
      </c>
      <c r="K270" s="27">
        <v>0</v>
      </c>
    </row>
    <row r="271" spans="1:11">
      <c r="A271" s="15">
        <v>9</v>
      </c>
      <c r="B271" s="21">
        <v>40521</v>
      </c>
      <c r="C271" s="15">
        <v>2010</v>
      </c>
      <c r="D271" s="11" t="s">
        <v>38</v>
      </c>
      <c r="E271" s="15">
        <v>12</v>
      </c>
      <c r="F271" s="26">
        <v>4.319</v>
      </c>
      <c r="G271" s="27">
        <v>1.0640499999999999E-2</v>
      </c>
      <c r="H271" s="27">
        <v>0.34529425000000002</v>
      </c>
      <c r="I271" s="27">
        <v>2.3249399999999998</v>
      </c>
      <c r="J271" s="27">
        <v>0.15849949999999996</v>
      </c>
      <c r="K271" s="27">
        <v>0</v>
      </c>
    </row>
    <row r="272" spans="1:11">
      <c r="A272" s="15">
        <v>10</v>
      </c>
      <c r="B272" s="21">
        <v>40521</v>
      </c>
      <c r="C272" s="15">
        <v>2010</v>
      </c>
      <c r="D272" s="11" t="s">
        <v>38</v>
      </c>
      <c r="E272" s="15">
        <v>12</v>
      </c>
      <c r="F272" s="26">
        <v>0.81299999999999994</v>
      </c>
      <c r="G272" s="27">
        <v>3.3998124999999997E-2</v>
      </c>
      <c r="H272" s="27">
        <v>0</v>
      </c>
      <c r="I272" s="27">
        <v>0.138599</v>
      </c>
      <c r="J272" s="27">
        <v>0</v>
      </c>
      <c r="K272" s="27">
        <v>0</v>
      </c>
    </row>
    <row r="273" spans="1:11">
      <c r="A273" s="15">
        <v>9</v>
      </c>
      <c r="B273" s="21">
        <v>40563</v>
      </c>
      <c r="C273" s="15">
        <v>2011</v>
      </c>
      <c r="D273" s="11" t="s">
        <v>39</v>
      </c>
      <c r="E273" s="15">
        <v>1</v>
      </c>
      <c r="F273" s="26">
        <v>4.4939999999999998</v>
      </c>
      <c r="G273" s="27">
        <v>8.1903124999999979E-2</v>
      </c>
      <c r="H273" s="27">
        <v>0</v>
      </c>
      <c r="I273" s="27">
        <v>1.58578525</v>
      </c>
      <c r="J273" s="27">
        <v>2.3742625E-2</v>
      </c>
      <c r="K273" s="27">
        <v>0</v>
      </c>
    </row>
    <row r="274" spans="1:11">
      <c r="A274" s="15">
        <v>10</v>
      </c>
      <c r="B274" s="21">
        <v>40563</v>
      </c>
      <c r="C274" s="15">
        <v>2011</v>
      </c>
      <c r="D274" s="11" t="s">
        <v>39</v>
      </c>
      <c r="E274" s="15">
        <v>1</v>
      </c>
      <c r="F274" s="26">
        <v>5.173</v>
      </c>
      <c r="G274" s="27">
        <v>7.4278874999999994E-2</v>
      </c>
      <c r="H274" s="27">
        <v>0</v>
      </c>
      <c r="I274" s="27">
        <v>1.9368928749999998</v>
      </c>
      <c r="J274" s="27">
        <v>2.8135749999999998E-2</v>
      </c>
      <c r="K274" s="27">
        <v>0</v>
      </c>
    </row>
    <row r="275" spans="1:11">
      <c r="A275" s="15">
        <v>9</v>
      </c>
      <c r="B275" s="21">
        <v>40598</v>
      </c>
      <c r="C275" s="15">
        <v>2011</v>
      </c>
      <c r="D275" s="11" t="s">
        <v>28</v>
      </c>
      <c r="E275" s="15">
        <v>2</v>
      </c>
      <c r="F275" s="26">
        <v>5.968</v>
      </c>
      <c r="G275" s="27">
        <v>7.5401374999999993E-2</v>
      </c>
      <c r="H275" s="27">
        <v>0</v>
      </c>
      <c r="I275" s="27">
        <v>2.3403397500000001</v>
      </c>
      <c r="J275" s="27">
        <v>1.5154374999999999E-2</v>
      </c>
      <c r="K275" s="27">
        <v>0</v>
      </c>
    </row>
    <row r="276" spans="1:11">
      <c r="A276" s="15">
        <v>10</v>
      </c>
      <c r="B276" s="21">
        <v>40598</v>
      </c>
      <c r="C276" s="15">
        <v>2011</v>
      </c>
      <c r="D276" s="11" t="s">
        <v>28</v>
      </c>
      <c r="E276" s="15">
        <v>2</v>
      </c>
      <c r="F276" s="26">
        <v>7.6689999999999996</v>
      </c>
      <c r="G276" s="27">
        <v>3.7018750000000003E-2</v>
      </c>
      <c r="H276" s="27">
        <v>0</v>
      </c>
      <c r="I276" s="27">
        <v>2.945148375</v>
      </c>
      <c r="J276" s="27">
        <v>3.0515999999999998E-2</v>
      </c>
      <c r="K276" s="27">
        <v>0</v>
      </c>
    </row>
    <row r="277" spans="1:11">
      <c r="A277" s="15">
        <v>9</v>
      </c>
      <c r="B277" s="21">
        <v>40617</v>
      </c>
      <c r="C277" s="15">
        <v>2011</v>
      </c>
      <c r="D277" s="11" t="s">
        <v>29</v>
      </c>
      <c r="E277" s="15">
        <v>3</v>
      </c>
      <c r="F277" s="26">
        <v>3.0249999999999999</v>
      </c>
      <c r="G277" s="27">
        <v>4.8845499999999986E-2</v>
      </c>
      <c r="H277" s="27">
        <v>0</v>
      </c>
      <c r="I277" s="27">
        <v>1.30086675</v>
      </c>
      <c r="J277" s="27">
        <v>1.22525E-2</v>
      </c>
      <c r="K277" s="27">
        <v>0</v>
      </c>
    </row>
    <row r="278" spans="1:11">
      <c r="A278" s="15">
        <v>10</v>
      </c>
      <c r="B278" s="21">
        <v>40617</v>
      </c>
      <c r="C278" s="15">
        <v>2011</v>
      </c>
      <c r="D278" s="11" t="s">
        <v>29</v>
      </c>
      <c r="E278" s="15">
        <v>3</v>
      </c>
      <c r="F278" s="26">
        <v>6.4660000000000002</v>
      </c>
      <c r="G278" s="27">
        <v>0.20694287500000003</v>
      </c>
      <c r="H278" s="27">
        <v>0</v>
      </c>
      <c r="I278" s="27">
        <v>2.330419375</v>
      </c>
      <c r="J278" s="27">
        <v>3.5279749999999999E-2</v>
      </c>
      <c r="K278" s="27">
        <v>0</v>
      </c>
    </row>
    <row r="279" spans="1:11">
      <c r="A279" s="15">
        <v>9</v>
      </c>
      <c r="B279" s="21">
        <v>40647</v>
      </c>
      <c r="C279" s="15">
        <v>2011</v>
      </c>
      <c r="D279" s="11" t="s">
        <v>30</v>
      </c>
      <c r="E279" s="15">
        <v>4</v>
      </c>
      <c r="F279" s="26">
        <v>0.82199999999999995</v>
      </c>
      <c r="G279" s="27">
        <v>0</v>
      </c>
      <c r="H279" s="27">
        <v>0</v>
      </c>
      <c r="I279" s="27">
        <v>0.10765237499999999</v>
      </c>
      <c r="J279" s="27">
        <v>0</v>
      </c>
      <c r="K279" s="27">
        <v>0</v>
      </c>
    </row>
    <row r="280" spans="1:11">
      <c r="A280" s="15">
        <v>10</v>
      </c>
      <c r="B280" s="21">
        <v>40647</v>
      </c>
      <c r="C280" s="15">
        <v>2011</v>
      </c>
      <c r="D280" s="11" t="s">
        <v>30</v>
      </c>
      <c r="E280" s="15">
        <v>4</v>
      </c>
      <c r="F280" s="26">
        <v>1.1830000000000001</v>
      </c>
      <c r="G280" s="27">
        <v>1.7122249999999999E-2</v>
      </c>
      <c r="H280" s="27">
        <v>0</v>
      </c>
      <c r="I280" s="27">
        <v>0.29365837500000003</v>
      </c>
      <c r="J280" s="27">
        <v>4.078749999999999E-3</v>
      </c>
      <c r="K280" s="27">
        <v>0</v>
      </c>
    </row>
    <row r="281" spans="1:11">
      <c r="A281" s="15">
        <v>9</v>
      </c>
      <c r="B281" s="21">
        <v>40682</v>
      </c>
      <c r="C281" s="15">
        <v>2011</v>
      </c>
      <c r="D281" s="11" t="s">
        <v>31</v>
      </c>
      <c r="E281" s="15">
        <v>5</v>
      </c>
      <c r="F281" s="26">
        <v>4.0890000000000004</v>
      </c>
      <c r="G281" s="27">
        <v>4.8167750000000002E-2</v>
      </c>
      <c r="H281" s="27">
        <v>0</v>
      </c>
      <c r="I281" s="27">
        <v>1.5232528749999998</v>
      </c>
      <c r="J281" s="27">
        <v>0</v>
      </c>
      <c r="K281" s="27">
        <v>0</v>
      </c>
    </row>
    <row r="282" spans="1:11">
      <c r="A282" s="15">
        <v>10</v>
      </c>
      <c r="B282" s="21">
        <v>40682</v>
      </c>
      <c r="C282" s="15">
        <v>2011</v>
      </c>
      <c r="D282" s="11" t="s">
        <v>31</v>
      </c>
      <c r="E282" s="15">
        <v>5</v>
      </c>
      <c r="F282" s="26">
        <v>2.3570000000000002</v>
      </c>
      <c r="G282" s="27">
        <v>3.4743625E-2</v>
      </c>
      <c r="H282" s="27">
        <v>0</v>
      </c>
      <c r="I282" s="27">
        <v>0.55446287500000002</v>
      </c>
      <c r="J282" s="27">
        <v>1.3599874999999999E-2</v>
      </c>
      <c r="K282" s="27">
        <v>0</v>
      </c>
    </row>
    <row r="283" spans="1:11">
      <c r="A283" s="15">
        <v>9</v>
      </c>
      <c r="B283" s="21">
        <v>40709</v>
      </c>
      <c r="C283" s="15">
        <v>2011</v>
      </c>
      <c r="D283" s="11" t="s">
        <v>32</v>
      </c>
      <c r="E283" s="15">
        <v>6</v>
      </c>
      <c r="F283" s="26">
        <v>2.9489999999999998</v>
      </c>
      <c r="G283" s="27">
        <v>1.8820374999999997E-2</v>
      </c>
      <c r="H283" s="27">
        <v>0</v>
      </c>
      <c r="I283" s="27">
        <v>0.64987112499999999</v>
      </c>
      <c r="J283" s="27">
        <v>7.5697749999999994E-2</v>
      </c>
      <c r="K283" s="27">
        <v>0</v>
      </c>
    </row>
    <row r="284" spans="1:11">
      <c r="A284" s="15">
        <v>10</v>
      </c>
      <c r="B284" s="21">
        <v>40709</v>
      </c>
      <c r="C284" s="15">
        <v>2011</v>
      </c>
      <c r="D284" s="11" t="s">
        <v>32</v>
      </c>
      <c r="E284" s="15">
        <v>6</v>
      </c>
      <c r="F284" s="26">
        <v>3.8260000000000001</v>
      </c>
      <c r="G284" s="27">
        <v>5.5624999999999994E-2</v>
      </c>
      <c r="H284" s="27">
        <v>0</v>
      </c>
      <c r="I284" s="27">
        <v>0.87934849999999987</v>
      </c>
      <c r="J284" s="27">
        <v>0.12230712499999997</v>
      </c>
      <c r="K284" s="27">
        <v>0</v>
      </c>
    </row>
    <row r="285" spans="1:11">
      <c r="A285" s="15">
        <v>9</v>
      </c>
      <c r="B285" s="21">
        <v>40736</v>
      </c>
      <c r="C285" s="15">
        <v>2011</v>
      </c>
      <c r="D285" s="11" t="s">
        <v>33</v>
      </c>
      <c r="E285" s="15">
        <v>7</v>
      </c>
      <c r="F285" s="26">
        <v>12.976000000000001</v>
      </c>
      <c r="G285" s="27">
        <v>0.68255262500000002</v>
      </c>
      <c r="H285" s="27">
        <v>0</v>
      </c>
      <c r="I285" s="27">
        <v>3.6394336249999997</v>
      </c>
      <c r="J285" s="27">
        <v>0.11013337499999999</v>
      </c>
      <c r="K285" s="27">
        <v>0</v>
      </c>
    </row>
    <row r="286" spans="1:11">
      <c r="A286" s="15">
        <v>10</v>
      </c>
      <c r="B286" s="21">
        <v>40736</v>
      </c>
      <c r="C286" s="15">
        <v>2011</v>
      </c>
      <c r="D286" s="11" t="s">
        <v>33</v>
      </c>
      <c r="E286" s="15">
        <v>7</v>
      </c>
      <c r="F286" s="26">
        <v>10.025</v>
      </c>
      <c r="G286" s="27">
        <v>1.78315275</v>
      </c>
      <c r="H286" s="27">
        <v>0</v>
      </c>
      <c r="I286" s="27">
        <v>2.047682</v>
      </c>
      <c r="J286" s="27">
        <v>0.44893462499999992</v>
      </c>
      <c r="K286" s="27">
        <v>9.8460000000000006E-3</v>
      </c>
    </row>
    <row r="287" spans="1:11">
      <c r="A287" s="15">
        <v>9</v>
      </c>
      <c r="B287" s="21">
        <v>40772</v>
      </c>
      <c r="C287" s="15">
        <v>2011</v>
      </c>
      <c r="D287" s="11" t="s">
        <v>34</v>
      </c>
      <c r="E287" s="15">
        <v>8</v>
      </c>
      <c r="F287" s="26">
        <v>4.3159999999999998</v>
      </c>
      <c r="G287" s="27">
        <v>4.3903249999999991E-2</v>
      </c>
      <c r="H287" s="27">
        <v>0</v>
      </c>
      <c r="I287" s="27">
        <v>1.1726419999999997</v>
      </c>
      <c r="J287" s="27">
        <v>6.9693875000000002E-2</v>
      </c>
      <c r="K287" s="27">
        <v>0</v>
      </c>
    </row>
    <row r="288" spans="1:11">
      <c r="A288" s="15">
        <v>10</v>
      </c>
      <c r="B288" s="21">
        <v>40772</v>
      </c>
      <c r="C288" s="15">
        <v>2011</v>
      </c>
      <c r="D288" s="11" t="s">
        <v>34</v>
      </c>
      <c r="E288" s="15">
        <v>8</v>
      </c>
      <c r="F288" s="26">
        <v>6.4589999999999996</v>
      </c>
      <c r="G288" s="27">
        <v>9.4766249999999982E-2</v>
      </c>
      <c r="H288" s="27">
        <v>0</v>
      </c>
      <c r="I288" s="27">
        <v>1.832049875</v>
      </c>
      <c r="J288" s="27">
        <v>0.236988</v>
      </c>
      <c r="K288" s="27">
        <v>0</v>
      </c>
    </row>
    <row r="289" spans="1:11">
      <c r="A289" s="15">
        <v>9</v>
      </c>
      <c r="B289" s="21">
        <v>40798</v>
      </c>
      <c r="C289" s="15">
        <v>2011</v>
      </c>
      <c r="D289" s="11" t="s">
        <v>40</v>
      </c>
      <c r="E289" s="15">
        <v>9</v>
      </c>
      <c r="F289" s="26">
        <v>1.679</v>
      </c>
      <c r="G289" s="27">
        <v>1.3299625000000001E-2</v>
      </c>
      <c r="H289" s="27">
        <v>0</v>
      </c>
      <c r="I289" s="27">
        <v>0.49355962499999995</v>
      </c>
      <c r="J289" s="27">
        <v>3.0884874999999999E-2</v>
      </c>
      <c r="K289" s="27">
        <v>0</v>
      </c>
    </row>
    <row r="290" spans="1:11">
      <c r="A290" s="15">
        <v>10</v>
      </c>
      <c r="B290" s="21">
        <v>40798</v>
      </c>
      <c r="C290" s="15">
        <v>2011</v>
      </c>
      <c r="D290" s="11" t="s">
        <v>40</v>
      </c>
      <c r="E290" s="15">
        <v>9</v>
      </c>
      <c r="F290" s="26">
        <v>2.7109999999999999</v>
      </c>
      <c r="G290" s="27">
        <v>0</v>
      </c>
      <c r="H290" s="27">
        <v>0</v>
      </c>
      <c r="I290" s="27">
        <v>0.76533099999999998</v>
      </c>
      <c r="J290" s="27">
        <v>0.127761125</v>
      </c>
      <c r="K290" s="27">
        <v>0</v>
      </c>
    </row>
    <row r="291" spans="1:11">
      <c r="A291" s="15">
        <v>9</v>
      </c>
      <c r="B291" s="21">
        <v>40829</v>
      </c>
      <c r="C291" s="15">
        <v>2011</v>
      </c>
      <c r="D291" s="11" t="s">
        <v>36</v>
      </c>
      <c r="E291" s="15">
        <v>10</v>
      </c>
      <c r="F291" s="28">
        <v>1.6930000000000001</v>
      </c>
      <c r="G291" s="27">
        <v>8.0790625000000005E-2</v>
      </c>
      <c r="H291" s="27">
        <v>0</v>
      </c>
      <c r="I291" s="27">
        <v>0.57383262499999999</v>
      </c>
      <c r="J291" s="27">
        <v>4.7457374999999996E-2</v>
      </c>
      <c r="K291" s="27">
        <v>0</v>
      </c>
    </row>
    <row r="292" spans="1:11">
      <c r="A292" s="15">
        <v>10</v>
      </c>
      <c r="B292" s="21">
        <v>40829</v>
      </c>
      <c r="C292" s="15">
        <v>2011</v>
      </c>
      <c r="D292" s="11" t="s">
        <v>36</v>
      </c>
      <c r="E292" s="15">
        <v>10</v>
      </c>
      <c r="F292" s="28">
        <v>1.528</v>
      </c>
      <c r="G292" s="27">
        <v>4.7426124999999993E-2</v>
      </c>
      <c r="H292" s="27">
        <v>0</v>
      </c>
      <c r="I292" s="27">
        <v>0.44474887499999999</v>
      </c>
      <c r="J292" s="27">
        <v>3.3738374999999994E-2</v>
      </c>
      <c r="K292" s="27">
        <v>0</v>
      </c>
    </row>
    <row r="293" spans="1:11">
      <c r="A293" s="15">
        <v>9</v>
      </c>
      <c r="B293" s="29">
        <v>40877</v>
      </c>
      <c r="C293" s="15">
        <v>2011</v>
      </c>
      <c r="D293" s="11" t="s">
        <v>37</v>
      </c>
      <c r="E293" s="15">
        <v>11</v>
      </c>
      <c r="F293" s="28">
        <v>0.92700000000000005</v>
      </c>
      <c r="G293" s="27">
        <v>5.4507249999999986E-2</v>
      </c>
      <c r="H293" s="27">
        <v>0</v>
      </c>
      <c r="I293" s="27">
        <v>0.261216375</v>
      </c>
      <c r="J293" s="27">
        <v>0</v>
      </c>
      <c r="K293" s="27">
        <v>0</v>
      </c>
    </row>
    <row r="294" spans="1:11">
      <c r="A294" s="15">
        <v>10</v>
      </c>
      <c r="B294" s="29">
        <v>40877</v>
      </c>
      <c r="C294" s="15">
        <v>2011</v>
      </c>
      <c r="D294" s="11" t="s">
        <v>37</v>
      </c>
      <c r="E294" s="15">
        <v>11</v>
      </c>
      <c r="F294" s="28">
        <v>0.66600000000000004</v>
      </c>
      <c r="G294" s="27">
        <v>0</v>
      </c>
      <c r="H294" s="27">
        <v>0</v>
      </c>
      <c r="I294" s="27">
        <v>0.152389</v>
      </c>
      <c r="J294" s="27">
        <v>0</v>
      </c>
      <c r="K294" s="27">
        <v>0</v>
      </c>
    </row>
    <row r="295" spans="1:11">
      <c r="A295" s="15">
        <v>9</v>
      </c>
      <c r="B295" s="29">
        <v>40891</v>
      </c>
      <c r="C295" s="15">
        <v>2011</v>
      </c>
      <c r="D295" s="11" t="s">
        <v>38</v>
      </c>
      <c r="E295" s="15">
        <v>12</v>
      </c>
      <c r="F295" s="28">
        <v>0.36799999999999999</v>
      </c>
      <c r="G295" s="27">
        <v>4.2205999999999987E-2</v>
      </c>
      <c r="H295" s="27">
        <v>0</v>
      </c>
      <c r="I295" s="27">
        <v>6.3031749999999998E-2</v>
      </c>
      <c r="J295" s="27">
        <v>0</v>
      </c>
      <c r="K295" s="27">
        <v>0</v>
      </c>
    </row>
    <row r="296" spans="1:11">
      <c r="A296" s="15">
        <v>10</v>
      </c>
      <c r="B296" s="29">
        <v>40891</v>
      </c>
      <c r="C296" s="15">
        <v>2011</v>
      </c>
      <c r="D296" s="11" t="s">
        <v>38</v>
      </c>
      <c r="E296" s="15">
        <v>12</v>
      </c>
      <c r="F296" s="28">
        <v>0.41299999999999998</v>
      </c>
      <c r="G296" s="27">
        <v>0</v>
      </c>
      <c r="H296" s="27">
        <v>0</v>
      </c>
      <c r="I296" s="27">
        <v>0.10032387499999998</v>
      </c>
      <c r="J296" s="27">
        <v>0</v>
      </c>
      <c r="K296" s="27">
        <v>0</v>
      </c>
    </row>
    <row r="297" spans="1:11">
      <c r="A297" s="15">
        <v>9</v>
      </c>
      <c r="B297" s="21">
        <v>40919</v>
      </c>
      <c r="C297" s="15">
        <v>2012</v>
      </c>
      <c r="D297" s="11" t="s">
        <v>39</v>
      </c>
      <c r="E297" s="15">
        <v>1</v>
      </c>
      <c r="F297" s="30">
        <v>1.2430000000000001</v>
      </c>
      <c r="G297" s="27">
        <v>7.5330875000000005E-2</v>
      </c>
      <c r="H297" s="27">
        <v>0</v>
      </c>
      <c r="I297" s="27">
        <v>0.36483262500000002</v>
      </c>
      <c r="J297" s="27">
        <v>9.5107499999999984E-3</v>
      </c>
      <c r="K297" s="27">
        <v>0</v>
      </c>
    </row>
    <row r="298" spans="1:11">
      <c r="A298" s="15">
        <v>10</v>
      </c>
      <c r="B298" s="21">
        <v>40919</v>
      </c>
      <c r="C298" s="15">
        <v>2012</v>
      </c>
      <c r="D298" s="11" t="s">
        <v>39</v>
      </c>
      <c r="E298" s="15">
        <v>1</v>
      </c>
      <c r="F298" s="30">
        <v>1.21</v>
      </c>
      <c r="G298" s="27">
        <v>9.153399999999999E-2</v>
      </c>
      <c r="H298" s="27">
        <v>0</v>
      </c>
      <c r="I298" s="27">
        <v>0.37111662499999992</v>
      </c>
      <c r="J298" s="27">
        <v>8.525375E-3</v>
      </c>
      <c r="K298" s="27">
        <v>0</v>
      </c>
    </row>
    <row r="299" spans="1:11">
      <c r="A299" s="15">
        <v>9</v>
      </c>
      <c r="B299" s="21">
        <v>40960</v>
      </c>
      <c r="C299" s="15">
        <v>2012</v>
      </c>
      <c r="D299" s="11" t="s">
        <v>28</v>
      </c>
      <c r="E299" s="15">
        <v>2</v>
      </c>
      <c r="F299" s="30">
        <v>1.022</v>
      </c>
      <c r="G299" s="27">
        <v>8.276887500000002E-2</v>
      </c>
      <c r="H299" s="27">
        <v>0</v>
      </c>
      <c r="I299" s="27">
        <v>0.35902124999999996</v>
      </c>
      <c r="J299" s="27">
        <v>7.8476249999999987E-3</v>
      </c>
      <c r="K299" s="27">
        <v>0</v>
      </c>
    </row>
    <row r="300" spans="1:11">
      <c r="A300" s="15">
        <v>10</v>
      </c>
      <c r="B300" s="21">
        <v>40960</v>
      </c>
      <c r="C300" s="15">
        <v>2012</v>
      </c>
      <c r="D300" s="11" t="s">
        <v>28</v>
      </c>
      <c r="E300" s="15">
        <v>2</v>
      </c>
      <c r="F300" s="30">
        <v>2.6539999999999999</v>
      </c>
      <c r="G300" s="27">
        <v>0.31740937499999994</v>
      </c>
      <c r="H300" s="27">
        <v>0</v>
      </c>
      <c r="I300" s="27">
        <v>0.93769099999999994</v>
      </c>
      <c r="J300" s="27">
        <v>3.8599125000000005E-2</v>
      </c>
      <c r="K300" s="27">
        <v>0</v>
      </c>
    </row>
    <row r="301" spans="1:11">
      <c r="A301" s="15">
        <v>9</v>
      </c>
      <c r="B301" s="21">
        <v>40982</v>
      </c>
      <c r="C301" s="15">
        <v>2012</v>
      </c>
      <c r="D301" s="11" t="s">
        <v>29</v>
      </c>
      <c r="E301" s="15">
        <v>3</v>
      </c>
      <c r="F301" s="30">
        <v>0.80700000000000005</v>
      </c>
      <c r="G301" s="27">
        <v>5.3095875000000001E-2</v>
      </c>
      <c r="H301" s="27">
        <v>0</v>
      </c>
      <c r="I301" s="27">
        <v>0.18131012499999996</v>
      </c>
      <c r="J301" s="27">
        <v>1.2128125000000002E-2</v>
      </c>
      <c r="K301" s="27">
        <v>0</v>
      </c>
    </row>
    <row r="302" spans="1:11">
      <c r="A302" s="15">
        <v>10</v>
      </c>
      <c r="B302" s="21">
        <v>40982</v>
      </c>
      <c r="C302" s="15">
        <v>2012</v>
      </c>
      <c r="D302" s="11" t="s">
        <v>29</v>
      </c>
      <c r="E302" s="15">
        <v>3</v>
      </c>
      <c r="F302" s="30">
        <v>1.095</v>
      </c>
      <c r="G302" s="27">
        <v>0.12330587499999998</v>
      </c>
      <c r="H302" s="27">
        <v>0</v>
      </c>
      <c r="I302" s="27">
        <v>0.19362162499999999</v>
      </c>
      <c r="J302" s="27">
        <v>1.5827500000000001E-2</v>
      </c>
      <c r="K302" s="27">
        <v>0</v>
      </c>
    </row>
    <row r="303" spans="1:11">
      <c r="A303" s="15">
        <v>9</v>
      </c>
      <c r="B303" s="21">
        <v>41016</v>
      </c>
      <c r="C303" s="15">
        <v>2012</v>
      </c>
      <c r="D303" s="11" t="s">
        <v>30</v>
      </c>
      <c r="E303" s="15">
        <v>4</v>
      </c>
      <c r="F303" s="26">
        <v>1.5580000000000001</v>
      </c>
      <c r="G303" s="27">
        <v>6.1180499999999985E-2</v>
      </c>
      <c r="H303" s="27">
        <v>0</v>
      </c>
      <c r="I303" s="27">
        <v>0.43511324999999995</v>
      </c>
      <c r="J303" s="27">
        <v>2.3074999999999995E-2</v>
      </c>
      <c r="K303" s="27">
        <v>0</v>
      </c>
    </row>
    <row r="304" spans="1:11">
      <c r="A304" s="15">
        <v>10</v>
      </c>
      <c r="B304" s="21">
        <v>41016</v>
      </c>
      <c r="C304" s="15">
        <v>2012</v>
      </c>
      <c r="D304" s="11" t="s">
        <v>30</v>
      </c>
      <c r="E304" s="15">
        <v>4</v>
      </c>
      <c r="F304" s="26">
        <v>0.84899999999999998</v>
      </c>
      <c r="G304" s="27">
        <v>3.2672624999999997E-2</v>
      </c>
      <c r="H304" s="27">
        <v>0</v>
      </c>
      <c r="I304" s="27">
        <v>0.20103325</v>
      </c>
      <c r="J304" s="27">
        <v>1.8075000000000001E-2</v>
      </c>
      <c r="K304" s="27">
        <v>0</v>
      </c>
    </row>
    <row r="305" spans="1:11">
      <c r="A305" s="15">
        <v>9</v>
      </c>
      <c r="B305" s="21">
        <v>41051</v>
      </c>
      <c r="C305" s="15">
        <v>2012</v>
      </c>
      <c r="D305" s="11" t="s">
        <v>31</v>
      </c>
      <c r="E305" s="15">
        <v>5</v>
      </c>
      <c r="F305" s="26">
        <v>3.21</v>
      </c>
      <c r="G305" s="27">
        <v>0</v>
      </c>
      <c r="H305" s="27">
        <v>0</v>
      </c>
      <c r="I305" s="27">
        <v>0.99816862500000014</v>
      </c>
      <c r="J305" s="27">
        <v>1.8366250000000001E-2</v>
      </c>
      <c r="K305" s="27">
        <v>0</v>
      </c>
    </row>
    <row r="306" spans="1:11">
      <c r="A306" s="15">
        <v>10</v>
      </c>
      <c r="B306" s="21">
        <v>41051</v>
      </c>
      <c r="C306" s="15">
        <v>2012</v>
      </c>
      <c r="D306" s="11" t="s">
        <v>31</v>
      </c>
      <c r="E306" s="15">
        <v>5</v>
      </c>
      <c r="F306" s="26">
        <v>3.669</v>
      </c>
      <c r="G306" s="27">
        <v>2.6873000000000001E-2</v>
      </c>
      <c r="H306" s="27">
        <v>0</v>
      </c>
      <c r="I306" s="27">
        <v>0.7123426249999999</v>
      </c>
      <c r="J306" s="27">
        <v>2.1178124999999996E-2</v>
      </c>
      <c r="K306" s="27">
        <v>0</v>
      </c>
    </row>
    <row r="307" spans="1:11">
      <c r="A307" s="15">
        <v>9</v>
      </c>
      <c r="B307" s="21">
        <v>41080</v>
      </c>
      <c r="C307" s="15">
        <v>2012</v>
      </c>
      <c r="D307" s="11" t="s">
        <v>32</v>
      </c>
      <c r="E307" s="15">
        <v>6</v>
      </c>
      <c r="F307" s="26">
        <v>5.1959999999999997</v>
      </c>
      <c r="G307" s="27">
        <v>0.15164050000000001</v>
      </c>
      <c r="H307" s="27">
        <v>0</v>
      </c>
      <c r="I307" s="27">
        <v>1.7098007500000001</v>
      </c>
      <c r="J307" s="27">
        <v>7.1582750000000001E-2</v>
      </c>
      <c r="K307" s="27">
        <v>0</v>
      </c>
    </row>
    <row r="308" spans="1:11">
      <c r="A308" s="15">
        <v>10</v>
      </c>
      <c r="B308" s="21">
        <v>41080</v>
      </c>
      <c r="C308" s="15">
        <v>2012</v>
      </c>
      <c r="D308" s="11" t="s">
        <v>32</v>
      </c>
      <c r="E308" s="15">
        <v>6</v>
      </c>
      <c r="F308" s="26">
        <v>3.335</v>
      </c>
      <c r="G308" s="27">
        <v>0.19485387499999998</v>
      </c>
      <c r="H308" s="27">
        <v>0</v>
      </c>
      <c r="I308" s="27">
        <v>0.39559775000000008</v>
      </c>
      <c r="J308" s="27">
        <v>0.103142</v>
      </c>
      <c r="K308" s="27">
        <v>0</v>
      </c>
    </row>
    <row r="309" spans="1:11">
      <c r="A309" s="15">
        <v>9</v>
      </c>
      <c r="B309" s="21">
        <v>41106</v>
      </c>
      <c r="C309" s="15">
        <v>2012</v>
      </c>
      <c r="D309" s="11" t="s">
        <v>33</v>
      </c>
      <c r="E309" s="15">
        <v>7</v>
      </c>
      <c r="F309" s="26">
        <v>8.5009999999999994</v>
      </c>
      <c r="G309" s="27">
        <v>0.53465762500000003</v>
      </c>
      <c r="H309" s="27">
        <v>0</v>
      </c>
      <c r="I309" s="27">
        <v>3.4850270000000001</v>
      </c>
      <c r="J309" s="27">
        <v>7.1438000000000001E-2</v>
      </c>
      <c r="K309" s="27">
        <v>0</v>
      </c>
    </row>
    <row r="310" spans="1:11">
      <c r="A310" s="15">
        <v>10</v>
      </c>
      <c r="B310" s="21">
        <v>41106</v>
      </c>
      <c r="C310" s="15">
        <v>2012</v>
      </c>
      <c r="D310" s="11" t="s">
        <v>33</v>
      </c>
      <c r="E310" s="15">
        <v>7</v>
      </c>
      <c r="F310" s="26">
        <v>4.3010000000000002</v>
      </c>
      <c r="G310" s="27">
        <v>0.18813775000000002</v>
      </c>
      <c r="H310" s="27">
        <v>0</v>
      </c>
      <c r="I310" s="27">
        <v>1.3677557499999999</v>
      </c>
      <c r="J310" s="27">
        <v>0.10530762499999999</v>
      </c>
      <c r="K310" s="27">
        <v>0</v>
      </c>
    </row>
    <row r="311" spans="1:11">
      <c r="A311" s="15">
        <v>9</v>
      </c>
      <c r="B311" s="21">
        <v>41137</v>
      </c>
      <c r="C311" s="15">
        <v>2012</v>
      </c>
      <c r="D311" s="11" t="s">
        <v>34</v>
      </c>
      <c r="E311" s="15">
        <v>8</v>
      </c>
      <c r="F311" s="26">
        <v>4.9180000000000001</v>
      </c>
      <c r="G311" s="27">
        <v>9.4007499999999994E-2</v>
      </c>
      <c r="H311" s="27">
        <v>0</v>
      </c>
      <c r="I311" s="27">
        <v>2.0796511249999994</v>
      </c>
      <c r="J311" s="27">
        <v>5.6160624999999985E-2</v>
      </c>
      <c r="K311" s="27">
        <v>0</v>
      </c>
    </row>
    <row r="312" spans="1:11">
      <c r="A312" s="15">
        <v>10</v>
      </c>
      <c r="B312" s="21">
        <v>41137</v>
      </c>
      <c r="C312" s="15">
        <v>2012</v>
      </c>
      <c r="D312" s="11" t="s">
        <v>34</v>
      </c>
      <c r="E312" s="15">
        <v>8</v>
      </c>
      <c r="F312" s="26">
        <v>2.9590000000000001</v>
      </c>
      <c r="G312" s="27">
        <v>2.9003250000000001E-2</v>
      </c>
      <c r="H312" s="27">
        <v>0</v>
      </c>
      <c r="I312" s="27">
        <v>1.0017266249999999</v>
      </c>
      <c r="J312" s="27">
        <v>0.15306824999999996</v>
      </c>
      <c r="K312" s="27">
        <v>0</v>
      </c>
    </row>
    <row r="313" spans="1:11">
      <c r="A313" s="15">
        <v>9</v>
      </c>
      <c r="B313" s="21">
        <v>41163</v>
      </c>
      <c r="C313" s="15">
        <v>2012</v>
      </c>
      <c r="D313" s="11" t="s">
        <v>40</v>
      </c>
      <c r="E313" s="15">
        <v>9</v>
      </c>
      <c r="F313" s="26">
        <v>5.3540000000000001</v>
      </c>
      <c r="G313" s="27">
        <v>0.95435712499999992</v>
      </c>
      <c r="H313" s="27">
        <v>0</v>
      </c>
      <c r="I313" s="27">
        <v>1.4551315</v>
      </c>
      <c r="J313" s="27">
        <v>4.2667999999999991E-2</v>
      </c>
      <c r="K313" s="27">
        <v>0</v>
      </c>
    </row>
    <row r="314" spans="1:11">
      <c r="A314" s="15">
        <v>10</v>
      </c>
      <c r="B314" s="21">
        <v>41163</v>
      </c>
      <c r="C314" s="15">
        <v>2012</v>
      </c>
      <c r="D314" s="11" t="s">
        <v>40</v>
      </c>
      <c r="E314" s="15">
        <v>9</v>
      </c>
      <c r="F314" s="26">
        <v>2.87</v>
      </c>
      <c r="G314" s="27">
        <v>8.0739249999999985E-2</v>
      </c>
      <c r="H314" s="27">
        <v>0</v>
      </c>
      <c r="I314" s="27">
        <v>0.87318324999999986</v>
      </c>
      <c r="J314" s="27">
        <v>4.4393374999999992E-2</v>
      </c>
      <c r="K314" s="27">
        <v>0</v>
      </c>
    </row>
    <row r="315" spans="1:11">
      <c r="A315" s="15">
        <v>9</v>
      </c>
      <c r="B315" s="21">
        <v>41199</v>
      </c>
      <c r="C315" s="15">
        <v>2012</v>
      </c>
      <c r="D315" s="11" t="s">
        <v>36</v>
      </c>
      <c r="E315" s="15">
        <v>10</v>
      </c>
      <c r="F315" s="26">
        <v>0.81899999999999995</v>
      </c>
      <c r="G315" s="27">
        <v>0</v>
      </c>
      <c r="H315" s="27">
        <v>0</v>
      </c>
      <c r="I315" s="27">
        <v>0.27374549999999992</v>
      </c>
      <c r="J315" s="27">
        <v>0</v>
      </c>
      <c r="K315" s="27">
        <v>0</v>
      </c>
    </row>
    <row r="316" spans="1:11">
      <c r="A316" s="15">
        <v>10</v>
      </c>
      <c r="B316" s="21">
        <v>41199</v>
      </c>
      <c r="C316" s="15">
        <v>2012</v>
      </c>
      <c r="D316" s="11" t="s">
        <v>36</v>
      </c>
      <c r="E316" s="15">
        <v>10</v>
      </c>
      <c r="F316" s="26">
        <v>0.44900000000000001</v>
      </c>
      <c r="G316" s="27">
        <v>0</v>
      </c>
      <c r="H316" s="27">
        <v>0</v>
      </c>
      <c r="I316" s="27">
        <v>0.11627849999999998</v>
      </c>
      <c r="J316" s="27">
        <v>0</v>
      </c>
      <c r="K316" s="27">
        <v>0</v>
      </c>
    </row>
    <row r="317" spans="1:11">
      <c r="A317" s="15">
        <v>9</v>
      </c>
      <c r="B317" s="21">
        <v>41225</v>
      </c>
      <c r="C317" s="15">
        <v>2012</v>
      </c>
      <c r="D317" s="11" t="s">
        <v>37</v>
      </c>
      <c r="E317" s="15">
        <v>11</v>
      </c>
      <c r="F317" s="26">
        <v>0.96099999999999997</v>
      </c>
      <c r="G317" s="27">
        <v>0</v>
      </c>
      <c r="H317" s="27">
        <v>0</v>
      </c>
      <c r="I317" s="27">
        <v>0.18161925000000001</v>
      </c>
      <c r="J317" s="27">
        <v>0</v>
      </c>
      <c r="K317" s="27">
        <v>0</v>
      </c>
    </row>
    <row r="318" spans="1:11">
      <c r="A318" s="15">
        <v>10</v>
      </c>
      <c r="B318" s="21">
        <v>41225</v>
      </c>
      <c r="C318" s="15">
        <v>2012</v>
      </c>
      <c r="D318" s="11" t="s">
        <v>37</v>
      </c>
      <c r="E318" s="15">
        <v>11</v>
      </c>
      <c r="F318" s="26">
        <v>1.843</v>
      </c>
      <c r="G318" s="27">
        <v>0</v>
      </c>
      <c r="H318" s="27">
        <v>0</v>
      </c>
      <c r="I318" s="27">
        <v>0.29811887500000001</v>
      </c>
      <c r="J318" s="27">
        <v>1.4069E-2</v>
      </c>
      <c r="K318" s="27">
        <v>0</v>
      </c>
    </row>
    <row r="319" spans="1:11">
      <c r="A319" s="15">
        <v>9</v>
      </c>
      <c r="B319" s="21">
        <v>41255</v>
      </c>
      <c r="C319" s="15">
        <v>2012</v>
      </c>
      <c r="D319" s="11" t="s">
        <v>38</v>
      </c>
      <c r="E319" s="15">
        <v>12</v>
      </c>
      <c r="F319" s="26">
        <v>0.89900000000000002</v>
      </c>
      <c r="G319" s="27">
        <v>0.10483737499999998</v>
      </c>
      <c r="H319" s="27">
        <v>0</v>
      </c>
      <c r="I319" s="27">
        <v>0.35662712499999999</v>
      </c>
      <c r="J319" s="27">
        <v>0</v>
      </c>
      <c r="K319" s="27">
        <v>0</v>
      </c>
    </row>
    <row r="320" spans="1:11">
      <c r="A320" s="15">
        <v>10</v>
      </c>
      <c r="B320" s="21">
        <v>41255</v>
      </c>
      <c r="C320" s="15">
        <v>2012</v>
      </c>
      <c r="D320" s="11" t="s">
        <v>38</v>
      </c>
      <c r="E320" s="15">
        <v>12</v>
      </c>
      <c r="F320" s="26">
        <v>1.2509999999999999</v>
      </c>
      <c r="G320" s="27">
        <v>0.20592574999999996</v>
      </c>
      <c r="H320" s="27">
        <v>0</v>
      </c>
      <c r="I320" s="27">
        <v>0.321115875</v>
      </c>
      <c r="J320" s="27">
        <v>0</v>
      </c>
      <c r="K320" s="27">
        <v>0</v>
      </c>
    </row>
    <row r="321" spans="1:11">
      <c r="A321" s="15">
        <v>9</v>
      </c>
      <c r="B321" s="21">
        <v>41297</v>
      </c>
      <c r="C321" s="15">
        <v>2013</v>
      </c>
      <c r="D321" s="11" t="s">
        <v>39</v>
      </c>
      <c r="E321" s="15">
        <v>1</v>
      </c>
      <c r="F321" s="26">
        <v>1.665</v>
      </c>
      <c r="G321" s="27">
        <v>0.1039455</v>
      </c>
      <c r="H321" s="27">
        <v>0</v>
      </c>
      <c r="I321" s="27">
        <v>0.43227937500000002</v>
      </c>
      <c r="J321" s="27">
        <v>1.3470499999999998E-2</v>
      </c>
      <c r="K321" s="27">
        <v>0</v>
      </c>
    </row>
    <row r="322" spans="1:11">
      <c r="A322" s="15">
        <v>10</v>
      </c>
      <c r="B322" s="21">
        <v>41297</v>
      </c>
      <c r="C322" s="15">
        <v>2013</v>
      </c>
      <c r="D322" s="11" t="s">
        <v>39</v>
      </c>
      <c r="E322" s="15">
        <v>1</v>
      </c>
      <c r="F322" s="26">
        <v>1.169</v>
      </c>
      <c r="G322" s="27">
        <v>9.547799999999998E-2</v>
      </c>
      <c r="H322" s="27">
        <v>0</v>
      </c>
      <c r="I322" s="27">
        <v>0.29257512499999994</v>
      </c>
      <c r="J322" s="27">
        <v>1.2965374999999996E-2</v>
      </c>
      <c r="K322" s="27">
        <v>0</v>
      </c>
    </row>
    <row r="323" spans="1:11">
      <c r="A323" s="15">
        <v>9</v>
      </c>
      <c r="B323" s="21">
        <v>41319</v>
      </c>
      <c r="C323" s="15">
        <v>2013</v>
      </c>
      <c r="D323" s="11" t="s">
        <v>28</v>
      </c>
      <c r="E323" s="15">
        <v>2</v>
      </c>
      <c r="F323" s="31">
        <v>2.944</v>
      </c>
      <c r="G323" s="27">
        <v>0.13853750000000001</v>
      </c>
      <c r="H323" s="27">
        <v>0</v>
      </c>
      <c r="I323" s="27">
        <v>1.2439344999999999</v>
      </c>
      <c r="J323" s="27">
        <v>0</v>
      </c>
      <c r="K323" s="27">
        <v>0</v>
      </c>
    </row>
    <row r="324" spans="1:11">
      <c r="A324" s="15">
        <v>10</v>
      </c>
      <c r="B324" s="21">
        <v>41319</v>
      </c>
      <c r="C324" s="15">
        <v>2013</v>
      </c>
      <c r="D324" s="11" t="s">
        <v>28</v>
      </c>
      <c r="E324" s="15">
        <v>2</v>
      </c>
      <c r="F324" s="31">
        <v>2.371</v>
      </c>
      <c r="G324" s="27">
        <v>6.0640124999999996E-2</v>
      </c>
      <c r="H324" s="27">
        <v>0</v>
      </c>
      <c r="I324" s="27">
        <v>0.99689749999999999</v>
      </c>
      <c r="J324" s="27">
        <v>0</v>
      </c>
      <c r="K324" s="27">
        <v>0</v>
      </c>
    </row>
    <row r="325" spans="1:11">
      <c r="A325" s="15">
        <v>9</v>
      </c>
      <c r="B325" s="21">
        <v>41346</v>
      </c>
      <c r="C325" s="15">
        <v>2013</v>
      </c>
      <c r="D325" s="11" t="s">
        <v>29</v>
      </c>
      <c r="E325" s="15">
        <v>3</v>
      </c>
      <c r="F325" s="31">
        <v>8.3840000000000003</v>
      </c>
      <c r="G325" s="27">
        <v>0</v>
      </c>
      <c r="H325" s="27">
        <v>0</v>
      </c>
      <c r="I325" s="27">
        <v>5.4693857499999998</v>
      </c>
      <c r="J325" s="27">
        <v>4.7836624999999994E-2</v>
      </c>
      <c r="K325" s="27">
        <v>0</v>
      </c>
    </row>
    <row r="326" spans="1:11">
      <c r="A326" s="15">
        <v>10</v>
      </c>
      <c r="B326" s="21">
        <v>41346</v>
      </c>
      <c r="C326" s="15">
        <v>2013</v>
      </c>
      <c r="D326" s="11" t="s">
        <v>29</v>
      </c>
      <c r="E326" s="15">
        <v>3</v>
      </c>
      <c r="F326" s="31">
        <v>8.6709999999999994</v>
      </c>
      <c r="G326" s="27">
        <v>0</v>
      </c>
      <c r="H326" s="27">
        <v>0</v>
      </c>
      <c r="I326" s="27">
        <v>5.441261374999999</v>
      </c>
      <c r="J326" s="27">
        <v>7.794524999999998E-2</v>
      </c>
      <c r="K326" s="27">
        <v>0</v>
      </c>
    </row>
    <row r="327" spans="1:11">
      <c r="A327" s="15">
        <v>9</v>
      </c>
      <c r="B327" s="21">
        <v>41380</v>
      </c>
      <c r="C327" s="15">
        <v>2013</v>
      </c>
      <c r="D327" s="11" t="s">
        <v>30</v>
      </c>
      <c r="E327" s="15">
        <v>4</v>
      </c>
      <c r="F327" s="32">
        <v>0.495</v>
      </c>
      <c r="G327" s="27">
        <v>0</v>
      </c>
      <c r="H327" s="27">
        <v>0</v>
      </c>
      <c r="I327" s="27">
        <v>0.12992349999999997</v>
      </c>
      <c r="J327" s="27">
        <v>0</v>
      </c>
      <c r="K327" s="27">
        <v>0</v>
      </c>
    </row>
    <row r="328" spans="1:11">
      <c r="A328" s="15">
        <v>10</v>
      </c>
      <c r="B328" s="21">
        <v>41380</v>
      </c>
      <c r="C328" s="15">
        <v>2013</v>
      </c>
      <c r="D328" s="11" t="s">
        <v>30</v>
      </c>
      <c r="E328" s="15">
        <v>4</v>
      </c>
      <c r="F328" s="32">
        <v>0.755</v>
      </c>
      <c r="G328" s="27">
        <v>0</v>
      </c>
      <c r="H328" s="27">
        <v>0</v>
      </c>
      <c r="I328" s="27">
        <v>0.158333</v>
      </c>
      <c r="J328" s="27">
        <v>8.3277500000000001E-3</v>
      </c>
      <c r="K328" s="27">
        <v>0</v>
      </c>
    </row>
    <row r="329" spans="1:11">
      <c r="A329" s="15">
        <v>9</v>
      </c>
      <c r="B329" s="21">
        <v>41407</v>
      </c>
      <c r="C329" s="15">
        <v>2013</v>
      </c>
      <c r="D329" s="11" t="s">
        <v>31</v>
      </c>
      <c r="E329" s="15">
        <v>5</v>
      </c>
      <c r="F329" s="32">
        <v>0.65900000000000003</v>
      </c>
      <c r="G329" s="27">
        <v>1.9669624999999996E-2</v>
      </c>
      <c r="H329" s="27">
        <v>0</v>
      </c>
      <c r="I329" s="27">
        <v>0.100426375</v>
      </c>
      <c r="J329" s="27">
        <v>9.3333749999999997E-3</v>
      </c>
      <c r="K329" s="27">
        <v>0</v>
      </c>
    </row>
    <row r="330" spans="1:11">
      <c r="A330" s="15">
        <v>10</v>
      </c>
      <c r="B330" s="21">
        <v>41407</v>
      </c>
      <c r="C330" s="15">
        <v>2013</v>
      </c>
      <c r="D330" s="11" t="s">
        <v>31</v>
      </c>
      <c r="E330" s="15">
        <v>5</v>
      </c>
      <c r="F330" s="32">
        <v>2.657</v>
      </c>
      <c r="G330" s="27">
        <v>6.6039374999999997E-2</v>
      </c>
      <c r="H330" s="27">
        <v>0</v>
      </c>
      <c r="I330" s="27">
        <v>0.51168612499999999</v>
      </c>
      <c r="J330" s="27">
        <v>2.1961624999999999E-2</v>
      </c>
      <c r="K330" s="27">
        <v>0</v>
      </c>
    </row>
    <row r="331" spans="1:11">
      <c r="A331" s="15">
        <v>9</v>
      </c>
      <c r="B331" s="21">
        <v>41437</v>
      </c>
      <c r="C331" s="15">
        <v>2013</v>
      </c>
      <c r="D331" s="11" t="s">
        <v>32</v>
      </c>
      <c r="E331" s="15">
        <v>6</v>
      </c>
      <c r="F331" s="32">
        <v>4.7809999999999997</v>
      </c>
      <c r="G331" s="27">
        <v>6.2047625000000009E-2</v>
      </c>
      <c r="H331" s="27">
        <v>0</v>
      </c>
      <c r="I331" s="27">
        <v>2.2065641249999999</v>
      </c>
      <c r="J331" s="27">
        <v>1.4484374999999997E-2</v>
      </c>
      <c r="K331" s="27">
        <v>0</v>
      </c>
    </row>
    <row r="332" spans="1:11">
      <c r="A332" s="15">
        <v>10</v>
      </c>
      <c r="B332" s="21">
        <v>41437</v>
      </c>
      <c r="C332" s="15">
        <v>2013</v>
      </c>
      <c r="D332" s="11" t="s">
        <v>32</v>
      </c>
      <c r="E332" s="15">
        <v>6</v>
      </c>
      <c r="F332" s="32">
        <v>3.68</v>
      </c>
      <c r="G332" s="27">
        <v>5.6067874999999989E-2</v>
      </c>
      <c r="H332" s="27">
        <v>0</v>
      </c>
      <c r="I332" s="27">
        <v>1.194240875</v>
      </c>
      <c r="J332" s="27">
        <v>4.2951749999999997E-2</v>
      </c>
      <c r="K332" s="27">
        <v>0</v>
      </c>
    </row>
    <row r="333" spans="1:11">
      <c r="A333" s="15">
        <v>9</v>
      </c>
      <c r="B333" s="21">
        <v>41470</v>
      </c>
      <c r="C333" s="15">
        <v>2013</v>
      </c>
      <c r="D333" s="11" t="s">
        <v>33</v>
      </c>
      <c r="E333" s="15">
        <v>7</v>
      </c>
      <c r="F333" s="32">
        <v>7.8250000000000002</v>
      </c>
      <c r="G333" s="27">
        <v>0.61174775000000003</v>
      </c>
      <c r="H333" s="27">
        <v>0</v>
      </c>
      <c r="I333" s="27">
        <v>2.728973125</v>
      </c>
      <c r="J333" s="27">
        <v>0.117590625</v>
      </c>
      <c r="K333" s="27">
        <v>0</v>
      </c>
    </row>
    <row r="334" spans="1:11">
      <c r="A334" s="15">
        <v>10</v>
      </c>
      <c r="B334" s="21">
        <v>41470</v>
      </c>
      <c r="C334" s="15">
        <v>2013</v>
      </c>
      <c r="D334" s="11" t="s">
        <v>33</v>
      </c>
      <c r="E334" s="15">
        <v>7</v>
      </c>
      <c r="F334" s="32">
        <v>10.163</v>
      </c>
      <c r="G334" s="27">
        <v>2.9929784999999995</v>
      </c>
      <c r="H334" s="27">
        <v>0</v>
      </c>
      <c r="I334" s="27">
        <v>1.8482620000000001</v>
      </c>
      <c r="J334" s="27">
        <v>0.25031775000000001</v>
      </c>
      <c r="K334" s="27">
        <v>0</v>
      </c>
    </row>
    <row r="335" spans="1:11">
      <c r="A335" s="15">
        <v>9</v>
      </c>
      <c r="B335" s="21">
        <v>41498</v>
      </c>
      <c r="C335" s="15">
        <v>2013</v>
      </c>
      <c r="D335" s="11" t="s">
        <v>34</v>
      </c>
      <c r="E335" s="15">
        <v>8</v>
      </c>
      <c r="F335" s="32">
        <v>3.544</v>
      </c>
      <c r="G335" s="27">
        <v>8.8444749999999989E-2</v>
      </c>
      <c r="H335" s="27">
        <v>0</v>
      </c>
      <c r="I335" s="27">
        <v>1.3128916249999998</v>
      </c>
      <c r="J335" s="27">
        <v>3.1042249999999997E-2</v>
      </c>
      <c r="K335" s="27">
        <v>0</v>
      </c>
    </row>
    <row r="336" spans="1:11">
      <c r="A336" s="15">
        <v>10</v>
      </c>
      <c r="B336" s="21">
        <v>41498</v>
      </c>
      <c r="C336" s="15">
        <v>2013</v>
      </c>
      <c r="D336" s="11" t="s">
        <v>34</v>
      </c>
      <c r="E336" s="15">
        <v>8</v>
      </c>
      <c r="F336" s="32">
        <v>3.4510000000000001</v>
      </c>
      <c r="G336" s="27">
        <v>0.13545699999999999</v>
      </c>
      <c r="H336" s="27">
        <v>0</v>
      </c>
      <c r="I336" s="27">
        <v>0.76320624999999986</v>
      </c>
      <c r="J336" s="27">
        <v>0.15326387499999997</v>
      </c>
      <c r="K336" s="27">
        <v>0</v>
      </c>
    </row>
    <row r="337" spans="1:11">
      <c r="A337" s="15">
        <v>9</v>
      </c>
      <c r="B337" s="21">
        <v>41535</v>
      </c>
      <c r="C337" s="15">
        <v>2013</v>
      </c>
      <c r="D337" s="11" t="s">
        <v>40</v>
      </c>
      <c r="E337" s="15">
        <v>9</v>
      </c>
      <c r="F337" s="32">
        <v>1.6279999999999999</v>
      </c>
      <c r="G337" s="27">
        <v>0</v>
      </c>
      <c r="H337" s="27">
        <v>0</v>
      </c>
      <c r="I337" s="27">
        <v>0.65804099999999999</v>
      </c>
      <c r="J337" s="27">
        <v>2.7882624999999998E-2</v>
      </c>
      <c r="K337" s="27">
        <v>0</v>
      </c>
    </row>
    <row r="338" spans="1:11">
      <c r="A338" s="15">
        <v>10</v>
      </c>
      <c r="B338" s="21">
        <v>41535</v>
      </c>
      <c r="C338" s="15">
        <v>2013</v>
      </c>
      <c r="D338" s="11" t="s">
        <v>40</v>
      </c>
      <c r="E338" s="15">
        <v>9</v>
      </c>
      <c r="F338" s="32">
        <v>1.2649999999999999</v>
      </c>
      <c r="G338" s="27">
        <v>0</v>
      </c>
      <c r="H338" s="27">
        <v>0</v>
      </c>
      <c r="I338" s="27">
        <v>0.4926371249999999</v>
      </c>
      <c r="J338" s="27">
        <v>3.2875000000000001E-2</v>
      </c>
      <c r="K338" s="27">
        <v>0</v>
      </c>
    </row>
    <row r="339" spans="1:11">
      <c r="A339" s="15">
        <v>9</v>
      </c>
      <c r="B339" s="21">
        <v>406810</v>
      </c>
      <c r="C339" s="15">
        <v>2013</v>
      </c>
      <c r="D339" s="11" t="s">
        <v>36</v>
      </c>
      <c r="E339" s="15">
        <v>10</v>
      </c>
      <c r="F339" s="26">
        <v>0.60099999999999998</v>
      </c>
      <c r="G339" s="27">
        <v>0</v>
      </c>
      <c r="H339" s="27">
        <v>0</v>
      </c>
      <c r="I339" s="27">
        <v>5.4357249999999996E-2</v>
      </c>
      <c r="J339" s="27">
        <v>0</v>
      </c>
      <c r="K339" s="27">
        <v>0</v>
      </c>
    </row>
    <row r="340" spans="1:11">
      <c r="A340" s="15">
        <v>10</v>
      </c>
      <c r="B340" s="21">
        <v>406810</v>
      </c>
      <c r="C340" s="15">
        <v>2013</v>
      </c>
      <c r="D340" s="11" t="s">
        <v>36</v>
      </c>
      <c r="E340" s="15">
        <v>10</v>
      </c>
      <c r="F340" s="26">
        <v>0.93</v>
      </c>
      <c r="G340" s="27">
        <v>0</v>
      </c>
      <c r="H340" s="27">
        <v>0</v>
      </c>
      <c r="I340" s="27">
        <v>0.12325575</v>
      </c>
      <c r="J340" s="27">
        <v>0</v>
      </c>
      <c r="K340" s="27">
        <v>0</v>
      </c>
    </row>
    <row r="341" spans="1:11">
      <c r="A341" s="15">
        <v>9</v>
      </c>
      <c r="B341" s="21">
        <v>41599</v>
      </c>
      <c r="C341" s="15">
        <v>2013</v>
      </c>
      <c r="D341" s="11" t="s">
        <v>37</v>
      </c>
      <c r="E341" s="15">
        <v>11</v>
      </c>
      <c r="F341" s="26">
        <v>0.249</v>
      </c>
      <c r="G341" s="27">
        <v>0</v>
      </c>
      <c r="H341" s="27">
        <v>0</v>
      </c>
      <c r="I341" s="27">
        <v>7.1526124999999996E-2</v>
      </c>
      <c r="J341" s="27">
        <v>0</v>
      </c>
      <c r="K341" s="27">
        <v>0</v>
      </c>
    </row>
    <row r="342" spans="1:11">
      <c r="A342" s="15">
        <v>10</v>
      </c>
      <c r="B342" s="21">
        <v>41599</v>
      </c>
      <c r="C342" s="15">
        <v>2013</v>
      </c>
      <c r="D342" s="11" t="s">
        <v>37</v>
      </c>
      <c r="E342" s="15">
        <v>11</v>
      </c>
      <c r="F342" s="26">
        <v>0.36599999999999999</v>
      </c>
      <c r="G342" s="27">
        <v>0</v>
      </c>
      <c r="H342" s="27">
        <v>0</v>
      </c>
      <c r="I342" s="27">
        <v>0.12170925000000002</v>
      </c>
      <c r="J342" s="27">
        <v>0</v>
      </c>
      <c r="K342" s="27">
        <v>0</v>
      </c>
    </row>
    <row r="343" spans="1:11">
      <c r="A343" s="15">
        <v>9</v>
      </c>
      <c r="B343" s="21">
        <v>41627</v>
      </c>
      <c r="C343" s="15">
        <v>2013</v>
      </c>
      <c r="D343" s="11" t="s">
        <v>38</v>
      </c>
      <c r="E343" s="15">
        <v>12</v>
      </c>
      <c r="F343" s="26">
        <v>0.96</v>
      </c>
      <c r="G343" s="27">
        <v>0.106555</v>
      </c>
      <c r="H343" s="27">
        <v>0</v>
      </c>
      <c r="I343" s="27">
        <v>0.30925549999999996</v>
      </c>
      <c r="J343" s="27">
        <v>0</v>
      </c>
      <c r="K343" s="27">
        <v>0</v>
      </c>
    </row>
    <row r="344" spans="1:11">
      <c r="A344" s="15">
        <v>10</v>
      </c>
      <c r="B344" s="21">
        <v>41627</v>
      </c>
      <c r="C344" s="15">
        <v>2013</v>
      </c>
      <c r="D344" s="11" t="s">
        <v>38</v>
      </c>
      <c r="E344" s="15">
        <v>12</v>
      </c>
      <c r="F344" s="26">
        <v>1.0349999999999999</v>
      </c>
      <c r="G344" s="27">
        <v>0.10052262499999999</v>
      </c>
      <c r="H344" s="27">
        <v>0</v>
      </c>
      <c r="I344" s="27">
        <v>0.32358849999999995</v>
      </c>
      <c r="J344" s="27">
        <v>0</v>
      </c>
      <c r="K344" s="27">
        <v>0</v>
      </c>
    </row>
    <row r="345" spans="1:11">
      <c r="A345" s="15">
        <v>9</v>
      </c>
      <c r="B345" s="21">
        <v>41655</v>
      </c>
      <c r="C345" s="15">
        <v>2014</v>
      </c>
      <c r="D345" s="11" t="s">
        <v>39</v>
      </c>
      <c r="E345" s="15">
        <v>1</v>
      </c>
      <c r="F345" s="26">
        <v>1.9850000000000001</v>
      </c>
      <c r="G345" s="27">
        <v>6.830512499999998E-2</v>
      </c>
      <c r="H345" s="27">
        <v>0</v>
      </c>
      <c r="I345" s="27">
        <v>0.7155897499999998</v>
      </c>
      <c r="J345" s="27">
        <v>0</v>
      </c>
      <c r="K345" s="27">
        <v>0</v>
      </c>
    </row>
    <row r="346" spans="1:11">
      <c r="A346" s="15">
        <v>10</v>
      </c>
      <c r="B346" s="21">
        <v>41655</v>
      </c>
      <c r="C346" s="15">
        <v>2014</v>
      </c>
      <c r="D346" s="11" t="s">
        <v>39</v>
      </c>
      <c r="E346" s="15">
        <v>1</v>
      </c>
      <c r="F346" s="26">
        <v>1.8129999999999999</v>
      </c>
      <c r="G346" s="27">
        <v>6.598649999999999E-2</v>
      </c>
      <c r="H346" s="27">
        <v>0</v>
      </c>
      <c r="I346" s="27">
        <v>0.60328387500000002</v>
      </c>
      <c r="J346" s="27">
        <v>0</v>
      </c>
      <c r="K346" s="27">
        <v>0</v>
      </c>
    </row>
    <row r="347" spans="1:11">
      <c r="A347" s="15">
        <v>9</v>
      </c>
      <c r="B347" s="21">
        <v>41690</v>
      </c>
      <c r="C347" s="15">
        <v>2014</v>
      </c>
      <c r="D347" s="11" t="s">
        <v>28</v>
      </c>
      <c r="E347" s="15">
        <v>2</v>
      </c>
      <c r="F347" s="26">
        <v>3.0960000000000001</v>
      </c>
      <c r="G347" s="27">
        <v>3.5241124999999991E-2</v>
      </c>
      <c r="H347" s="27">
        <v>0</v>
      </c>
      <c r="I347" s="27">
        <v>1.2233618749999999</v>
      </c>
      <c r="J347" s="27">
        <v>2.8504000000000002E-2</v>
      </c>
      <c r="K347" s="27">
        <v>0</v>
      </c>
    </row>
    <row r="348" spans="1:11">
      <c r="A348" s="15">
        <v>10</v>
      </c>
      <c r="B348" s="21">
        <v>41690</v>
      </c>
      <c r="C348" s="15">
        <v>2014</v>
      </c>
      <c r="D348" s="11" t="s">
        <v>28</v>
      </c>
      <c r="E348" s="15">
        <v>2</v>
      </c>
      <c r="F348" s="26">
        <v>4.5090000000000003</v>
      </c>
      <c r="G348" s="27">
        <v>0.18684400000000001</v>
      </c>
      <c r="H348" s="27">
        <v>0</v>
      </c>
      <c r="I348" s="27">
        <v>1.7310584999999996</v>
      </c>
      <c r="J348" s="27">
        <v>3.91735E-2</v>
      </c>
      <c r="K348" s="27">
        <v>0</v>
      </c>
    </row>
    <row r="349" spans="1:11">
      <c r="A349" s="15">
        <v>9</v>
      </c>
      <c r="B349" s="21">
        <v>41718</v>
      </c>
      <c r="C349" s="15">
        <v>2014</v>
      </c>
      <c r="D349" s="11" t="s">
        <v>29</v>
      </c>
      <c r="E349" s="15">
        <v>3</v>
      </c>
      <c r="F349" s="26">
        <v>6.6929999999999996</v>
      </c>
      <c r="G349" s="27">
        <v>0.183051625</v>
      </c>
      <c r="H349" s="27">
        <v>0</v>
      </c>
      <c r="I349" s="27">
        <v>3.2065438749999995</v>
      </c>
      <c r="J349" s="27">
        <v>3.2197749999999997E-2</v>
      </c>
      <c r="K349" s="27">
        <v>0</v>
      </c>
    </row>
    <row r="350" spans="1:11">
      <c r="A350" s="15">
        <v>10</v>
      </c>
      <c r="B350" s="21">
        <v>41718</v>
      </c>
      <c r="C350" s="15">
        <v>2014</v>
      </c>
      <c r="D350" s="11" t="s">
        <v>29</v>
      </c>
      <c r="E350" s="15">
        <v>3</v>
      </c>
      <c r="F350" s="26">
        <v>4.5419999999999998</v>
      </c>
      <c r="G350" s="27">
        <v>8.6282624999999988E-2</v>
      </c>
      <c r="H350" s="27">
        <v>0</v>
      </c>
      <c r="I350" s="27">
        <v>2.0590714999999999</v>
      </c>
      <c r="J350" s="27">
        <v>5.8065125000000002E-2</v>
      </c>
      <c r="K350" s="27">
        <v>0</v>
      </c>
    </row>
    <row r="351" spans="1:11">
      <c r="A351" s="15">
        <v>9</v>
      </c>
      <c r="B351" s="21">
        <v>41750</v>
      </c>
      <c r="C351" s="15">
        <v>2014</v>
      </c>
      <c r="D351" s="11" t="s">
        <v>30</v>
      </c>
      <c r="E351" s="15">
        <v>4</v>
      </c>
      <c r="F351" s="33">
        <v>2.2000000000000002</v>
      </c>
      <c r="G351" s="27">
        <v>7.7988125000000005E-2</v>
      </c>
      <c r="H351" s="27">
        <v>0</v>
      </c>
      <c r="I351" s="27">
        <v>0.50230862499999995</v>
      </c>
      <c r="J351" s="27">
        <v>8.629249999999998E-3</v>
      </c>
      <c r="K351" s="27">
        <v>0</v>
      </c>
    </row>
    <row r="352" spans="1:11">
      <c r="A352" s="15">
        <v>10</v>
      </c>
      <c r="B352" s="21">
        <v>41750</v>
      </c>
      <c r="C352" s="15">
        <v>2014</v>
      </c>
      <c r="D352" s="11" t="s">
        <v>30</v>
      </c>
      <c r="E352" s="15">
        <v>4</v>
      </c>
      <c r="F352" s="33">
        <v>1.27</v>
      </c>
      <c r="G352" s="27">
        <v>3.6122624999999992E-2</v>
      </c>
      <c r="H352" s="27">
        <v>0</v>
      </c>
      <c r="I352" s="27">
        <v>0.44457325000000003</v>
      </c>
      <c r="J352" s="27">
        <v>1.2682125000000001E-2</v>
      </c>
      <c r="K352" s="27">
        <v>0</v>
      </c>
    </row>
    <row r="353" spans="1:11">
      <c r="A353" s="15">
        <v>9</v>
      </c>
      <c r="B353" s="21">
        <v>41406</v>
      </c>
      <c r="C353" s="15">
        <v>2014</v>
      </c>
      <c r="D353" s="11" t="s">
        <v>31</v>
      </c>
      <c r="E353" s="15">
        <v>5</v>
      </c>
      <c r="F353" s="33">
        <v>0.90700000000000003</v>
      </c>
      <c r="G353" s="27">
        <v>0</v>
      </c>
      <c r="H353" s="27">
        <v>0</v>
      </c>
      <c r="I353" s="27">
        <v>0.10242124999999999</v>
      </c>
      <c r="J353" s="27">
        <v>0</v>
      </c>
      <c r="K353" s="27">
        <v>0</v>
      </c>
    </row>
    <row r="354" spans="1:11">
      <c r="A354" s="15">
        <v>10</v>
      </c>
      <c r="B354" s="21">
        <v>41406</v>
      </c>
      <c r="C354" s="15">
        <v>2014</v>
      </c>
      <c r="D354" s="11" t="s">
        <v>31</v>
      </c>
      <c r="E354" s="15">
        <v>5</v>
      </c>
      <c r="F354" s="33">
        <v>3.2</v>
      </c>
      <c r="G354" s="27">
        <v>0.12266775000000001</v>
      </c>
      <c r="H354" s="27">
        <v>0</v>
      </c>
      <c r="I354" s="27">
        <v>0.71002425000000002</v>
      </c>
      <c r="J354" s="27">
        <v>2.5636874999999996E-2</v>
      </c>
      <c r="K354" s="27">
        <v>0</v>
      </c>
    </row>
    <row r="355" spans="1:11">
      <c r="A355" s="15">
        <v>9</v>
      </c>
      <c r="B355" s="21">
        <v>41807</v>
      </c>
      <c r="C355" s="15">
        <v>2014</v>
      </c>
      <c r="D355" s="11" t="s">
        <v>32</v>
      </c>
      <c r="E355" s="15">
        <v>6</v>
      </c>
      <c r="F355" s="33">
        <v>3.6440000000000001</v>
      </c>
      <c r="G355" s="27">
        <v>8.2667749999999984E-2</v>
      </c>
      <c r="H355" s="27">
        <v>0</v>
      </c>
      <c r="I355" s="27">
        <v>1.6596043749999996</v>
      </c>
      <c r="J355" s="27">
        <v>3.9655500000000003E-2</v>
      </c>
      <c r="K355" s="27">
        <v>0</v>
      </c>
    </row>
    <row r="356" spans="1:11">
      <c r="A356" s="15">
        <v>10</v>
      </c>
      <c r="B356" s="21">
        <v>41807</v>
      </c>
      <c r="C356" s="15">
        <v>2014</v>
      </c>
      <c r="D356" s="11" t="s">
        <v>32</v>
      </c>
      <c r="E356" s="15">
        <v>6</v>
      </c>
      <c r="F356" s="33">
        <v>5.5940000000000003</v>
      </c>
      <c r="G356" s="27">
        <v>3.141737499999999E-2</v>
      </c>
      <c r="H356" s="27">
        <v>0</v>
      </c>
      <c r="I356" s="27">
        <v>2.7114461250000002</v>
      </c>
      <c r="J356" s="27">
        <v>6.071725E-2</v>
      </c>
      <c r="K356" s="27">
        <v>0</v>
      </c>
    </row>
    <row r="357" spans="1:11">
      <c r="A357" s="15">
        <v>9</v>
      </c>
      <c r="B357" s="21">
        <v>41837</v>
      </c>
      <c r="C357" s="15">
        <v>2014</v>
      </c>
      <c r="D357" s="11" t="s">
        <v>33</v>
      </c>
      <c r="E357" s="15">
        <v>7</v>
      </c>
      <c r="F357" s="33">
        <v>5.2190000000000003</v>
      </c>
      <c r="G357" s="27">
        <v>0.13660899999999998</v>
      </c>
      <c r="H357" s="27">
        <v>0</v>
      </c>
      <c r="I357" s="27">
        <v>2.1525809999999996</v>
      </c>
      <c r="J357" s="27">
        <v>3.2733375000000002E-2</v>
      </c>
      <c r="K357" s="27">
        <v>0</v>
      </c>
    </row>
    <row r="358" spans="1:11">
      <c r="A358" s="15">
        <v>10</v>
      </c>
      <c r="B358" s="21">
        <v>41837</v>
      </c>
      <c r="C358" s="15">
        <v>2014</v>
      </c>
      <c r="D358" s="11" t="s">
        <v>33</v>
      </c>
      <c r="E358" s="15">
        <v>7</v>
      </c>
      <c r="F358" s="33">
        <v>6.8840000000000003</v>
      </c>
      <c r="G358" s="27">
        <v>5.9347124999999994E-2</v>
      </c>
      <c r="H358" s="27">
        <v>0</v>
      </c>
      <c r="I358" s="27">
        <v>2.8825774999999996</v>
      </c>
      <c r="J358" s="27">
        <v>0.23456362500000003</v>
      </c>
      <c r="K358" s="27">
        <v>0</v>
      </c>
    </row>
    <row r="359" spans="1:11">
      <c r="A359" s="15">
        <v>9</v>
      </c>
      <c r="B359" s="21">
        <v>41862</v>
      </c>
      <c r="C359" s="15">
        <v>2014</v>
      </c>
      <c r="D359" s="11" t="s">
        <v>34</v>
      </c>
      <c r="E359" s="15">
        <v>8</v>
      </c>
      <c r="F359" s="33">
        <v>9.9480000000000004</v>
      </c>
      <c r="G359" s="27">
        <v>0.42253825</v>
      </c>
      <c r="H359" s="27">
        <v>0</v>
      </c>
      <c r="I359" s="27">
        <v>3.8472354999999996</v>
      </c>
      <c r="J359" s="27">
        <v>7.8044125000000006E-2</v>
      </c>
      <c r="K359" s="27">
        <v>0</v>
      </c>
    </row>
    <row r="360" spans="1:11">
      <c r="A360" s="15">
        <v>10</v>
      </c>
      <c r="B360" s="21">
        <v>41862</v>
      </c>
      <c r="C360" s="15">
        <v>2014</v>
      </c>
      <c r="D360" s="11" t="s">
        <v>34</v>
      </c>
      <c r="E360" s="15">
        <v>8</v>
      </c>
      <c r="F360" s="33">
        <v>6.9889999999999999</v>
      </c>
      <c r="G360" s="27">
        <v>0.154294875</v>
      </c>
      <c r="H360" s="27">
        <v>0</v>
      </c>
      <c r="I360" s="27">
        <v>2.4611800000000001</v>
      </c>
      <c r="J360" s="27">
        <v>8.3518624999999985E-2</v>
      </c>
      <c r="K360" s="27">
        <v>0</v>
      </c>
    </row>
    <row r="361" spans="1:11">
      <c r="A361" s="15">
        <v>9</v>
      </c>
      <c r="B361" s="21">
        <v>41897</v>
      </c>
      <c r="C361" s="15">
        <v>2014</v>
      </c>
      <c r="D361" s="11" t="s">
        <v>40</v>
      </c>
      <c r="E361" s="15">
        <v>9</v>
      </c>
      <c r="F361" s="33">
        <v>1.9710000000000001</v>
      </c>
      <c r="G361" s="27">
        <v>5.0098124999999993E-2</v>
      </c>
      <c r="H361" s="27">
        <v>0</v>
      </c>
      <c r="I361" s="27">
        <v>0.46316999999999997</v>
      </c>
      <c r="J361" s="27">
        <v>2.2410500000000003E-2</v>
      </c>
      <c r="K361" s="27">
        <v>0</v>
      </c>
    </row>
    <row r="362" spans="1:11">
      <c r="A362" s="15">
        <v>10</v>
      </c>
      <c r="B362" s="21">
        <v>41897</v>
      </c>
      <c r="C362" s="15">
        <v>2014</v>
      </c>
      <c r="D362" s="11" t="s">
        <v>40</v>
      </c>
      <c r="E362" s="15">
        <v>9</v>
      </c>
      <c r="F362" s="33">
        <v>2.0739999999999998</v>
      </c>
      <c r="G362" s="27">
        <v>0</v>
      </c>
      <c r="H362" s="27">
        <v>0</v>
      </c>
      <c r="I362" s="27">
        <v>0.527969625</v>
      </c>
      <c r="J362" s="27">
        <v>2.2668999999999995E-2</v>
      </c>
      <c r="K362" s="27">
        <v>0</v>
      </c>
    </row>
    <row r="363" spans="1:11">
      <c r="A363" s="15">
        <v>9</v>
      </c>
      <c r="B363" s="21">
        <v>41928</v>
      </c>
      <c r="C363" s="15">
        <v>2014</v>
      </c>
      <c r="D363" s="11" t="s">
        <v>36</v>
      </c>
      <c r="E363" s="15">
        <v>10</v>
      </c>
      <c r="F363" s="26">
        <v>1.5629999999999999</v>
      </c>
      <c r="G363" s="27">
        <v>0</v>
      </c>
      <c r="H363" s="27">
        <v>0</v>
      </c>
      <c r="I363" s="27">
        <v>0.58754949999999984</v>
      </c>
      <c r="J363" s="27">
        <v>0</v>
      </c>
      <c r="K363" s="27">
        <v>0</v>
      </c>
    </row>
    <row r="364" spans="1:11">
      <c r="A364" s="15">
        <v>10</v>
      </c>
      <c r="B364" s="21">
        <v>41928</v>
      </c>
      <c r="C364" s="15">
        <v>2014</v>
      </c>
      <c r="D364" s="11" t="s">
        <v>36</v>
      </c>
      <c r="E364" s="15">
        <v>10</v>
      </c>
      <c r="F364" s="26">
        <v>1.704</v>
      </c>
      <c r="G364" s="27">
        <v>0</v>
      </c>
      <c r="H364" s="27">
        <v>0</v>
      </c>
      <c r="I364" s="27">
        <v>0.38177850000000002</v>
      </c>
      <c r="J364" s="27">
        <v>0.11469724999999999</v>
      </c>
      <c r="K364" s="27">
        <v>0</v>
      </c>
    </row>
    <row r="365" spans="1:11">
      <c r="A365" s="15">
        <v>9</v>
      </c>
      <c r="B365" s="21">
        <v>41955</v>
      </c>
      <c r="C365" s="15">
        <v>2014</v>
      </c>
      <c r="D365" s="11" t="s">
        <v>37</v>
      </c>
      <c r="E365" s="15">
        <v>11</v>
      </c>
      <c r="F365" s="26">
        <v>0.51700000000000002</v>
      </c>
      <c r="G365" s="27">
        <v>0</v>
      </c>
      <c r="H365" s="27">
        <v>0</v>
      </c>
      <c r="I365" s="27">
        <v>0.13433074999999997</v>
      </c>
      <c r="J365" s="27">
        <v>0</v>
      </c>
      <c r="K365" s="27">
        <v>0</v>
      </c>
    </row>
    <row r="366" spans="1:11">
      <c r="A366" s="15">
        <v>10</v>
      </c>
      <c r="B366" s="21">
        <v>41955</v>
      </c>
      <c r="C366" s="15">
        <v>2014</v>
      </c>
      <c r="D366" s="11" t="s">
        <v>37</v>
      </c>
      <c r="E366" s="15">
        <v>11</v>
      </c>
      <c r="F366" s="26">
        <v>0.57899999999999996</v>
      </c>
      <c r="G366" s="27">
        <v>0</v>
      </c>
      <c r="H366" s="27">
        <v>0</v>
      </c>
      <c r="I366" s="27">
        <v>0.17754025000000004</v>
      </c>
      <c r="J366" s="27">
        <v>0</v>
      </c>
      <c r="K366" s="27">
        <v>0</v>
      </c>
    </row>
    <row r="367" spans="1:11">
      <c r="A367" s="15">
        <v>9</v>
      </c>
      <c r="B367" s="21">
        <v>41992</v>
      </c>
      <c r="C367" s="15">
        <v>2014</v>
      </c>
      <c r="D367" s="11" t="s">
        <v>38</v>
      </c>
      <c r="E367" s="15">
        <v>12</v>
      </c>
      <c r="F367" s="26">
        <v>0.72499999999999998</v>
      </c>
      <c r="G367" s="27">
        <v>8.8569499999999968E-2</v>
      </c>
      <c r="H367" s="27">
        <v>0</v>
      </c>
      <c r="I367" s="27">
        <v>0.13081862499999999</v>
      </c>
      <c r="J367" s="27">
        <v>0</v>
      </c>
      <c r="K367" s="27">
        <v>0</v>
      </c>
    </row>
    <row r="368" spans="1:11">
      <c r="A368" s="15">
        <v>10</v>
      </c>
      <c r="B368" s="21">
        <v>41992</v>
      </c>
      <c r="C368" s="15">
        <v>2014</v>
      </c>
      <c r="D368" s="11" t="s">
        <v>38</v>
      </c>
      <c r="E368" s="15">
        <v>12</v>
      </c>
      <c r="F368" s="26">
        <v>1.506</v>
      </c>
      <c r="G368" s="27">
        <v>0.29615825000000001</v>
      </c>
      <c r="H368" s="27">
        <v>0</v>
      </c>
      <c r="I368" s="27">
        <v>0.18640537500000001</v>
      </c>
      <c r="J368" s="27">
        <v>0</v>
      </c>
      <c r="K368" s="27">
        <v>0</v>
      </c>
    </row>
  </sheetData>
  <autoFilter ref="L1:L368" xr:uid="{00000000-0009-0000-0000-000001000000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32665-5A6A-1441-AE63-66F4B0A072C3}">
  <sheetPr>
    <tabColor theme="9" tint="0.39997558519241921"/>
  </sheetPr>
  <dimension ref="A1:AA621"/>
  <sheetViews>
    <sheetView tabSelected="1" workbookViewId="0">
      <pane ySplit="2" topLeftCell="A489" activePane="bottomLeft" state="frozen"/>
      <selection pane="bottomLeft" activeCell="O491" sqref="O491"/>
    </sheetView>
  </sheetViews>
  <sheetFormatPr defaultColWidth="11.42578125" defaultRowHeight="15"/>
  <cols>
    <col min="2" max="2" width="10.85546875" style="70"/>
    <col min="14" max="14" width="12.7109375" bestFit="1" customWidth="1"/>
    <col min="27" max="27" width="12.28515625" bestFit="1" customWidth="1"/>
  </cols>
  <sheetData>
    <row r="1" spans="1:27" ht="18">
      <c r="F1" s="1" t="s">
        <v>0</v>
      </c>
      <c r="G1" s="1" t="s">
        <v>1</v>
      </c>
      <c r="I1" s="68" t="s">
        <v>81</v>
      </c>
      <c r="Z1" t="s">
        <v>91</v>
      </c>
    </row>
    <row r="2" spans="1:27">
      <c r="A2" s="2" t="s">
        <v>2</v>
      </c>
      <c r="B2" s="73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6" t="s">
        <v>11</v>
      </c>
      <c r="I2" s="6" t="s">
        <v>7</v>
      </c>
      <c r="J2" s="6" t="s">
        <v>11</v>
      </c>
      <c r="L2" s="69" t="s">
        <v>82</v>
      </c>
      <c r="M2" s="69" t="s">
        <v>85</v>
      </c>
      <c r="N2" s="69" t="s">
        <v>86</v>
      </c>
      <c r="Z2" s="69" t="s">
        <v>85</v>
      </c>
      <c r="AA2" s="69" t="s">
        <v>86</v>
      </c>
    </row>
    <row r="3" spans="1:27">
      <c r="A3" s="8">
        <v>9</v>
      </c>
      <c r="B3" s="74">
        <v>36446</v>
      </c>
      <c r="C3" s="10">
        <v>1999</v>
      </c>
      <c r="D3" s="11" t="s">
        <v>14</v>
      </c>
      <c r="E3" s="12">
        <v>10</v>
      </c>
      <c r="F3" s="13">
        <v>0.81480390855350104</v>
      </c>
      <c r="G3" s="13">
        <v>0</v>
      </c>
    </row>
    <row r="4" spans="1:27">
      <c r="A4" s="8">
        <v>10</v>
      </c>
      <c r="B4" s="74">
        <v>36446</v>
      </c>
      <c r="C4" s="10">
        <v>1999</v>
      </c>
      <c r="D4" s="11" t="s">
        <v>14</v>
      </c>
      <c r="E4" s="12">
        <v>10</v>
      </c>
      <c r="F4" s="13">
        <v>1.0560991827525938</v>
      </c>
      <c r="G4" s="13">
        <v>0</v>
      </c>
      <c r="I4" s="27">
        <f>AVERAGE(F3:F4)</f>
        <v>0.93545154565304744</v>
      </c>
      <c r="J4" s="27">
        <f>AVERAGE(G3:G4)</f>
        <v>0</v>
      </c>
      <c r="L4">
        <f>+J4/I4</f>
        <v>0</v>
      </c>
      <c r="M4">
        <f>+(L4-$L$614)/$L$615</f>
        <v>-0.99641990985860229</v>
      </c>
      <c r="N4">
        <f>+M4</f>
        <v>-0.99641990985860229</v>
      </c>
      <c r="Q4" t="s">
        <v>92</v>
      </c>
      <c r="Z4">
        <f>+(I4-$F$614)/$F$615</f>
        <v>-0.64149741897245205</v>
      </c>
      <c r="AA4">
        <f>+Z4</f>
        <v>-0.64149741897245205</v>
      </c>
    </row>
    <row r="5" spans="1:27">
      <c r="A5" s="8">
        <v>9</v>
      </c>
      <c r="B5" s="74">
        <v>36473</v>
      </c>
      <c r="C5" s="10">
        <v>1999</v>
      </c>
      <c r="D5" s="11" t="s">
        <v>16</v>
      </c>
      <c r="E5" s="10">
        <v>11</v>
      </c>
      <c r="F5" s="13">
        <v>0.50144492594905754</v>
      </c>
      <c r="G5" s="13">
        <v>0</v>
      </c>
    </row>
    <row r="6" spans="1:27">
      <c r="A6" s="8">
        <v>10</v>
      </c>
      <c r="B6" s="74">
        <v>36473</v>
      </c>
      <c r="C6" s="10">
        <v>1999</v>
      </c>
      <c r="D6" s="11" t="s">
        <v>16</v>
      </c>
      <c r="E6" s="10">
        <v>11</v>
      </c>
      <c r="F6" s="13">
        <v>0.60564519988186705</v>
      </c>
      <c r="G6" s="13">
        <v>0</v>
      </c>
      <c r="I6" s="27">
        <f>AVERAGE(F5:F6)</f>
        <v>0.55354506291546235</v>
      </c>
      <c r="J6" s="27">
        <f>AVERAGE(G5:G6)</f>
        <v>0</v>
      </c>
      <c r="L6">
        <f>+J6/I6</f>
        <v>0</v>
      </c>
      <c r="M6">
        <f>+(L6-$L$614)/$L$615</f>
        <v>-0.99641990985860229</v>
      </c>
      <c r="N6">
        <f>+N4+M6</f>
        <v>-1.9928398197172046</v>
      </c>
      <c r="Z6">
        <f>+(I6-$F$614)/$F$615</f>
        <v>-0.7190271811198371</v>
      </c>
      <c r="AA6">
        <f>+AA4+Z6</f>
        <v>-1.360524600092289</v>
      </c>
    </row>
    <row r="7" spans="1:27">
      <c r="A7" s="8">
        <v>9</v>
      </c>
      <c r="B7" s="74">
        <v>36502</v>
      </c>
      <c r="C7" s="10">
        <v>1999</v>
      </c>
      <c r="D7" s="11" t="s">
        <v>17</v>
      </c>
      <c r="E7" s="10">
        <v>12</v>
      </c>
      <c r="F7" s="13">
        <v>0.34286829680411729</v>
      </c>
      <c r="G7" s="13">
        <v>0</v>
      </c>
    </row>
    <row r="8" spans="1:27">
      <c r="A8" s="8">
        <v>10</v>
      </c>
      <c r="B8" s="74">
        <v>36502</v>
      </c>
      <c r="C8" s="10">
        <v>1999</v>
      </c>
      <c r="D8" s="11" t="s">
        <v>17</v>
      </c>
      <c r="E8" s="10">
        <v>12</v>
      </c>
      <c r="F8" s="13">
        <v>0.57065639539668933</v>
      </c>
      <c r="G8" s="13">
        <v>0</v>
      </c>
      <c r="I8" s="27">
        <f>AVERAGE(F7:F8)</f>
        <v>0.45676234610040334</v>
      </c>
      <c r="J8" s="27">
        <f>AVERAGE(G7:G8)</f>
        <v>0</v>
      </c>
      <c r="L8">
        <f>+J8/I8</f>
        <v>0</v>
      </c>
      <c r="M8">
        <f>+(L8-$L$614)/$L$615</f>
        <v>-0.99641990985860229</v>
      </c>
      <c r="N8">
        <f>+N6+M8</f>
        <v>-2.989259729575807</v>
      </c>
      <c r="Z8">
        <f>+(I8-$F$614)/$F$615</f>
        <v>-0.73867476856287362</v>
      </c>
      <c r="AA8">
        <f>+AA6+Z8</f>
        <v>-2.0991993686551629</v>
      </c>
    </row>
    <row r="9" spans="1:27">
      <c r="A9" s="8">
        <v>9</v>
      </c>
      <c r="B9" s="74">
        <v>36531</v>
      </c>
      <c r="C9" s="12">
        <v>2000</v>
      </c>
      <c r="D9" s="11" t="s">
        <v>18</v>
      </c>
      <c r="E9" s="10">
        <v>1</v>
      </c>
      <c r="F9" s="13">
        <v>0.68891194013953239</v>
      </c>
      <c r="G9" s="13">
        <v>8.7263266666666676E-3</v>
      </c>
    </row>
    <row r="10" spans="1:27">
      <c r="A10" s="8">
        <v>10</v>
      </c>
      <c r="B10" s="74">
        <v>36531</v>
      </c>
      <c r="C10" s="12">
        <v>2000</v>
      </c>
      <c r="D10" s="11" t="s">
        <v>18</v>
      </c>
      <c r="E10" s="10">
        <v>1</v>
      </c>
      <c r="F10" s="13">
        <v>1.3492125675996263</v>
      </c>
      <c r="G10" s="13">
        <v>1.2293805E-2</v>
      </c>
      <c r="I10" s="27">
        <f>AVERAGE(F9:F10)</f>
        <v>1.0190622538695793</v>
      </c>
      <c r="J10" s="27">
        <f>AVERAGE(G9:G10)</f>
        <v>1.0510065833333334E-2</v>
      </c>
      <c r="L10">
        <f>+J10/I10</f>
        <v>1.031346789013581E-2</v>
      </c>
      <c r="M10">
        <f>+(L10-$L$614)/$L$615</f>
        <v>-1.6793357342142705E-2</v>
      </c>
      <c r="N10">
        <f>+N8+M10</f>
        <v>-3.0060530869179498</v>
      </c>
      <c r="Z10">
        <f>+(I10-$F$614)/$F$615</f>
        <v>-0.62452384399007543</v>
      </c>
      <c r="AA10">
        <f>+AA8+Z10</f>
        <v>-2.7237232126452384</v>
      </c>
    </row>
    <row r="11" spans="1:27">
      <c r="A11" s="8">
        <v>9</v>
      </c>
      <c r="B11" s="74">
        <v>36578</v>
      </c>
      <c r="C11" s="12">
        <v>2000</v>
      </c>
      <c r="D11" s="11" t="s">
        <v>19</v>
      </c>
      <c r="E11" s="12">
        <v>2</v>
      </c>
      <c r="F11" s="13">
        <v>4.9123786024972533</v>
      </c>
      <c r="G11" s="13">
        <v>1.4233745833333335E-2</v>
      </c>
    </row>
    <row r="12" spans="1:27">
      <c r="A12" s="8">
        <v>10</v>
      </c>
      <c r="B12" s="74">
        <v>36578</v>
      </c>
      <c r="C12" s="12">
        <v>2000</v>
      </c>
      <c r="D12" s="11" t="s">
        <v>19</v>
      </c>
      <c r="E12" s="12">
        <v>2</v>
      </c>
      <c r="F12" s="13">
        <v>4.5288761327930205</v>
      </c>
      <c r="G12" s="13">
        <v>5.8047265000000001E-2</v>
      </c>
      <c r="I12" s="27">
        <f>AVERAGE(F11:F12)</f>
        <v>4.7206273676451369</v>
      </c>
      <c r="J12" s="27">
        <f>AVERAGE(G11:G12)</f>
        <v>3.614050541666667E-2</v>
      </c>
      <c r="L12">
        <f>+J12/I12</f>
        <v>7.6558691466247194E-3</v>
      </c>
      <c r="M12">
        <f>+(L12-$L$614)/$L$615</f>
        <v>-0.26922583910396469</v>
      </c>
      <c r="N12">
        <f>+N10+M12</f>
        <v>-3.2752789260219144</v>
      </c>
      <c r="Z12">
        <f>+(I12-$F$614)/$F$615</f>
        <v>0.12692049072489034</v>
      </c>
      <c r="AA12">
        <f>+AA10+Z12</f>
        <v>-2.5968027219203482</v>
      </c>
    </row>
    <row r="13" spans="1:27">
      <c r="A13" s="8">
        <v>9</v>
      </c>
      <c r="B13" s="74">
        <v>36599</v>
      </c>
      <c r="C13" s="12">
        <v>2000</v>
      </c>
      <c r="D13" s="11" t="s">
        <v>20</v>
      </c>
      <c r="E13" s="12">
        <v>3</v>
      </c>
      <c r="F13" s="13">
        <v>0.85382744653759191</v>
      </c>
      <c r="G13" s="13">
        <v>1.3439004333333332E-2</v>
      </c>
    </row>
    <row r="14" spans="1:27">
      <c r="A14" s="8">
        <v>10</v>
      </c>
      <c r="B14" s="74">
        <v>36599</v>
      </c>
      <c r="C14" s="12">
        <v>2000</v>
      </c>
      <c r="D14" s="11" t="s">
        <v>20</v>
      </c>
      <c r="E14" s="12">
        <v>3</v>
      </c>
      <c r="F14" s="13">
        <v>1.8556943782286839</v>
      </c>
      <c r="G14" s="13">
        <v>1.3369499833333333E-2</v>
      </c>
      <c r="I14" s="27">
        <f>AVERAGE(F13:F14)</f>
        <v>1.3547609123831379</v>
      </c>
      <c r="J14" s="27">
        <f>AVERAGE(G13:G14)</f>
        <v>1.3404252083333332E-2</v>
      </c>
      <c r="L14">
        <f>+J14/I14</f>
        <v>9.8941827748441086E-3</v>
      </c>
      <c r="M14">
        <f>+(L14-$L$614)/$L$615</f>
        <v>-5.6619227397696564E-2</v>
      </c>
      <c r="N14">
        <f>+N12+M14</f>
        <v>-3.331898153419611</v>
      </c>
      <c r="Z14">
        <f>+(I14-$F$614)/$F$615</f>
        <v>-0.55637460242395154</v>
      </c>
      <c r="AA14">
        <f>+AA12+Z14</f>
        <v>-3.1531773243442998</v>
      </c>
    </row>
    <row r="15" spans="1:27">
      <c r="A15" s="8">
        <v>9</v>
      </c>
      <c r="B15" s="74">
        <v>36626</v>
      </c>
      <c r="C15" s="12">
        <v>2000</v>
      </c>
      <c r="D15" s="15" t="s">
        <v>21</v>
      </c>
      <c r="E15" s="12">
        <v>4</v>
      </c>
      <c r="F15" s="13">
        <v>0.98931851157363693</v>
      </c>
      <c r="G15" s="13">
        <v>0</v>
      </c>
    </row>
    <row r="16" spans="1:27">
      <c r="A16" s="8">
        <v>10</v>
      </c>
      <c r="B16" s="74">
        <v>36626</v>
      </c>
      <c r="C16" s="12">
        <v>2000</v>
      </c>
      <c r="D16" s="15" t="s">
        <v>21</v>
      </c>
      <c r="E16" s="12">
        <v>4</v>
      </c>
      <c r="F16" s="13">
        <v>1.4558117858405109</v>
      </c>
      <c r="G16" s="13">
        <v>8.9873616666666673E-3</v>
      </c>
      <c r="I16" s="27">
        <f>AVERAGE(F15:F16)</f>
        <v>1.2225651487070739</v>
      </c>
      <c r="J16" s="27">
        <f>AVERAGE(G15:G16)</f>
        <v>4.4936808333333337E-3</v>
      </c>
      <c r="L16">
        <f>+J16/I16</f>
        <v>3.6756166639345432E-3</v>
      </c>
      <c r="M16">
        <f>+(L16-$L$614)/$L$615</f>
        <v>-0.64729081776086839</v>
      </c>
      <c r="N16">
        <f>+N14+M16</f>
        <v>-3.9791889711804793</v>
      </c>
      <c r="Z16">
        <f>+(I16-$F$614)/$F$615</f>
        <v>-0.58321129302220853</v>
      </c>
      <c r="AA16">
        <f>+AA14+Z16</f>
        <v>-3.7363886173665084</v>
      </c>
    </row>
    <row r="17" spans="1:27">
      <c r="A17" s="8">
        <v>9</v>
      </c>
      <c r="B17" s="74">
        <v>36663</v>
      </c>
      <c r="C17" s="12">
        <v>2000</v>
      </c>
      <c r="D17" s="15" t="s">
        <v>22</v>
      </c>
      <c r="E17" s="12">
        <v>5</v>
      </c>
      <c r="F17" s="13">
        <v>2.0611459375832135</v>
      </c>
      <c r="G17" s="13">
        <v>0</v>
      </c>
    </row>
    <row r="18" spans="1:27">
      <c r="A18" s="8">
        <v>10</v>
      </c>
      <c r="B18" s="74">
        <v>36663</v>
      </c>
      <c r="C18" s="12">
        <v>2000</v>
      </c>
      <c r="D18" s="15" t="s">
        <v>22</v>
      </c>
      <c r="E18" s="12">
        <v>5</v>
      </c>
      <c r="F18" s="13">
        <v>2.2679517126852482</v>
      </c>
      <c r="G18" s="13">
        <v>1.5154397999999999E-2</v>
      </c>
      <c r="I18" s="27">
        <f>AVERAGE(F17:F18)</f>
        <v>2.1645488251342311</v>
      </c>
      <c r="J18" s="27">
        <f>AVERAGE(G17:G18)</f>
        <v>7.5771989999999997E-3</v>
      </c>
      <c r="L18">
        <f>+J18/I18</f>
        <v>3.5005904750289528E-3</v>
      </c>
      <c r="M18">
        <f>+(L18-$L$614)/$L$615</f>
        <v>-0.66391571094560098</v>
      </c>
      <c r="N18">
        <f>+N16+M18</f>
        <v>-4.6431046821260802</v>
      </c>
      <c r="Z18">
        <f>+(I18-$F$614)/$F$615</f>
        <v>-0.39198183324291941</v>
      </c>
      <c r="AA18">
        <f>+AA16+Z18</f>
        <v>-4.1283704506094274</v>
      </c>
    </row>
    <row r="19" spans="1:27">
      <c r="A19" s="8">
        <v>9</v>
      </c>
      <c r="B19" s="74">
        <v>36692</v>
      </c>
      <c r="C19" s="12">
        <v>2000</v>
      </c>
      <c r="D19" s="15" t="s">
        <v>23</v>
      </c>
      <c r="E19" s="12">
        <v>6</v>
      </c>
      <c r="F19" s="13">
        <v>3.1162979370312809</v>
      </c>
      <c r="G19" s="13">
        <v>4.3769174666666667E-2</v>
      </c>
    </row>
    <row r="20" spans="1:27">
      <c r="A20" s="8">
        <v>10</v>
      </c>
      <c r="B20" s="74">
        <v>36692</v>
      </c>
      <c r="C20" s="12">
        <v>2000</v>
      </c>
      <c r="D20" s="15" t="s">
        <v>23</v>
      </c>
      <c r="E20" s="12">
        <v>6</v>
      </c>
      <c r="F20" s="13">
        <v>5.0290643195011295</v>
      </c>
      <c r="G20" s="13">
        <v>5.8476871999999999E-2</v>
      </c>
      <c r="I20" s="27">
        <f>AVERAGE(F19:F20)</f>
        <v>4.072681128266205</v>
      </c>
      <c r="J20" s="27">
        <f>AVERAGE(G19:G20)</f>
        <v>5.1123023333333337E-2</v>
      </c>
      <c r="L20">
        <f>+J20/I20</f>
        <v>1.2552670273770512E-2</v>
      </c>
      <c r="M20">
        <f>+(L20-$L$614)/$L$615</f>
        <v>0.19589767295279095</v>
      </c>
      <c r="N20">
        <f>+N18+M20</f>
        <v>-4.4472070091732894</v>
      </c>
      <c r="Z20">
        <f>+(I20-$F$614)/$F$615</f>
        <v>-4.6172550165420323E-3</v>
      </c>
      <c r="AA20">
        <f>+AA18+Z20</f>
        <v>-4.1329877056259692</v>
      </c>
    </row>
    <row r="21" spans="1:27">
      <c r="A21" s="8">
        <v>9</v>
      </c>
      <c r="B21" s="74">
        <v>36719</v>
      </c>
      <c r="C21" s="12">
        <v>2000</v>
      </c>
      <c r="D21" s="15" t="s">
        <v>24</v>
      </c>
      <c r="E21" s="12">
        <v>7</v>
      </c>
      <c r="F21" s="13">
        <v>5.8162761812081509</v>
      </c>
      <c r="G21" s="13">
        <v>2.7404586499999998E-2</v>
      </c>
    </row>
    <row r="22" spans="1:27">
      <c r="A22" s="8">
        <v>10</v>
      </c>
      <c r="B22" s="74">
        <v>36719</v>
      </c>
      <c r="C22" s="12">
        <v>2000</v>
      </c>
      <c r="D22" s="15" t="s">
        <v>24</v>
      </c>
      <c r="E22" s="12">
        <v>7</v>
      </c>
      <c r="F22" s="13">
        <v>6.6924579211511181</v>
      </c>
      <c r="G22" s="13">
        <v>4.4601131999999995E-2</v>
      </c>
      <c r="I22" s="27">
        <f>AVERAGE(F21:F22)</f>
        <v>6.254367051179635</v>
      </c>
      <c r="J22" s="27">
        <f>AVERAGE(G21:G22)</f>
        <v>3.6002859249999998E-2</v>
      </c>
      <c r="L22">
        <f>+J22/I22</f>
        <v>5.7564352963917435E-3</v>
      </c>
      <c r="M22">
        <f>+(L22-$L$614)/$L$615</f>
        <v>-0.44964389579045261</v>
      </c>
      <c r="N22">
        <f>+N20+M22</f>
        <v>-4.8968509049637419</v>
      </c>
      <c r="Z22">
        <f>+(I22-$F$614)/$F$615</f>
        <v>0.43828067505080232</v>
      </c>
      <c r="AA22">
        <f>+AA20+Z22</f>
        <v>-3.694707030575167</v>
      </c>
    </row>
    <row r="23" spans="1:27">
      <c r="A23" s="8">
        <v>9</v>
      </c>
      <c r="B23" s="74">
        <v>36755</v>
      </c>
      <c r="C23" s="12">
        <v>2000</v>
      </c>
      <c r="D23" s="15" t="s">
        <v>25</v>
      </c>
      <c r="E23" s="12">
        <v>8</v>
      </c>
      <c r="F23" s="13">
        <v>0.84630613564951318</v>
      </c>
      <c r="G23" s="13">
        <v>4.6644333666666669E-2</v>
      </c>
    </row>
    <row r="24" spans="1:27">
      <c r="A24" s="8">
        <v>10</v>
      </c>
      <c r="B24" s="74">
        <v>36755</v>
      </c>
      <c r="C24" s="12">
        <v>2000</v>
      </c>
      <c r="D24" s="15" t="s">
        <v>25</v>
      </c>
      <c r="E24" s="12">
        <v>8</v>
      </c>
      <c r="F24" s="13">
        <v>3.5766022851941686</v>
      </c>
      <c r="G24" s="13">
        <v>0.15226496533333334</v>
      </c>
      <c r="I24" s="27">
        <f>AVERAGE(F23:F24)</f>
        <v>2.2114542104218406</v>
      </c>
      <c r="J24" s="27">
        <f>AVERAGE(G23:G24)</f>
        <v>9.9454649500000006E-2</v>
      </c>
      <c r="L24">
        <f>+J24/I24</f>
        <v>4.4972511314637968E-2</v>
      </c>
      <c r="M24">
        <f>+(L24-$L$614)/$L$615</f>
        <v>3.2753019480533556</v>
      </c>
      <c r="N24">
        <f>+N22+M24</f>
        <v>-1.6215489569103863</v>
      </c>
      <c r="Z24">
        <f>+(I24-$F$614)/$F$615</f>
        <v>-0.38245970274984115</v>
      </c>
      <c r="AA24">
        <f>+AA22+Z24</f>
        <v>-4.0771667333250079</v>
      </c>
    </row>
    <row r="25" spans="1:27">
      <c r="A25" s="8">
        <v>9</v>
      </c>
      <c r="B25" s="74">
        <v>36783</v>
      </c>
      <c r="C25" s="12">
        <v>2000</v>
      </c>
      <c r="D25" s="15" t="s">
        <v>26</v>
      </c>
      <c r="E25" s="12">
        <v>9</v>
      </c>
      <c r="F25" s="13">
        <v>1.2064864205241426</v>
      </c>
      <c r="G25" s="13">
        <v>0</v>
      </c>
    </row>
    <row r="26" spans="1:27">
      <c r="A26" s="8">
        <v>10</v>
      </c>
      <c r="B26" s="74">
        <v>36783</v>
      </c>
      <c r="C26" s="12">
        <v>2000</v>
      </c>
      <c r="D26" s="15" t="s">
        <v>26</v>
      </c>
      <c r="E26" s="12">
        <v>9</v>
      </c>
      <c r="F26" s="13">
        <v>1.8004016582666416</v>
      </c>
      <c r="G26" s="13">
        <v>3.3952790999999996E-2</v>
      </c>
      <c r="I26" s="27">
        <f>AVERAGE(F25:F26)</f>
        <v>1.5034440393953921</v>
      </c>
      <c r="J26" s="27">
        <f>AVERAGE(G25:G26)</f>
        <v>1.6976395499999998E-2</v>
      </c>
      <c r="L26">
        <f>+J26/I26</f>
        <v>1.129167102676268E-2</v>
      </c>
      <c r="M26">
        <f>+(L26-$L$614)/$L$615</f>
        <v>7.6121438786819609E-2</v>
      </c>
      <c r="N26">
        <f>+N24+M26</f>
        <v>-1.5454275181235666</v>
      </c>
      <c r="Z26">
        <f>+(I26-$F$614)/$F$615</f>
        <v>-0.52619085851376979</v>
      </c>
      <c r="AA26">
        <f>+AA24+Z26</f>
        <v>-4.6033575918387779</v>
      </c>
    </row>
    <row r="27" spans="1:27">
      <c r="A27" s="8">
        <v>9</v>
      </c>
      <c r="B27" s="74">
        <v>36815</v>
      </c>
      <c r="C27" s="12">
        <v>2000</v>
      </c>
      <c r="D27" s="15" t="s">
        <v>14</v>
      </c>
      <c r="E27" s="12">
        <v>10</v>
      </c>
      <c r="F27" s="14">
        <v>0.43998358844421992</v>
      </c>
      <c r="G27" s="14">
        <v>0</v>
      </c>
    </row>
    <row r="28" spans="1:27">
      <c r="A28" s="8">
        <v>10</v>
      </c>
      <c r="B28" s="74">
        <v>36815</v>
      </c>
      <c r="C28" s="12">
        <v>2000</v>
      </c>
      <c r="D28" s="15" t="s">
        <v>14</v>
      </c>
      <c r="E28" s="12">
        <v>10</v>
      </c>
      <c r="F28" s="14">
        <v>1.561920699400118</v>
      </c>
      <c r="G28" s="14">
        <v>0</v>
      </c>
      <c r="I28" s="27">
        <f>AVERAGE(F27:F28)</f>
        <v>1.0009521439221689</v>
      </c>
      <c r="J28" s="27">
        <f>AVERAGE(G27:G28)</f>
        <v>0</v>
      </c>
      <c r="L28">
        <f>+J28/I28</f>
        <v>0</v>
      </c>
      <c r="M28">
        <f>+(L28-$L$614)/$L$615</f>
        <v>-0.99641990985860229</v>
      </c>
      <c r="N28">
        <f>+N26+M28</f>
        <v>-2.541847427982169</v>
      </c>
      <c r="Z28">
        <f>+(I28-$F$614)/$F$615</f>
        <v>-0.62820032653266289</v>
      </c>
      <c r="AA28">
        <f>+AA26+Z28</f>
        <v>-5.2315579183714407</v>
      </c>
    </row>
    <row r="29" spans="1:27">
      <c r="A29" s="8">
        <v>9</v>
      </c>
      <c r="B29" s="74">
        <v>36846</v>
      </c>
      <c r="C29" s="12">
        <v>2000</v>
      </c>
      <c r="D29" s="15" t="s">
        <v>16</v>
      </c>
      <c r="E29" s="12">
        <v>11</v>
      </c>
      <c r="F29" s="14">
        <v>0.39527561709589693</v>
      </c>
      <c r="G29" s="14">
        <v>0</v>
      </c>
    </row>
    <row r="30" spans="1:27">
      <c r="A30" s="8">
        <v>10</v>
      </c>
      <c r="B30" s="74">
        <v>36846</v>
      </c>
      <c r="C30" s="12">
        <v>2000</v>
      </c>
      <c r="D30" s="15" t="s">
        <v>16</v>
      </c>
      <c r="E30" s="12">
        <v>11</v>
      </c>
      <c r="F30" s="14">
        <v>0.53991698270694943</v>
      </c>
      <c r="G30" s="14">
        <v>0</v>
      </c>
      <c r="I30" s="27">
        <f>AVERAGE(F29:F30)</f>
        <v>0.46759629990142315</v>
      </c>
      <c r="J30" s="27">
        <f>AVERAGE(G29:G30)</f>
        <v>0</v>
      </c>
      <c r="L30">
        <f>+J30/I30</f>
        <v>0</v>
      </c>
      <c r="M30">
        <f>+(L30-$L$614)/$L$615</f>
        <v>-0.99641990985860229</v>
      </c>
      <c r="N30">
        <f>+N28+M30</f>
        <v>-3.5382673378407712</v>
      </c>
      <c r="Z30">
        <f>+(I30-$F$614)/$F$615</f>
        <v>-0.73647539803821571</v>
      </c>
      <c r="AA30">
        <f>+AA28+Z30</f>
        <v>-5.968033316409656</v>
      </c>
    </row>
    <row r="31" spans="1:27">
      <c r="A31" s="8">
        <v>9</v>
      </c>
      <c r="B31" s="74">
        <v>36873</v>
      </c>
      <c r="C31" s="12">
        <v>2000</v>
      </c>
      <c r="D31" s="15" t="s">
        <v>17</v>
      </c>
      <c r="E31" s="12">
        <v>12</v>
      </c>
      <c r="F31" s="16">
        <v>3.3021338846700647</v>
      </c>
      <c r="G31" s="14">
        <v>1.5500506000000001E-2</v>
      </c>
    </row>
    <row r="32" spans="1:27">
      <c r="A32" s="8">
        <v>10</v>
      </c>
      <c r="B32" s="74">
        <v>36873</v>
      </c>
      <c r="C32" s="12">
        <v>2000</v>
      </c>
      <c r="D32" s="15" t="s">
        <v>17</v>
      </c>
      <c r="E32" s="12">
        <v>12</v>
      </c>
      <c r="F32" s="16">
        <v>3.3909891865182566</v>
      </c>
      <c r="G32" s="14">
        <v>1.1542359666666668E-2</v>
      </c>
      <c r="I32" s="27">
        <f>AVERAGE(F31:F32)</f>
        <v>3.3465615355941605</v>
      </c>
      <c r="J32" s="27">
        <f>AVERAGE(G31:G32)</f>
        <v>1.3521432833333335E-2</v>
      </c>
      <c r="L32">
        <f>+J32/I32</f>
        <v>4.040395698545759E-3</v>
      </c>
      <c r="M32">
        <f>+(L32-$L$614)/$L$615</f>
        <v>-0.61264221731792246</v>
      </c>
      <c r="N32">
        <f>+N30+M32</f>
        <v>-4.1509095551586936</v>
      </c>
      <c r="Z32">
        <f>+(I32-$F$614)/$F$615</f>
        <v>-0.15202475359284046</v>
      </c>
      <c r="AA32">
        <f>+AA30+Z32</f>
        <v>-6.1200580700024965</v>
      </c>
    </row>
    <row r="33" spans="1:27">
      <c r="A33" s="8">
        <v>9</v>
      </c>
      <c r="B33" s="74">
        <v>36902</v>
      </c>
      <c r="C33" s="12">
        <v>2001</v>
      </c>
      <c r="D33" s="15" t="s">
        <v>18</v>
      </c>
      <c r="E33" s="12">
        <v>1</v>
      </c>
      <c r="F33" s="14">
        <v>3.9184009800716293</v>
      </c>
      <c r="G33" s="14">
        <v>3.4302305333333331E-2</v>
      </c>
    </row>
    <row r="34" spans="1:27">
      <c r="A34" s="8">
        <v>10</v>
      </c>
      <c r="B34" s="74">
        <v>36902</v>
      </c>
      <c r="C34" s="12">
        <v>2001</v>
      </c>
      <c r="D34" s="15" t="s">
        <v>18</v>
      </c>
      <c r="E34" s="12">
        <v>1</v>
      </c>
      <c r="F34" s="14">
        <v>3.823692504941226</v>
      </c>
      <c r="G34" s="14">
        <v>4.1248666833333329E-2</v>
      </c>
      <c r="I34" s="27">
        <f>AVERAGE(F33:F34)</f>
        <v>3.8710467425064277</v>
      </c>
      <c r="J34" s="27">
        <f>AVERAGE(G33:G34)</f>
        <v>3.777548608333333E-2</v>
      </c>
      <c r="L34">
        <f>+J34/I34</f>
        <v>9.7584680826856753E-3</v>
      </c>
      <c r="M34">
        <f>+(L34-$L$614)/$L$615</f>
        <v>-6.9510111183950146E-2</v>
      </c>
      <c r="N34">
        <f>+N32+M34</f>
        <v>-4.2204196663426439</v>
      </c>
      <c r="Z34">
        <f>+(I34-$F$614)/$F$615</f>
        <v>-4.5550485205858048E-2</v>
      </c>
      <c r="AA34">
        <f>+AA32+Z34</f>
        <v>-6.1656085552083546</v>
      </c>
    </row>
    <row r="35" spans="1:27">
      <c r="A35" s="12">
        <v>9</v>
      </c>
      <c r="B35" s="74">
        <v>36929</v>
      </c>
      <c r="C35" s="12">
        <v>2001</v>
      </c>
      <c r="D35" s="11" t="s">
        <v>19</v>
      </c>
      <c r="E35" s="12">
        <v>2</v>
      </c>
      <c r="F35" s="14">
        <v>3.8858306868674863</v>
      </c>
      <c r="G35" s="14">
        <v>3.1477151833333335E-2</v>
      </c>
    </row>
    <row r="36" spans="1:27">
      <c r="A36" s="12">
        <v>10</v>
      </c>
      <c r="B36" s="74">
        <v>36929</v>
      </c>
      <c r="C36" s="12">
        <v>2001</v>
      </c>
      <c r="D36" s="11" t="s">
        <v>19</v>
      </c>
      <c r="E36" s="12">
        <v>2</v>
      </c>
      <c r="F36" s="14">
        <v>2.3564985082205148</v>
      </c>
      <c r="G36" s="14">
        <v>2.8045852E-2</v>
      </c>
      <c r="I36" s="27">
        <f>AVERAGE(F35:F36)</f>
        <v>3.1211645975440003</v>
      </c>
      <c r="J36" s="27">
        <f>AVERAGE(G35:G36)</f>
        <v>2.9761501916666669E-2</v>
      </c>
      <c r="L36">
        <f>+J36/I36</f>
        <v>9.5353836641891843E-3</v>
      </c>
      <c r="M36">
        <f>+(L36-$L$614)/$L$615</f>
        <v>-9.0699823717100697E-2</v>
      </c>
      <c r="N36">
        <f>+N34+M36</f>
        <v>-4.3111194900597445</v>
      </c>
      <c r="Z36">
        <f>+(I36-$F$614)/$F$615</f>
        <v>-0.19778195276503979</v>
      </c>
      <c r="AA36">
        <f>+AA34+Z36</f>
        <v>-6.3633905079733948</v>
      </c>
    </row>
    <row r="37" spans="1:27">
      <c r="A37" s="8">
        <v>9</v>
      </c>
      <c r="B37" s="74">
        <v>36962</v>
      </c>
      <c r="C37" s="12">
        <v>2001</v>
      </c>
      <c r="D37" s="11" t="s">
        <v>20</v>
      </c>
      <c r="E37" s="12">
        <v>3</v>
      </c>
      <c r="F37" s="14">
        <v>5.6073203405111141</v>
      </c>
      <c r="G37" s="14">
        <v>4.786379733333334E-2</v>
      </c>
    </row>
    <row r="38" spans="1:27">
      <c r="A38" s="8">
        <v>10</v>
      </c>
      <c r="B38" s="74">
        <v>36962</v>
      </c>
      <c r="C38" s="12">
        <v>2001</v>
      </c>
      <c r="D38" s="11" t="s">
        <v>20</v>
      </c>
      <c r="E38" s="12">
        <v>3</v>
      </c>
      <c r="F38" s="14">
        <v>8.9202021810742398</v>
      </c>
      <c r="G38" s="14">
        <v>4.3873575666666671E-2</v>
      </c>
      <c r="I38" s="27">
        <f>AVERAGE(F37:F38)</f>
        <v>7.2637612607926769</v>
      </c>
      <c r="J38" s="27">
        <f>AVERAGE(G37:G38)</f>
        <v>4.5868686500000005E-2</v>
      </c>
      <c r="L38">
        <f>+J38/I38</f>
        <v>6.3147293603361722E-3</v>
      </c>
      <c r="M38">
        <f>+(L38-$L$614)/$L$615</f>
        <v>-0.39661423641900306</v>
      </c>
      <c r="N38">
        <f>+N36+M38</f>
        <v>-4.7077337264787475</v>
      </c>
      <c r="Z38">
        <f>+(I38-$F$614)/$F$615</f>
        <v>0.64319495779163605</v>
      </c>
      <c r="AA38">
        <f>+AA36+Z38</f>
        <v>-5.7201955501817583</v>
      </c>
    </row>
    <row r="39" spans="1:27">
      <c r="A39" s="8">
        <v>9</v>
      </c>
      <c r="B39" s="74">
        <v>36998</v>
      </c>
      <c r="C39" s="12">
        <v>2001</v>
      </c>
      <c r="D39" s="15" t="s">
        <v>21</v>
      </c>
      <c r="E39" s="12">
        <v>4</v>
      </c>
      <c r="F39" s="14">
        <v>0.8225617702714082</v>
      </c>
      <c r="G39" s="14">
        <v>0</v>
      </c>
    </row>
    <row r="40" spans="1:27">
      <c r="A40" s="8">
        <v>10</v>
      </c>
      <c r="B40" s="74">
        <v>36998</v>
      </c>
      <c r="C40" s="12">
        <v>2001</v>
      </c>
      <c r="D40" s="15" t="s">
        <v>21</v>
      </c>
      <c r="E40" s="12">
        <v>4</v>
      </c>
      <c r="F40" s="14">
        <v>1.6086673519985339</v>
      </c>
      <c r="G40" s="14">
        <v>0</v>
      </c>
      <c r="I40" s="27">
        <f>AVERAGE(F39:F40)</f>
        <v>1.2156145611349711</v>
      </c>
      <c r="J40" s="27">
        <f>AVERAGE(G39:G40)</f>
        <v>0</v>
      </c>
      <c r="L40">
        <f>+J40/I40</f>
        <v>0</v>
      </c>
      <c r="M40">
        <f>+(L40-$L$614)/$L$615</f>
        <v>-0.99641990985860229</v>
      </c>
      <c r="N40">
        <f>+N38+M40</f>
        <v>-5.7041536363373497</v>
      </c>
      <c r="Z40">
        <f>+(I40-$F$614)/$F$615</f>
        <v>-0.58462231227851158</v>
      </c>
      <c r="AA40">
        <f>+AA38+Z40</f>
        <v>-6.3048178624602702</v>
      </c>
    </row>
    <row r="41" spans="1:27">
      <c r="A41" s="8">
        <v>9</v>
      </c>
      <c r="B41" s="74">
        <v>37025</v>
      </c>
      <c r="C41" s="12">
        <v>2001</v>
      </c>
      <c r="D41" s="15" t="s">
        <v>22</v>
      </c>
      <c r="E41" s="12">
        <v>5</v>
      </c>
      <c r="F41" s="14">
        <v>0.28314253986417204</v>
      </c>
      <c r="G41" s="14">
        <v>0</v>
      </c>
    </row>
    <row r="42" spans="1:27">
      <c r="A42" s="8">
        <v>10</v>
      </c>
      <c r="B42" s="74">
        <v>37025</v>
      </c>
      <c r="C42" s="12">
        <v>2001</v>
      </c>
      <c r="D42" s="15" t="s">
        <v>22</v>
      </c>
      <c r="E42" s="12">
        <v>5</v>
      </c>
      <c r="F42" s="14">
        <v>0.65344968643652213</v>
      </c>
      <c r="G42" s="14">
        <v>0</v>
      </c>
      <c r="I42" s="27">
        <f>AVERAGE(F41:F42)</f>
        <v>0.46829611315034708</v>
      </c>
      <c r="J42" s="27">
        <f>AVERAGE(G41:G42)</f>
        <v>0</v>
      </c>
      <c r="L42">
        <f>+J42/I42</f>
        <v>0</v>
      </c>
      <c r="M42">
        <f>+(L42-$L$614)/$L$615</f>
        <v>-0.99641990985860229</v>
      </c>
      <c r="N42">
        <f>+N40+M42</f>
        <v>-6.7005735461959519</v>
      </c>
      <c r="Z42">
        <f>+(I42-$F$614)/$F$615</f>
        <v>-0.73633333091657982</v>
      </c>
      <c r="AA42">
        <f>+AA40+Z42</f>
        <v>-7.0411511933768498</v>
      </c>
    </row>
    <row r="43" spans="1:27">
      <c r="A43" s="8">
        <v>9</v>
      </c>
      <c r="B43" s="74">
        <v>37054</v>
      </c>
      <c r="C43" s="12">
        <v>2001</v>
      </c>
      <c r="D43" s="15" t="s">
        <v>23</v>
      </c>
      <c r="E43" s="12">
        <v>6</v>
      </c>
      <c r="F43" s="14">
        <v>1.6625532837477026</v>
      </c>
      <c r="G43" s="14">
        <v>7.7282085000000009E-3</v>
      </c>
    </row>
    <row r="44" spans="1:27">
      <c r="A44" s="8">
        <v>10</v>
      </c>
      <c r="B44" s="74">
        <v>37054</v>
      </c>
      <c r="C44" s="12">
        <v>2001</v>
      </c>
      <c r="D44" s="15" t="s">
        <v>23</v>
      </c>
      <c r="E44" s="12">
        <v>6</v>
      </c>
      <c r="F44" s="14">
        <v>3.5693979435090388</v>
      </c>
      <c r="G44" s="14">
        <v>7.8895155500000008E-2</v>
      </c>
      <c r="I44" s="27">
        <f>AVERAGE(F43:F44)</f>
        <v>2.6159756136283709</v>
      </c>
      <c r="J44" s="27">
        <f>AVERAGE(G43:G44)</f>
        <v>4.3311682000000004E-2</v>
      </c>
      <c r="L44">
        <f>+J44/I44</f>
        <v>1.6556607704735628E-2</v>
      </c>
      <c r="M44">
        <f>+(L44-$L$614)/$L$615</f>
        <v>0.57621237056672003</v>
      </c>
      <c r="N44">
        <f>+N42+M44</f>
        <v>-6.1243611756292315</v>
      </c>
      <c r="Z44">
        <f>+(I44-$F$614)/$F$615</f>
        <v>-0.30033894913153081</v>
      </c>
      <c r="AA44">
        <f>+AA42+Z44</f>
        <v>-7.3414901425083805</v>
      </c>
    </row>
    <row r="45" spans="1:27">
      <c r="A45" s="8">
        <v>9</v>
      </c>
      <c r="B45" s="74">
        <v>37090</v>
      </c>
      <c r="C45" s="12">
        <v>2001</v>
      </c>
      <c r="D45" s="15" t="s">
        <v>24</v>
      </c>
      <c r="E45" s="12">
        <v>7</v>
      </c>
      <c r="F45" s="14">
        <v>4.9985278325977225</v>
      </c>
      <c r="G45" s="14">
        <v>0.26581602899999995</v>
      </c>
    </row>
    <row r="46" spans="1:27">
      <c r="A46" s="8">
        <v>10</v>
      </c>
      <c r="B46" s="74">
        <v>37090</v>
      </c>
      <c r="C46" s="12">
        <v>2001</v>
      </c>
      <c r="D46" s="15" t="s">
        <v>24</v>
      </c>
      <c r="E46" s="12">
        <v>7</v>
      </c>
      <c r="F46" s="14">
        <v>3.9285171139776001</v>
      </c>
      <c r="G46" s="14">
        <v>0.15362580683333335</v>
      </c>
      <c r="I46" s="27">
        <f>AVERAGE(F45:F46)</f>
        <v>4.4635224732876608</v>
      </c>
      <c r="J46" s="27">
        <f>AVERAGE(G45:G46)</f>
        <v>0.20972091791666664</v>
      </c>
      <c r="L46">
        <f>+J46/I46</f>
        <v>4.6985518538723563E-2</v>
      </c>
      <c r="M46">
        <f>+(L46-$L$614)/$L$615</f>
        <v>3.4665077915318419</v>
      </c>
      <c r="N46">
        <f>+N44+M46</f>
        <v>-2.6578533840973897</v>
      </c>
      <c r="Z46">
        <f>+(I46-$F$614)/$F$615</f>
        <v>7.4726348421838104E-2</v>
      </c>
      <c r="AA46">
        <f>+AA44+Z46</f>
        <v>-7.2667637940865424</v>
      </c>
    </row>
    <row r="47" spans="1:27">
      <c r="A47" s="8">
        <v>9</v>
      </c>
      <c r="B47" s="74">
        <v>37117</v>
      </c>
      <c r="C47" s="12">
        <v>2001</v>
      </c>
      <c r="D47" s="15" t="s">
        <v>25</v>
      </c>
      <c r="E47" s="12">
        <v>8</v>
      </c>
      <c r="F47" s="14">
        <v>3.3041615557801189</v>
      </c>
      <c r="G47" s="14">
        <v>8.9062940499999993E-2</v>
      </c>
    </row>
    <row r="48" spans="1:27">
      <c r="A48" s="8">
        <v>10</v>
      </c>
      <c r="B48" s="74">
        <v>37117</v>
      </c>
      <c r="C48" s="12">
        <v>2001</v>
      </c>
      <c r="D48" s="15" t="s">
        <v>25</v>
      </c>
      <c r="E48" s="12">
        <v>8</v>
      </c>
      <c r="F48" s="14">
        <v>1.6653540946535696</v>
      </c>
      <c r="G48" s="14">
        <v>6.9474517666666666E-2</v>
      </c>
      <c r="I48" s="27">
        <f>AVERAGE(F47:F48)</f>
        <v>2.4847578252168443</v>
      </c>
      <c r="J48" s="27">
        <f>AVERAGE(G47:G48)</f>
        <v>7.9268729083333322E-2</v>
      </c>
      <c r="L48">
        <f>+J48/I48</f>
        <v>3.1901993940361396E-2</v>
      </c>
      <c r="M48">
        <f>+(L48-$L$614)/$L$615</f>
        <v>2.0337965677713763</v>
      </c>
      <c r="N48">
        <f>+N46+M48</f>
        <v>-0.6240568163260134</v>
      </c>
      <c r="Z48">
        <f>+(I48-$F$614)/$F$615</f>
        <v>-0.32697710371881966</v>
      </c>
      <c r="AA48">
        <f>+AA46+Z48</f>
        <v>-7.593740897805362</v>
      </c>
    </row>
    <row r="49" spans="1:27">
      <c r="A49" s="8">
        <v>9</v>
      </c>
      <c r="B49" s="74">
        <v>37145</v>
      </c>
      <c r="C49" s="12">
        <v>2001</v>
      </c>
      <c r="D49" s="15" t="s">
        <v>26</v>
      </c>
      <c r="E49" s="12">
        <v>9</v>
      </c>
      <c r="F49" s="14">
        <v>2.9347511423023387</v>
      </c>
      <c r="G49" s="14">
        <v>2.7733763166666665E-2</v>
      </c>
    </row>
    <row r="50" spans="1:27">
      <c r="A50" s="8">
        <v>10</v>
      </c>
      <c r="B50" s="74">
        <v>37145</v>
      </c>
      <c r="C50" s="12">
        <v>2001</v>
      </c>
      <c r="D50" s="15" t="s">
        <v>26</v>
      </c>
      <c r="E50" s="12">
        <v>9</v>
      </c>
      <c r="F50" s="14">
        <v>2.7943675451893024</v>
      </c>
      <c r="G50" s="14">
        <v>4.9958429833333338E-2</v>
      </c>
      <c r="I50" s="27">
        <f>AVERAGE(F49:F50)</f>
        <v>2.8645593437458206</v>
      </c>
      <c r="J50" s="27">
        <f>AVERAGE(G49:G50)</f>
        <v>3.8846096500000003E-2</v>
      </c>
      <c r="L50">
        <f>+J50/I50</f>
        <v>1.3560932708485341E-2</v>
      </c>
      <c r="M50">
        <f>+(L50-$L$614)/$L$615</f>
        <v>0.29166765677135054</v>
      </c>
      <c r="N50">
        <f>+N48+M50</f>
        <v>-0.33238915955466286</v>
      </c>
      <c r="Z50">
        <f>+(I50-$F$614)/$F$615</f>
        <v>-0.24987466444181999</v>
      </c>
      <c r="AA50">
        <f>+AA48+Z50</f>
        <v>-7.8436155622471819</v>
      </c>
    </row>
    <row r="51" spans="1:27">
      <c r="A51" s="8">
        <v>9</v>
      </c>
      <c r="B51" s="74">
        <v>37182</v>
      </c>
      <c r="C51" s="12">
        <v>2001</v>
      </c>
      <c r="D51" s="15" t="s">
        <v>14</v>
      </c>
      <c r="E51" s="12">
        <v>10</v>
      </c>
      <c r="F51" s="13">
        <v>0.4721011143849117</v>
      </c>
      <c r="G51" s="13">
        <v>0</v>
      </c>
    </row>
    <row r="52" spans="1:27">
      <c r="A52" s="8">
        <v>10</v>
      </c>
      <c r="B52" s="74">
        <v>37182</v>
      </c>
      <c r="C52" s="12">
        <v>2001</v>
      </c>
      <c r="D52" s="15" t="s">
        <v>14</v>
      </c>
      <c r="E52" s="12">
        <v>10</v>
      </c>
      <c r="F52" s="13">
        <v>1.2112738867058166</v>
      </c>
      <c r="G52" s="13">
        <v>9.4182591288502777E-3</v>
      </c>
      <c r="I52" s="27">
        <f>AVERAGE(F51:F52)</f>
        <v>0.84168750054536412</v>
      </c>
      <c r="J52" s="27">
        <f>AVERAGE(G51:G52)</f>
        <v>4.7091295644251388E-3</v>
      </c>
      <c r="L52">
        <f>+J52/I52</f>
        <v>5.5948669326488744E-3</v>
      </c>
      <c r="M52">
        <f>+(L52-$L$614)/$L$615</f>
        <v>-0.46499049509683471</v>
      </c>
      <c r="N52">
        <f>+N50+M52</f>
        <v>-0.79737965465149752</v>
      </c>
      <c r="Z52">
        <f>+(I52-$F$614)/$F$615</f>
        <v>-0.66053219435271282</v>
      </c>
      <c r="AA52">
        <f>+AA50+Z52</f>
        <v>-8.5041477565998953</v>
      </c>
    </row>
    <row r="53" spans="1:27">
      <c r="A53" s="8">
        <v>9</v>
      </c>
      <c r="B53" s="74">
        <v>37202</v>
      </c>
      <c r="C53" s="12">
        <v>2001</v>
      </c>
      <c r="D53" s="15" t="s">
        <v>16</v>
      </c>
      <c r="E53" s="12">
        <v>11</v>
      </c>
      <c r="F53" s="13">
        <v>0.47858704932321527</v>
      </c>
      <c r="G53" s="13">
        <v>0</v>
      </c>
    </row>
    <row r="54" spans="1:27">
      <c r="A54" s="8">
        <v>10</v>
      </c>
      <c r="B54" s="74">
        <v>37202</v>
      </c>
      <c r="C54" s="12">
        <v>2001</v>
      </c>
      <c r="D54" s="15" t="s">
        <v>16</v>
      </c>
      <c r="E54" s="12">
        <v>11</v>
      </c>
      <c r="F54" s="13">
        <v>0.30968197273470283</v>
      </c>
      <c r="G54" s="13">
        <v>0</v>
      </c>
      <c r="I54" s="27">
        <f>AVERAGE(F53:F54)</f>
        <v>0.39413451102895902</v>
      </c>
      <c r="J54" s="27">
        <f>AVERAGE(G53:G54)</f>
        <v>0</v>
      </c>
      <c r="L54">
        <f>+J54/I54</f>
        <v>0</v>
      </c>
      <c r="M54">
        <f>+(L54-$L$614)/$L$615</f>
        <v>-0.99641990985860229</v>
      </c>
      <c r="N54">
        <f>+N52+M54</f>
        <v>-1.7937995645100999</v>
      </c>
      <c r="Z54">
        <f>+(I54-$F$614)/$F$615</f>
        <v>-0.75138866941653126</v>
      </c>
      <c r="AA54">
        <f>+AA52+Z54</f>
        <v>-9.2555364260164268</v>
      </c>
    </row>
    <row r="55" spans="1:27">
      <c r="A55" s="8">
        <v>9</v>
      </c>
      <c r="B55" s="74">
        <v>37230</v>
      </c>
      <c r="C55" s="12">
        <v>2001</v>
      </c>
      <c r="D55" s="15" t="s">
        <v>17</v>
      </c>
      <c r="E55" s="12">
        <v>12</v>
      </c>
      <c r="F55" s="13">
        <v>0.4186981867733931</v>
      </c>
      <c r="G55" s="13">
        <v>0</v>
      </c>
    </row>
    <row r="56" spans="1:27">
      <c r="A56" s="8">
        <v>10</v>
      </c>
      <c r="B56" s="74">
        <v>37230</v>
      </c>
      <c r="C56" s="12">
        <v>2001</v>
      </c>
      <c r="D56" s="15" t="s">
        <v>17</v>
      </c>
      <c r="E56" s="12">
        <v>12</v>
      </c>
      <c r="F56" s="13">
        <v>0.7572648443264195</v>
      </c>
      <c r="G56" s="13">
        <v>8.0001879931971501E-3</v>
      </c>
      <c r="I56" s="27">
        <f>AVERAGE(F55:F56)</f>
        <v>0.5879815155499063</v>
      </c>
      <c r="J56" s="27">
        <f>AVERAGE(G55:G56)</f>
        <v>4.0000939965985751E-3</v>
      </c>
      <c r="L56">
        <f>+J56/I56</f>
        <v>6.8030948096344671E-3</v>
      </c>
      <c r="M56">
        <f>+(L56-$L$614)/$L$615</f>
        <v>-0.35022675874800402</v>
      </c>
      <c r="N56">
        <f>+N54+M56</f>
        <v>-2.144026323258104</v>
      </c>
      <c r="Z56">
        <f>+(I56-$F$614)/$F$615</f>
        <v>-0.71203633361494501</v>
      </c>
      <c r="AA56">
        <f>+AA54+Z56</f>
        <v>-9.9675727596313717</v>
      </c>
    </row>
    <row r="57" spans="1:27">
      <c r="A57" s="8">
        <v>9</v>
      </c>
      <c r="B57" s="74">
        <v>37272</v>
      </c>
      <c r="C57" s="12">
        <v>2002</v>
      </c>
      <c r="D57" s="15" t="s">
        <v>18</v>
      </c>
      <c r="E57" s="12">
        <v>1</v>
      </c>
      <c r="F57" s="13">
        <v>1.147997067637754</v>
      </c>
      <c r="G57" s="13">
        <v>6.3082321198769074E-3</v>
      </c>
    </row>
    <row r="58" spans="1:27">
      <c r="A58" s="8">
        <v>10</v>
      </c>
      <c r="B58" s="74">
        <v>37272</v>
      </c>
      <c r="C58" s="12">
        <v>2002</v>
      </c>
      <c r="D58" s="15" t="s">
        <v>18</v>
      </c>
      <c r="E58" s="12">
        <v>1</v>
      </c>
      <c r="F58" s="13">
        <v>1.682021769965901</v>
      </c>
      <c r="G58" s="13">
        <v>9.2987339124973416E-3</v>
      </c>
      <c r="I58" s="27">
        <f>AVERAGE(F57:F58)</f>
        <v>1.4150094188018274</v>
      </c>
      <c r="J58" s="27">
        <f>AVERAGE(G57:G58)</f>
        <v>7.8034830161871245E-3</v>
      </c>
      <c r="L58">
        <f>+J58/I58</f>
        <v>5.5147922780576239E-3</v>
      </c>
      <c r="M58">
        <f>+(L58-$L$614)/$L$615</f>
        <v>-0.47259640017714227</v>
      </c>
      <c r="N58">
        <f>+N56+M58</f>
        <v>-2.6166227234352464</v>
      </c>
      <c r="Z58">
        <f>+(I58-$F$614)/$F$615</f>
        <v>-0.54414372239569664</v>
      </c>
      <c r="AA58">
        <f>+AA56+Z58</f>
        <v>-10.511716482027069</v>
      </c>
    </row>
    <row r="59" spans="1:27">
      <c r="A59" s="8">
        <v>9</v>
      </c>
      <c r="B59" s="74">
        <v>37301</v>
      </c>
      <c r="C59" s="12">
        <v>2002</v>
      </c>
      <c r="D59" s="11" t="s">
        <v>19</v>
      </c>
      <c r="E59" s="12">
        <v>2</v>
      </c>
      <c r="F59" s="13">
        <v>0.71297686444235664</v>
      </c>
      <c r="G59" s="13">
        <v>1.1449032506591175E-2</v>
      </c>
    </row>
    <row r="60" spans="1:27">
      <c r="A60" s="8">
        <v>10</v>
      </c>
      <c r="B60" s="74">
        <v>37301</v>
      </c>
      <c r="C60" s="12">
        <v>2002</v>
      </c>
      <c r="D60" s="11" t="s">
        <v>19</v>
      </c>
      <c r="E60" s="12">
        <v>2</v>
      </c>
      <c r="F60" s="13">
        <v>0.9535940430726153</v>
      </c>
      <c r="G60" s="13">
        <v>2.1803382122767011E-2</v>
      </c>
      <c r="I60" s="27">
        <f>AVERAGE(F59:F60)</f>
        <v>0.83328545375748597</v>
      </c>
      <c r="J60" s="27">
        <f>AVERAGE(G59:G60)</f>
        <v>1.6626207314679092E-2</v>
      </c>
      <c r="L60">
        <f>+J60/I60</f>
        <v>1.9952595163767104E-2</v>
      </c>
      <c r="M60">
        <f>+(L60-$L$614)/$L$615</f>
        <v>0.89878083369850637</v>
      </c>
      <c r="N60">
        <f>+N58+M60</f>
        <v>-1.71784188973674</v>
      </c>
      <c r="Z60">
        <f>+(I60-$F$614)/$F$615</f>
        <v>-0.66223787026673753</v>
      </c>
      <c r="AA60">
        <f>+AA58+Z60</f>
        <v>-11.173954352293807</v>
      </c>
    </row>
    <row r="61" spans="1:27">
      <c r="A61" s="8">
        <v>9</v>
      </c>
      <c r="B61" s="70">
        <v>37336</v>
      </c>
      <c r="C61" s="12">
        <v>2002</v>
      </c>
      <c r="D61" s="11" t="s">
        <v>20</v>
      </c>
      <c r="E61" s="12">
        <v>3</v>
      </c>
      <c r="F61" s="13">
        <v>1.3481645884658155</v>
      </c>
      <c r="G61" s="13">
        <v>0</v>
      </c>
    </row>
    <row r="62" spans="1:27">
      <c r="A62" s="8">
        <v>10</v>
      </c>
      <c r="B62" s="70">
        <v>37336</v>
      </c>
      <c r="C62" s="12">
        <v>2002</v>
      </c>
      <c r="D62" s="11" t="s">
        <v>20</v>
      </c>
      <c r="E62" s="12">
        <v>3</v>
      </c>
      <c r="F62" s="13">
        <v>1.2886443731512156</v>
      </c>
      <c r="G62" s="13">
        <v>1.1699137493648292E-2</v>
      </c>
      <c r="I62" s="27">
        <f>AVERAGE(F61:F62)</f>
        <v>1.3184044808085156</v>
      </c>
      <c r="J62" s="27">
        <f>AVERAGE(G61:G62)</f>
        <v>5.8495687468241462E-3</v>
      </c>
      <c r="L62">
        <f>+J62/I62</f>
        <v>4.4368544190906273E-3</v>
      </c>
      <c r="M62">
        <f>+(L62-$L$614)/$L$615</f>
        <v>-0.57498451636227033</v>
      </c>
      <c r="N62">
        <f>+N60+M62</f>
        <v>-2.2928264060990102</v>
      </c>
      <c r="Z62">
        <f>+(I62-$F$614)/$F$615</f>
        <v>-0.56375521945957519</v>
      </c>
      <c r="AA62">
        <f>+AA60+Z62</f>
        <v>-11.737709571753381</v>
      </c>
    </row>
    <row r="63" spans="1:27">
      <c r="A63" s="8">
        <v>9</v>
      </c>
      <c r="B63" s="70">
        <v>37363</v>
      </c>
      <c r="C63" s="12">
        <v>2002</v>
      </c>
      <c r="D63" s="15" t="s">
        <v>21</v>
      </c>
      <c r="E63" s="12">
        <v>4</v>
      </c>
      <c r="F63" s="13">
        <v>0.85757683671362128</v>
      </c>
      <c r="G63" s="13">
        <v>0</v>
      </c>
    </row>
    <row r="64" spans="1:27">
      <c r="A64" s="8">
        <v>10</v>
      </c>
      <c r="B64" s="70">
        <v>37363</v>
      </c>
      <c r="C64" s="12">
        <v>2002</v>
      </c>
      <c r="D64" s="15" t="s">
        <v>21</v>
      </c>
      <c r="E64" s="12">
        <v>4</v>
      </c>
      <c r="F64" s="13">
        <v>1.103174564508576</v>
      </c>
      <c r="G64" s="13">
        <v>1.3704998247623622E-2</v>
      </c>
      <c r="I64" s="27">
        <f>AVERAGE(F63:F64)</f>
        <v>0.98037570061109869</v>
      </c>
      <c r="J64" s="27">
        <f>AVERAGE(G63:G64)</f>
        <v>6.8524991238118112E-3</v>
      </c>
      <c r="L64">
        <f>+J64/I64</f>
        <v>6.9896664304719457E-3</v>
      </c>
      <c r="M64">
        <f>+(L64-$L$614)/$L$615</f>
        <v>-0.33250522069064159</v>
      </c>
      <c r="N64">
        <f>+N62+M64</f>
        <v>-2.6253316267896518</v>
      </c>
      <c r="Z64">
        <f>+(I64-$F$614)/$F$615</f>
        <v>-0.63237749248258635</v>
      </c>
      <c r="AA64">
        <f>+AA62+Z64</f>
        <v>-12.370087064235967</v>
      </c>
    </row>
    <row r="65" spans="1:27">
      <c r="A65" s="8">
        <v>9</v>
      </c>
      <c r="B65" s="70">
        <v>37391</v>
      </c>
      <c r="C65" s="12">
        <v>2002</v>
      </c>
      <c r="D65" s="15" t="s">
        <v>22</v>
      </c>
      <c r="E65" s="12">
        <v>5</v>
      </c>
      <c r="F65" s="13">
        <v>1.9396457396043549</v>
      </c>
      <c r="G65" s="19"/>
    </row>
    <row r="66" spans="1:27">
      <c r="A66" s="8">
        <v>10</v>
      </c>
      <c r="B66" s="70">
        <v>37391</v>
      </c>
      <c r="C66" s="12">
        <v>2002</v>
      </c>
      <c r="D66" s="15" t="s">
        <v>22</v>
      </c>
      <c r="E66" s="12">
        <v>5</v>
      </c>
      <c r="F66" s="13">
        <v>2.4335974169955601</v>
      </c>
      <c r="G66" s="19"/>
      <c r="I66" s="27">
        <f>AVERAGE(F65:F66)</f>
        <v>2.1866215782999574</v>
      </c>
      <c r="J66" s="27" t="e">
        <f>AVERAGE(G65:G66)</f>
        <v>#DIV/0!</v>
      </c>
      <c r="Z66">
        <f>+(I66-$F$614)/$F$615</f>
        <v>-0.38750090563307688</v>
      </c>
      <c r="AA66">
        <f>+AA64+Z66</f>
        <v>-12.757587969869045</v>
      </c>
    </row>
    <row r="67" spans="1:27">
      <c r="A67" s="8">
        <v>9</v>
      </c>
      <c r="B67" s="70">
        <v>37420</v>
      </c>
      <c r="C67" s="12">
        <v>2002</v>
      </c>
      <c r="D67" s="15" t="s">
        <v>23</v>
      </c>
      <c r="E67" s="12">
        <v>6</v>
      </c>
      <c r="F67" s="13">
        <v>5.3147026553096444</v>
      </c>
      <c r="G67" s="19"/>
    </row>
    <row r="68" spans="1:27">
      <c r="A68" s="8">
        <v>10</v>
      </c>
      <c r="B68" s="70">
        <v>37420</v>
      </c>
      <c r="C68" s="12">
        <v>2002</v>
      </c>
      <c r="D68" s="15" t="s">
        <v>23</v>
      </c>
      <c r="E68" s="12">
        <v>6</v>
      </c>
      <c r="F68" s="13">
        <v>4.260691903620927</v>
      </c>
      <c r="G68" s="19"/>
      <c r="I68" s="27">
        <f>AVERAGE(F67:F68)</f>
        <v>4.7876972794652861</v>
      </c>
      <c r="J68" s="27" t="e">
        <f>AVERAGE(G67:G68)</f>
        <v>#DIV/0!</v>
      </c>
      <c r="Z68">
        <f>+(I68-$F$614)/$F$615</f>
        <v>0.14053616509990535</v>
      </c>
      <c r="AA68">
        <f>+AA66+Z68</f>
        <v>-12.617051804769138</v>
      </c>
    </row>
    <row r="69" spans="1:27">
      <c r="A69" s="8">
        <v>9</v>
      </c>
      <c r="B69" s="70">
        <v>37453</v>
      </c>
      <c r="C69" s="12">
        <v>2002</v>
      </c>
      <c r="D69" s="15" t="s">
        <v>24</v>
      </c>
      <c r="E69" s="12">
        <v>7</v>
      </c>
      <c r="F69" s="13">
        <v>10.683163546231519</v>
      </c>
      <c r="G69" s="19"/>
    </row>
    <row r="70" spans="1:27">
      <c r="A70" s="8">
        <v>10</v>
      </c>
      <c r="B70" s="70">
        <v>37453</v>
      </c>
      <c r="C70" s="12">
        <v>2002</v>
      </c>
      <c r="D70" s="15" t="s">
        <v>24</v>
      </c>
      <c r="E70" s="12">
        <v>7</v>
      </c>
      <c r="F70" s="13">
        <v>8.4764523140248631</v>
      </c>
      <c r="G70" s="19"/>
      <c r="I70" s="27">
        <f>AVERAGE(F69:F70)</f>
        <v>9.5798079301281902</v>
      </c>
      <c r="J70" s="27" t="e">
        <f>AVERAGE(G69:G70)</f>
        <v>#DIV/0!</v>
      </c>
      <c r="Z70">
        <f>+(I70-$F$614)/$F$615</f>
        <v>1.1133690855222889</v>
      </c>
      <c r="AA70">
        <f>+AA68+Z70</f>
        <v>-11.50368271924685</v>
      </c>
    </row>
    <row r="71" spans="1:27">
      <c r="A71" s="8">
        <v>9</v>
      </c>
      <c r="B71" s="70">
        <v>37481</v>
      </c>
      <c r="C71" s="12">
        <v>2002</v>
      </c>
      <c r="D71" s="15" t="s">
        <v>25</v>
      </c>
      <c r="E71" s="12">
        <v>8</v>
      </c>
      <c r="F71" s="13">
        <v>7.9676668218483595</v>
      </c>
      <c r="G71" s="19"/>
    </row>
    <row r="72" spans="1:27">
      <c r="A72" s="8">
        <v>10</v>
      </c>
      <c r="B72" s="70">
        <v>37481</v>
      </c>
      <c r="C72" s="12">
        <v>2002</v>
      </c>
      <c r="D72" s="15" t="s">
        <v>25</v>
      </c>
      <c r="E72" s="12">
        <v>8</v>
      </c>
      <c r="F72" s="13">
        <v>4.6552995592289621</v>
      </c>
      <c r="G72" s="19"/>
      <c r="I72" s="27">
        <f>AVERAGE(F71:F72)</f>
        <v>6.3114831905386612</v>
      </c>
      <c r="J72" s="27" t="e">
        <f>AVERAGE(G71:G72)</f>
        <v>#DIV/0!</v>
      </c>
      <c r="Z72">
        <f>+(I72-$F$614)/$F$615</f>
        <v>0.44987566204222479</v>
      </c>
      <c r="AA72">
        <f>+AA70+Z72</f>
        <v>-11.053807057204626</v>
      </c>
    </row>
    <row r="73" spans="1:27">
      <c r="A73" s="8">
        <v>9</v>
      </c>
      <c r="B73" s="70">
        <v>37518</v>
      </c>
      <c r="C73" s="12">
        <v>2002</v>
      </c>
      <c r="D73" s="15" t="s">
        <v>26</v>
      </c>
      <c r="E73" s="12">
        <v>9</v>
      </c>
      <c r="F73" s="13">
        <v>1.9085816221617367</v>
      </c>
      <c r="G73" s="19"/>
    </row>
    <row r="74" spans="1:27">
      <c r="A74" s="8">
        <v>10</v>
      </c>
      <c r="B74" s="70">
        <v>37518</v>
      </c>
      <c r="C74" s="12">
        <v>2002</v>
      </c>
      <c r="D74" s="15" t="s">
        <v>26</v>
      </c>
      <c r="E74" s="12">
        <v>9</v>
      </c>
      <c r="F74" s="13">
        <v>1.7816744587190372</v>
      </c>
      <c r="G74" s="19"/>
      <c r="I74" s="27">
        <f>AVERAGE(F73:F74)</f>
        <v>1.8451280404403869</v>
      </c>
      <c r="J74" s="27" t="e">
        <f>AVERAGE(G73:G74)</f>
        <v>#DIV/0!</v>
      </c>
      <c r="Z74">
        <f>+(I74-$F$614)/$F$615</f>
        <v>-0.45682654937532674</v>
      </c>
      <c r="AA74">
        <f>+AA72+Z74</f>
        <v>-11.510633606579953</v>
      </c>
    </row>
    <row r="75" spans="1:27">
      <c r="A75" s="8">
        <v>9</v>
      </c>
      <c r="B75" s="70">
        <v>37546</v>
      </c>
      <c r="C75" s="12">
        <v>2002</v>
      </c>
      <c r="D75" s="15" t="s">
        <v>14</v>
      </c>
      <c r="E75" s="12">
        <v>10</v>
      </c>
      <c r="F75" s="14">
        <v>1.2929485390832829</v>
      </c>
      <c r="G75" s="14">
        <v>5.9433665612240571E-3</v>
      </c>
    </row>
    <row r="76" spans="1:27">
      <c r="A76" s="8">
        <v>10</v>
      </c>
      <c r="B76" s="70">
        <v>37546</v>
      </c>
      <c r="C76" s="12">
        <v>2002</v>
      </c>
      <c r="D76" s="15" t="s">
        <v>14</v>
      </c>
      <c r="E76" s="12">
        <v>10</v>
      </c>
      <c r="F76" s="14">
        <v>2.4992786733570096</v>
      </c>
      <c r="G76" s="14">
        <v>1.0554824996242914E-2</v>
      </c>
      <c r="I76" s="27">
        <f>AVERAGE(F75:F76)</f>
        <v>1.8961136062201462</v>
      </c>
      <c r="J76" s="27">
        <f>AVERAGE(G75:G76)</f>
        <v>8.2490957787334854E-3</v>
      </c>
      <c r="L76">
        <f>+J76/I76</f>
        <v>4.3505282340006229E-3</v>
      </c>
      <c r="M76">
        <f>+(L76-$L$614)/$L$615</f>
        <v>-0.58318422416108961</v>
      </c>
      <c r="N76">
        <f>+N64+M76</f>
        <v>-3.2085158509507412</v>
      </c>
      <c r="Z76">
        <f>+(I76-$F$614)/$F$615</f>
        <v>-0.44647611290323702</v>
      </c>
      <c r="AA76">
        <f>+AA74+Z76</f>
        <v>-11.95710971948319</v>
      </c>
    </row>
    <row r="77" spans="1:27">
      <c r="A77" s="8">
        <v>9</v>
      </c>
      <c r="B77" s="70">
        <v>37574</v>
      </c>
      <c r="C77" s="12">
        <v>2002</v>
      </c>
      <c r="D77" s="15" t="s">
        <v>16</v>
      </c>
      <c r="E77" s="12">
        <v>11</v>
      </c>
      <c r="F77" s="14">
        <v>1.0867194293237217</v>
      </c>
      <c r="G77" s="14">
        <v>4.4780668566476748E-3</v>
      </c>
    </row>
    <row r="78" spans="1:27">
      <c r="A78" s="8">
        <v>10</v>
      </c>
      <c r="B78" s="70">
        <v>37574</v>
      </c>
      <c r="C78" s="12">
        <v>2002</v>
      </c>
      <c r="D78" s="15" t="s">
        <v>16</v>
      </c>
      <c r="E78" s="12">
        <v>11</v>
      </c>
      <c r="F78" s="14">
        <v>1.0767334892909848</v>
      </c>
      <c r="G78" s="14">
        <v>7.1243952969091626E-3</v>
      </c>
      <c r="I78" s="27">
        <f>AVERAGE(F77:F78)</f>
        <v>1.0817264593073532</v>
      </c>
      <c r="J78" s="27">
        <f>AVERAGE(G77:G78)</f>
        <v>5.8012310767784191E-3</v>
      </c>
      <c r="L78">
        <f>+J78/I78</f>
        <v>5.3629372073352444E-3</v>
      </c>
      <c r="M78">
        <f>+(L78-$L$614)/$L$615</f>
        <v>-0.48702038064603853</v>
      </c>
      <c r="N78">
        <f>+N76+M78</f>
        <v>-3.6955362315967797</v>
      </c>
      <c r="Z78">
        <f>+(I78-$F$614)/$F$615</f>
        <v>-0.61180255969052677</v>
      </c>
      <c r="AA78">
        <f>+AA76+Z78</f>
        <v>-12.568912279173716</v>
      </c>
    </row>
    <row r="79" spans="1:27">
      <c r="A79" s="8">
        <v>9</v>
      </c>
      <c r="B79" s="70">
        <v>37608</v>
      </c>
      <c r="C79" s="12">
        <v>2002</v>
      </c>
      <c r="D79" s="15" t="s">
        <v>17</v>
      </c>
      <c r="E79" s="12">
        <v>12</v>
      </c>
      <c r="F79" s="14">
        <v>2.5888372076756232</v>
      </c>
      <c r="G79" s="14">
        <v>1.0400090755046283E-2</v>
      </c>
    </row>
    <row r="80" spans="1:27">
      <c r="A80" s="8">
        <v>10</v>
      </c>
      <c r="B80" s="70">
        <v>37608</v>
      </c>
      <c r="C80" s="12">
        <v>2002</v>
      </c>
      <c r="D80" s="15" t="s">
        <v>17</v>
      </c>
      <c r="E80" s="12">
        <v>12</v>
      </c>
      <c r="F80" s="14">
        <v>2.8423970265451763</v>
      </c>
      <c r="G80" s="14">
        <v>1.1831919564208536E-2</v>
      </c>
      <c r="I80" s="27">
        <f>AVERAGE(F79:F80)</f>
        <v>2.7156171171103995</v>
      </c>
      <c r="J80" s="27">
        <f>AVERAGE(G79:G80)</f>
        <v>1.111600515962741E-2</v>
      </c>
      <c r="L80">
        <f>+J80/I80</f>
        <v>4.0933624587900638E-3</v>
      </c>
      <c r="M80">
        <f>+(L80-$L$614)/$L$615</f>
        <v>-0.60761116032634344</v>
      </c>
      <c r="N80">
        <f>+N78+M80</f>
        <v>-4.3031473919231233</v>
      </c>
      <c r="Z80">
        <f>+(I80-$F$614)/$F$615</f>
        <v>-0.2801110074385964</v>
      </c>
      <c r="AA80">
        <f>+AA78+Z80</f>
        <v>-12.849023286612313</v>
      </c>
    </row>
    <row r="81" spans="1:27">
      <c r="A81" s="8">
        <v>9</v>
      </c>
      <c r="B81" s="70">
        <v>37636</v>
      </c>
      <c r="C81" s="12">
        <v>2003</v>
      </c>
      <c r="D81" s="15" t="s">
        <v>18</v>
      </c>
      <c r="E81" s="12">
        <v>1</v>
      </c>
      <c r="F81" s="14">
        <v>3.1264525681107216</v>
      </c>
      <c r="G81" s="14">
        <v>1.9830087462238553E-2</v>
      </c>
    </row>
    <row r="82" spans="1:27">
      <c r="A82" s="8">
        <v>10</v>
      </c>
      <c r="B82" s="70">
        <v>37636</v>
      </c>
      <c r="C82" s="12">
        <v>2003</v>
      </c>
      <c r="D82" s="15" t="s">
        <v>18</v>
      </c>
      <c r="E82" s="12">
        <v>1</v>
      </c>
      <c r="F82" s="14">
        <v>3.2980055779066113</v>
      </c>
      <c r="G82" s="14">
        <v>2.4096431094695142E-2</v>
      </c>
      <c r="I82" s="27">
        <f>AVERAGE(F81:F82)</f>
        <v>3.2122290730086664</v>
      </c>
      <c r="J82" s="27">
        <f>AVERAGE(G81:G82)</f>
        <v>2.1963259278466846E-2</v>
      </c>
      <c r="L82">
        <f>+J82/I82</f>
        <v>6.8373888596604425E-3</v>
      </c>
      <c r="M82">
        <f>+(L82-$L$614)/$L$615</f>
        <v>-0.3469693324044455</v>
      </c>
      <c r="N82">
        <f>+N80+M82</f>
        <v>-4.6501167243275692</v>
      </c>
      <c r="Z82">
        <f>+(I82-$F$614)/$F$615</f>
        <v>-0.17929520943394234</v>
      </c>
      <c r="AA82">
        <f>+AA80+Z82</f>
        <v>-13.028318496046255</v>
      </c>
    </row>
    <row r="83" spans="1:27">
      <c r="A83" s="8">
        <v>9</v>
      </c>
      <c r="B83" s="70">
        <v>37663</v>
      </c>
      <c r="C83" s="12">
        <v>2003</v>
      </c>
      <c r="D83" s="11" t="s">
        <v>19</v>
      </c>
      <c r="E83" s="12">
        <v>2</v>
      </c>
      <c r="F83" s="14">
        <v>3.1713906033163646</v>
      </c>
      <c r="G83" s="14">
        <v>1.3123884076250642E-2</v>
      </c>
    </row>
    <row r="84" spans="1:27">
      <c r="A84" s="8">
        <v>10</v>
      </c>
      <c r="B84" s="70">
        <v>37663</v>
      </c>
      <c r="C84" s="12">
        <v>2003</v>
      </c>
      <c r="D84" s="11" t="s">
        <v>19</v>
      </c>
      <c r="E84" s="12">
        <v>2</v>
      </c>
      <c r="F84" s="14">
        <v>4.0365013086057164</v>
      </c>
      <c r="G84" s="14">
        <v>2.223553991863125E-2</v>
      </c>
      <c r="I84" s="27">
        <f>AVERAGE(F83:F84)</f>
        <v>3.6039459559610405</v>
      </c>
      <c r="J84" s="27">
        <f>AVERAGE(G83:G84)</f>
        <v>1.7679711997440947E-2</v>
      </c>
      <c r="L84">
        <f>+J84/I84</f>
        <v>4.9056540285234143E-3</v>
      </c>
      <c r="M84">
        <f>+(L84-$L$614)/$L$615</f>
        <v>-0.5304555034151367</v>
      </c>
      <c r="N84">
        <f>+N82+M84</f>
        <v>-5.1805722277427062</v>
      </c>
      <c r="Z84">
        <f>+(I84-$F$614)/$F$615</f>
        <v>-9.977386549990859E-2</v>
      </c>
      <c r="AA84">
        <f>+AA82+Z84</f>
        <v>-13.128092361546164</v>
      </c>
    </row>
    <row r="85" spans="1:27">
      <c r="A85" s="8">
        <v>9</v>
      </c>
      <c r="B85" s="70">
        <v>37691</v>
      </c>
      <c r="C85" s="12">
        <v>2003</v>
      </c>
      <c r="D85" s="11" t="s">
        <v>20</v>
      </c>
      <c r="E85" s="12">
        <v>3</v>
      </c>
      <c r="F85" s="14">
        <v>5.0388886297177624</v>
      </c>
      <c r="G85" s="14">
        <v>3.2389814082822627E-2</v>
      </c>
    </row>
    <row r="86" spans="1:27">
      <c r="A86" s="8">
        <v>10</v>
      </c>
      <c r="B86" s="70">
        <v>37691</v>
      </c>
      <c r="C86" s="12">
        <v>2003</v>
      </c>
      <c r="D86" s="11" t="s">
        <v>20</v>
      </c>
      <c r="E86" s="12">
        <v>3</v>
      </c>
      <c r="F86" s="14">
        <v>7.6414041120201084</v>
      </c>
      <c r="G86" s="14">
        <v>4.3224927866727471E-2</v>
      </c>
      <c r="I86" s="27">
        <f>AVERAGE(F85:F86)</f>
        <v>6.3401463708689354</v>
      </c>
      <c r="J86" s="27">
        <f>AVERAGE(G85:G86)</f>
        <v>3.7807370974775045E-2</v>
      </c>
      <c r="L86">
        <f>+J86/I86</f>
        <v>5.9631700536896971E-3</v>
      </c>
      <c r="M86">
        <f>+(L86-$L$614)/$L$615</f>
        <v>-0.43000715868761819</v>
      </c>
      <c r="N86">
        <f>+N84+M86</f>
        <v>-5.6105793864303246</v>
      </c>
      <c r="Z86">
        <f>+(I86-$F$614)/$F$615</f>
        <v>0.45569449375585325</v>
      </c>
      <c r="AA86">
        <f>+AA84+Z86</f>
        <v>-12.672397867790311</v>
      </c>
    </row>
    <row r="87" spans="1:27">
      <c r="A87" s="8">
        <v>9</v>
      </c>
      <c r="B87" s="70">
        <v>37727</v>
      </c>
      <c r="C87" s="12">
        <v>2003</v>
      </c>
      <c r="D87" s="11" t="s">
        <v>21</v>
      </c>
      <c r="E87" s="12">
        <v>4</v>
      </c>
      <c r="F87" s="14">
        <v>12.053436115301217</v>
      </c>
      <c r="G87" s="14">
        <v>5.2939869874192406E-2</v>
      </c>
    </row>
    <row r="88" spans="1:27">
      <c r="A88" s="8">
        <v>10</v>
      </c>
      <c r="B88" s="70">
        <v>37727</v>
      </c>
      <c r="C88" s="12">
        <v>2003</v>
      </c>
      <c r="D88" s="11" t="s">
        <v>21</v>
      </c>
      <c r="E88" s="12">
        <v>4</v>
      </c>
      <c r="F88" s="14">
        <v>13.397116729720528</v>
      </c>
      <c r="G88" s="14">
        <v>7.5620434813708642E-2</v>
      </c>
      <c r="I88" s="27">
        <f>AVERAGE(F87:F88)</f>
        <v>12.725276422510873</v>
      </c>
      <c r="J88" s="27">
        <f>AVERAGE(G87:G88)</f>
        <v>6.4280152343950528E-2</v>
      </c>
      <c r="L88">
        <f>+J88/I88</f>
        <v>5.0513757194491785E-3</v>
      </c>
      <c r="M88">
        <f>+(L88-$L$614)/$L$615</f>
        <v>-0.51661410309963185</v>
      </c>
      <c r="N88">
        <f>+N86+M88</f>
        <v>-6.1271934895299562</v>
      </c>
      <c r="Z88">
        <f>+(I88-$F$614)/$F$615</f>
        <v>1.7519218074044385</v>
      </c>
      <c r="AA88">
        <f>+AA86+Z88</f>
        <v>-10.920476060385873</v>
      </c>
    </row>
    <row r="89" spans="1:27">
      <c r="A89" s="8">
        <v>9</v>
      </c>
      <c r="B89" s="70">
        <v>37756</v>
      </c>
      <c r="C89" s="12">
        <v>2003</v>
      </c>
      <c r="D89" s="11" t="s">
        <v>22</v>
      </c>
      <c r="E89" s="12">
        <v>5</v>
      </c>
      <c r="F89" s="14">
        <v>1.8476474728478067</v>
      </c>
      <c r="G89" s="14">
        <v>2.9354351880696138E-2</v>
      </c>
    </row>
    <row r="90" spans="1:27">
      <c r="A90" s="8">
        <v>10</v>
      </c>
      <c r="B90" s="70">
        <v>37756</v>
      </c>
      <c r="C90" s="12">
        <v>2003</v>
      </c>
      <c r="D90" s="11" t="s">
        <v>22</v>
      </c>
      <c r="E90" s="12">
        <v>5</v>
      </c>
      <c r="F90" s="14">
        <v>4.152192391345797</v>
      </c>
      <c r="G90" s="14">
        <v>3.1188968953732955E-2</v>
      </c>
      <c r="I90" s="27">
        <f>AVERAGE(F89:F90)</f>
        <v>2.9999199320968017</v>
      </c>
      <c r="J90" s="27">
        <f>AVERAGE(G89:G90)</f>
        <v>3.0271660417214546E-2</v>
      </c>
      <c r="L90">
        <f>+J90/I90</f>
        <v>1.009082278941228E-2</v>
      </c>
      <c r="M90">
        <f>+(L90-$L$614)/$L$615</f>
        <v>-3.7941341199743114E-2</v>
      </c>
      <c r="N90">
        <f>+N88+M90</f>
        <v>-6.1651348307296994</v>
      </c>
      <c r="Z90">
        <f>+(I90-$F$614)/$F$615</f>
        <v>-0.22239549167744296</v>
      </c>
      <c r="AA90">
        <f>+AA88+Z90</f>
        <v>-11.142871552063315</v>
      </c>
    </row>
    <row r="91" spans="1:27">
      <c r="A91" s="8">
        <v>9</v>
      </c>
      <c r="B91" s="70">
        <v>37790</v>
      </c>
      <c r="C91" s="12">
        <v>2003</v>
      </c>
      <c r="D91" s="11" t="s">
        <v>23</v>
      </c>
      <c r="E91" s="12">
        <v>6</v>
      </c>
      <c r="F91" s="14">
        <v>25.687010217391375</v>
      </c>
      <c r="G91" s="14">
        <v>0.25463367543640142</v>
      </c>
    </row>
    <row r="92" spans="1:27">
      <c r="A92" s="8">
        <v>10</v>
      </c>
      <c r="B92" s="70">
        <v>37790</v>
      </c>
      <c r="C92" s="12">
        <v>2003</v>
      </c>
      <c r="D92" s="11" t="s">
        <v>23</v>
      </c>
      <c r="E92" s="12">
        <v>6</v>
      </c>
      <c r="F92" s="14">
        <v>23.761915212820931</v>
      </c>
      <c r="G92" s="14">
        <v>0.24703306857768198</v>
      </c>
      <c r="I92" s="27">
        <f>AVERAGE(F91:F92)</f>
        <v>24.724462715106153</v>
      </c>
      <c r="J92" s="27">
        <f>AVERAGE(G91:G92)</f>
        <v>0.2508333720070417</v>
      </c>
      <c r="L92">
        <f>+J92/I92</f>
        <v>1.0145149558853204E-2</v>
      </c>
      <c r="M92">
        <f>+(L92-$L$614)/$L$615</f>
        <v>-3.2781103496606324E-2</v>
      </c>
      <c r="N92">
        <f>+N90+M92</f>
        <v>-6.1979159342263053</v>
      </c>
      <c r="Z92">
        <f>+(I92-$F$614)/$F$615</f>
        <v>4.1878429066183971</v>
      </c>
      <c r="AA92">
        <f>+AA90+Z92</f>
        <v>-6.9550286454449184</v>
      </c>
    </row>
    <row r="93" spans="1:27">
      <c r="A93" s="8">
        <v>9</v>
      </c>
      <c r="B93" s="70">
        <v>37818</v>
      </c>
      <c r="C93" s="12">
        <v>2003</v>
      </c>
      <c r="D93" s="15" t="s">
        <v>24</v>
      </c>
      <c r="E93" s="12">
        <v>7</v>
      </c>
      <c r="F93" s="14">
        <v>17.655619443896327</v>
      </c>
      <c r="G93" s="14">
        <v>0.49174074184285244</v>
      </c>
    </row>
    <row r="94" spans="1:27">
      <c r="A94" s="8">
        <v>10</v>
      </c>
      <c r="B94" s="70">
        <v>37818</v>
      </c>
      <c r="C94" s="12">
        <v>2003</v>
      </c>
      <c r="D94" s="15" t="s">
        <v>24</v>
      </c>
      <c r="E94" s="12">
        <v>7</v>
      </c>
      <c r="F94" s="14">
        <v>16.888009174651454</v>
      </c>
      <c r="G94" s="14">
        <v>0.5266684469273184</v>
      </c>
      <c r="I94" s="27">
        <f>AVERAGE(F93:F94)</f>
        <v>17.271814309273893</v>
      </c>
      <c r="J94" s="27">
        <f>AVERAGE(G93:G94)</f>
        <v>0.50920459438508536</v>
      </c>
      <c r="L94">
        <f>+J94/I94</f>
        <v>2.9481824275500348E-2</v>
      </c>
      <c r="M94">
        <f>+(L94-$L$614)/$L$615</f>
        <v>1.8039163285978654</v>
      </c>
      <c r="N94">
        <f>+N92+M94</f>
        <v>-4.3939996056284398</v>
      </c>
      <c r="Z94">
        <f>+(I94-$F$614)/$F$615</f>
        <v>2.674901690930048</v>
      </c>
      <c r="AA94">
        <f>+AA92+Z94</f>
        <v>-4.2801269545148699</v>
      </c>
    </row>
    <row r="95" spans="1:27">
      <c r="A95" s="8">
        <v>9</v>
      </c>
      <c r="B95" s="70">
        <v>37846</v>
      </c>
      <c r="C95" s="12">
        <v>2003</v>
      </c>
      <c r="D95" s="15" t="s">
        <v>25</v>
      </c>
      <c r="E95" s="12">
        <v>8</v>
      </c>
      <c r="F95" s="14">
        <v>24.113811290922982</v>
      </c>
      <c r="G95" s="14">
        <v>0.62094152479754416</v>
      </c>
    </row>
    <row r="96" spans="1:27">
      <c r="A96" s="8">
        <v>10</v>
      </c>
      <c r="B96" s="70">
        <v>37846</v>
      </c>
      <c r="C96" s="12">
        <v>2003</v>
      </c>
      <c r="D96" s="15" t="s">
        <v>25</v>
      </c>
      <c r="E96" s="12">
        <v>8</v>
      </c>
      <c r="F96" s="14">
        <v>18.957917819459027</v>
      </c>
      <c r="G96" s="14">
        <v>0.56223404940662502</v>
      </c>
      <c r="I96" s="27">
        <f>AVERAGE(F95:F96)</f>
        <v>21.535864555191004</v>
      </c>
      <c r="J96" s="27">
        <f>AVERAGE(G95:G96)</f>
        <v>0.59158778710208459</v>
      </c>
      <c r="L96">
        <f>+J96/I96</f>
        <v>2.7469887990147501E-2</v>
      </c>
      <c r="M96">
        <f>+(L96-$L$614)/$L$615</f>
        <v>1.6128122084223351</v>
      </c>
      <c r="N96">
        <f>+N94+M96</f>
        <v>-2.7811873972061045</v>
      </c>
      <c r="Z96">
        <f>+(I96-$F$614)/$F$615</f>
        <v>3.5405345520972857</v>
      </c>
      <c r="AA96">
        <f>+AA94+Z96</f>
        <v>-0.73959240241758417</v>
      </c>
    </row>
    <row r="97" spans="1:27">
      <c r="A97" s="8">
        <v>9</v>
      </c>
      <c r="B97" s="70">
        <v>37886</v>
      </c>
      <c r="C97" s="12">
        <v>2003</v>
      </c>
      <c r="D97" s="15" t="s">
        <v>26</v>
      </c>
      <c r="E97" s="12">
        <v>9</v>
      </c>
      <c r="F97" s="14">
        <v>13.35583266019621</v>
      </c>
      <c r="G97" s="14">
        <v>0.14798682930337059</v>
      </c>
    </row>
    <row r="98" spans="1:27">
      <c r="A98" s="8">
        <v>10</v>
      </c>
      <c r="B98" s="70">
        <v>37886</v>
      </c>
      <c r="C98" s="12">
        <v>2003</v>
      </c>
      <c r="D98" s="15" t="s">
        <v>26</v>
      </c>
      <c r="E98" s="12">
        <v>9</v>
      </c>
      <c r="F98" s="14">
        <v>11.568462130128601</v>
      </c>
      <c r="G98" s="14">
        <v>8.7412821941975402E-2</v>
      </c>
      <c r="I98" s="27">
        <f>AVERAGE(F97:F98)</f>
        <v>12.462147395162406</v>
      </c>
      <c r="J98" s="27">
        <f>AVERAGE(G97:G98)</f>
        <v>0.117699825622673</v>
      </c>
      <c r="L98">
        <f>+J98/I98</f>
        <v>9.4445862250322997E-3</v>
      </c>
      <c r="M98">
        <f>+(L98-$L$614)/$L$615</f>
        <v>-9.9324234365981923E-2</v>
      </c>
      <c r="N98">
        <f>+N96+M98</f>
        <v>-2.8805116315720865</v>
      </c>
      <c r="Z98">
        <f>+(I98-$F$614)/$F$615</f>
        <v>1.6985047227868493</v>
      </c>
      <c r="AA98">
        <f>+AA96+Z98</f>
        <v>0.9589123203692651</v>
      </c>
    </row>
    <row r="99" spans="1:27">
      <c r="A99" s="8">
        <v>9</v>
      </c>
      <c r="B99" s="70">
        <v>37910</v>
      </c>
      <c r="C99" s="12">
        <v>2003</v>
      </c>
      <c r="D99" s="15" t="s">
        <v>14</v>
      </c>
      <c r="E99" s="12">
        <v>10</v>
      </c>
      <c r="F99" s="13">
        <v>1.7733000000000001</v>
      </c>
      <c r="G99" s="14">
        <v>1.0894571259198398E-2</v>
      </c>
    </row>
    <row r="100" spans="1:27">
      <c r="A100" s="8">
        <v>10</v>
      </c>
      <c r="B100" s="70">
        <v>37910</v>
      </c>
      <c r="C100" s="12">
        <v>2003</v>
      </c>
      <c r="D100" s="15" t="s">
        <v>14</v>
      </c>
      <c r="E100" s="12">
        <v>10</v>
      </c>
      <c r="F100" s="13">
        <v>2.1722999999999999</v>
      </c>
      <c r="G100" s="14">
        <v>1.8583609760220929E-2</v>
      </c>
      <c r="I100" s="27">
        <f>AVERAGE(F99:F100)</f>
        <v>1.9727999999999999</v>
      </c>
      <c r="J100" s="27">
        <f>AVERAGE(G99:G100)</f>
        <v>1.4739090509709663E-2</v>
      </c>
      <c r="L100">
        <f>+J100/I100</f>
        <v>7.4711529347676721E-3</v>
      </c>
      <c r="M100">
        <f>+(L100-$L$614)/$L$615</f>
        <v>-0.28677114081460359</v>
      </c>
      <c r="N100">
        <f>+N98+M100</f>
        <v>-3.1672827723866899</v>
      </c>
      <c r="Z100">
        <f>+(I100-$F$614)/$F$615</f>
        <v>-0.43090822354175162</v>
      </c>
      <c r="AA100">
        <f>+AA98+Z100</f>
        <v>0.52800409682751348</v>
      </c>
    </row>
    <row r="101" spans="1:27">
      <c r="A101" s="8">
        <v>9</v>
      </c>
      <c r="B101" s="70">
        <v>37942</v>
      </c>
      <c r="C101" s="12">
        <v>2003</v>
      </c>
      <c r="D101" s="15" t="s">
        <v>16</v>
      </c>
      <c r="E101" s="12">
        <v>11</v>
      </c>
      <c r="F101" s="13">
        <v>0.86929999999999996</v>
      </c>
      <c r="G101" s="14">
        <v>9.4256142587608241E-3</v>
      </c>
    </row>
    <row r="102" spans="1:27">
      <c r="A102" s="8">
        <v>10</v>
      </c>
      <c r="B102" s="70">
        <v>37942</v>
      </c>
      <c r="C102" s="12">
        <v>2003</v>
      </c>
      <c r="D102" s="15" t="s">
        <v>16</v>
      </c>
      <c r="E102" s="12">
        <v>11</v>
      </c>
      <c r="F102" s="13">
        <v>1.3080000000000001</v>
      </c>
      <c r="G102" s="14">
        <v>1.5502820940459208E-2</v>
      </c>
      <c r="I102" s="27">
        <f>AVERAGE(F101:F102)</f>
        <v>1.0886499999999999</v>
      </c>
      <c r="J102" s="27">
        <f>AVERAGE(G101:G102)</f>
        <v>1.2464217599610016E-2</v>
      </c>
      <c r="L102">
        <f>+J102/I102</f>
        <v>1.1449242272181158E-2</v>
      </c>
      <c r="M102">
        <f>+(L102-$L$614)/$L$615</f>
        <v>9.1088371109619093E-2</v>
      </c>
      <c r="N102">
        <f>+N100+M102</f>
        <v>-3.0761944012770708</v>
      </c>
      <c r="Z102">
        <f>+(I102-$F$614)/$F$615</f>
        <v>-0.61039703114523769</v>
      </c>
      <c r="AA102">
        <f>+AA100+Z102</f>
        <v>-8.2392934317724209E-2</v>
      </c>
    </row>
    <row r="103" spans="1:27">
      <c r="A103" s="8">
        <v>9</v>
      </c>
      <c r="B103" s="70">
        <v>37971</v>
      </c>
      <c r="C103" s="12">
        <v>2003</v>
      </c>
      <c r="D103" s="15" t="s">
        <v>17</v>
      </c>
      <c r="E103" s="12">
        <v>12</v>
      </c>
      <c r="F103" s="13">
        <v>3.5051000000000001</v>
      </c>
      <c r="G103" s="14">
        <v>1.7986150645638924E-2</v>
      </c>
    </row>
    <row r="104" spans="1:27">
      <c r="A104" s="8">
        <v>10</v>
      </c>
      <c r="B104" s="70">
        <v>37971</v>
      </c>
      <c r="C104" s="12">
        <v>2003</v>
      </c>
      <c r="D104" s="15" t="s">
        <v>17</v>
      </c>
      <c r="E104" s="12">
        <v>12</v>
      </c>
      <c r="F104" s="13">
        <v>4.6539000000000001</v>
      </c>
      <c r="G104" s="14">
        <v>2.5215402814314399E-2</v>
      </c>
      <c r="I104" s="27">
        <f>AVERAGE(F103:F104)</f>
        <v>4.0795000000000003</v>
      </c>
      <c r="J104" s="27">
        <f>AVERAGE(G103:G104)</f>
        <v>2.1600776729976661E-2</v>
      </c>
      <c r="L104">
        <f>+J104/I104</f>
        <v>5.2949569138317585E-3</v>
      </c>
      <c r="M104">
        <f>+(L104-$L$614)/$L$615</f>
        <v>-0.49347750072177671</v>
      </c>
      <c r="N104">
        <f>+N102+M104</f>
        <v>-3.5696719019988477</v>
      </c>
      <c r="Z104">
        <f>+(I104-$F$614)/$F$615</f>
        <v>-3.2329750225364396E-3</v>
      </c>
      <c r="AA104">
        <f>+AA102+Z104</f>
        <v>-8.5625909340260653E-2</v>
      </c>
    </row>
    <row r="105" spans="1:27">
      <c r="A105" s="8">
        <v>9</v>
      </c>
      <c r="B105" s="70">
        <v>37998</v>
      </c>
      <c r="C105" s="12">
        <v>2004</v>
      </c>
      <c r="D105" s="15" t="s">
        <v>18</v>
      </c>
      <c r="E105" s="12">
        <v>1</v>
      </c>
      <c r="F105" s="13">
        <v>5.7762000000000002</v>
      </c>
      <c r="G105" s="13">
        <v>1.3551812881034025E-2</v>
      </c>
    </row>
    <row r="106" spans="1:27">
      <c r="A106" s="8">
        <v>10</v>
      </c>
      <c r="B106" s="70">
        <v>37998</v>
      </c>
      <c r="C106" s="12">
        <v>2004</v>
      </c>
      <c r="D106" s="15" t="s">
        <v>18</v>
      </c>
      <c r="E106" s="12">
        <v>1</v>
      </c>
      <c r="F106" s="13">
        <v>5.8978000000000002</v>
      </c>
      <c r="G106" s="13">
        <v>1.4940668730730324E-2</v>
      </c>
      <c r="I106" s="27">
        <f>AVERAGE(F105:F106)</f>
        <v>5.8369999999999997</v>
      </c>
      <c r="J106" s="27">
        <f>AVERAGE(G105:G106)</f>
        <v>1.4246240805882174E-2</v>
      </c>
      <c r="L106">
        <f>+J106/I106</f>
        <v>2.4406785687651491E-3</v>
      </c>
      <c r="M106">
        <f>+(L106-$L$614)/$L$615</f>
        <v>-0.76459162885847354</v>
      </c>
      <c r="N106">
        <f>+N104+M106</f>
        <v>-4.3342635308573207</v>
      </c>
      <c r="Z106">
        <f>+(I106-$F$614)/$F$615</f>
        <v>0.35355216252553412</v>
      </c>
      <c r="AA106">
        <f>+AA104+Z106</f>
        <v>0.26792625318527347</v>
      </c>
    </row>
    <row r="107" spans="1:27">
      <c r="A107" s="8">
        <v>9</v>
      </c>
      <c r="B107" s="70">
        <v>38026</v>
      </c>
      <c r="C107" s="12">
        <v>2004</v>
      </c>
      <c r="D107" s="11" t="s">
        <v>19</v>
      </c>
      <c r="E107" s="12">
        <v>2</v>
      </c>
      <c r="F107" s="13">
        <v>13.942399999999999</v>
      </c>
      <c r="G107" s="13">
        <v>3.593835559792715E-2</v>
      </c>
    </row>
    <row r="108" spans="1:27">
      <c r="A108" s="8">
        <v>10</v>
      </c>
      <c r="B108" s="70">
        <v>38026</v>
      </c>
      <c r="C108" s="12">
        <v>2004</v>
      </c>
      <c r="D108" s="11" t="s">
        <v>19</v>
      </c>
      <c r="E108" s="12">
        <v>2</v>
      </c>
      <c r="F108" s="13">
        <v>27.691099999999999</v>
      </c>
      <c r="G108" s="13">
        <v>7.4805569814580655E-2</v>
      </c>
      <c r="I108" s="27">
        <f>AVERAGE(F107:F108)</f>
        <v>20.816749999999999</v>
      </c>
      <c r="J108" s="27">
        <f>AVERAGE(G107:G108)</f>
        <v>5.5371962706253899E-2</v>
      </c>
      <c r="L108">
        <f>+J108/I108</f>
        <v>2.6599715472517996E-3</v>
      </c>
      <c r="M108">
        <f>+(L108-$L$614)/$L$615</f>
        <v>-0.74376204691820191</v>
      </c>
      <c r="N108">
        <f>+N106+M108</f>
        <v>-5.0780255777755228</v>
      </c>
      <c r="Z108">
        <f>+(I108-$F$614)/$F$615</f>
        <v>3.3945491265003342</v>
      </c>
      <c r="AA108">
        <f>+AA106+Z108</f>
        <v>3.6624753796856075</v>
      </c>
    </row>
    <row r="109" spans="1:27">
      <c r="A109" s="8">
        <v>9</v>
      </c>
      <c r="B109" s="70">
        <v>38061</v>
      </c>
      <c r="C109" s="12">
        <v>2004</v>
      </c>
      <c r="D109" s="11" t="s">
        <v>20</v>
      </c>
      <c r="E109" s="12">
        <v>3</v>
      </c>
      <c r="F109" s="13">
        <v>10.276</v>
      </c>
      <c r="G109" s="13">
        <v>5.1460611738834511E-2</v>
      </c>
    </row>
    <row r="110" spans="1:27">
      <c r="A110" s="8">
        <v>10</v>
      </c>
      <c r="B110" s="70">
        <v>38061</v>
      </c>
      <c r="C110" s="12">
        <v>2004</v>
      </c>
      <c r="D110" s="11" t="s">
        <v>20</v>
      </c>
      <c r="E110" s="12">
        <v>3</v>
      </c>
      <c r="F110" s="13">
        <v>9.8984000000000005</v>
      </c>
      <c r="G110" s="13">
        <v>7.3614602924470529E-2</v>
      </c>
      <c r="I110" s="27">
        <f>AVERAGE(F109:F110)</f>
        <v>10.087199999999999</v>
      </c>
      <c r="J110" s="27">
        <f>AVERAGE(G109:G110)</f>
        <v>6.253760733165252E-2</v>
      </c>
      <c r="L110">
        <f>+J110/I110</f>
        <v>6.1996993547914709E-3</v>
      </c>
      <c r="M110">
        <f>+(L110-$L$614)/$L$615</f>
        <v>-0.40754038162720041</v>
      </c>
      <c r="N110">
        <f>+N108+M110</f>
        <v>-5.4855659594027228</v>
      </c>
      <c r="Z110">
        <f>+(I110-$F$614)/$F$615</f>
        <v>1.2163733241794801</v>
      </c>
      <c r="AA110">
        <f>+AA108+Z110</f>
        <v>4.8788487038650876</v>
      </c>
    </row>
    <row r="111" spans="1:27">
      <c r="A111" s="8">
        <v>9</v>
      </c>
      <c r="B111" s="70">
        <v>38093</v>
      </c>
      <c r="C111" s="12">
        <v>2004</v>
      </c>
      <c r="D111" s="11" t="s">
        <v>21</v>
      </c>
      <c r="E111" s="12">
        <v>4</v>
      </c>
      <c r="F111" s="13">
        <v>1.6172</v>
      </c>
      <c r="G111" s="20">
        <v>1.6449389643324631E-2</v>
      </c>
    </row>
    <row r="112" spans="1:27">
      <c r="A112" s="8">
        <v>10</v>
      </c>
      <c r="B112" s="70">
        <v>38093</v>
      </c>
      <c r="C112" s="12">
        <v>2004</v>
      </c>
      <c r="D112" s="11" t="s">
        <v>21</v>
      </c>
      <c r="E112" s="12">
        <v>4</v>
      </c>
      <c r="F112" s="13">
        <v>1.2706999999999999</v>
      </c>
      <c r="G112" s="20">
        <v>1.7534734157123474E-2</v>
      </c>
      <c r="I112" s="27">
        <f>AVERAGE(F111:F112)</f>
        <v>1.4439500000000001</v>
      </c>
      <c r="J112" s="27">
        <f>AVERAGE(G111:G112)</f>
        <v>1.6992061900224051E-2</v>
      </c>
      <c r="L112">
        <f>+J112/I112</f>
        <v>1.176776335761214E-2</v>
      </c>
      <c r="M112">
        <f>+(L112-$L$614)/$L$615</f>
        <v>0.12134315215402343</v>
      </c>
      <c r="N112">
        <f>+N110+M112</f>
        <v>-5.3642228072486997</v>
      </c>
      <c r="Z112">
        <f>+(I112-$F$614)/$F$615</f>
        <v>-0.53826857631119529</v>
      </c>
      <c r="AA112">
        <f>+AA110+Z112</f>
        <v>4.340580127553892</v>
      </c>
    </row>
    <row r="113" spans="1:27">
      <c r="A113" s="8">
        <v>9</v>
      </c>
      <c r="B113" s="70">
        <v>38117</v>
      </c>
      <c r="C113" s="12">
        <v>2004</v>
      </c>
      <c r="D113" s="11" t="s">
        <v>22</v>
      </c>
      <c r="E113" s="12">
        <v>5</v>
      </c>
      <c r="F113" s="13">
        <v>2.1907000000000001</v>
      </c>
      <c r="G113" s="20">
        <v>1.3060084137059003E-2</v>
      </c>
    </row>
    <row r="114" spans="1:27">
      <c r="A114" s="8">
        <v>10</v>
      </c>
      <c r="B114" s="70">
        <v>38117</v>
      </c>
      <c r="C114" s="12">
        <v>2004</v>
      </c>
      <c r="D114" s="11" t="s">
        <v>22</v>
      </c>
      <c r="E114" s="12">
        <v>5</v>
      </c>
      <c r="F114" s="13">
        <v>2.0653000000000001</v>
      </c>
      <c r="G114" s="20">
        <v>8.299007207059915E-3</v>
      </c>
      <c r="I114" s="27">
        <f>AVERAGE(F113:F114)</f>
        <v>2.1280000000000001</v>
      </c>
      <c r="J114" s="27">
        <f>AVERAGE(G113:G114)</f>
        <v>1.0679545672059459E-2</v>
      </c>
      <c r="L114">
        <f>+J114/I114</f>
        <v>5.0185834925091438E-3</v>
      </c>
      <c r="M114">
        <f>+(L114-$L$614)/$L$615</f>
        <v>-0.51972887851453642</v>
      </c>
      <c r="N114">
        <f>+N112+M114</f>
        <v>-5.8839516857632361</v>
      </c>
      <c r="Z114">
        <f>+(I114-$F$614)/$F$615</f>
        <v>-0.39940150755457632</v>
      </c>
      <c r="AA114">
        <f>+AA112+Z114</f>
        <v>3.9411786199993157</v>
      </c>
    </row>
    <row r="115" spans="1:27">
      <c r="A115" s="8">
        <v>9</v>
      </c>
      <c r="B115" s="70">
        <v>38160</v>
      </c>
      <c r="C115" s="12">
        <v>2004</v>
      </c>
      <c r="D115" s="11" t="s">
        <v>23</v>
      </c>
      <c r="E115" s="12">
        <v>6</v>
      </c>
      <c r="F115" s="13">
        <v>26.334599999999998</v>
      </c>
      <c r="G115" s="20">
        <v>1.0417678726300963</v>
      </c>
    </row>
    <row r="116" spans="1:27">
      <c r="A116" s="8">
        <v>10</v>
      </c>
      <c r="B116" s="70">
        <v>38160</v>
      </c>
      <c r="C116" s="12">
        <v>2004</v>
      </c>
      <c r="D116" s="11" t="s">
        <v>23</v>
      </c>
      <c r="E116" s="12">
        <v>6</v>
      </c>
      <c r="F116" s="13">
        <v>21.081700000000001</v>
      </c>
      <c r="G116" s="20">
        <v>0.43058469625330298</v>
      </c>
      <c r="I116" s="27">
        <f>AVERAGE(F115:F116)</f>
        <v>23.70815</v>
      </c>
      <c r="J116" s="27">
        <f>AVERAGE(G115:G116)</f>
        <v>0.73617628444169969</v>
      </c>
      <c r="L116">
        <f>+J116/I116</f>
        <v>3.1051612396652616E-2</v>
      </c>
      <c r="M116">
        <f>+(L116-$L$614)/$L$615</f>
        <v>1.9530229280159426</v>
      </c>
      <c r="N116">
        <f>+N114+M116</f>
        <v>-3.9309287577472936</v>
      </c>
      <c r="Z116">
        <f>+(I116-$F$614)/$F$615</f>
        <v>3.9815241175139864</v>
      </c>
      <c r="AA116">
        <f>+AA114+Z116</f>
        <v>7.9227027375133021</v>
      </c>
    </row>
    <row r="117" spans="1:27">
      <c r="A117" s="8">
        <v>9</v>
      </c>
      <c r="B117" s="70">
        <v>38182</v>
      </c>
      <c r="C117" s="12">
        <v>2004</v>
      </c>
      <c r="D117" s="15" t="s">
        <v>24</v>
      </c>
      <c r="E117" s="12">
        <v>7</v>
      </c>
      <c r="F117" s="13">
        <v>14.373200000000001</v>
      </c>
      <c r="G117" s="20">
        <v>0.53205327611241404</v>
      </c>
    </row>
    <row r="118" spans="1:27">
      <c r="A118" s="8">
        <v>10</v>
      </c>
      <c r="B118" s="70">
        <v>38183</v>
      </c>
      <c r="C118" s="12">
        <v>2004</v>
      </c>
      <c r="D118" s="15" t="s">
        <v>24</v>
      </c>
      <c r="E118" s="12">
        <v>7</v>
      </c>
      <c r="F118" s="13">
        <v>11.0466</v>
      </c>
      <c r="G118" s="20">
        <v>0.58769277208406878</v>
      </c>
      <c r="I118" s="27">
        <f>AVERAGE(F117:F118)</f>
        <v>12.709900000000001</v>
      </c>
      <c r="J118" s="27">
        <f>AVERAGE(G117:G118)</f>
        <v>0.55987302409824147</v>
      </c>
      <c r="L118">
        <f>+J118/I118</f>
        <v>4.4050151779183269E-2</v>
      </c>
      <c r="M118">
        <f>+(L118-$L$614)/$L$615</f>
        <v>3.1876914661549853</v>
      </c>
      <c r="N118">
        <f>+N116+M118</f>
        <v>-0.74323729159230822</v>
      </c>
      <c r="Z118">
        <f>+(I118-$F$614)/$F$615</f>
        <v>1.7488002830684277</v>
      </c>
      <c r="AA118">
        <f>+AA116+Z118</f>
        <v>9.6715030205817296</v>
      </c>
    </row>
    <row r="119" spans="1:27">
      <c r="A119" s="8">
        <v>9</v>
      </c>
      <c r="B119" s="70">
        <v>38218</v>
      </c>
      <c r="C119" s="12">
        <v>2004</v>
      </c>
      <c r="D119" s="15" t="s">
        <v>25</v>
      </c>
      <c r="E119" s="12">
        <v>8</v>
      </c>
      <c r="F119" s="13">
        <v>20.988299999999999</v>
      </c>
      <c r="G119" s="20">
        <v>0.44970641248038257</v>
      </c>
    </row>
    <row r="120" spans="1:27">
      <c r="A120" s="8">
        <v>10</v>
      </c>
      <c r="B120" s="70">
        <v>38218</v>
      </c>
      <c r="C120" s="12">
        <v>2004</v>
      </c>
      <c r="D120" s="15" t="s">
        <v>25</v>
      </c>
      <c r="E120" s="12">
        <v>8</v>
      </c>
      <c r="F120" s="13">
        <v>21.952300000000001</v>
      </c>
      <c r="G120" s="20">
        <v>0.42863335371410877</v>
      </c>
      <c r="I120" s="27">
        <f>AVERAGE(F119:F120)</f>
        <v>21.470300000000002</v>
      </c>
      <c r="J120" s="27">
        <f>AVERAGE(G119:G120)</f>
        <v>0.43916988309724569</v>
      </c>
      <c r="L120">
        <f>+J120/I120</f>
        <v>2.045476230407799E-2</v>
      </c>
      <c r="M120">
        <f>+(L120-$L$614)/$L$615</f>
        <v>0.94647926740578625</v>
      </c>
      <c r="N120">
        <f>+N118+M120</f>
        <v>0.20324197581347803</v>
      </c>
      <c r="Z120">
        <f>+(I120-$F$614)/$F$615</f>
        <v>3.5272244759424636</v>
      </c>
      <c r="AA120">
        <f>+AA118+Z120</f>
        <v>13.198727496524192</v>
      </c>
    </row>
    <row r="121" spans="1:27">
      <c r="A121" s="8">
        <v>9</v>
      </c>
      <c r="B121" s="70">
        <v>38246</v>
      </c>
      <c r="C121" s="12">
        <v>2004</v>
      </c>
      <c r="D121" s="15" t="s">
        <v>26</v>
      </c>
      <c r="E121" s="12">
        <v>9</v>
      </c>
      <c r="F121" s="13">
        <v>3.903</v>
      </c>
      <c r="G121" s="20">
        <v>6.9807625978256141E-2</v>
      </c>
    </row>
    <row r="122" spans="1:27">
      <c r="A122" s="8">
        <v>10</v>
      </c>
      <c r="B122" s="70">
        <v>38246</v>
      </c>
      <c r="C122" s="12">
        <v>2004</v>
      </c>
      <c r="D122" s="15" t="s">
        <v>26</v>
      </c>
      <c r="E122" s="12">
        <v>9</v>
      </c>
      <c r="F122" s="13">
        <v>3.9117999999999999</v>
      </c>
      <c r="G122" s="20">
        <v>0.1045687100298216</v>
      </c>
      <c r="I122" s="27">
        <f>AVERAGE(F121:F122)</f>
        <v>3.9074</v>
      </c>
      <c r="J122" s="27">
        <f>AVERAGE(G121:G122)</f>
        <v>8.7188168004038863E-2</v>
      </c>
      <c r="L122">
        <f>+J122/I122</f>
        <v>2.2313601884639111E-2</v>
      </c>
      <c r="M122">
        <f>+(L122-$L$614)/$L$615</f>
        <v>1.1230414702830431</v>
      </c>
      <c r="N122">
        <f>+N120+M122</f>
        <v>1.3262834460965212</v>
      </c>
      <c r="Z122">
        <f>+(I122-$F$614)/$F$615</f>
        <v>-3.8170512531511172E-2</v>
      </c>
      <c r="AA122">
        <f>+AA120+Z122</f>
        <v>13.160556983992681</v>
      </c>
    </row>
    <row r="123" spans="1:27">
      <c r="A123" s="8">
        <v>9</v>
      </c>
      <c r="B123" s="70">
        <v>38274</v>
      </c>
      <c r="C123" s="12">
        <v>2004</v>
      </c>
      <c r="D123" s="15" t="s">
        <v>14</v>
      </c>
      <c r="E123" s="12">
        <v>10</v>
      </c>
      <c r="F123" s="14">
        <v>1.80636</v>
      </c>
      <c r="G123" s="14">
        <v>1.6700792280480305E-2</v>
      </c>
    </row>
    <row r="124" spans="1:27">
      <c r="A124" s="8">
        <v>10</v>
      </c>
      <c r="B124" s="70">
        <v>38274</v>
      </c>
      <c r="C124" s="12">
        <v>2004</v>
      </c>
      <c r="D124" s="15" t="s">
        <v>14</v>
      </c>
      <c r="E124" s="12">
        <v>10</v>
      </c>
      <c r="F124" s="14">
        <v>1.2798799999999999</v>
      </c>
      <c r="G124" s="14">
        <v>9.7784607468209793E-3</v>
      </c>
      <c r="I124" s="27">
        <f>AVERAGE(F123:F124)</f>
        <v>1.54312</v>
      </c>
      <c r="J124" s="27">
        <f>AVERAGE(G123:G124)</f>
        <v>1.3239626513650642E-2</v>
      </c>
      <c r="L124">
        <f>+J124/I124</f>
        <v>8.5797776670969474E-3</v>
      </c>
      <c r="M124">
        <f>+(L124-$L$614)/$L$615</f>
        <v>-0.18146822659261444</v>
      </c>
      <c r="N124">
        <f>+N122+M124</f>
        <v>1.1448152195039067</v>
      </c>
      <c r="Z124">
        <f>+(I124-$F$614)/$F$615</f>
        <v>-0.51813635321552398</v>
      </c>
      <c r="AA124">
        <f>+AA122+Z124</f>
        <v>12.642420630777156</v>
      </c>
    </row>
    <row r="125" spans="1:27">
      <c r="A125" s="8">
        <v>9</v>
      </c>
      <c r="B125" s="70">
        <v>38309</v>
      </c>
      <c r="C125" s="12">
        <v>2004</v>
      </c>
      <c r="D125" s="15" t="s">
        <v>16</v>
      </c>
      <c r="E125" s="12">
        <v>11</v>
      </c>
      <c r="F125" s="14">
        <v>1.70296</v>
      </c>
      <c r="G125" s="14">
        <v>7.581858547183561E-3</v>
      </c>
    </row>
    <row r="126" spans="1:27">
      <c r="A126" s="8">
        <v>10</v>
      </c>
      <c r="B126" s="70">
        <v>38309</v>
      </c>
      <c r="C126" s="12">
        <v>2004</v>
      </c>
      <c r="D126" s="15" t="s">
        <v>16</v>
      </c>
      <c r="E126" s="12">
        <v>11</v>
      </c>
      <c r="F126" s="14">
        <v>1.3072299999999999</v>
      </c>
      <c r="G126" s="14">
        <v>0</v>
      </c>
      <c r="I126" s="27">
        <f>AVERAGE(F125:F126)</f>
        <v>1.5050949999999998</v>
      </c>
      <c r="J126" s="27">
        <f>AVERAGE(G125:G126)</f>
        <v>3.7909292735917805E-3</v>
      </c>
      <c r="L126">
        <f>+J126/I126</f>
        <v>2.5187308931275305E-3</v>
      </c>
      <c r="M126">
        <f>+(L126-$L$614)/$L$615</f>
        <v>-0.75717781516888538</v>
      </c>
      <c r="N126">
        <f>+N124+M126</f>
        <v>0.38763740433502136</v>
      </c>
      <c r="Z126">
        <f>+(I126-$F$614)/$F$615</f>
        <v>-0.52585570163957263</v>
      </c>
      <c r="AA126">
        <f>+AA124+Z126</f>
        <v>12.116564929137583</v>
      </c>
    </row>
    <row r="127" spans="1:27">
      <c r="A127" s="8">
        <v>9</v>
      </c>
      <c r="B127" s="70">
        <v>38337</v>
      </c>
      <c r="C127" s="12">
        <v>2004</v>
      </c>
      <c r="D127" s="15" t="s">
        <v>17</v>
      </c>
      <c r="E127" s="12">
        <v>12</v>
      </c>
      <c r="F127" s="14">
        <v>3.14832</v>
      </c>
      <c r="G127" s="14">
        <v>2.455715085436129E-2</v>
      </c>
    </row>
    <row r="128" spans="1:27">
      <c r="A128" s="8">
        <v>10</v>
      </c>
      <c r="B128" s="70">
        <v>38337</v>
      </c>
      <c r="C128" s="12">
        <v>2004</v>
      </c>
      <c r="D128" s="15" t="s">
        <v>17</v>
      </c>
      <c r="E128" s="12">
        <v>12</v>
      </c>
      <c r="F128" s="14">
        <v>2.37168</v>
      </c>
      <c r="G128" s="14">
        <v>1.9521436560508542E-2</v>
      </c>
      <c r="I128" s="27">
        <f>AVERAGE(F127:F128)</f>
        <v>2.76</v>
      </c>
      <c r="J128" s="27">
        <f>AVERAGE(G127:G128)</f>
        <v>2.2039293707434918E-2</v>
      </c>
      <c r="L128">
        <f>+J128/I128</f>
        <v>7.9852513432735212E-3</v>
      </c>
      <c r="M128">
        <f>+(L128-$L$614)/$L$615</f>
        <v>-0.23793941350972014</v>
      </c>
      <c r="N128">
        <f>+N126+M128</f>
        <v>0.14969799082530122</v>
      </c>
      <c r="Z128">
        <f>+(I128-$F$614)/$F$615</f>
        <v>-0.27110096307071824</v>
      </c>
      <c r="AA128">
        <f>+AA126+Z128</f>
        <v>11.845463966066864</v>
      </c>
    </row>
    <row r="129" spans="1:27">
      <c r="A129" s="8">
        <v>9</v>
      </c>
      <c r="B129" s="75">
        <v>38364</v>
      </c>
      <c r="C129" s="12">
        <v>2005</v>
      </c>
      <c r="D129" s="15" t="s">
        <v>18</v>
      </c>
      <c r="E129" s="12">
        <v>1</v>
      </c>
      <c r="F129" s="14">
        <v>4.34213</v>
      </c>
      <c r="G129" s="14">
        <v>1.2581201800703547E-2</v>
      </c>
    </row>
    <row r="130" spans="1:27">
      <c r="A130" s="8">
        <v>10</v>
      </c>
      <c r="B130" s="75">
        <v>38364</v>
      </c>
      <c r="C130" s="12">
        <v>2005</v>
      </c>
      <c r="D130" s="15" t="s">
        <v>18</v>
      </c>
      <c r="E130" s="12">
        <v>1</v>
      </c>
      <c r="F130" s="14">
        <v>2.0388500000000001</v>
      </c>
      <c r="G130" s="14">
        <v>7.4417889078136536E-3</v>
      </c>
      <c r="I130" s="27">
        <f>AVERAGE(F129:F130)</f>
        <v>3.19049</v>
      </c>
      <c r="J130" s="27">
        <f>AVERAGE(G129:G130)</f>
        <v>1.00114953542586E-2</v>
      </c>
      <c r="L130">
        <f>+J130/I130</f>
        <v>3.1379177976607357E-3</v>
      </c>
      <c r="M130">
        <f>+(L130-$L$614)/$L$615</f>
        <v>-0.69836423867718467</v>
      </c>
      <c r="N130">
        <f>+N128+M130</f>
        <v>-0.54866624785188345</v>
      </c>
      <c r="Z130">
        <f>+(I130-$F$614)/$F$615</f>
        <v>-0.18370839757252816</v>
      </c>
      <c r="AA130">
        <f>+AA128+Z130</f>
        <v>11.661755568494335</v>
      </c>
    </row>
    <row r="131" spans="1:27">
      <c r="A131" s="8">
        <v>9</v>
      </c>
      <c r="B131" s="75">
        <v>38398</v>
      </c>
      <c r="C131" s="12">
        <v>2005</v>
      </c>
      <c r="D131" s="11" t="s">
        <v>19</v>
      </c>
      <c r="E131" s="12">
        <v>2</v>
      </c>
      <c r="F131" s="14">
        <v>4.7915900000000002</v>
      </c>
      <c r="G131" s="14">
        <v>2.1331403742456834E-2</v>
      </c>
    </row>
    <row r="132" spans="1:27">
      <c r="A132" s="8">
        <v>10</v>
      </c>
      <c r="B132" s="75">
        <v>38398</v>
      </c>
      <c r="C132" s="12">
        <v>2005</v>
      </c>
      <c r="D132" s="11" t="s">
        <v>19</v>
      </c>
      <c r="E132" s="12">
        <v>2</v>
      </c>
      <c r="F132" s="14">
        <v>5.6125600000000002</v>
      </c>
      <c r="G132" s="14">
        <v>3.1936419151348538E-2</v>
      </c>
      <c r="I132" s="27">
        <f>AVERAGE(F131:F132)</f>
        <v>5.2020750000000007</v>
      </c>
      <c r="J132" s="27">
        <f>AVERAGE(G131:G132)</f>
        <v>2.6633911446902685E-2</v>
      </c>
      <c r="L132">
        <f>+J132/I132</f>
        <v>5.1198630252164146E-3</v>
      </c>
      <c r="M132">
        <f>+(L132-$L$614)/$L$615</f>
        <v>-0.51010882437528848</v>
      </c>
      <c r="N132">
        <f>+N130+M132</f>
        <v>-1.058775072227172</v>
      </c>
      <c r="Z132">
        <f>+(I132-$F$614)/$F$615</f>
        <v>0.22465782200905707</v>
      </c>
      <c r="AA132">
        <f>+AA130+Z132</f>
        <v>11.886413390503392</v>
      </c>
    </row>
    <row r="133" spans="1:27">
      <c r="A133" s="8">
        <v>9</v>
      </c>
      <c r="B133" s="75">
        <v>38427</v>
      </c>
      <c r="C133" s="12">
        <v>2005</v>
      </c>
      <c r="D133" s="11" t="s">
        <v>20</v>
      </c>
      <c r="E133" s="12">
        <v>3</v>
      </c>
      <c r="F133" s="14">
        <v>3.0385599999999999</v>
      </c>
      <c r="G133" s="14">
        <v>1.9567028787043885E-2</v>
      </c>
    </row>
    <row r="134" spans="1:27">
      <c r="A134" s="8">
        <v>10</v>
      </c>
      <c r="B134" s="75">
        <v>38427</v>
      </c>
      <c r="C134" s="12">
        <v>2005</v>
      </c>
      <c r="D134" s="11" t="s">
        <v>20</v>
      </c>
      <c r="E134" s="12">
        <v>3</v>
      </c>
      <c r="F134" s="14">
        <v>2.036</v>
      </c>
      <c r="G134" s="14">
        <v>1.6046769807242508E-2</v>
      </c>
      <c r="I134" s="27">
        <f>AVERAGE(F133:F134)</f>
        <v>2.53728</v>
      </c>
      <c r="J134" s="27">
        <f>AVERAGE(G133:G134)</f>
        <v>1.7806899297143196E-2</v>
      </c>
      <c r="L134">
        <f>+J134/I134</f>
        <v>7.0181057262671829E-3</v>
      </c>
      <c r="M134">
        <f>+(L134-$L$614)/$L$615</f>
        <v>-0.32980390920233704</v>
      </c>
      <c r="N134">
        <f>+N132+M134</f>
        <v>-1.3885789814295091</v>
      </c>
      <c r="Z134">
        <f>+(I134-$F$614)/$F$615</f>
        <v>-0.31631472456983983</v>
      </c>
      <c r="AA134">
        <f>+AA132+Z134</f>
        <v>11.570098665933553</v>
      </c>
    </row>
    <row r="135" spans="1:27">
      <c r="A135" s="8">
        <v>9</v>
      </c>
      <c r="B135" s="75">
        <v>38470</v>
      </c>
      <c r="C135" s="12">
        <v>2005</v>
      </c>
      <c r="D135" s="11" t="s">
        <v>21</v>
      </c>
      <c r="E135" s="12">
        <v>4</v>
      </c>
      <c r="F135" s="14">
        <v>3.6966299999999999</v>
      </c>
      <c r="G135" s="14">
        <v>3.2408548870282113E-2</v>
      </c>
    </row>
    <row r="136" spans="1:27">
      <c r="A136" s="8">
        <v>10</v>
      </c>
      <c r="B136" s="75">
        <v>38470</v>
      </c>
      <c r="C136" s="12">
        <v>2005</v>
      </c>
      <c r="D136" s="11" t="s">
        <v>21</v>
      </c>
      <c r="E136" s="12">
        <v>4</v>
      </c>
      <c r="F136" s="14">
        <v>3.004</v>
      </c>
      <c r="G136" s="14">
        <v>2.5122485168123029E-2</v>
      </c>
      <c r="I136" s="27">
        <f>AVERAGE(F135:F136)</f>
        <v>3.3503150000000002</v>
      </c>
      <c r="J136" s="27">
        <f>AVERAGE(G135:G136)</f>
        <v>2.8765517019202571E-2</v>
      </c>
      <c r="L136">
        <f>+J136/I136</f>
        <v>8.5859141660418713E-3</v>
      </c>
      <c r="M136">
        <f>+(L136-$L$614)/$L$615</f>
        <v>-0.18088535016637508</v>
      </c>
      <c r="N136">
        <f>+N134+M136</f>
        <v>-1.5694643315958841</v>
      </c>
      <c r="Z136">
        <f>+(I136-$F$614)/$F$615</f>
        <v>-0.1512627733286474</v>
      </c>
      <c r="AA136">
        <f>+AA134+Z136</f>
        <v>11.418835892604905</v>
      </c>
    </row>
    <row r="137" spans="1:27">
      <c r="A137" s="8">
        <v>9</v>
      </c>
      <c r="B137" s="75">
        <v>38488</v>
      </c>
      <c r="C137" s="12">
        <v>2005</v>
      </c>
      <c r="D137" s="11" t="s">
        <v>22</v>
      </c>
      <c r="E137" s="12">
        <v>5</v>
      </c>
      <c r="F137" s="14">
        <v>6.0048199999999996</v>
      </c>
      <c r="G137" s="14">
        <v>1.2604312796448462E-2</v>
      </c>
    </row>
    <row r="138" spans="1:27">
      <c r="A138" s="8">
        <v>10</v>
      </c>
      <c r="B138" s="75">
        <v>38488</v>
      </c>
      <c r="C138" s="12">
        <v>2005</v>
      </c>
      <c r="D138" s="11" t="s">
        <v>22</v>
      </c>
      <c r="E138" s="12">
        <v>5</v>
      </c>
      <c r="F138" s="14">
        <v>4.00244</v>
      </c>
      <c r="G138" s="14">
        <v>2.1756917182649955E-2</v>
      </c>
      <c r="I138" s="27">
        <f>AVERAGE(F137:F138)</f>
        <v>5.0036299999999994</v>
      </c>
      <c r="J138" s="27">
        <f>AVERAGE(G137:G138)</f>
        <v>1.718061498954921E-2</v>
      </c>
      <c r="L138">
        <f>+J138/I138</f>
        <v>3.4336301823974218E-3</v>
      </c>
      <c r="M138">
        <f>+(L138-$L$614)/$L$615</f>
        <v>-0.67027594606000507</v>
      </c>
      <c r="N138">
        <f>+N136+M138</f>
        <v>-2.2397402776558892</v>
      </c>
      <c r="Z138">
        <f>+(I138-$F$614)/$F$615</f>
        <v>0.18437206006269727</v>
      </c>
      <c r="AA138">
        <f>+AA136+Z138</f>
        <v>11.603207952667603</v>
      </c>
    </row>
    <row r="139" spans="1:27">
      <c r="A139" s="8">
        <v>9</v>
      </c>
      <c r="B139" s="75">
        <v>38525</v>
      </c>
      <c r="C139" s="12">
        <v>2005</v>
      </c>
      <c r="D139" s="11" t="s">
        <v>23</v>
      </c>
      <c r="E139" s="12">
        <v>6</v>
      </c>
      <c r="F139" s="14">
        <v>15.88509</v>
      </c>
      <c r="G139" s="14">
        <v>0.37487040181041797</v>
      </c>
    </row>
    <row r="140" spans="1:27">
      <c r="A140" s="8">
        <v>10</v>
      </c>
      <c r="B140" s="75">
        <v>38525</v>
      </c>
      <c r="C140" s="12">
        <v>2005</v>
      </c>
      <c r="D140" s="11" t="s">
        <v>23</v>
      </c>
      <c r="E140" s="12">
        <v>6</v>
      </c>
      <c r="F140" s="14">
        <v>6.5588699999999998</v>
      </c>
      <c r="G140" s="14">
        <v>0.23302284243004523</v>
      </c>
      <c r="I140" s="27">
        <f>AVERAGE(F139:F140)</f>
        <v>11.22198</v>
      </c>
      <c r="J140" s="27">
        <f>AVERAGE(G139:G140)</f>
        <v>0.3039466221202316</v>
      </c>
      <c r="L140">
        <f>+J140/I140</f>
        <v>2.708493707173169E-2</v>
      </c>
      <c r="M140">
        <f>+(L140-$L$614)/$L$615</f>
        <v>1.5762475780659053</v>
      </c>
      <c r="N140">
        <f>+N138+M140</f>
        <v>-0.66349269958998391</v>
      </c>
      <c r="Z140">
        <f>+(I140-$F$614)/$F$615</f>
        <v>1.4467418239728229</v>
      </c>
      <c r="AA140">
        <f>+AA138+Z140</f>
        <v>13.049949776640426</v>
      </c>
    </row>
    <row r="141" spans="1:27">
      <c r="A141" s="8">
        <v>9</v>
      </c>
      <c r="B141" s="75">
        <v>38546</v>
      </c>
      <c r="C141" s="12">
        <v>2005</v>
      </c>
      <c r="D141" s="15" t="s">
        <v>24</v>
      </c>
      <c r="E141" s="12">
        <v>7</v>
      </c>
      <c r="F141" s="14">
        <v>15.474449999999999</v>
      </c>
      <c r="G141" s="14">
        <v>0.70814635511566504</v>
      </c>
    </row>
    <row r="142" spans="1:27">
      <c r="A142" s="8">
        <v>10</v>
      </c>
      <c r="B142" s="75">
        <v>38546</v>
      </c>
      <c r="C142" s="12">
        <v>2005</v>
      </c>
      <c r="D142" s="15" t="s">
        <v>24</v>
      </c>
      <c r="E142" s="12">
        <v>7</v>
      </c>
      <c r="F142" s="14">
        <v>17.4208</v>
      </c>
      <c r="G142" s="14">
        <v>0.70396778496912493</v>
      </c>
      <c r="I142" s="27">
        <f>AVERAGE(F141:F142)</f>
        <v>16.447624999999999</v>
      </c>
      <c r="J142" s="27">
        <f>AVERAGE(G141:G142)</f>
        <v>0.70605707004239493</v>
      </c>
      <c r="L142">
        <f>+J142/I142</f>
        <v>4.2927600188014683E-2</v>
      </c>
      <c r="M142">
        <f>+(L142-$L$614)/$L$615</f>
        <v>3.0810657068087886</v>
      </c>
      <c r="N142">
        <f>+N140+M142</f>
        <v>2.4175730072188046</v>
      </c>
      <c r="Z142">
        <f>+(I142-$F$614)/$F$615</f>
        <v>2.5075853346996437</v>
      </c>
      <c r="AA142">
        <f>+AA140+Z142</f>
        <v>15.557535111340069</v>
      </c>
    </row>
    <row r="143" spans="1:27">
      <c r="A143" s="8">
        <v>9</v>
      </c>
      <c r="B143" s="75">
        <v>38594</v>
      </c>
      <c r="C143" s="12">
        <v>2005</v>
      </c>
      <c r="D143" s="15" t="s">
        <v>25</v>
      </c>
      <c r="E143" s="12">
        <v>8</v>
      </c>
      <c r="F143" s="14">
        <v>23.904499999999999</v>
      </c>
      <c r="G143" s="14">
        <v>1.8038390085206482</v>
      </c>
    </row>
    <row r="144" spans="1:27">
      <c r="A144" s="8">
        <v>10</v>
      </c>
      <c r="B144" s="75">
        <v>38594</v>
      </c>
      <c r="C144" s="12">
        <v>2005</v>
      </c>
      <c r="D144" s="15" t="s">
        <v>25</v>
      </c>
      <c r="E144" s="12">
        <v>8</v>
      </c>
      <c r="F144" s="14">
        <v>39.264499999999998</v>
      </c>
      <c r="G144" s="14">
        <v>2.4169488717297396</v>
      </c>
      <c r="I144" s="27">
        <f>AVERAGE(F143:F144)</f>
        <v>31.584499999999998</v>
      </c>
      <c r="J144" s="27">
        <f>AVERAGE(G143:G144)</f>
        <v>2.1103939401251939</v>
      </c>
      <c r="L144">
        <f>+J144/I144</f>
        <v>6.6817392712412549E-2</v>
      </c>
      <c r="M144">
        <f>+(L144-$L$614)/$L$615</f>
        <v>5.3502418307188604</v>
      </c>
      <c r="N144">
        <f>+N142+M144</f>
        <v>7.7678148379376655</v>
      </c>
      <c r="Z144">
        <f>+(I144-$F$614)/$F$615</f>
        <v>5.5804798035035992</v>
      </c>
      <c r="AA144">
        <f>+AA142+Z144</f>
        <v>21.138014914843669</v>
      </c>
    </row>
    <row r="145" spans="1:27">
      <c r="A145" s="8">
        <v>9</v>
      </c>
      <c r="B145" s="75">
        <v>38609</v>
      </c>
      <c r="C145" s="12">
        <v>2005</v>
      </c>
      <c r="D145" s="15" t="s">
        <v>26</v>
      </c>
      <c r="E145" s="12">
        <v>9</v>
      </c>
      <c r="F145" s="14">
        <v>20.782630000000001</v>
      </c>
      <c r="G145" s="14">
        <v>0.62984945756091204</v>
      </c>
    </row>
    <row r="146" spans="1:27">
      <c r="A146" s="8">
        <v>10</v>
      </c>
      <c r="B146" s="75">
        <v>38609</v>
      </c>
      <c r="C146" s="12">
        <v>2005</v>
      </c>
      <c r="D146" s="15" t="s">
        <v>26</v>
      </c>
      <c r="E146" s="12">
        <v>9</v>
      </c>
      <c r="F146" s="14">
        <v>17.379480000000001</v>
      </c>
      <c r="G146" s="14">
        <v>0.61842591350802079</v>
      </c>
      <c r="I146" s="27">
        <f>AVERAGE(F145:F146)</f>
        <v>19.081054999999999</v>
      </c>
      <c r="J146" s="27">
        <f>AVERAGE(G145:G146)</f>
        <v>0.62413768553446647</v>
      </c>
      <c r="L146">
        <f>+J146/I146</f>
        <v>3.2709810098784708E-2</v>
      </c>
      <c r="M146">
        <f>+(L146-$L$614)/$L$615</f>
        <v>2.1105271269560522</v>
      </c>
      <c r="N146">
        <f>+N144+M146</f>
        <v>9.8783419648937176</v>
      </c>
      <c r="Z146">
        <f>+(I146-$F$614)/$F$615</f>
        <v>3.0421905607441477</v>
      </c>
      <c r="AA146">
        <f>+AA144+Z146</f>
        <v>24.180205475587819</v>
      </c>
    </row>
    <row r="147" spans="1:27">
      <c r="A147" s="8">
        <v>9</v>
      </c>
      <c r="B147" s="75">
        <v>38643</v>
      </c>
      <c r="C147" s="12">
        <v>2005</v>
      </c>
      <c r="D147" s="15" t="s">
        <v>14</v>
      </c>
      <c r="E147" s="12">
        <v>10</v>
      </c>
      <c r="F147" s="14">
        <v>3.8508</v>
      </c>
      <c r="G147" s="14">
        <v>3.4500000000000003E-2</v>
      </c>
    </row>
    <row r="148" spans="1:27">
      <c r="A148" s="8">
        <v>10</v>
      </c>
      <c r="B148" s="75">
        <v>38643</v>
      </c>
      <c r="C148" s="12">
        <v>2005</v>
      </c>
      <c r="D148" s="15" t="s">
        <v>14</v>
      </c>
      <c r="E148" s="12">
        <v>10</v>
      </c>
      <c r="F148" s="14">
        <v>3.9016000000000002</v>
      </c>
      <c r="G148" s="14">
        <v>3.3399999999999999E-2</v>
      </c>
      <c r="I148" s="27">
        <f>AVERAGE(F147:F148)</f>
        <v>3.8761999999999999</v>
      </c>
      <c r="J148" s="27">
        <f>AVERAGE(G147:G148)</f>
        <v>3.3950000000000001E-2</v>
      </c>
      <c r="L148">
        <f>+J148/I148</f>
        <v>8.7585779887518703E-3</v>
      </c>
      <c r="M148">
        <f>+(L148-$L$614)/$L$615</f>
        <v>-0.1644848467481711</v>
      </c>
      <c r="N148">
        <f>+N146+M148</f>
        <v>9.7138571181455458</v>
      </c>
      <c r="Z148">
        <f>+(I148-$F$614)/$F$615</f>
        <v>-4.4504336879448499E-2</v>
      </c>
      <c r="AA148">
        <f>+AA146+Z148</f>
        <v>24.13570113870837</v>
      </c>
    </row>
    <row r="149" spans="1:27">
      <c r="A149" s="8">
        <v>9</v>
      </c>
      <c r="B149" s="75">
        <v>38670</v>
      </c>
      <c r="C149" s="12">
        <v>2005</v>
      </c>
      <c r="D149" s="15" t="s">
        <v>16</v>
      </c>
      <c r="E149" s="12">
        <v>11</v>
      </c>
      <c r="F149" s="14">
        <v>0.92330000000000001</v>
      </c>
      <c r="G149" s="14">
        <v>1E-4</v>
      </c>
    </row>
    <row r="150" spans="1:27">
      <c r="A150" s="8">
        <v>10</v>
      </c>
      <c r="B150" s="75">
        <v>38670</v>
      </c>
      <c r="C150" s="12">
        <v>2005</v>
      </c>
      <c r="D150" s="15" t="s">
        <v>16</v>
      </c>
      <c r="E150" s="12">
        <v>11</v>
      </c>
      <c r="F150" s="14">
        <v>1.599</v>
      </c>
      <c r="G150" s="14">
        <v>4.5999999999999999E-3</v>
      </c>
      <c r="I150" s="27">
        <f>AVERAGE(F149:F150)</f>
        <v>1.26115</v>
      </c>
      <c r="J150" s="27">
        <f>AVERAGE(G149:G150)</f>
        <v>2.3500000000000001E-3</v>
      </c>
      <c r="L150">
        <f>+J150/I150</f>
        <v>1.8633786623319987E-3</v>
      </c>
      <c r="M150">
        <f>+(L150-$L$614)/$L$615</f>
        <v>-0.81942656150494875</v>
      </c>
      <c r="N150">
        <f>+N148+M150</f>
        <v>8.8944305566405966</v>
      </c>
      <c r="Z150">
        <f>+(I150-$F$614)/$F$615</f>
        <v>-0.57537829076000746</v>
      </c>
      <c r="AA150">
        <f>+AA148+Z150</f>
        <v>23.560322847948363</v>
      </c>
    </row>
    <row r="151" spans="1:27">
      <c r="A151" s="8">
        <v>9</v>
      </c>
      <c r="B151" s="75">
        <v>38706</v>
      </c>
      <c r="C151" s="12">
        <v>2005</v>
      </c>
      <c r="D151" s="15" t="s">
        <v>17</v>
      </c>
      <c r="E151" s="12">
        <v>12</v>
      </c>
      <c r="F151" s="14">
        <v>1.6493</v>
      </c>
      <c r="G151" s="14">
        <v>4.7000000000000002E-3</v>
      </c>
    </row>
    <row r="152" spans="1:27">
      <c r="A152" s="8">
        <v>10</v>
      </c>
      <c r="B152" s="75">
        <v>38706</v>
      </c>
      <c r="C152" s="12">
        <v>2005</v>
      </c>
      <c r="D152" s="15" t="s">
        <v>17</v>
      </c>
      <c r="E152" s="12">
        <v>12</v>
      </c>
      <c r="F152" s="14">
        <v>2.7669999999999999</v>
      </c>
      <c r="G152" s="14">
        <v>5.7000000000000002E-3</v>
      </c>
      <c r="I152" s="27">
        <f>AVERAGE(F151:F152)</f>
        <v>2.2081499999999998</v>
      </c>
      <c r="J152" s="27">
        <f>AVERAGE(G151:G152)</f>
        <v>5.1999999999999998E-3</v>
      </c>
      <c r="L152">
        <f>+J152/I152</f>
        <v>2.3549124833005006E-3</v>
      </c>
      <c r="M152">
        <f>+(L152-$L$614)/$L$615</f>
        <v>-0.77273813549635462</v>
      </c>
      <c r="N152">
        <f>+N150+M152</f>
        <v>8.1216924211442425</v>
      </c>
      <c r="Z152">
        <f>+(I152-$F$614)/$F$615</f>
        <v>-0.38313048122485921</v>
      </c>
      <c r="AA152">
        <f>+AA150+Z152</f>
        <v>23.177192366723503</v>
      </c>
    </row>
    <row r="153" spans="1:27">
      <c r="A153" s="12">
        <v>9</v>
      </c>
      <c r="B153" s="75">
        <v>38737</v>
      </c>
      <c r="C153" s="12">
        <v>2006</v>
      </c>
      <c r="D153" s="11" t="s">
        <v>18</v>
      </c>
      <c r="E153" s="12">
        <v>1</v>
      </c>
      <c r="F153" s="14">
        <v>4.6208</v>
      </c>
      <c r="G153" s="14">
        <v>3.39E-2</v>
      </c>
    </row>
    <row r="154" spans="1:27">
      <c r="A154" s="12">
        <v>10</v>
      </c>
      <c r="B154" s="75">
        <v>38737</v>
      </c>
      <c r="C154" s="12">
        <v>2006</v>
      </c>
      <c r="D154" s="11" t="s">
        <v>18</v>
      </c>
      <c r="E154" s="12">
        <v>1</v>
      </c>
      <c r="F154" s="14">
        <v>3.3401000000000001</v>
      </c>
      <c r="G154" s="14">
        <v>2.8899999999999999E-2</v>
      </c>
      <c r="I154" s="27">
        <f>AVERAGE(F153:F154)</f>
        <v>3.9804500000000003</v>
      </c>
      <c r="J154" s="27">
        <f>AVERAGE(G153:G154)</f>
        <v>3.1399999999999997E-2</v>
      </c>
      <c r="L154">
        <f>+J154/I154</f>
        <v>7.8885553140976509E-3</v>
      </c>
      <c r="M154">
        <f>+(L154-$L$614)/$L$615</f>
        <v>-0.24712410276387378</v>
      </c>
      <c r="N154">
        <f>+N152+M154</f>
        <v>7.8745683183803683</v>
      </c>
      <c r="Z154">
        <f>+(I154-$F$614)/$F$615</f>
        <v>-2.3340837255330996E-2</v>
      </c>
      <c r="AA154">
        <f>+AA152+Z154</f>
        <v>23.15385152946817</v>
      </c>
    </row>
    <row r="155" spans="1:27">
      <c r="A155" s="12">
        <v>9</v>
      </c>
      <c r="B155" s="75">
        <v>38763</v>
      </c>
      <c r="C155" s="15">
        <v>2006</v>
      </c>
      <c r="D155" s="11" t="s">
        <v>28</v>
      </c>
      <c r="E155" s="15">
        <v>2</v>
      </c>
      <c r="F155" s="14">
        <v>2.9337</v>
      </c>
      <c r="G155" s="14">
        <v>3.8600000000000002E-2</v>
      </c>
    </row>
    <row r="156" spans="1:27">
      <c r="A156" s="12">
        <v>10</v>
      </c>
      <c r="B156" s="75">
        <v>38763</v>
      </c>
      <c r="C156" s="15">
        <v>2006</v>
      </c>
      <c r="D156" s="11" t="s">
        <v>28</v>
      </c>
      <c r="E156" s="15">
        <v>2</v>
      </c>
      <c r="F156" s="14">
        <v>6.0673000000000004</v>
      </c>
      <c r="G156" s="14">
        <v>3.6200000000000003E-2</v>
      </c>
      <c r="I156" s="27">
        <f>AVERAGE(F155:F156)</f>
        <v>4.5005000000000006</v>
      </c>
      <c r="J156" s="27">
        <f>AVERAGE(G155:G156)</f>
        <v>3.7400000000000003E-2</v>
      </c>
      <c r="L156">
        <f>+J156/I156</f>
        <v>8.3101877569158981E-3</v>
      </c>
      <c r="M156">
        <f>+(L156-$L$614)/$L$615</f>
        <v>-0.2070752713924025</v>
      </c>
      <c r="N156">
        <f>+N154+M156</f>
        <v>7.6674930469879659</v>
      </c>
      <c r="Z156">
        <f>+(I156-$F$614)/$F$615</f>
        <v>8.2233052236489371E-2</v>
      </c>
      <c r="AA156">
        <f>+AA154+Z156</f>
        <v>23.23608458170466</v>
      </c>
    </row>
    <row r="157" spans="1:27">
      <c r="A157" s="12">
        <v>9</v>
      </c>
      <c r="B157" s="75">
        <v>38792</v>
      </c>
      <c r="C157" s="12">
        <v>2006</v>
      </c>
      <c r="D157" s="11" t="s">
        <v>29</v>
      </c>
      <c r="E157" s="15">
        <v>3</v>
      </c>
      <c r="F157" s="14">
        <v>0.81259999999999999</v>
      </c>
      <c r="G157" s="14">
        <v>1.0800000000000001E-2</v>
      </c>
    </row>
    <row r="158" spans="1:27">
      <c r="A158" s="12">
        <v>10</v>
      </c>
      <c r="B158" s="75">
        <v>38792</v>
      </c>
      <c r="C158" s="12">
        <v>2006</v>
      </c>
      <c r="D158" s="11" t="s">
        <v>29</v>
      </c>
      <c r="E158" s="15">
        <v>3</v>
      </c>
      <c r="F158" s="14">
        <v>1.3021</v>
      </c>
      <c r="G158" s="14">
        <v>1.8700000000000001E-2</v>
      </c>
      <c r="I158" s="27">
        <f>AVERAGE(F157:F158)</f>
        <v>1.05735</v>
      </c>
      <c r="J158" s="27">
        <f>AVERAGE(G157:G158)</f>
        <v>1.4750000000000001E-2</v>
      </c>
      <c r="L158">
        <f>+J158/I158</f>
        <v>1.3949969262779591E-2</v>
      </c>
      <c r="M158">
        <f>+(L158-$L$614)/$L$615</f>
        <v>0.32862036196672589</v>
      </c>
      <c r="N158">
        <f>+N156+M158</f>
        <v>7.9961134089546917</v>
      </c>
      <c r="Z158">
        <f>+(I158-$F$614)/$F$615</f>
        <v>-0.61675115621223886</v>
      </c>
      <c r="AA158">
        <f>+AA156+Z158</f>
        <v>22.619333425492421</v>
      </c>
    </row>
    <row r="159" spans="1:27">
      <c r="A159" s="12">
        <v>9</v>
      </c>
      <c r="B159" s="74">
        <v>38826</v>
      </c>
      <c r="C159" s="12">
        <v>2006</v>
      </c>
      <c r="D159" s="11" t="s">
        <v>30</v>
      </c>
      <c r="E159" s="12">
        <v>4</v>
      </c>
      <c r="F159" s="14">
        <v>1.1544000000000001</v>
      </c>
      <c r="G159" s="14">
        <v>1.83E-2</v>
      </c>
    </row>
    <row r="160" spans="1:27">
      <c r="A160" s="12">
        <v>10</v>
      </c>
      <c r="B160" s="74">
        <v>38826</v>
      </c>
      <c r="C160" s="12">
        <v>2006</v>
      </c>
      <c r="D160" s="11" t="s">
        <v>30</v>
      </c>
      <c r="E160" s="12">
        <v>4</v>
      </c>
      <c r="F160" s="14">
        <v>0.94199999999999995</v>
      </c>
      <c r="G160" s="14">
        <v>1.7999999999999999E-2</v>
      </c>
      <c r="I160" s="27">
        <f>AVERAGE(F159:F160)</f>
        <v>1.0482</v>
      </c>
      <c r="J160" s="27">
        <f>AVERAGE(G159:G160)</f>
        <v>1.8149999999999999E-2</v>
      </c>
      <c r="L160">
        <f>+J160/I160</f>
        <v>1.7315397824842586E-2</v>
      </c>
      <c r="M160">
        <f>+(L160-$L$614)/$L$615</f>
        <v>0.64828618292181339</v>
      </c>
      <c r="N160">
        <f>+N158+M160</f>
        <v>8.6443995918765051</v>
      </c>
      <c r="Z160">
        <f>+(I160-$F$614)/$F$615</f>
        <v>-0.61860867200658587</v>
      </c>
      <c r="AA160">
        <f>+AA158+Z160</f>
        <v>22.000724753485834</v>
      </c>
    </row>
    <row r="161" spans="1:27">
      <c r="A161" s="12">
        <v>9</v>
      </c>
      <c r="B161" s="74">
        <v>38853</v>
      </c>
      <c r="C161" s="12">
        <v>2006</v>
      </c>
      <c r="D161" s="11" t="s">
        <v>31</v>
      </c>
      <c r="E161" s="12">
        <v>5</v>
      </c>
      <c r="F161" s="14">
        <v>1.7291000000000001</v>
      </c>
      <c r="G161" s="14">
        <v>1.5900000000000001E-2</v>
      </c>
    </row>
    <row r="162" spans="1:27">
      <c r="A162" s="12">
        <v>10</v>
      </c>
      <c r="B162" s="74">
        <v>38853</v>
      </c>
      <c r="C162" s="12">
        <v>2006</v>
      </c>
      <c r="D162" s="11" t="s">
        <v>31</v>
      </c>
      <c r="E162" s="12">
        <v>5</v>
      </c>
      <c r="F162" s="14">
        <v>4.9337999999999997</v>
      </c>
      <c r="G162" s="14">
        <v>3.4599999999999999E-2</v>
      </c>
      <c r="I162" s="27">
        <f>AVERAGE(F161:F162)</f>
        <v>3.3314499999999998</v>
      </c>
      <c r="J162" s="27">
        <f>AVERAGE(G161:G162)</f>
        <v>2.5250000000000002E-2</v>
      </c>
      <c r="L162">
        <f>+J162/I162</f>
        <v>7.5792822944963914E-3</v>
      </c>
      <c r="M162">
        <f>+(L162-$L$614)/$L$615</f>
        <v>-0.27650045465692724</v>
      </c>
      <c r="N162">
        <f>+N160+M162</f>
        <v>8.3678991372195775</v>
      </c>
      <c r="Z162">
        <f>+(I162-$F$614)/$F$615</f>
        <v>-0.1550925039800525</v>
      </c>
      <c r="AA162">
        <f>+AA160+Z162</f>
        <v>21.84563224950578</v>
      </c>
    </row>
    <row r="163" spans="1:27">
      <c r="A163" s="12">
        <v>9</v>
      </c>
      <c r="B163" s="74">
        <v>38884</v>
      </c>
      <c r="C163" s="12">
        <v>2006</v>
      </c>
      <c r="D163" s="11" t="s">
        <v>32</v>
      </c>
      <c r="E163" s="12">
        <v>6</v>
      </c>
      <c r="F163" s="14">
        <v>14.875500000000001</v>
      </c>
      <c r="G163" s="14">
        <v>0.36430000000000001</v>
      </c>
    </row>
    <row r="164" spans="1:27">
      <c r="A164" s="12">
        <v>10</v>
      </c>
      <c r="B164" s="74">
        <v>38884</v>
      </c>
      <c r="C164" s="12">
        <v>2006</v>
      </c>
      <c r="D164" s="11" t="s">
        <v>32</v>
      </c>
      <c r="E164" s="12">
        <v>6</v>
      </c>
      <c r="F164" s="14">
        <v>18.331600000000002</v>
      </c>
      <c r="G164" s="14">
        <v>0.55189999999999995</v>
      </c>
      <c r="I164" s="27">
        <f>AVERAGE(F163:F164)</f>
        <v>16.603550000000002</v>
      </c>
      <c r="J164" s="27">
        <f>AVERAGE(G163:G164)</f>
        <v>0.45809999999999995</v>
      </c>
      <c r="L164">
        <f>+J164/I164</f>
        <v>2.7590485167328666E-2</v>
      </c>
      <c r="M164">
        <f>+(L164-$L$614)/$L$615</f>
        <v>1.6242671524027392</v>
      </c>
      <c r="N164">
        <f>+N162+M164</f>
        <v>9.9921662896223165</v>
      </c>
      <c r="Z164">
        <f>+(I164-$F$614)/$F$615</f>
        <v>2.5392392309000327</v>
      </c>
      <c r="AA164">
        <f>+AA162+Z164</f>
        <v>24.384871480405813</v>
      </c>
    </row>
    <row r="165" spans="1:27">
      <c r="A165" s="12">
        <v>9</v>
      </c>
      <c r="B165" s="74">
        <v>38915</v>
      </c>
      <c r="C165" s="12">
        <v>2006</v>
      </c>
      <c r="D165" s="11" t="s">
        <v>33</v>
      </c>
      <c r="E165" s="12">
        <v>7</v>
      </c>
      <c r="F165" s="14">
        <v>15.460800000000001</v>
      </c>
      <c r="G165" s="14">
        <v>0.69030000000000002</v>
      </c>
    </row>
    <row r="166" spans="1:27">
      <c r="A166" s="12">
        <v>10</v>
      </c>
      <c r="B166" s="74">
        <v>38915</v>
      </c>
      <c r="C166" s="12">
        <v>2006</v>
      </c>
      <c r="D166" s="11" t="s">
        <v>33</v>
      </c>
      <c r="E166" s="12">
        <v>7</v>
      </c>
      <c r="F166" s="14">
        <v>15.3445</v>
      </c>
      <c r="G166" s="14">
        <v>0.85440000000000005</v>
      </c>
      <c r="I166" s="27">
        <f>AVERAGE(F165:F166)</f>
        <v>15.402650000000001</v>
      </c>
      <c r="J166" s="27">
        <f>AVERAGE(G165:G166)</f>
        <v>0.77235000000000009</v>
      </c>
      <c r="L166">
        <f>+J166/I166</f>
        <v>5.0143968732653151E-2</v>
      </c>
      <c r="M166">
        <f>+(L166-$L$614)/$L$615</f>
        <v>3.7665137359662548</v>
      </c>
      <c r="N166">
        <f>+N164+M166</f>
        <v>13.758680025588571</v>
      </c>
      <c r="Z166">
        <f>+(I166-$F$614)/$F$615</f>
        <v>2.2954478956616384</v>
      </c>
      <c r="AA166">
        <f>+AA164+Z166</f>
        <v>26.680319376067452</v>
      </c>
    </row>
    <row r="167" spans="1:27">
      <c r="A167" s="12">
        <v>9</v>
      </c>
      <c r="B167" s="74">
        <v>38952</v>
      </c>
      <c r="C167" s="12">
        <v>2006</v>
      </c>
      <c r="D167" s="11" t="s">
        <v>34</v>
      </c>
      <c r="E167" s="12">
        <v>8</v>
      </c>
      <c r="F167" s="14">
        <v>15.3225</v>
      </c>
      <c r="G167" s="14">
        <v>0.48080000000000001</v>
      </c>
    </row>
    <row r="168" spans="1:27">
      <c r="A168" s="12">
        <v>10</v>
      </c>
      <c r="B168" s="74">
        <v>38952</v>
      </c>
      <c r="C168" s="12">
        <v>2006</v>
      </c>
      <c r="D168" s="11" t="s">
        <v>34</v>
      </c>
      <c r="E168" s="12">
        <v>8</v>
      </c>
      <c r="F168" s="14">
        <v>10.6037</v>
      </c>
      <c r="G168" s="14">
        <v>0.62460000000000004</v>
      </c>
      <c r="I168" s="27">
        <f>AVERAGE(F167:F168)</f>
        <v>12.963100000000001</v>
      </c>
      <c r="J168" s="27">
        <f>AVERAGE(G167:G168)</f>
        <v>0.55269999999999997</v>
      </c>
      <c r="L168">
        <f>+J168/I168</f>
        <v>4.263640641513218E-2</v>
      </c>
      <c r="M168">
        <f>+(L168-$L$614)/$L$615</f>
        <v>3.053406615329386</v>
      </c>
      <c r="N168">
        <f>+N166+M168</f>
        <v>16.812086640917958</v>
      </c>
      <c r="Z168">
        <f>+(I168-$F$614)/$F$615</f>
        <v>1.8002017037382265</v>
      </c>
      <c r="AA168">
        <f>+AA166+Z168</f>
        <v>28.48052107980568</v>
      </c>
    </row>
    <row r="169" spans="1:27">
      <c r="A169" s="12">
        <v>9</v>
      </c>
      <c r="B169" s="74">
        <v>38975</v>
      </c>
      <c r="C169" s="12">
        <v>2006</v>
      </c>
      <c r="D169" s="11" t="s">
        <v>35</v>
      </c>
      <c r="E169" s="12">
        <v>9</v>
      </c>
      <c r="F169" s="14">
        <v>9.8229000000000006</v>
      </c>
      <c r="G169" s="14">
        <v>8.3199999999999996E-2</v>
      </c>
    </row>
    <row r="170" spans="1:27">
      <c r="A170" s="12">
        <v>10</v>
      </c>
      <c r="B170" s="74">
        <v>38975</v>
      </c>
      <c r="C170" s="12">
        <v>2006</v>
      </c>
      <c r="D170" s="11" t="s">
        <v>35</v>
      </c>
      <c r="E170" s="12">
        <v>9</v>
      </c>
      <c r="F170" s="14">
        <v>5.9092000000000002</v>
      </c>
      <c r="G170" s="14">
        <v>5.3499999999999999E-2</v>
      </c>
      <c r="I170" s="27">
        <f>AVERAGE(F169:F170)</f>
        <v>7.8660500000000004</v>
      </c>
      <c r="J170" s="27">
        <f>AVERAGE(G169:G170)</f>
        <v>6.8349999999999994E-2</v>
      </c>
      <c r="L170">
        <f>+J170/I170</f>
        <v>8.689240470121597E-3</v>
      </c>
      <c r="M170">
        <f>+(L170-$L$614)/$L$615</f>
        <v>-0.17107088309010671</v>
      </c>
      <c r="N170">
        <f>+N168+M170</f>
        <v>16.641015757827851</v>
      </c>
      <c r="Z170">
        <f>+(I170-$F$614)/$F$615</f>
        <v>0.76546390269162978</v>
      </c>
      <c r="AA170">
        <f>+AA168+Z170</f>
        <v>29.245984982497308</v>
      </c>
    </row>
    <row r="171" spans="1:27">
      <c r="A171" s="12">
        <v>9</v>
      </c>
      <c r="B171" s="74">
        <v>39006</v>
      </c>
      <c r="C171" s="12">
        <v>2006</v>
      </c>
      <c r="D171" s="11" t="s">
        <v>36</v>
      </c>
      <c r="E171" s="12">
        <v>10</v>
      </c>
      <c r="F171" s="14">
        <v>1.724</v>
      </c>
      <c r="G171" s="14">
        <v>1.9E-2</v>
      </c>
    </row>
    <row r="172" spans="1:27">
      <c r="A172" s="12">
        <v>10</v>
      </c>
      <c r="B172" s="74">
        <v>39006</v>
      </c>
      <c r="C172" s="12">
        <v>2006</v>
      </c>
      <c r="D172" s="11" t="s">
        <v>36</v>
      </c>
      <c r="E172" s="12">
        <v>10</v>
      </c>
      <c r="F172" s="14">
        <v>1.37</v>
      </c>
      <c r="G172" s="14">
        <v>8.0000000000000002E-3</v>
      </c>
      <c r="I172" s="27">
        <f>AVERAGE(F171:F172)</f>
        <v>1.5470000000000002</v>
      </c>
      <c r="J172" s="27">
        <f>AVERAGE(G171:G172)</f>
        <v>1.35E-2</v>
      </c>
      <c r="L172">
        <f>+J172/I172</f>
        <v>8.7265675500969603E-3</v>
      </c>
      <c r="M172">
        <f>+(L172-$L$614)/$L$615</f>
        <v>-0.16752536386599151</v>
      </c>
      <c r="N172">
        <f>+N170+M172</f>
        <v>16.47349039396186</v>
      </c>
      <c r="Z172">
        <f>+(I172-$F$614)/$F$615</f>
        <v>-0.51734868531584466</v>
      </c>
      <c r="AA172">
        <f>+AA170+Z172</f>
        <v>28.728636297181463</v>
      </c>
    </row>
    <row r="173" spans="1:27">
      <c r="A173" s="12">
        <v>9</v>
      </c>
      <c r="B173" s="74">
        <v>39041</v>
      </c>
      <c r="C173" s="12">
        <v>2006</v>
      </c>
      <c r="D173" s="11" t="s">
        <v>37</v>
      </c>
      <c r="E173" s="12">
        <v>11</v>
      </c>
      <c r="F173" s="14">
        <v>1.1399999999999999</v>
      </c>
      <c r="G173" s="14">
        <v>1.0999999999999999E-2</v>
      </c>
    </row>
    <row r="174" spans="1:27">
      <c r="A174" s="12">
        <v>10</v>
      </c>
      <c r="B174" s="74">
        <v>39041</v>
      </c>
      <c r="C174" s="12">
        <v>2006</v>
      </c>
      <c r="D174" s="11" t="s">
        <v>37</v>
      </c>
      <c r="E174" s="12">
        <v>11</v>
      </c>
      <c r="F174" s="14">
        <v>0.89600000000000002</v>
      </c>
      <c r="G174" s="14">
        <v>8.0000000000000002E-3</v>
      </c>
      <c r="I174" s="27">
        <f>AVERAGE(F173:F174)</f>
        <v>1.018</v>
      </c>
      <c r="J174" s="27">
        <f>AVERAGE(G173:G174)</f>
        <v>9.4999999999999998E-3</v>
      </c>
      <c r="L174">
        <f>+J174/I174</f>
        <v>9.3320235756385057E-3</v>
      </c>
      <c r="M174">
        <f>+(L174-$L$614)/$L$615</f>
        <v>-0.11001601731837053</v>
      </c>
      <c r="N174">
        <f>+N172+M174</f>
        <v>16.363474376643492</v>
      </c>
      <c r="Z174">
        <f>+(I174-$F$614)/$F$615</f>
        <v>-0.62473948916388422</v>
      </c>
      <c r="AA174">
        <f>+AA172+Z174</f>
        <v>28.103896808017581</v>
      </c>
    </row>
    <row r="175" spans="1:27">
      <c r="A175" s="12">
        <v>9</v>
      </c>
      <c r="B175" s="75">
        <v>39062</v>
      </c>
      <c r="C175" s="15">
        <v>2006</v>
      </c>
      <c r="D175" s="11" t="s">
        <v>38</v>
      </c>
      <c r="E175" s="15">
        <v>12</v>
      </c>
      <c r="F175" s="14">
        <v>2.0030000000000001</v>
      </c>
      <c r="G175" s="14">
        <v>4.9000000000000002E-2</v>
      </c>
    </row>
    <row r="176" spans="1:27">
      <c r="A176" s="12">
        <v>10</v>
      </c>
      <c r="B176" s="75">
        <v>39062</v>
      </c>
      <c r="C176" s="15">
        <v>2006</v>
      </c>
      <c r="D176" s="11" t="s">
        <v>38</v>
      </c>
      <c r="E176" s="15">
        <v>12</v>
      </c>
      <c r="F176" s="14">
        <v>0.76300000000000001</v>
      </c>
      <c r="G176" s="14">
        <v>0.02</v>
      </c>
      <c r="I176" s="27">
        <f>AVERAGE(F175:F176)</f>
        <v>1.383</v>
      </c>
      <c r="J176" s="27">
        <f>AVERAGE(G175:G176)</f>
        <v>3.4500000000000003E-2</v>
      </c>
      <c r="L176">
        <f>+J176/I176</f>
        <v>2.4945770065075923E-2</v>
      </c>
      <c r="M176">
        <f>+(L176-$L$614)/$L$615</f>
        <v>1.3730584255606224</v>
      </c>
      <c r="N176">
        <f>+N174+M176</f>
        <v>17.736532802204113</v>
      </c>
      <c r="Z176">
        <f>+(I176-$F$614)/$F$615</f>
        <v>-0.55064186458064324</v>
      </c>
      <c r="AA176">
        <f>+AA174+Z176</f>
        <v>27.553254943436936</v>
      </c>
    </row>
    <row r="177" spans="1:27">
      <c r="A177" s="15">
        <v>9</v>
      </c>
      <c r="B177" s="75">
        <v>39100</v>
      </c>
      <c r="C177" s="15">
        <v>2007</v>
      </c>
      <c r="D177" s="11" t="s">
        <v>39</v>
      </c>
      <c r="E177" s="15">
        <v>1</v>
      </c>
      <c r="F177" s="14">
        <v>0.98499999999999999</v>
      </c>
      <c r="G177" s="14">
        <v>6.0000000000000001E-3</v>
      </c>
    </row>
    <row r="178" spans="1:27">
      <c r="A178" s="15">
        <v>10</v>
      </c>
      <c r="B178" s="75">
        <v>39100</v>
      </c>
      <c r="C178" s="15">
        <v>2007</v>
      </c>
      <c r="D178" s="11" t="s">
        <v>39</v>
      </c>
      <c r="E178" s="15">
        <v>1</v>
      </c>
      <c r="F178" s="14">
        <v>2.0190000000000001</v>
      </c>
      <c r="G178" s="14">
        <v>1.2999999999999999E-2</v>
      </c>
      <c r="I178" s="27">
        <f>AVERAGE(F177:F178)</f>
        <v>1.502</v>
      </c>
      <c r="J178" s="27">
        <f>AVERAGE(G177:G178)</f>
        <v>9.4999999999999998E-3</v>
      </c>
      <c r="L178">
        <f>+J178/I178</f>
        <v>6.3249001331557924E-3</v>
      </c>
      <c r="M178">
        <f>+(L178-$L$614)/$L$615</f>
        <v>-0.39564816378273271</v>
      </c>
      <c r="N178">
        <f>+N176+M178</f>
        <v>17.340884638421379</v>
      </c>
      <c r="Z178">
        <f>+(I178-$F$614)/$F$615</f>
        <v>-0.52648400889460045</v>
      </c>
      <c r="AA178">
        <f>+AA176+Z178</f>
        <v>27.026770934542338</v>
      </c>
    </row>
    <row r="179" spans="1:27">
      <c r="A179" s="15">
        <v>9</v>
      </c>
      <c r="B179" s="75">
        <v>39135</v>
      </c>
      <c r="C179" s="15">
        <v>2007</v>
      </c>
      <c r="D179" s="11" t="s">
        <v>28</v>
      </c>
      <c r="E179" s="15">
        <v>2</v>
      </c>
      <c r="F179" s="14">
        <v>6.2530000000000001</v>
      </c>
      <c r="G179" s="14">
        <v>1.4999999999999999E-2</v>
      </c>
    </row>
    <row r="180" spans="1:27">
      <c r="A180" s="15">
        <v>10</v>
      </c>
      <c r="B180" s="75">
        <v>39135</v>
      </c>
      <c r="C180" s="15">
        <v>2007</v>
      </c>
      <c r="D180" s="11" t="s">
        <v>28</v>
      </c>
      <c r="E180" s="15">
        <v>2</v>
      </c>
      <c r="F180" s="14">
        <v>5.2530000000000001</v>
      </c>
      <c r="G180" s="14">
        <v>1.7999999999999999E-2</v>
      </c>
      <c r="I180" s="27">
        <f>AVERAGE(F179:F180)</f>
        <v>5.7530000000000001</v>
      </c>
      <c r="J180" s="27">
        <f>AVERAGE(G179:G180)</f>
        <v>1.6500000000000001E-2</v>
      </c>
      <c r="L180">
        <f>+J180/I180</f>
        <v>2.8680688336520078E-3</v>
      </c>
      <c r="M180">
        <f>+(L180-$L$614)/$L$615</f>
        <v>-0.72399588975013207</v>
      </c>
      <c r="N180">
        <f>+N178+M180</f>
        <v>16.616888748671247</v>
      </c>
      <c r="Z180">
        <f>+(I180-$F$614)/$F$615</f>
        <v>0.33649955851185687</v>
      </c>
      <c r="AA180">
        <f>+AA178+Z180</f>
        <v>27.363270493054195</v>
      </c>
    </row>
    <row r="181" spans="1:27">
      <c r="A181" s="15">
        <v>9</v>
      </c>
      <c r="B181" s="75">
        <v>39153</v>
      </c>
      <c r="C181" s="15">
        <v>2007</v>
      </c>
      <c r="D181" s="11" t="s">
        <v>29</v>
      </c>
      <c r="E181" s="15">
        <v>3</v>
      </c>
      <c r="F181" s="14">
        <v>1.6619999999999999</v>
      </c>
      <c r="G181" s="14">
        <v>2.4E-2</v>
      </c>
    </row>
    <row r="182" spans="1:27">
      <c r="A182" s="15">
        <v>10</v>
      </c>
      <c r="B182" s="75">
        <v>39153</v>
      </c>
      <c r="C182" s="15">
        <v>2007</v>
      </c>
      <c r="D182" s="11" t="s">
        <v>29</v>
      </c>
      <c r="E182" s="15">
        <v>3</v>
      </c>
      <c r="F182" s="14">
        <v>3.25</v>
      </c>
      <c r="G182" s="14">
        <v>3.2000000000000001E-2</v>
      </c>
      <c r="I182" s="27">
        <f>AVERAGE(F181:F182)</f>
        <v>2.456</v>
      </c>
      <c r="J182" s="27">
        <f>AVERAGE(G181:G182)</f>
        <v>2.8000000000000001E-2</v>
      </c>
      <c r="L182">
        <f>+J182/I182</f>
        <v>1.1400651465798045E-2</v>
      </c>
      <c r="M182">
        <f>+(L182-$L$614)/$L$615</f>
        <v>8.6472964861386087E-2</v>
      </c>
      <c r="N182">
        <f>+N180+M182</f>
        <v>16.703361713532633</v>
      </c>
      <c r="Z182">
        <f>+(I182-$F$614)/$F$615</f>
        <v>-0.33281514902497905</v>
      </c>
      <c r="AA182">
        <f>+AA180+Z182</f>
        <v>27.030455344029217</v>
      </c>
    </row>
    <row r="183" spans="1:27">
      <c r="A183" s="15">
        <v>9</v>
      </c>
      <c r="B183" s="75">
        <v>39191</v>
      </c>
      <c r="C183" s="15">
        <v>2007</v>
      </c>
      <c r="D183" s="11" t="s">
        <v>30</v>
      </c>
      <c r="E183" s="15">
        <v>4</v>
      </c>
      <c r="F183" s="14">
        <v>1.63</v>
      </c>
      <c r="G183" s="14">
        <v>9.9989999999999996E-4</v>
      </c>
    </row>
    <row r="184" spans="1:27">
      <c r="A184" s="15">
        <v>10</v>
      </c>
      <c r="B184" s="75">
        <v>39191</v>
      </c>
      <c r="C184" s="15">
        <v>2007</v>
      </c>
      <c r="D184" s="11" t="s">
        <v>30</v>
      </c>
      <c r="E184" s="15">
        <v>4</v>
      </c>
      <c r="F184" s="14">
        <v>1.3720000000000001</v>
      </c>
      <c r="G184" s="14">
        <v>4.0000000000000001E-3</v>
      </c>
      <c r="I184" s="27">
        <f>AVERAGE(F183:F184)</f>
        <v>1.5009999999999999</v>
      </c>
      <c r="J184" s="27">
        <f>AVERAGE(G183:G184)</f>
        <v>2.4999499999999999E-3</v>
      </c>
      <c r="L184">
        <f>+J184/I184</f>
        <v>1.6655229846768821E-3</v>
      </c>
      <c r="M184">
        <f>+(L184-$L$614)/$L$615</f>
        <v>-0.83821991767397031</v>
      </c>
      <c r="N184">
        <f>+N182+M184</f>
        <v>15.865141795858662</v>
      </c>
      <c r="Z184">
        <f>+(I184-$F$614)/$F$615</f>
        <v>-0.52668701608523938</v>
      </c>
      <c r="AA184">
        <f>+AA182+Z184</f>
        <v>26.503768327943977</v>
      </c>
    </row>
    <row r="185" spans="1:27">
      <c r="A185" s="15">
        <v>9</v>
      </c>
      <c r="B185" s="75">
        <v>39216</v>
      </c>
      <c r="C185" s="15">
        <v>2007</v>
      </c>
      <c r="D185" s="11" t="s">
        <v>31</v>
      </c>
      <c r="E185" s="15">
        <v>5</v>
      </c>
      <c r="F185" s="14">
        <v>10.595000000000001</v>
      </c>
      <c r="G185" s="14">
        <v>7.5999999999999998E-2</v>
      </c>
    </row>
    <row r="186" spans="1:27">
      <c r="A186" s="15">
        <v>10</v>
      </c>
      <c r="B186" s="75">
        <v>39216</v>
      </c>
      <c r="C186" s="15">
        <v>2007</v>
      </c>
      <c r="D186" s="11" t="s">
        <v>31</v>
      </c>
      <c r="E186" s="15">
        <v>5</v>
      </c>
      <c r="F186" s="14">
        <v>10.763999999999999</v>
      </c>
      <c r="G186" s="14">
        <v>9.7000000000000003E-2</v>
      </c>
      <c r="I186" s="27">
        <f>AVERAGE(F185:F186)</f>
        <v>10.679500000000001</v>
      </c>
      <c r="J186" s="27">
        <f>AVERAGE(G185:G186)</f>
        <v>8.6499999999999994E-2</v>
      </c>
      <c r="L186">
        <f>+J186/I186</f>
        <v>8.0996301324968382E-3</v>
      </c>
      <c r="M186">
        <f>+(L186-$L$614)/$L$615</f>
        <v>-0.22707512419777959</v>
      </c>
      <c r="N186">
        <f>+N184+M186</f>
        <v>15.638066671660882</v>
      </c>
      <c r="Z186">
        <f>+(I186-$F$614)/$F$615</f>
        <v>1.3366144831949696</v>
      </c>
      <c r="AA186">
        <f>+AA184+Z186</f>
        <v>27.840382811138948</v>
      </c>
    </row>
    <row r="187" spans="1:27">
      <c r="A187" s="15">
        <v>9</v>
      </c>
      <c r="B187" s="75">
        <v>39248</v>
      </c>
      <c r="C187" s="15">
        <v>2007</v>
      </c>
      <c r="D187" s="11" t="s">
        <v>32</v>
      </c>
      <c r="E187" s="15">
        <v>6</v>
      </c>
      <c r="F187" s="14">
        <v>25.084</v>
      </c>
      <c r="G187" s="14">
        <v>0.111</v>
      </c>
    </row>
    <row r="188" spans="1:27">
      <c r="A188" s="15">
        <v>10</v>
      </c>
      <c r="B188" s="75">
        <v>39248</v>
      </c>
      <c r="C188" s="15">
        <v>2007</v>
      </c>
      <c r="D188" s="11" t="s">
        <v>32</v>
      </c>
      <c r="E188" s="15">
        <v>6</v>
      </c>
      <c r="F188" s="14">
        <v>17.117000000000001</v>
      </c>
      <c r="G188" s="14">
        <v>6.9000000000000006E-2</v>
      </c>
      <c r="I188" s="27">
        <f>AVERAGE(F187:F188)</f>
        <v>21.1005</v>
      </c>
      <c r="J188" s="27">
        <f>AVERAGE(G187:G188)</f>
        <v>0.09</v>
      </c>
      <c r="L188">
        <f>+J188/I188</f>
        <v>4.2653017701002344E-3</v>
      </c>
      <c r="M188">
        <f>+(L188-$L$614)/$L$615</f>
        <v>-0.59127947475024967</v>
      </c>
      <c r="N188">
        <f>+N186+M188</f>
        <v>15.046787196910632</v>
      </c>
      <c r="Z188">
        <f>+(I188-$F$614)/$F$615</f>
        <v>3.452152416844156</v>
      </c>
      <c r="AA188">
        <f>+AA186+Z188</f>
        <v>31.292535227983105</v>
      </c>
    </row>
    <row r="189" spans="1:27">
      <c r="A189" s="15">
        <v>9</v>
      </c>
      <c r="B189" s="75">
        <v>39279</v>
      </c>
      <c r="C189" s="15">
        <v>2007</v>
      </c>
      <c r="D189" s="11" t="s">
        <v>33</v>
      </c>
      <c r="E189" s="15">
        <v>7</v>
      </c>
      <c r="F189" s="14">
        <v>18.765999999999998</v>
      </c>
      <c r="G189" s="14">
        <v>0.27300000000000002</v>
      </c>
    </row>
    <row r="190" spans="1:27">
      <c r="A190" s="15">
        <v>10</v>
      </c>
      <c r="B190" s="75">
        <v>39279</v>
      </c>
      <c r="C190" s="15">
        <v>2007</v>
      </c>
      <c r="D190" s="11" t="s">
        <v>33</v>
      </c>
      <c r="E190" s="15">
        <v>7</v>
      </c>
      <c r="F190" s="14">
        <v>18.003</v>
      </c>
      <c r="G190" s="14">
        <v>0.315</v>
      </c>
      <c r="I190" s="27">
        <f>AVERAGE(F189:F190)</f>
        <v>18.384499999999999</v>
      </c>
      <c r="J190" s="27">
        <f>AVERAGE(G189:G190)</f>
        <v>0.29400000000000004</v>
      </c>
      <c r="L190">
        <f>+J190/I190</f>
        <v>1.5991732165683052E-2</v>
      </c>
      <c r="M190">
        <f>+(L190-$L$614)/$L$615</f>
        <v>0.52255756863029146</v>
      </c>
      <c r="N190">
        <f>+N188+M190</f>
        <v>15.569344765540924</v>
      </c>
      <c r="Z190">
        <f>+(I190-$F$614)/$F$615</f>
        <v>2.9007848870685877</v>
      </c>
      <c r="AA190">
        <f>+AA188+Z190</f>
        <v>34.193320115051691</v>
      </c>
    </row>
    <row r="191" spans="1:27">
      <c r="A191" s="15">
        <v>9</v>
      </c>
      <c r="B191" s="75">
        <v>39308</v>
      </c>
      <c r="C191" s="15">
        <v>2007</v>
      </c>
      <c r="D191" s="11" t="s">
        <v>34</v>
      </c>
      <c r="E191" s="15">
        <v>8</v>
      </c>
      <c r="F191" s="14">
        <v>10.6</v>
      </c>
      <c r="G191" s="14">
        <v>0.217</v>
      </c>
    </row>
    <row r="192" spans="1:27">
      <c r="A192" s="15">
        <v>10</v>
      </c>
      <c r="B192" s="75">
        <v>39308</v>
      </c>
      <c r="C192" s="15">
        <v>2007</v>
      </c>
      <c r="D192" s="11" t="s">
        <v>34</v>
      </c>
      <c r="E192" s="15">
        <v>8</v>
      </c>
      <c r="F192" s="14">
        <v>11.553000000000001</v>
      </c>
      <c r="G192" s="14">
        <v>0.14599999999999999</v>
      </c>
      <c r="I192" s="27">
        <f>AVERAGE(F191:F192)</f>
        <v>11.076499999999999</v>
      </c>
      <c r="J192" s="27">
        <f>AVERAGE(G191:G192)</f>
        <v>0.18149999999999999</v>
      </c>
      <c r="L192">
        <f>+J192/I192</f>
        <v>1.6386042522457456E-2</v>
      </c>
      <c r="M192">
        <f>+(L192-$L$614)/$L$615</f>
        <v>0.5600112068772185</v>
      </c>
      <c r="N192">
        <f>+N190+M192</f>
        <v>16.129355972418143</v>
      </c>
      <c r="Z192">
        <f>+(I192-$F$614)/$F$615</f>
        <v>1.4172083378786586</v>
      </c>
      <c r="AA192">
        <f>+AA190+Z192</f>
        <v>35.610528452930346</v>
      </c>
    </row>
    <row r="193" spans="1:27">
      <c r="A193" s="15">
        <v>9</v>
      </c>
      <c r="B193" s="75">
        <v>39335</v>
      </c>
      <c r="C193" s="15">
        <v>2007</v>
      </c>
      <c r="D193" s="11" t="s">
        <v>40</v>
      </c>
      <c r="E193" s="15">
        <v>9</v>
      </c>
      <c r="F193" s="14">
        <v>13.128</v>
      </c>
      <c r="G193" s="14">
        <v>0.20899999999999999</v>
      </c>
    </row>
    <row r="194" spans="1:27">
      <c r="A194" s="15">
        <v>10</v>
      </c>
      <c r="B194" s="75">
        <v>39335</v>
      </c>
      <c r="C194" s="15">
        <v>2007</v>
      </c>
      <c r="D194" s="11" t="s">
        <v>40</v>
      </c>
      <c r="E194" s="15">
        <v>9</v>
      </c>
      <c r="F194" s="14">
        <v>8.6809999999999992</v>
      </c>
      <c r="G194" s="14">
        <v>0.32800000000000001</v>
      </c>
      <c r="I194" s="27">
        <f>AVERAGE(F193:F194)</f>
        <v>10.904499999999999</v>
      </c>
      <c r="J194" s="27">
        <f>AVERAGE(G193:G194)</f>
        <v>0.26850000000000002</v>
      </c>
      <c r="L194">
        <f>+J194/I194</f>
        <v>2.462286212114265E-2</v>
      </c>
      <c r="M194">
        <f>+(L194-$L$614)/$L$615</f>
        <v>1.3423869579936289</v>
      </c>
      <c r="N194">
        <f>+N192+M194</f>
        <v>17.471742930411772</v>
      </c>
      <c r="Z194">
        <f>+(I194-$F$614)/$F$615</f>
        <v>1.3822911010887478</v>
      </c>
      <c r="AA194">
        <f>+AA192+Z194</f>
        <v>36.992819554019093</v>
      </c>
    </row>
    <row r="195" spans="1:27">
      <c r="A195" s="15">
        <v>9</v>
      </c>
      <c r="B195" s="75">
        <v>39370</v>
      </c>
      <c r="C195" s="15">
        <v>2007</v>
      </c>
      <c r="D195" s="11" t="s">
        <v>36</v>
      </c>
      <c r="E195" s="15">
        <v>10</v>
      </c>
      <c r="F195" s="14">
        <v>1.5980000000000001</v>
      </c>
      <c r="G195" s="14">
        <v>2.7E-2</v>
      </c>
    </row>
    <row r="196" spans="1:27">
      <c r="A196" s="15">
        <v>10</v>
      </c>
      <c r="B196" s="75">
        <v>39370</v>
      </c>
      <c r="C196" s="15">
        <v>2007</v>
      </c>
      <c r="D196" s="11" t="s">
        <v>36</v>
      </c>
      <c r="E196" s="15">
        <v>10</v>
      </c>
      <c r="F196" s="14">
        <v>1.01</v>
      </c>
      <c r="G196" s="14">
        <v>2.4E-2</v>
      </c>
      <c r="I196" s="27">
        <f>AVERAGE(F195:F196)</f>
        <v>1.304</v>
      </c>
      <c r="J196" s="27">
        <f>AVERAGE(G195:G196)</f>
        <v>2.5500000000000002E-2</v>
      </c>
      <c r="L196">
        <f>+J196/I196</f>
        <v>1.9555214723926382E-2</v>
      </c>
      <c r="M196">
        <f>+(L196-$L$614)/$L$615</f>
        <v>0.86103558307422634</v>
      </c>
      <c r="N196">
        <f>+N194+M196</f>
        <v>18.332778513485998</v>
      </c>
      <c r="Z196">
        <f>+(I196-$F$614)/$F$615</f>
        <v>-0.56667943264112552</v>
      </c>
      <c r="AA196">
        <f>+AA194+Z196</f>
        <v>36.426140121377969</v>
      </c>
    </row>
    <row r="197" spans="1:27">
      <c r="A197" s="15">
        <v>9</v>
      </c>
      <c r="B197" s="75">
        <v>39400</v>
      </c>
      <c r="C197" s="15">
        <v>2007</v>
      </c>
      <c r="D197" s="11" t="s">
        <v>37</v>
      </c>
      <c r="E197" s="15">
        <v>11</v>
      </c>
      <c r="F197" s="14">
        <v>1.105</v>
      </c>
      <c r="G197" s="14">
        <v>5.0000000000000001E-3</v>
      </c>
    </row>
    <row r="198" spans="1:27">
      <c r="A198" s="15">
        <v>10</v>
      </c>
      <c r="B198" s="75">
        <v>39400</v>
      </c>
      <c r="C198" s="15">
        <v>2007</v>
      </c>
      <c r="D198" s="11" t="s">
        <v>37</v>
      </c>
      <c r="E198" s="15">
        <v>11</v>
      </c>
      <c r="F198" s="14">
        <v>1.29</v>
      </c>
      <c r="G198" s="14">
        <v>9.9989999999999996E-4</v>
      </c>
      <c r="I198" s="27">
        <f>AVERAGE(F197:F198)</f>
        <v>1.1975</v>
      </c>
      <c r="J198" s="27">
        <f>AVERAGE(G197:G198)</f>
        <v>2.9999499999999999E-3</v>
      </c>
      <c r="L198">
        <f>+J198/I198</f>
        <v>2.5051774530271396E-3</v>
      </c>
      <c r="M198">
        <f>+(L198-$L$614)/$L$615</f>
        <v>-0.75846519104882426</v>
      </c>
      <c r="N198">
        <f>+N196+M198</f>
        <v>17.574313322437174</v>
      </c>
      <c r="Z198">
        <f>+(I198-$F$614)/$F$615</f>
        <v>-0.58829969844418084</v>
      </c>
      <c r="AA198">
        <f>+AA196+Z198</f>
        <v>35.837840422933787</v>
      </c>
    </row>
    <row r="199" spans="1:27">
      <c r="A199" s="15">
        <v>9</v>
      </c>
      <c r="B199" s="75">
        <v>39434</v>
      </c>
      <c r="C199" s="15">
        <v>2007</v>
      </c>
      <c r="D199" s="11" t="s">
        <v>38</v>
      </c>
      <c r="E199" s="15">
        <v>12</v>
      </c>
      <c r="F199" s="14">
        <v>2.456</v>
      </c>
      <c r="G199" s="14">
        <v>1.0999999999999999E-2</v>
      </c>
    </row>
    <row r="200" spans="1:27">
      <c r="A200" s="15">
        <v>10</v>
      </c>
      <c r="B200" s="75">
        <v>39434</v>
      </c>
      <c r="C200" s="15">
        <v>2007</v>
      </c>
      <c r="D200" s="11" t="s">
        <v>38</v>
      </c>
      <c r="E200" s="15">
        <v>12</v>
      </c>
      <c r="F200" s="14">
        <v>2.827</v>
      </c>
      <c r="G200" s="14">
        <v>2.9000000000000001E-2</v>
      </c>
      <c r="I200" s="27">
        <f>AVERAGE(F199:F200)</f>
        <v>2.6414999999999997</v>
      </c>
      <c r="J200" s="27">
        <f>AVERAGE(G199:G200)</f>
        <v>0.02</v>
      </c>
      <c r="L200">
        <f>+J200/I200</f>
        <v>7.5714556123414739E-3</v>
      </c>
      <c r="M200">
        <f>+(L200-$L$614)/$L$615</f>
        <v>-0.27724387343116874</v>
      </c>
      <c r="N200">
        <f>+N198+M200</f>
        <v>17.297069449006006</v>
      </c>
      <c r="Z200">
        <f>+(I200-$F$614)/$F$615</f>
        <v>-0.29515731516144161</v>
      </c>
      <c r="AA200">
        <f>+AA198+Z200</f>
        <v>35.542683107772348</v>
      </c>
    </row>
    <row r="201" spans="1:27">
      <c r="A201" s="15">
        <v>9</v>
      </c>
      <c r="B201" s="75">
        <v>39463</v>
      </c>
      <c r="C201" s="15">
        <v>2008</v>
      </c>
      <c r="D201" s="11" t="s">
        <v>39</v>
      </c>
      <c r="E201" s="15">
        <v>1</v>
      </c>
      <c r="F201" s="23">
        <v>1.5149999999999999</v>
      </c>
      <c r="G201" s="23">
        <v>3.6999999999999998E-2</v>
      </c>
    </row>
    <row r="202" spans="1:27">
      <c r="A202" s="15">
        <v>10</v>
      </c>
      <c r="B202" s="75">
        <v>39463</v>
      </c>
      <c r="C202" s="15">
        <v>2008</v>
      </c>
      <c r="D202" s="11" t="s">
        <v>39</v>
      </c>
      <c r="E202" s="15">
        <v>1</v>
      </c>
      <c r="F202" s="23">
        <v>1.718</v>
      </c>
      <c r="G202" s="23">
        <v>1.7000000000000001E-2</v>
      </c>
      <c r="I202" s="27">
        <f>AVERAGE(F201:F202)</f>
        <v>1.6164999999999998</v>
      </c>
      <c r="J202" s="27">
        <f>AVERAGE(G201:G202)</f>
        <v>2.7E-2</v>
      </c>
      <c r="L202">
        <f>+J202/I202</f>
        <v>1.6702752861119705E-2</v>
      </c>
      <c r="M202">
        <f>+(L202-$L$614)/$L$615</f>
        <v>0.59009399382289385</v>
      </c>
      <c r="N202">
        <f>+N200+M202</f>
        <v>17.8871634428289</v>
      </c>
      <c r="Z202">
        <f>+(I202-$F$614)/$F$615</f>
        <v>-0.50323968556643306</v>
      </c>
      <c r="AA202">
        <f>+AA200+Z202</f>
        <v>35.039443422205913</v>
      </c>
    </row>
    <row r="203" spans="1:27">
      <c r="A203" s="15">
        <v>9</v>
      </c>
      <c r="B203" s="75">
        <v>39493</v>
      </c>
      <c r="C203" s="15">
        <v>2008</v>
      </c>
      <c r="D203" s="11" t="s">
        <v>28</v>
      </c>
      <c r="E203" s="15">
        <v>2</v>
      </c>
      <c r="F203" s="23">
        <v>1.8859999999999999</v>
      </c>
      <c r="G203" s="23">
        <v>7.0000000000000001E-3</v>
      </c>
    </row>
    <row r="204" spans="1:27">
      <c r="A204" s="15">
        <v>10</v>
      </c>
      <c r="B204" s="75">
        <v>39493</v>
      </c>
      <c r="C204" s="15">
        <v>2008</v>
      </c>
      <c r="D204" s="11" t="s">
        <v>28</v>
      </c>
      <c r="E204" s="15">
        <v>2</v>
      </c>
      <c r="F204" s="23">
        <v>1.6619999999999999</v>
      </c>
      <c r="G204" s="23">
        <v>1.6E-2</v>
      </c>
      <c r="I204" s="27">
        <f>AVERAGE(F203:F204)</f>
        <v>1.774</v>
      </c>
      <c r="J204" s="27">
        <f>AVERAGE(G203:G204)</f>
        <v>1.15E-2</v>
      </c>
      <c r="L204">
        <f>+J204/I204</f>
        <v>6.4825253664036074E-3</v>
      </c>
      <c r="M204">
        <f>+(L204-$L$614)/$L$615</f>
        <v>-0.3806761034165152</v>
      </c>
      <c r="N204">
        <f>+N202+M204</f>
        <v>17.506487339412384</v>
      </c>
      <c r="Z204">
        <f>+(I204-$F$614)/$F$615</f>
        <v>-0.471266053040788</v>
      </c>
      <c r="AA204">
        <f>+AA202+Z204</f>
        <v>34.568177369165127</v>
      </c>
    </row>
    <row r="205" spans="1:27">
      <c r="A205" s="15">
        <v>9</v>
      </c>
      <c r="B205" s="75">
        <v>39517</v>
      </c>
      <c r="C205" s="15">
        <v>2008</v>
      </c>
      <c r="D205" s="11" t="s">
        <v>29</v>
      </c>
      <c r="E205" s="15">
        <v>3</v>
      </c>
      <c r="F205" s="24">
        <v>1.875</v>
      </c>
      <c r="G205" s="23">
        <v>1.4E-2</v>
      </c>
    </row>
    <row r="206" spans="1:27">
      <c r="A206" s="15">
        <v>10</v>
      </c>
      <c r="B206" s="75">
        <v>39517</v>
      </c>
      <c r="C206" s="15">
        <v>2008</v>
      </c>
      <c r="D206" s="11" t="s">
        <v>29</v>
      </c>
      <c r="E206" s="15">
        <v>3</v>
      </c>
      <c r="F206" s="24">
        <v>1.5249999999999999</v>
      </c>
      <c r="G206" s="23">
        <v>1.7999999999999999E-2</v>
      </c>
      <c r="I206" s="27">
        <f>AVERAGE(F205:F206)</f>
        <v>1.7</v>
      </c>
      <c r="J206" s="27">
        <f>AVERAGE(G205:G206)</f>
        <v>1.6E-2</v>
      </c>
      <c r="L206">
        <f>+J206/I206</f>
        <v>9.4117647058823539E-3</v>
      </c>
      <c r="M206">
        <f>+(L206-$L$614)/$L$615</f>
        <v>-0.10244179210657145</v>
      </c>
      <c r="N206">
        <f>+N204+M206</f>
        <v>17.404045547305813</v>
      </c>
      <c r="Z206">
        <f>+(I206-$F$614)/$F$615</f>
        <v>-0.48628858514807516</v>
      </c>
      <c r="AA206">
        <f>+AA204+Z206</f>
        <v>34.081888784017053</v>
      </c>
    </row>
    <row r="207" spans="1:27">
      <c r="A207" s="15">
        <v>9</v>
      </c>
      <c r="B207" s="75">
        <v>39552</v>
      </c>
      <c r="C207" s="15">
        <v>2008</v>
      </c>
      <c r="D207" s="11" t="s">
        <v>30</v>
      </c>
      <c r="E207" s="15">
        <v>4</v>
      </c>
      <c r="F207" s="24">
        <v>1.222</v>
      </c>
      <c r="G207" s="23">
        <v>8.9999999999999993E-3</v>
      </c>
    </row>
    <row r="208" spans="1:27">
      <c r="A208" s="15">
        <v>10</v>
      </c>
      <c r="B208" s="75">
        <v>39552</v>
      </c>
      <c r="C208" s="15">
        <v>2008</v>
      </c>
      <c r="D208" s="11" t="s">
        <v>30</v>
      </c>
      <c r="E208" s="15">
        <v>4</v>
      </c>
      <c r="F208" s="24">
        <v>1.135</v>
      </c>
      <c r="G208" s="23">
        <v>7.0000000000000001E-3</v>
      </c>
      <c r="I208" s="27">
        <f>AVERAGE(F207:F208)</f>
        <v>1.1785000000000001</v>
      </c>
      <c r="J208" s="27">
        <f>AVERAGE(G207:G208)</f>
        <v>8.0000000000000002E-3</v>
      </c>
      <c r="L208">
        <f>+J208/I208</f>
        <v>6.7882901994060245E-3</v>
      </c>
      <c r="M208">
        <f>+(L208-$L$614)/$L$615</f>
        <v>-0.35163297724152454</v>
      </c>
      <c r="N208">
        <f>+N206+M208</f>
        <v>17.052412570064288</v>
      </c>
      <c r="Z208">
        <f>+(I208-$F$614)/$F$615</f>
        <v>-0.592156835066322</v>
      </c>
      <c r="AA208">
        <f>+AA206+Z208</f>
        <v>33.489731948950734</v>
      </c>
    </row>
    <row r="209" spans="1:27">
      <c r="A209" s="15">
        <v>9</v>
      </c>
      <c r="B209" s="75">
        <v>39583</v>
      </c>
      <c r="C209" s="15">
        <v>2008</v>
      </c>
      <c r="D209" s="11" t="s">
        <v>31</v>
      </c>
      <c r="E209" s="15">
        <v>5</v>
      </c>
      <c r="F209" s="24">
        <v>3.5169999999999999</v>
      </c>
      <c r="G209" s="23">
        <v>1.2E-2</v>
      </c>
    </row>
    <row r="210" spans="1:27">
      <c r="A210" s="15">
        <v>10</v>
      </c>
      <c r="B210" s="75">
        <v>39583</v>
      </c>
      <c r="C210" s="15">
        <v>2008</v>
      </c>
      <c r="D210" s="11" t="s">
        <v>31</v>
      </c>
      <c r="E210" s="15">
        <v>5</v>
      </c>
      <c r="F210" s="24">
        <v>3.0009999999999999</v>
      </c>
      <c r="G210" s="23">
        <v>1.4999999999999999E-2</v>
      </c>
      <c r="I210" s="27">
        <f>AVERAGE(F209:F210)</f>
        <v>3.2589999999999999</v>
      </c>
      <c r="J210" s="27">
        <f>AVERAGE(G209:G210)</f>
        <v>1.35E-2</v>
      </c>
      <c r="L210">
        <f>+J210/I210</f>
        <v>4.1423749616446761E-3</v>
      </c>
      <c r="M210">
        <f>+(L210-$L$614)/$L$615</f>
        <v>-0.60295569916496339</v>
      </c>
      <c r="N210">
        <f>+N208+M210</f>
        <v>16.449456870899326</v>
      </c>
      <c r="Z210">
        <f>+(I210-$F$614)/$F$615</f>
        <v>-0.16980037494184919</v>
      </c>
      <c r="AA210">
        <f>+AA208+Z210</f>
        <v>33.319931574008884</v>
      </c>
    </row>
    <row r="211" spans="1:27">
      <c r="A211" s="15">
        <v>9</v>
      </c>
      <c r="B211" s="75">
        <v>39617</v>
      </c>
      <c r="C211" s="15">
        <v>2008</v>
      </c>
      <c r="D211" s="11" t="s">
        <v>32</v>
      </c>
      <c r="E211" s="15">
        <v>6</v>
      </c>
      <c r="F211" s="24">
        <v>10.605</v>
      </c>
      <c r="G211" s="23">
        <v>0.14499999999999999</v>
      </c>
    </row>
    <row r="212" spans="1:27">
      <c r="A212" s="15">
        <v>10</v>
      </c>
      <c r="B212" s="75">
        <v>39617</v>
      </c>
      <c r="C212" s="15">
        <v>2008</v>
      </c>
      <c r="D212" s="11" t="s">
        <v>32</v>
      </c>
      <c r="E212" s="15">
        <v>6</v>
      </c>
      <c r="F212" s="24">
        <v>4.0430000000000001</v>
      </c>
      <c r="G212" s="23">
        <v>8.5000000000000006E-2</v>
      </c>
      <c r="I212" s="27">
        <f>AVERAGE(F211:F212)</f>
        <v>7.3239999999999998</v>
      </c>
      <c r="J212" s="27">
        <f>AVERAGE(G211:G212)</f>
        <v>0.11499999999999999</v>
      </c>
      <c r="L212">
        <f>+J212/I212</f>
        <v>1.5701802293828507E-2</v>
      </c>
      <c r="M212">
        <f>+(L212-$L$614)/$L$615</f>
        <v>0.49501852901122634</v>
      </c>
      <c r="N212">
        <f>+N210+M212</f>
        <v>16.944475399910552</v>
      </c>
      <c r="Z212">
        <f>+(I212-$F$614)/$F$615</f>
        <v>0.65542385500575107</v>
      </c>
      <c r="AA212">
        <f>+AA210+Z212</f>
        <v>33.975355429014634</v>
      </c>
    </row>
    <row r="213" spans="1:27">
      <c r="A213" s="15">
        <v>9</v>
      </c>
      <c r="B213" s="75">
        <v>39645</v>
      </c>
      <c r="C213" s="15">
        <v>2008</v>
      </c>
      <c r="D213" s="11" t="s">
        <v>33</v>
      </c>
      <c r="E213" s="15">
        <v>7</v>
      </c>
      <c r="F213" s="24">
        <v>10.544</v>
      </c>
      <c r="G213" s="23">
        <v>6.6000000000000003E-2</v>
      </c>
    </row>
    <row r="214" spans="1:27">
      <c r="A214" s="15">
        <v>10</v>
      </c>
      <c r="B214" s="75">
        <v>39645</v>
      </c>
      <c r="C214" s="15">
        <v>2008</v>
      </c>
      <c r="D214" s="11" t="s">
        <v>33</v>
      </c>
      <c r="E214" s="15">
        <v>7</v>
      </c>
      <c r="F214" s="24">
        <v>4.6070000000000002</v>
      </c>
      <c r="G214" s="23">
        <v>7.0999999999999994E-2</v>
      </c>
      <c r="I214" s="27">
        <f>AVERAGE(F213:F214)</f>
        <v>7.5754999999999999</v>
      </c>
      <c r="J214" s="27">
        <f>AVERAGE(G213:G214)</f>
        <v>6.8500000000000005E-2</v>
      </c>
      <c r="L214">
        <f>+J214/I214</f>
        <v>9.0423074384529088E-3</v>
      </c>
      <c r="M214">
        <f>+(L214-$L$614)/$L$615</f>
        <v>-0.13753475531249973</v>
      </c>
      <c r="N214">
        <f>+N212+M214</f>
        <v>16.80694064459805</v>
      </c>
      <c r="Z214">
        <f>+(I214-$F$614)/$F$615</f>
        <v>0.70648016345146358</v>
      </c>
      <c r="AA214">
        <f>+AA212+Z214</f>
        <v>34.681835592466101</v>
      </c>
    </row>
    <row r="215" spans="1:27">
      <c r="A215" s="15">
        <v>9</v>
      </c>
      <c r="B215" s="75">
        <v>39672</v>
      </c>
      <c r="C215" s="15">
        <v>2008</v>
      </c>
      <c r="D215" s="11" t="s">
        <v>34</v>
      </c>
      <c r="E215" s="15">
        <v>8</v>
      </c>
      <c r="F215" s="24">
        <v>10.702999999999999</v>
      </c>
      <c r="G215" s="23">
        <v>5.8999999999999997E-2</v>
      </c>
    </row>
    <row r="216" spans="1:27">
      <c r="A216" s="15">
        <v>10</v>
      </c>
      <c r="B216" s="75">
        <v>39672</v>
      </c>
      <c r="C216" s="15">
        <v>2008</v>
      </c>
      <c r="D216" s="11" t="s">
        <v>34</v>
      </c>
      <c r="E216" s="15">
        <v>8</v>
      </c>
      <c r="F216" s="24">
        <v>8.69</v>
      </c>
      <c r="G216" s="23">
        <v>0.35399999999999998</v>
      </c>
      <c r="I216" s="27">
        <f>AVERAGE(F215:F216)</f>
        <v>9.6965000000000003</v>
      </c>
      <c r="J216" s="27">
        <f>AVERAGE(G215:G216)</f>
        <v>0.20649999999999999</v>
      </c>
      <c r="L216">
        <f>+J216/I216</f>
        <v>2.1296344041664517E-2</v>
      </c>
      <c r="M216">
        <f>+(L216-$L$614)/$L$615</f>
        <v>1.026417056036633</v>
      </c>
      <c r="N216">
        <f>+N214+M216</f>
        <v>17.833357700634682</v>
      </c>
      <c r="Z216">
        <f>+(I216-$F$614)/$F$615</f>
        <v>1.1370584147968168</v>
      </c>
      <c r="AA216">
        <f>+AA214+Z216</f>
        <v>35.818894007262919</v>
      </c>
    </row>
    <row r="217" spans="1:27">
      <c r="A217" s="15">
        <v>9</v>
      </c>
      <c r="B217" s="75">
        <v>39709</v>
      </c>
      <c r="C217" s="15">
        <v>2008</v>
      </c>
      <c r="D217" s="11" t="s">
        <v>40</v>
      </c>
      <c r="E217" s="15">
        <v>9</v>
      </c>
      <c r="F217" s="23">
        <v>1.73</v>
      </c>
      <c r="G217" s="23">
        <v>1.7999999999999999E-2</v>
      </c>
    </row>
    <row r="218" spans="1:27">
      <c r="A218" s="15">
        <v>10</v>
      </c>
      <c r="B218" s="75">
        <v>39709</v>
      </c>
      <c r="C218" s="15">
        <v>2008</v>
      </c>
      <c r="D218" s="11" t="s">
        <v>40</v>
      </c>
      <c r="E218" s="15">
        <v>9</v>
      </c>
      <c r="F218" s="23">
        <v>1.7969999999999999</v>
      </c>
      <c r="G218" s="23">
        <v>2.5999999999999999E-2</v>
      </c>
      <c r="I218" s="27">
        <f>AVERAGE(F217:F218)</f>
        <v>1.7635000000000001</v>
      </c>
      <c r="J218" s="27">
        <f>AVERAGE(G217:G218)</f>
        <v>2.1999999999999999E-2</v>
      </c>
      <c r="L218">
        <f>+J218/I218</f>
        <v>1.2475191380776863E-2</v>
      </c>
      <c r="M218">
        <f>+(L218-$L$614)/$L$615</f>
        <v>0.18853832674211884</v>
      </c>
      <c r="N218">
        <f>+N216+M218</f>
        <v>18.021896027376801</v>
      </c>
      <c r="Z218">
        <f>+(I218-$F$614)/$F$615</f>
        <v>-0.47339762854249767</v>
      </c>
      <c r="AA218">
        <f>+AA216+Z218</f>
        <v>35.345496378720419</v>
      </c>
    </row>
    <row r="219" spans="1:27">
      <c r="A219" s="15">
        <v>9</v>
      </c>
      <c r="B219" s="75">
        <v>39735</v>
      </c>
      <c r="C219" s="15">
        <v>2008</v>
      </c>
      <c r="D219" s="11" t="s">
        <v>36</v>
      </c>
      <c r="E219" s="15">
        <v>10</v>
      </c>
      <c r="F219" s="23">
        <v>3.992</v>
      </c>
      <c r="G219" s="23">
        <v>9.1999999999999998E-2</v>
      </c>
    </row>
    <row r="220" spans="1:27">
      <c r="A220" s="15">
        <v>10</v>
      </c>
      <c r="B220" s="75">
        <v>39735</v>
      </c>
      <c r="C220" s="15">
        <v>2008</v>
      </c>
      <c r="D220" s="11" t="s">
        <v>36</v>
      </c>
      <c r="E220" s="15">
        <v>10</v>
      </c>
      <c r="F220" s="23">
        <v>1.3120000000000001</v>
      </c>
      <c r="G220" s="23">
        <v>1.7000000000000001E-2</v>
      </c>
      <c r="I220" s="27">
        <f>AVERAGE(F219:F220)</f>
        <v>2.6520000000000001</v>
      </c>
      <c r="J220" s="27">
        <f>AVERAGE(G219:G220)</f>
        <v>5.45E-2</v>
      </c>
      <c r="L220">
        <f>+J220/I220</f>
        <v>2.055052790346908E-2</v>
      </c>
      <c r="M220">
        <f>+(L220-$L$614)/$L$615</f>
        <v>0.95557557962399686</v>
      </c>
      <c r="N220">
        <f>+N218+M220</f>
        <v>18.977471607000798</v>
      </c>
      <c r="Z220">
        <f>+(I220-$F$614)/$F$615</f>
        <v>-0.29302573965973189</v>
      </c>
      <c r="AA220">
        <f>+AA218+Z220</f>
        <v>35.052470639060687</v>
      </c>
    </row>
    <row r="221" spans="1:27">
      <c r="A221" s="15">
        <v>9</v>
      </c>
      <c r="B221" s="75">
        <v>39769</v>
      </c>
      <c r="C221" s="15">
        <v>2008</v>
      </c>
      <c r="D221" s="11" t="s">
        <v>37</v>
      </c>
      <c r="E221" s="15">
        <v>11</v>
      </c>
      <c r="F221" s="23">
        <v>0.627</v>
      </c>
      <c r="G221" s="23">
        <v>4.0000000000000001E-3</v>
      </c>
    </row>
    <row r="222" spans="1:27">
      <c r="A222" s="15">
        <v>10</v>
      </c>
      <c r="B222" s="75">
        <v>39769</v>
      </c>
      <c r="C222" s="15">
        <v>2008</v>
      </c>
      <c r="D222" s="11" t="s">
        <v>37</v>
      </c>
      <c r="E222" s="15">
        <v>11</v>
      </c>
      <c r="F222" s="23">
        <v>0.77200000000000002</v>
      </c>
      <c r="G222" s="23">
        <v>4.0000000000000001E-3</v>
      </c>
      <c r="I222" s="27">
        <f>AVERAGE(F221:F222)</f>
        <v>0.69950000000000001</v>
      </c>
      <c r="J222" s="27">
        <f>AVERAGE(G221:G222)</f>
        <v>4.0000000000000001E-3</v>
      </c>
      <c r="L222">
        <f>+J222/I222</f>
        <v>5.7183702644746249E-3</v>
      </c>
      <c r="M222">
        <f>+(L222-$L$614)/$L$615</f>
        <v>-0.45325950950890526</v>
      </c>
      <c r="N222">
        <f>+N220+M222</f>
        <v>18.524212097491894</v>
      </c>
      <c r="Z222">
        <f>+(I222-$F$614)/$F$615</f>
        <v>-0.6893972793824108</v>
      </c>
      <c r="AA222">
        <f>+AA220+Z222</f>
        <v>34.363073359678275</v>
      </c>
    </row>
    <row r="223" spans="1:27">
      <c r="A223" s="15">
        <v>9</v>
      </c>
      <c r="B223" s="75">
        <v>39797</v>
      </c>
      <c r="C223" s="15">
        <v>2008</v>
      </c>
      <c r="D223" s="11" t="s">
        <v>38</v>
      </c>
      <c r="E223" s="15">
        <v>12</v>
      </c>
      <c r="F223" s="23">
        <v>1.2150000000000001</v>
      </c>
      <c r="G223" s="23">
        <v>9.9989999999999996E-4</v>
      </c>
    </row>
    <row r="224" spans="1:27">
      <c r="A224" s="15">
        <v>10</v>
      </c>
      <c r="B224" s="75">
        <v>39797</v>
      </c>
      <c r="C224" s="15">
        <v>2008</v>
      </c>
      <c r="D224" s="11" t="s">
        <v>38</v>
      </c>
      <c r="E224" s="15">
        <v>12</v>
      </c>
      <c r="F224" s="23">
        <v>4.3120000000000003</v>
      </c>
      <c r="G224" s="23">
        <v>5.8000000000000003E-2</v>
      </c>
      <c r="I224" s="27">
        <f>AVERAGE(F223:F224)</f>
        <v>2.7635000000000001</v>
      </c>
      <c r="J224" s="27">
        <f>AVERAGE(G223:G224)</f>
        <v>2.949995E-2</v>
      </c>
      <c r="L224">
        <f>+J224/I224</f>
        <v>1.067485073276642E-2</v>
      </c>
      <c r="M224">
        <f>+(L224-$L$614)/$L$615</f>
        <v>1.7532655211153825E-2</v>
      </c>
      <c r="N224">
        <f>+N222+M224</f>
        <v>18.541744752703046</v>
      </c>
      <c r="Z224">
        <f>+(I224-$F$614)/$F$615</f>
        <v>-0.27039043790348161</v>
      </c>
      <c r="AA224">
        <f>+AA222+Z224</f>
        <v>34.092682921774795</v>
      </c>
    </row>
    <row r="225" spans="1:27">
      <c r="A225" s="15">
        <v>9</v>
      </c>
      <c r="B225" s="75">
        <v>39826</v>
      </c>
      <c r="C225" s="15">
        <v>2009</v>
      </c>
      <c r="D225" s="11" t="s">
        <v>39</v>
      </c>
      <c r="E225" s="12">
        <v>1</v>
      </c>
      <c r="F225" s="23">
        <v>2.718</v>
      </c>
      <c r="G225" s="23">
        <v>9.9989999999999996E-4</v>
      </c>
    </row>
    <row r="226" spans="1:27">
      <c r="A226" s="15">
        <v>10</v>
      </c>
      <c r="B226" s="75">
        <v>39826</v>
      </c>
      <c r="C226" s="15">
        <v>2009</v>
      </c>
      <c r="D226" s="11" t="s">
        <v>39</v>
      </c>
      <c r="E226" s="12">
        <v>1</v>
      </c>
      <c r="F226" s="23">
        <v>2.0840000000000001</v>
      </c>
      <c r="G226" s="23">
        <v>9.9989999999999996E-4</v>
      </c>
      <c r="I226" s="27">
        <f>AVERAGE(F225:F226)</f>
        <v>2.4009999999999998</v>
      </c>
      <c r="J226" s="27">
        <f>AVERAGE(G225:G226)</f>
        <v>9.9989999999999996E-4</v>
      </c>
      <c r="L226">
        <f>+J226/I226</f>
        <v>4.1645147855060396E-4</v>
      </c>
      <c r="M226">
        <f>+(L226-$L$614)/$L$615</f>
        <v>-0.95686319328481961</v>
      </c>
      <c r="N226">
        <f>+N224+M226</f>
        <v>17.584881559418225</v>
      </c>
      <c r="Z226">
        <f>+(I226-$F$614)/$F$615</f>
        <v>-0.343980544510125</v>
      </c>
      <c r="AA226">
        <f>+AA224+Z226</f>
        <v>33.748702377264671</v>
      </c>
    </row>
    <row r="227" spans="1:27">
      <c r="A227" s="12">
        <v>9</v>
      </c>
      <c r="B227" s="75">
        <v>39861</v>
      </c>
      <c r="C227" s="15">
        <v>2009</v>
      </c>
      <c r="D227" s="11" t="s">
        <v>28</v>
      </c>
      <c r="E227" s="12">
        <v>2</v>
      </c>
      <c r="F227" s="23">
        <v>2.077</v>
      </c>
      <c r="G227" s="23">
        <v>1.4E-2</v>
      </c>
    </row>
    <row r="228" spans="1:27">
      <c r="A228" s="12">
        <v>10</v>
      </c>
      <c r="B228" s="75">
        <v>39861</v>
      </c>
      <c r="C228" s="15">
        <v>2009</v>
      </c>
      <c r="D228" s="11" t="s">
        <v>28</v>
      </c>
      <c r="E228" s="12">
        <v>2</v>
      </c>
      <c r="F228" s="23">
        <v>1.7310000000000001</v>
      </c>
      <c r="G228" s="23">
        <v>1.7000000000000001E-2</v>
      </c>
      <c r="I228" s="27">
        <f>AVERAGE(F227:F228)</f>
        <v>1.9039999999999999</v>
      </c>
      <c r="J228" s="27">
        <f>AVERAGE(G227:G228)</f>
        <v>1.55E-2</v>
      </c>
      <c r="L228">
        <f>+J228/I228</f>
        <v>8.140756302521009E-3</v>
      </c>
      <c r="M228">
        <f>+(L228-$L$614)/$L$615</f>
        <v>-0.22316874774049528</v>
      </c>
      <c r="N228">
        <f>+N226+M228</f>
        <v>17.36171281167773</v>
      </c>
      <c r="Z228">
        <f>+(I228-$F$614)/$F$615</f>
        <v>-0.44487511825771592</v>
      </c>
      <c r="AA228">
        <f>+AA226+Z228</f>
        <v>33.303827259006958</v>
      </c>
    </row>
    <row r="229" spans="1:27">
      <c r="A229" s="12">
        <v>9</v>
      </c>
      <c r="B229" s="75">
        <v>39888</v>
      </c>
      <c r="C229" s="15">
        <v>2009</v>
      </c>
      <c r="D229" s="11" t="s">
        <v>29</v>
      </c>
      <c r="E229" s="12">
        <v>3</v>
      </c>
      <c r="F229" s="23">
        <v>3.859</v>
      </c>
      <c r="G229" s="25">
        <v>1.0999999999999999E-2</v>
      </c>
    </row>
    <row r="230" spans="1:27">
      <c r="A230" s="12">
        <v>10</v>
      </c>
      <c r="B230" s="75">
        <v>39888</v>
      </c>
      <c r="C230" s="15">
        <v>2009</v>
      </c>
      <c r="D230" s="11" t="s">
        <v>29</v>
      </c>
      <c r="E230" s="12">
        <v>3</v>
      </c>
      <c r="F230" s="23">
        <v>3.5259999999999998</v>
      </c>
      <c r="G230" s="25">
        <v>1.2999999999999999E-2</v>
      </c>
      <c r="I230" s="27">
        <f>AVERAGE(F229:F230)</f>
        <v>3.6924999999999999</v>
      </c>
      <c r="J230" s="27">
        <f>AVERAGE(G229:G230)</f>
        <v>1.2E-2</v>
      </c>
      <c r="L230">
        <f>+J230/I230</f>
        <v>3.249830737982397E-3</v>
      </c>
      <c r="M230">
        <f>+(L230-$L$614)/$L$615</f>
        <v>-0.68773416845471891</v>
      </c>
      <c r="N230">
        <f>+N228+M230</f>
        <v>16.673978643223013</v>
      </c>
      <c r="Z230">
        <f>+(I230-$F$614)/$F$615</f>
        <v>-8.1796757799835737E-2</v>
      </c>
      <c r="AA230">
        <f>+AA228+Z230</f>
        <v>33.222030501207122</v>
      </c>
    </row>
    <row r="231" spans="1:27">
      <c r="A231" s="12">
        <v>9</v>
      </c>
      <c r="B231" s="75">
        <v>39916</v>
      </c>
      <c r="C231" s="15">
        <v>2009</v>
      </c>
      <c r="D231" s="11" t="s">
        <v>30</v>
      </c>
      <c r="E231" s="12">
        <v>4</v>
      </c>
      <c r="F231" s="23">
        <v>0.66500000000000004</v>
      </c>
      <c r="G231" s="25">
        <v>6.0000000000000001E-3</v>
      </c>
    </row>
    <row r="232" spans="1:27">
      <c r="A232" s="12">
        <v>10</v>
      </c>
      <c r="B232" s="75">
        <v>39916</v>
      </c>
      <c r="C232" s="15">
        <v>2009</v>
      </c>
      <c r="D232" s="11" t="s">
        <v>30</v>
      </c>
      <c r="E232" s="12">
        <v>4</v>
      </c>
      <c r="F232" s="23">
        <v>0.52800000000000002</v>
      </c>
      <c r="G232" s="25">
        <v>7.0000000000000001E-3</v>
      </c>
      <c r="I232" s="27">
        <f>AVERAGE(F231:F232)</f>
        <v>0.59650000000000003</v>
      </c>
      <c r="J232" s="27">
        <f>AVERAGE(G231:G232)</f>
        <v>6.5000000000000006E-3</v>
      </c>
      <c r="L232">
        <f>+J232/I232</f>
        <v>1.0896898575020957E-2</v>
      </c>
      <c r="M232">
        <f>+(L232-$L$614)/$L$615</f>
        <v>3.8623908368549925E-2</v>
      </c>
      <c r="N232">
        <f>+N230+M232</f>
        <v>16.712602551591562</v>
      </c>
      <c r="Z232">
        <f>+(I232-$F$614)/$F$615</f>
        <v>-0.71030702001822943</v>
      </c>
      <c r="AA232">
        <f>+AA230+Z232</f>
        <v>32.511723481188895</v>
      </c>
    </row>
    <row r="233" spans="1:27">
      <c r="A233" s="12">
        <v>9</v>
      </c>
      <c r="B233" s="75">
        <v>39946</v>
      </c>
      <c r="C233" s="15">
        <v>2009</v>
      </c>
      <c r="D233" s="11" t="s">
        <v>31</v>
      </c>
      <c r="E233" s="12">
        <v>5</v>
      </c>
      <c r="F233" s="23">
        <v>0.59599999999999997</v>
      </c>
      <c r="G233" s="25">
        <v>9.9989999999999996E-4</v>
      </c>
    </row>
    <row r="234" spans="1:27">
      <c r="A234" s="12">
        <v>10</v>
      </c>
      <c r="B234" s="75">
        <v>39946</v>
      </c>
      <c r="C234" s="15">
        <v>2009</v>
      </c>
      <c r="D234" s="11" t="s">
        <v>31</v>
      </c>
      <c r="E234" s="12">
        <v>5</v>
      </c>
      <c r="F234" s="23">
        <v>0.85199999999999998</v>
      </c>
      <c r="G234" s="25">
        <v>4.0000000000000001E-3</v>
      </c>
      <c r="I234" s="27">
        <f>AVERAGE(F233:F234)</f>
        <v>0.72399999999999998</v>
      </c>
      <c r="J234" s="27">
        <f>AVERAGE(G233:G234)</f>
        <v>2.4999499999999999E-3</v>
      </c>
      <c r="L234">
        <f>+J234/I234</f>
        <v>3.4529696132596685E-3</v>
      </c>
      <c r="M234">
        <f>+(L234-$L$614)/$L$615</f>
        <v>-0.66843898683493841</v>
      </c>
      <c r="N234">
        <f>+N232+M234</f>
        <v>16.044163564756623</v>
      </c>
      <c r="Z234">
        <f>+(I234-$F$614)/$F$615</f>
        <v>-0.68442360321175477</v>
      </c>
      <c r="AA234">
        <f>+AA232+Z234</f>
        <v>31.82729987797714</v>
      </c>
    </row>
    <row r="235" spans="1:27">
      <c r="A235" s="15">
        <v>9</v>
      </c>
      <c r="B235" s="75">
        <v>39983</v>
      </c>
      <c r="C235" s="15">
        <v>2009</v>
      </c>
      <c r="D235" s="11" t="s">
        <v>32</v>
      </c>
      <c r="E235" s="12">
        <v>6</v>
      </c>
      <c r="F235" s="23">
        <v>3.1190000000000002</v>
      </c>
      <c r="G235" s="25">
        <v>2.9000000000000001E-2</v>
      </c>
    </row>
    <row r="236" spans="1:27">
      <c r="A236" s="15">
        <v>10</v>
      </c>
      <c r="B236" s="75">
        <v>39983</v>
      </c>
      <c r="C236" s="15">
        <v>2009</v>
      </c>
      <c r="D236" s="11" t="s">
        <v>32</v>
      </c>
      <c r="E236" s="12">
        <v>6</v>
      </c>
      <c r="F236" s="23">
        <v>2.516</v>
      </c>
      <c r="G236" s="25">
        <v>2.5999999999999999E-2</v>
      </c>
      <c r="I236" s="27">
        <f>AVERAGE(F235:F236)</f>
        <v>2.8174999999999999</v>
      </c>
      <c r="J236" s="27">
        <f>AVERAGE(G235:G236)</f>
        <v>2.75E-2</v>
      </c>
      <c r="L236">
        <f>+J236/I236</f>
        <v>9.7604259094942331E-3</v>
      </c>
      <c r="M236">
        <f>+(L236-$L$614)/$L$615</f>
        <v>-6.9324146661897762E-2</v>
      </c>
      <c r="N236">
        <f>+N234+M236</f>
        <v>15.974839418094724</v>
      </c>
      <c r="Z236">
        <f>+(I236-$F$614)/$F$615</f>
        <v>-0.25942804960897481</v>
      </c>
      <c r="AA236">
        <f>+AA234+Z236</f>
        <v>31.567871828368165</v>
      </c>
    </row>
    <row r="237" spans="1:27">
      <c r="A237" s="15">
        <v>9</v>
      </c>
      <c r="B237" s="75">
        <v>40007</v>
      </c>
      <c r="C237" s="15">
        <v>2009</v>
      </c>
      <c r="D237" s="11" t="s">
        <v>33</v>
      </c>
      <c r="E237" s="12">
        <v>7</v>
      </c>
      <c r="F237" s="23">
        <v>4.57</v>
      </c>
      <c r="G237" s="25">
        <v>3.1E-2</v>
      </c>
    </row>
    <row r="238" spans="1:27">
      <c r="A238" s="15">
        <v>10</v>
      </c>
      <c r="B238" s="75">
        <v>40007</v>
      </c>
      <c r="C238" s="15">
        <v>2009</v>
      </c>
      <c r="D238" s="11" t="s">
        <v>33</v>
      </c>
      <c r="E238" s="12">
        <v>7</v>
      </c>
      <c r="F238" s="23">
        <v>3.2389999999999999</v>
      </c>
      <c r="G238" s="25">
        <v>2.5999999999999999E-2</v>
      </c>
      <c r="I238" s="27">
        <f>AVERAGE(F237:F238)</f>
        <v>3.9045000000000001</v>
      </c>
      <c r="J238" s="27">
        <f>AVERAGE(G237:G238)</f>
        <v>2.8499999999999998E-2</v>
      </c>
      <c r="L238">
        <f>+J238/I238</f>
        <v>7.2992700729926996E-3</v>
      </c>
      <c r="M238">
        <f>+(L238-$L$614)/$L$615</f>
        <v>-0.30309746452171721</v>
      </c>
      <c r="N238">
        <f>+N236+M238</f>
        <v>15.671741953573008</v>
      </c>
      <c r="Z238">
        <f>+(I238-$F$614)/$F$615</f>
        <v>-3.8759233384364301E-2</v>
      </c>
      <c r="AA238">
        <f>+AA236+Z238</f>
        <v>31.5291125949838</v>
      </c>
    </row>
    <row r="239" spans="1:27">
      <c r="A239" s="15">
        <v>9</v>
      </c>
      <c r="B239" s="75">
        <v>40042</v>
      </c>
      <c r="C239" s="15">
        <v>2009</v>
      </c>
      <c r="D239" s="11" t="s">
        <v>34</v>
      </c>
      <c r="E239" s="12">
        <v>8</v>
      </c>
      <c r="F239" s="23">
        <v>5.7190000000000003</v>
      </c>
      <c r="G239" s="25">
        <v>0.108</v>
      </c>
    </row>
    <row r="240" spans="1:27">
      <c r="A240" s="15">
        <v>10</v>
      </c>
      <c r="B240" s="75">
        <v>40042</v>
      </c>
      <c r="C240" s="15">
        <v>2009</v>
      </c>
      <c r="D240" s="11" t="s">
        <v>34</v>
      </c>
      <c r="E240" s="12">
        <v>8</v>
      </c>
      <c r="F240" s="23">
        <v>13.336</v>
      </c>
      <c r="G240" s="25">
        <v>0.33300000000000002</v>
      </c>
      <c r="I240" s="27">
        <f>AVERAGE(F239:F240)</f>
        <v>9.5274999999999999</v>
      </c>
      <c r="J240" s="27">
        <f>AVERAGE(G239:G240)</f>
        <v>0.2205</v>
      </c>
      <c r="L240">
        <f>+J240/I240</f>
        <v>2.3143531881395958E-2</v>
      </c>
      <c r="M240">
        <f>+(L240-$L$614)/$L$615</f>
        <v>1.2018725162719981</v>
      </c>
      <c r="N240">
        <f>+N238+M240</f>
        <v>16.873614469845005</v>
      </c>
      <c r="Z240">
        <f>+(I240-$F$614)/$F$615</f>
        <v>1.1027501995788229</v>
      </c>
      <c r="AA240">
        <f>+AA238+Z240</f>
        <v>32.631862794562622</v>
      </c>
    </row>
    <row r="241" spans="1:27">
      <c r="A241" s="15">
        <v>9</v>
      </c>
      <c r="B241" s="75">
        <v>40071</v>
      </c>
      <c r="C241" s="15">
        <v>2009</v>
      </c>
      <c r="D241" s="11" t="s">
        <v>40</v>
      </c>
      <c r="E241" s="12">
        <v>9</v>
      </c>
      <c r="F241" s="23">
        <v>3.0950000000000002</v>
      </c>
      <c r="G241" s="25">
        <v>2.4E-2</v>
      </c>
    </row>
    <row r="242" spans="1:27">
      <c r="A242" s="15">
        <v>10</v>
      </c>
      <c r="B242" s="75">
        <v>40071</v>
      </c>
      <c r="C242" s="15">
        <v>2009</v>
      </c>
      <c r="D242" s="11" t="s">
        <v>40</v>
      </c>
      <c r="E242" s="12">
        <v>9</v>
      </c>
      <c r="F242" s="23">
        <v>3.5539999999999998</v>
      </c>
      <c r="G242" s="25">
        <v>3.5999999999999997E-2</v>
      </c>
      <c r="I242" s="27">
        <f>AVERAGE(F241:F242)</f>
        <v>3.3245</v>
      </c>
      <c r="J242" s="27">
        <f>AVERAGE(G241:G242)</f>
        <v>0.03</v>
      </c>
      <c r="L242">
        <f>+J242/I242</f>
        <v>9.0239133704316434E-3</v>
      </c>
      <c r="M242">
        <f>+(L242-$L$614)/$L$615</f>
        <v>-0.13928191908266668</v>
      </c>
      <c r="N242">
        <f>+N240+M242</f>
        <v>16.734332550762339</v>
      </c>
      <c r="Z242">
        <f>+(I242-$F$614)/$F$615</f>
        <v>-0.15650340395499363</v>
      </c>
      <c r="AA242">
        <f>+AA240+Z242</f>
        <v>32.475359390607629</v>
      </c>
    </row>
    <row r="243" spans="1:27">
      <c r="A243" s="15">
        <v>9</v>
      </c>
      <c r="B243" s="75">
        <v>40100</v>
      </c>
      <c r="C243" s="15">
        <v>2009</v>
      </c>
      <c r="D243" s="11" t="s">
        <v>36</v>
      </c>
      <c r="E243" s="12">
        <v>10</v>
      </c>
      <c r="F243" s="23">
        <v>0.78600000000000003</v>
      </c>
      <c r="G243" s="25">
        <v>9.9989999999999996E-4</v>
      </c>
    </row>
    <row r="244" spans="1:27">
      <c r="A244" s="15">
        <v>10</v>
      </c>
      <c r="B244" s="75">
        <v>40100</v>
      </c>
      <c r="C244" s="15">
        <v>2009</v>
      </c>
      <c r="D244" s="11" t="s">
        <v>36</v>
      </c>
      <c r="E244" s="12">
        <v>10</v>
      </c>
      <c r="F244" s="23">
        <v>1.147</v>
      </c>
      <c r="G244" s="25">
        <v>9.9989999999999996E-4</v>
      </c>
      <c r="I244" s="27">
        <f>AVERAGE(F243:F244)</f>
        <v>0.96650000000000003</v>
      </c>
      <c r="J244" s="27">
        <f>AVERAGE(G243:G244)</f>
        <v>9.9989999999999996E-4</v>
      </c>
      <c r="L244">
        <f>+J244/I244</f>
        <v>1.0345576823590273E-3</v>
      </c>
      <c r="M244">
        <f>+(L244-$L$614)/$L$615</f>
        <v>-0.89815226734059694</v>
      </c>
      <c r="N244">
        <f>+N242+M244</f>
        <v>15.836180283421742</v>
      </c>
      <c r="Z244">
        <f>+(I244-$F$614)/$F$615</f>
        <v>-0.63519435948179348</v>
      </c>
      <c r="AA244">
        <f>+AA242+Z244</f>
        <v>31.840165031125835</v>
      </c>
    </row>
    <row r="245" spans="1:27">
      <c r="A245" s="15">
        <v>9</v>
      </c>
      <c r="B245" s="75">
        <v>40133</v>
      </c>
      <c r="C245" s="15">
        <v>2009</v>
      </c>
      <c r="D245" s="11" t="s">
        <v>37</v>
      </c>
      <c r="E245" s="12">
        <v>11</v>
      </c>
      <c r="F245" s="23">
        <v>1.613</v>
      </c>
      <c r="G245" s="25">
        <v>1.4E-2</v>
      </c>
    </row>
    <row r="246" spans="1:27">
      <c r="A246" s="15">
        <v>10</v>
      </c>
      <c r="B246" s="75">
        <v>40133</v>
      </c>
      <c r="C246" s="15">
        <v>2009</v>
      </c>
      <c r="D246" s="11" t="s">
        <v>37</v>
      </c>
      <c r="E246" s="12">
        <v>11</v>
      </c>
      <c r="F246" s="23">
        <v>1.095</v>
      </c>
      <c r="G246" s="25">
        <v>1.4999999999999999E-2</v>
      </c>
      <c r="I246" s="27">
        <f>AVERAGE(F245:F246)</f>
        <v>1.3540000000000001</v>
      </c>
      <c r="J246" s="27">
        <f>AVERAGE(G245:G246)</f>
        <v>1.4499999999999999E-2</v>
      </c>
      <c r="L246">
        <f>+J246/I246</f>
        <v>1.0709010339734119E-2</v>
      </c>
      <c r="M246">
        <f>+(L246-$L$614)/$L$615</f>
        <v>2.0777311457292919E-2</v>
      </c>
      <c r="N246">
        <f>+N244+M246</f>
        <v>15.856957594879034</v>
      </c>
      <c r="Z246">
        <f>+(I246-$F$614)/$F$615</f>
        <v>-0.55652907310917477</v>
      </c>
      <c r="AA246">
        <f>+AA244+Z246</f>
        <v>31.28363595801666</v>
      </c>
    </row>
    <row r="247" spans="1:27">
      <c r="A247" s="15">
        <v>9</v>
      </c>
      <c r="B247" s="75">
        <v>40161</v>
      </c>
      <c r="C247" s="15">
        <v>2009</v>
      </c>
      <c r="D247" s="11" t="s">
        <v>38</v>
      </c>
      <c r="E247" s="12">
        <v>12</v>
      </c>
      <c r="F247" s="23">
        <v>1.8680000000000001</v>
      </c>
      <c r="G247" s="25">
        <v>8.9999999999999993E-3</v>
      </c>
    </row>
    <row r="248" spans="1:27">
      <c r="A248" s="15">
        <v>10</v>
      </c>
      <c r="B248" s="75">
        <v>40161</v>
      </c>
      <c r="C248" s="15">
        <v>2009</v>
      </c>
      <c r="D248" s="11" t="s">
        <v>38</v>
      </c>
      <c r="E248" s="12">
        <v>12</v>
      </c>
      <c r="F248" s="23">
        <v>1.395</v>
      </c>
      <c r="G248" s="25">
        <v>1.2E-2</v>
      </c>
      <c r="I248" s="27">
        <f>AVERAGE(F247:F248)</f>
        <v>1.6315</v>
      </c>
      <c r="J248" s="27">
        <f>AVERAGE(G247:G248)</f>
        <v>1.0499999999999999E-2</v>
      </c>
      <c r="L248">
        <f>+J248/I248</f>
        <v>6.4357952804167942E-3</v>
      </c>
      <c r="M248">
        <f>+(L248-$L$614)/$L$615</f>
        <v>-0.38511476881225887</v>
      </c>
      <c r="N248">
        <f>+N246+M248</f>
        <v>15.471842826066776</v>
      </c>
      <c r="Z248">
        <f>+(I248-$F$614)/$F$615</f>
        <v>-0.50019457770684783</v>
      </c>
      <c r="AA248">
        <f>+AA246+Z248</f>
        <v>30.783441380309814</v>
      </c>
    </row>
    <row r="249" spans="1:27">
      <c r="A249" s="15">
        <v>9</v>
      </c>
      <c r="B249" s="70">
        <v>40197</v>
      </c>
      <c r="C249" s="15">
        <v>2010</v>
      </c>
      <c r="D249" s="11" t="s">
        <v>39</v>
      </c>
      <c r="E249" s="15">
        <v>1</v>
      </c>
      <c r="F249" s="26">
        <v>9.4469999999999992</v>
      </c>
      <c r="G249" s="27">
        <v>1.8100499999999999E-2</v>
      </c>
    </row>
    <row r="250" spans="1:27">
      <c r="A250" s="15">
        <v>10</v>
      </c>
      <c r="B250" s="70">
        <v>40197</v>
      </c>
      <c r="C250" s="15">
        <v>2010</v>
      </c>
      <c r="D250" s="11" t="s">
        <v>39</v>
      </c>
      <c r="E250" s="15">
        <v>1</v>
      </c>
      <c r="F250" s="26">
        <v>7.7149999999999999</v>
      </c>
      <c r="G250" s="27">
        <v>2.2684124999999996E-2</v>
      </c>
      <c r="I250" s="27">
        <f>AVERAGE(F249:F250)</f>
        <v>8.5809999999999995</v>
      </c>
      <c r="J250" s="27">
        <f>AVERAGE(G249:G250)</f>
        <v>2.0392312499999996E-2</v>
      </c>
      <c r="L250">
        <f>+J250/I250</f>
        <v>2.3764494231441552E-3</v>
      </c>
      <c r="M250">
        <f>+(L250-$L$614)/$L$615</f>
        <v>-0.77069244549610039</v>
      </c>
      <c r="N250">
        <f>+N248+M250</f>
        <v>14.701150380570676</v>
      </c>
      <c r="Z250">
        <f>+(I250-$F$614)/$F$615</f>
        <v>0.91060389363899419</v>
      </c>
      <c r="AA250">
        <f>+AA248+Z250</f>
        <v>31.694045273948809</v>
      </c>
    </row>
    <row r="251" spans="1:27">
      <c r="A251" s="15">
        <v>9</v>
      </c>
      <c r="B251" s="70">
        <v>40225</v>
      </c>
      <c r="C251" s="15">
        <v>2010</v>
      </c>
      <c r="D251" s="11" t="s">
        <v>28</v>
      </c>
      <c r="E251" s="15">
        <v>2</v>
      </c>
      <c r="F251" s="26">
        <v>5.3949999999999996</v>
      </c>
      <c r="G251" s="27">
        <v>3.2966374999999992E-2</v>
      </c>
    </row>
    <row r="252" spans="1:27">
      <c r="A252" s="15">
        <v>10</v>
      </c>
      <c r="B252" s="70">
        <v>40225</v>
      </c>
      <c r="C252" s="15">
        <v>2010</v>
      </c>
      <c r="D252" s="11" t="s">
        <v>28</v>
      </c>
      <c r="E252" s="15">
        <v>2</v>
      </c>
      <c r="F252" s="26">
        <v>3.2669999999999999</v>
      </c>
      <c r="G252" s="27">
        <v>3.2026875000000003E-2</v>
      </c>
      <c r="I252" s="27">
        <f>AVERAGE(F251:F252)</f>
        <v>4.3309999999999995</v>
      </c>
      <c r="J252" s="27">
        <f>AVERAGE(G251:G252)</f>
        <v>3.2496625000000001E-2</v>
      </c>
      <c r="L252">
        <f>+J252/I252</f>
        <v>7.5032613715077358E-3</v>
      </c>
      <c r="M252">
        <f>+(L252-$L$614)/$L$615</f>
        <v>-0.28372131533151412</v>
      </c>
      <c r="N252">
        <f>+N250+M252</f>
        <v>14.417429065239162</v>
      </c>
      <c r="Z252">
        <f>+(I252-$F$614)/$F$615</f>
        <v>4.7823333423175927E-2</v>
      </c>
      <c r="AA252">
        <f>+AA250+Z252</f>
        <v>31.741868607371984</v>
      </c>
    </row>
    <row r="253" spans="1:27">
      <c r="A253" s="15">
        <v>9</v>
      </c>
      <c r="B253" s="70">
        <v>40255</v>
      </c>
      <c r="C253" s="15">
        <v>2010</v>
      </c>
      <c r="D253" s="11" t="s">
        <v>29</v>
      </c>
      <c r="E253" s="15">
        <v>3</v>
      </c>
      <c r="F253" s="26">
        <v>9.5939999999999994</v>
      </c>
      <c r="G253" s="27">
        <v>0.15777825000000001</v>
      </c>
    </row>
    <row r="254" spans="1:27">
      <c r="A254" s="15">
        <v>10</v>
      </c>
      <c r="B254" s="70">
        <v>40255</v>
      </c>
      <c r="C254" s="15">
        <v>2010</v>
      </c>
      <c r="D254" s="11" t="s">
        <v>29</v>
      </c>
      <c r="E254" s="15">
        <v>3</v>
      </c>
      <c r="F254" s="26">
        <v>8.5579999999999998</v>
      </c>
      <c r="G254" s="27">
        <v>0.17347062499999996</v>
      </c>
      <c r="I254" s="27">
        <f>AVERAGE(F253:F254)</f>
        <v>9.0760000000000005</v>
      </c>
      <c r="J254" s="27">
        <f>AVERAGE(G253:G254)</f>
        <v>0.1656244375</v>
      </c>
      <c r="L254">
        <f>+J254/I254</f>
        <v>1.8248615855002204E-2</v>
      </c>
      <c r="M254">
        <f>+(L254-$L$614)/$L$615</f>
        <v>0.73692806084008833</v>
      </c>
      <c r="N254">
        <f>+N252+M254</f>
        <v>15.154357126079251</v>
      </c>
      <c r="Z254">
        <f>+(I254-$F$614)/$F$615</f>
        <v>1.0110924530053074</v>
      </c>
      <c r="AA254">
        <f>+AA252+Z254</f>
        <v>32.752961060377288</v>
      </c>
    </row>
    <row r="255" spans="1:27">
      <c r="A255" s="15">
        <v>9</v>
      </c>
      <c r="B255" s="70">
        <v>40281</v>
      </c>
      <c r="C255" s="15">
        <v>2010</v>
      </c>
      <c r="D255" s="11" t="s">
        <v>30</v>
      </c>
      <c r="E255" s="15">
        <v>4</v>
      </c>
      <c r="F255" s="26">
        <v>2.2589999999999999</v>
      </c>
      <c r="G255" s="27">
        <v>1.0604624999999998E-2</v>
      </c>
    </row>
    <row r="256" spans="1:27">
      <c r="A256" s="15">
        <v>10</v>
      </c>
      <c r="B256" s="70">
        <v>40281</v>
      </c>
      <c r="C256" s="15">
        <v>2010</v>
      </c>
      <c r="D256" s="11" t="s">
        <v>30</v>
      </c>
      <c r="E256" s="15">
        <v>4</v>
      </c>
      <c r="F256" s="26">
        <v>2.4209999999999998</v>
      </c>
      <c r="G256" s="27">
        <v>6.9958749999999995E-3</v>
      </c>
      <c r="I256" s="27">
        <f>AVERAGE(F255:F256)</f>
        <v>2.34</v>
      </c>
      <c r="J256" s="27">
        <f>AVERAGE(G255:G256)</f>
        <v>8.800249999999999E-3</v>
      </c>
      <c r="L256">
        <f>+J256/I256</f>
        <v>3.760790598290598E-3</v>
      </c>
      <c r="M256">
        <f>+(L256-$L$614)/$L$615</f>
        <v>-0.63920055669967002</v>
      </c>
      <c r="N256">
        <f>+N254+M256</f>
        <v>14.515156569379581</v>
      </c>
      <c r="Z256">
        <f>+(I256-$F$614)/$F$615</f>
        <v>-0.35636398313910495</v>
      </c>
      <c r="AA256">
        <f>+AA254+Z256</f>
        <v>32.396597077238184</v>
      </c>
    </row>
    <row r="257" spans="1:27">
      <c r="A257" s="15">
        <v>9</v>
      </c>
      <c r="B257" s="75">
        <v>40317</v>
      </c>
      <c r="C257" s="15">
        <v>2010</v>
      </c>
      <c r="D257" s="11" t="s">
        <v>31</v>
      </c>
      <c r="E257" s="15">
        <v>5</v>
      </c>
      <c r="F257" s="28">
        <v>2.9220000000000002</v>
      </c>
      <c r="G257" s="27">
        <v>1.3058874999999999E-2</v>
      </c>
    </row>
    <row r="258" spans="1:27">
      <c r="A258" s="15">
        <v>10</v>
      </c>
      <c r="B258" s="75">
        <v>40317</v>
      </c>
      <c r="C258" s="15">
        <v>2010</v>
      </c>
      <c r="D258" s="11" t="s">
        <v>31</v>
      </c>
      <c r="E258" s="15">
        <v>5</v>
      </c>
      <c r="F258" s="28">
        <v>3.617</v>
      </c>
      <c r="G258" s="27">
        <v>3.7441749999999996E-2</v>
      </c>
      <c r="I258" s="27">
        <f>AVERAGE(F257:F258)</f>
        <v>3.2694999999999999</v>
      </c>
      <c r="J258" s="27">
        <f>AVERAGE(G257:G258)</f>
        <v>2.5250312499999997E-2</v>
      </c>
      <c r="L258">
        <f>+J258/I258</f>
        <v>7.7229889891420704E-3</v>
      </c>
      <c r="M258">
        <f>+(L258-$L$614)/$L$615</f>
        <v>-0.26285044911573308</v>
      </c>
      <c r="N258">
        <f>+N256+M258</f>
        <v>14.252306120263848</v>
      </c>
      <c r="Z258">
        <f>+(I258-$F$614)/$F$615</f>
        <v>-0.16766879944013954</v>
      </c>
      <c r="AA258">
        <f>+AA256+Z258</f>
        <v>32.228928277798047</v>
      </c>
    </row>
    <row r="259" spans="1:27">
      <c r="A259" s="15">
        <v>9</v>
      </c>
      <c r="B259" s="75">
        <v>40345</v>
      </c>
      <c r="C259" s="15">
        <v>2010</v>
      </c>
      <c r="D259" s="11" t="s">
        <v>32</v>
      </c>
      <c r="E259" s="15">
        <v>6</v>
      </c>
      <c r="F259" s="28">
        <v>7.1379999999999999</v>
      </c>
      <c r="G259" s="27">
        <v>0.10227587499999997</v>
      </c>
    </row>
    <row r="260" spans="1:27">
      <c r="A260" s="15">
        <v>10</v>
      </c>
      <c r="B260" s="75">
        <v>40345</v>
      </c>
      <c r="C260" s="15">
        <v>2010</v>
      </c>
      <c r="D260" s="11" t="s">
        <v>32</v>
      </c>
      <c r="E260" s="15">
        <v>6</v>
      </c>
      <c r="F260" s="28">
        <v>9.1150000000000002</v>
      </c>
      <c r="G260" s="27">
        <v>0.12874437499999999</v>
      </c>
      <c r="I260" s="27">
        <f>AVERAGE(F259:F260)</f>
        <v>8.1265000000000001</v>
      </c>
      <c r="J260" s="27">
        <f>AVERAGE(G259:G260)</f>
        <v>0.11551012499999999</v>
      </c>
      <c r="L260">
        <f>+J260/I260</f>
        <v>1.4214006644927089E-2</v>
      </c>
      <c r="M260">
        <f>+(L260-$L$614)/$L$615</f>
        <v>0.35369999891949272</v>
      </c>
      <c r="N260">
        <f>+N258+M260</f>
        <v>14.606006119183341</v>
      </c>
      <c r="Z260">
        <f>+(I260-$F$614)/$F$615</f>
        <v>0.81833712549356141</v>
      </c>
      <c r="AA260">
        <f>+AA258+Z260</f>
        <v>33.047265403291611</v>
      </c>
    </row>
    <row r="261" spans="1:27">
      <c r="A261" s="15">
        <v>9</v>
      </c>
      <c r="B261" s="75">
        <v>40373</v>
      </c>
      <c r="C261" s="15">
        <v>2010</v>
      </c>
      <c r="D261" s="11" t="s">
        <v>33</v>
      </c>
      <c r="E261" s="15">
        <v>7</v>
      </c>
      <c r="F261" s="28">
        <v>6.0940000000000003</v>
      </c>
      <c r="G261" s="27">
        <v>3.9361000000000007E-2</v>
      </c>
    </row>
    <row r="262" spans="1:27">
      <c r="A262" s="15">
        <v>10</v>
      </c>
      <c r="B262" s="75">
        <v>40373</v>
      </c>
      <c r="C262" s="15">
        <v>2010</v>
      </c>
      <c r="D262" s="11" t="s">
        <v>33</v>
      </c>
      <c r="E262" s="15">
        <v>7</v>
      </c>
      <c r="F262" s="28">
        <v>12.361000000000001</v>
      </c>
      <c r="G262" s="27">
        <v>0.15263025</v>
      </c>
      <c r="I262" s="27">
        <f>AVERAGE(F261:F262)</f>
        <v>9.2275000000000009</v>
      </c>
      <c r="J262" s="27">
        <f>AVERAGE(G261:G262)</f>
        <v>9.5995625000000001E-2</v>
      </c>
      <c r="L262">
        <f>+J262/I262</f>
        <v>1.0403210512056352E-2</v>
      </c>
      <c r="M262">
        <f>+(L262-$L$614)/$L$615</f>
        <v>-8.269138693060318E-3</v>
      </c>
      <c r="N262">
        <f>+N260+M262</f>
        <v>14.59773698049028</v>
      </c>
      <c r="Z262">
        <f>+(I262-$F$614)/$F$615</f>
        <v>1.0418480423871184</v>
      </c>
      <c r="AA262">
        <f>+AA260+Z262</f>
        <v>34.089113445678727</v>
      </c>
    </row>
    <row r="263" spans="1:27">
      <c r="A263" s="15">
        <v>9</v>
      </c>
      <c r="B263" s="75">
        <v>40409</v>
      </c>
      <c r="C263" s="15">
        <v>2010</v>
      </c>
      <c r="D263" s="11" t="s">
        <v>34</v>
      </c>
      <c r="E263" s="15">
        <v>8</v>
      </c>
      <c r="F263" s="28">
        <v>4.22</v>
      </c>
      <c r="G263" s="27">
        <v>2.8655875000000004E-2</v>
      </c>
    </row>
    <row r="264" spans="1:27">
      <c r="A264" s="15">
        <v>10</v>
      </c>
      <c r="B264" s="75">
        <v>40409</v>
      </c>
      <c r="C264" s="15">
        <v>2010</v>
      </c>
      <c r="D264" s="11" t="s">
        <v>34</v>
      </c>
      <c r="E264" s="15">
        <v>8</v>
      </c>
      <c r="F264" s="28">
        <v>8.1379999999999999</v>
      </c>
      <c r="G264" s="27">
        <v>0.29599112500000002</v>
      </c>
      <c r="I264" s="27">
        <f>AVERAGE(F263:F264)</f>
        <v>6.1790000000000003</v>
      </c>
      <c r="J264" s="27">
        <f>AVERAGE(G263:G264)</f>
        <v>0.16232350000000001</v>
      </c>
      <c r="L264">
        <f>+J264/I264</f>
        <v>2.6270189351027675E-2</v>
      </c>
      <c r="M264">
        <f>+(L264-$L$614)/$L$615</f>
        <v>1.4988586232248962</v>
      </c>
      <c r="N264">
        <f>+N262+M264</f>
        <v>16.096595603715176</v>
      </c>
      <c r="Z264">
        <f>+(I264-$F$614)/$F$615</f>
        <v>0.42298062172407774</v>
      </c>
      <c r="AA264">
        <f>+AA262+Z264</f>
        <v>34.512094067402806</v>
      </c>
    </row>
    <row r="265" spans="1:27">
      <c r="A265" s="15">
        <v>9</v>
      </c>
      <c r="B265" s="75">
        <v>40434</v>
      </c>
      <c r="C265" s="15">
        <v>2010</v>
      </c>
      <c r="D265" s="11" t="s">
        <v>40</v>
      </c>
      <c r="E265" s="15">
        <v>9</v>
      </c>
      <c r="F265" s="28">
        <v>2.3079999999999998</v>
      </c>
      <c r="G265" s="27">
        <v>1.5758250000000001E-2</v>
      </c>
    </row>
    <row r="266" spans="1:27">
      <c r="A266" s="15">
        <v>10</v>
      </c>
      <c r="B266" s="75">
        <v>40434</v>
      </c>
      <c r="C266" s="15">
        <v>2010</v>
      </c>
      <c r="D266" s="11" t="s">
        <v>40</v>
      </c>
      <c r="E266" s="15">
        <v>9</v>
      </c>
      <c r="F266" s="28">
        <v>1.877</v>
      </c>
      <c r="G266" s="27">
        <v>2.2650874999999997E-2</v>
      </c>
      <c r="I266" s="27">
        <f>AVERAGE(F265:F266)</f>
        <v>2.0924999999999998</v>
      </c>
      <c r="J266" s="27">
        <f>AVERAGE(G265:G266)</f>
        <v>1.9204562500000001E-2</v>
      </c>
      <c r="L266">
        <f>+J266/I266</f>
        <v>9.1778076463560343E-3</v>
      </c>
      <c r="M266">
        <f>+(L266-$L$614)/$L$615</f>
        <v>-0.12466424435077371</v>
      </c>
      <c r="N266">
        <f>+N264+M266</f>
        <v>15.971931359364403</v>
      </c>
      <c r="Z266">
        <f>+(I266-$F$614)/$F$615</f>
        <v>-0.40660826282226142</v>
      </c>
      <c r="AA266">
        <f>+AA264+Z266</f>
        <v>34.105485804580546</v>
      </c>
    </row>
    <row r="267" spans="1:27">
      <c r="A267" s="15">
        <v>9</v>
      </c>
      <c r="B267" s="75">
        <v>40463</v>
      </c>
      <c r="C267" s="15">
        <v>2010</v>
      </c>
      <c r="D267" s="11" t="s">
        <v>36</v>
      </c>
      <c r="E267" s="15">
        <v>10</v>
      </c>
      <c r="F267" s="26">
        <v>1.004</v>
      </c>
      <c r="G267" s="27">
        <v>0</v>
      </c>
    </row>
    <row r="268" spans="1:27">
      <c r="A268" s="15">
        <v>10</v>
      </c>
      <c r="B268" s="75">
        <v>40463</v>
      </c>
      <c r="C268" s="15">
        <v>2010</v>
      </c>
      <c r="D268" s="11" t="s">
        <v>36</v>
      </c>
      <c r="E268" s="15">
        <v>10</v>
      </c>
      <c r="F268" s="26">
        <v>0.58599999999999997</v>
      </c>
      <c r="G268" s="27">
        <v>0</v>
      </c>
      <c r="I268" s="27">
        <f>AVERAGE(F267:F268)</f>
        <v>0.79499999999999993</v>
      </c>
      <c r="J268" s="27">
        <f>AVERAGE(G267:G268)</f>
        <v>0</v>
      </c>
      <c r="L268">
        <f>+J268/I268</f>
        <v>0</v>
      </c>
      <c r="M268">
        <f>+(L268-$L$614)/$L$615</f>
        <v>-0.99641990985860229</v>
      </c>
      <c r="N268">
        <f>+N266+M268</f>
        <v>14.975511449505801</v>
      </c>
      <c r="Z268">
        <f>+(I268-$F$614)/$F$615</f>
        <v>-0.67001009267638478</v>
      </c>
      <c r="AA268">
        <f>+AA266+Z268</f>
        <v>33.435475711904161</v>
      </c>
    </row>
    <row r="269" spans="1:27">
      <c r="A269" s="15">
        <v>9</v>
      </c>
      <c r="B269" s="75">
        <v>40500</v>
      </c>
      <c r="C269" s="15">
        <v>2010</v>
      </c>
      <c r="D269" s="11" t="s">
        <v>37</v>
      </c>
      <c r="E269" s="15">
        <v>11</v>
      </c>
      <c r="F269" s="26">
        <v>0.45400000000000001</v>
      </c>
      <c r="G269" s="27">
        <v>0</v>
      </c>
    </row>
    <row r="270" spans="1:27">
      <c r="A270" s="15">
        <v>10</v>
      </c>
      <c r="B270" s="75">
        <v>40500</v>
      </c>
      <c r="C270" s="15">
        <v>2010</v>
      </c>
      <c r="D270" s="11" t="s">
        <v>37</v>
      </c>
      <c r="E270" s="15">
        <v>11</v>
      </c>
      <c r="F270" s="26">
        <v>1.268</v>
      </c>
      <c r="G270" s="27">
        <v>0</v>
      </c>
      <c r="I270" s="27">
        <f>AVERAGE(F269:F270)</f>
        <v>0.86099999999999999</v>
      </c>
      <c r="J270" s="27">
        <f>AVERAGE(G269:G270)</f>
        <v>0</v>
      </c>
      <c r="L270">
        <f>+J270/I270</f>
        <v>0</v>
      </c>
      <c r="M270">
        <f>+(L270-$L$614)/$L$615</f>
        <v>-0.99641990985860229</v>
      </c>
      <c r="N270">
        <f>+N268+M270</f>
        <v>13.979091539647198</v>
      </c>
      <c r="Z270">
        <f>+(I270-$F$614)/$F$615</f>
        <v>-0.65661161809420976</v>
      </c>
      <c r="AA270">
        <f>+AA268+Z270</f>
        <v>32.77886409380995</v>
      </c>
    </row>
    <row r="271" spans="1:27">
      <c r="A271" s="15">
        <v>9</v>
      </c>
      <c r="B271" s="75">
        <v>40521</v>
      </c>
      <c r="C271" s="15">
        <v>2010</v>
      </c>
      <c r="D271" s="11" t="s">
        <v>38</v>
      </c>
      <c r="E271" s="15">
        <v>12</v>
      </c>
      <c r="F271" s="26">
        <v>4.319</v>
      </c>
      <c r="G271" s="27">
        <v>0.15849949999999996</v>
      </c>
    </row>
    <row r="272" spans="1:27">
      <c r="A272" s="15">
        <v>10</v>
      </c>
      <c r="B272" s="75">
        <v>40521</v>
      </c>
      <c r="C272" s="15">
        <v>2010</v>
      </c>
      <c r="D272" s="11" t="s">
        <v>38</v>
      </c>
      <c r="E272" s="15">
        <v>12</v>
      </c>
      <c r="F272" s="26">
        <v>0.81299999999999994</v>
      </c>
      <c r="G272" s="27">
        <v>0</v>
      </c>
      <c r="I272" s="27">
        <f>AVERAGE(F271:F272)</f>
        <v>2.5659999999999998</v>
      </c>
      <c r="J272" s="27">
        <f>AVERAGE(G271:G272)</f>
        <v>7.924974999999998E-2</v>
      </c>
      <c r="L272">
        <f>+J272/I272</f>
        <v>3.0884547934528443E-2</v>
      </c>
      <c r="M272">
        <f>+(L272-$L$614)/$L$615</f>
        <v>1.9371542808429338</v>
      </c>
      <c r="N272">
        <f>+N270+M272</f>
        <v>15.916245820490133</v>
      </c>
      <c r="Z272">
        <f>+(I272-$F$614)/$F$615</f>
        <v>-0.31048435805468733</v>
      </c>
      <c r="AA272">
        <f>+AA270+Z272</f>
        <v>32.468379735755263</v>
      </c>
    </row>
    <row r="273" spans="1:27">
      <c r="A273" s="15">
        <v>9</v>
      </c>
      <c r="B273" s="75">
        <v>40563</v>
      </c>
      <c r="C273" s="15">
        <v>2011</v>
      </c>
      <c r="D273" s="11" t="s">
        <v>39</v>
      </c>
      <c r="E273" s="15">
        <v>1</v>
      </c>
      <c r="F273" s="26">
        <v>4.4939999999999998</v>
      </c>
      <c r="G273" s="27">
        <v>2.3742625E-2</v>
      </c>
    </row>
    <row r="274" spans="1:27">
      <c r="A274" s="15">
        <v>10</v>
      </c>
      <c r="B274" s="75">
        <v>40563</v>
      </c>
      <c r="C274" s="15">
        <v>2011</v>
      </c>
      <c r="D274" s="11" t="s">
        <v>39</v>
      </c>
      <c r="E274" s="15">
        <v>1</v>
      </c>
      <c r="F274" s="26">
        <v>5.173</v>
      </c>
      <c r="G274" s="27">
        <v>2.8135749999999998E-2</v>
      </c>
      <c r="I274" s="27">
        <f>AVERAGE(F273:F274)</f>
        <v>4.8334999999999999</v>
      </c>
      <c r="J274" s="27">
        <f>AVERAGE(G273:G274)</f>
        <v>2.5939187499999999E-2</v>
      </c>
      <c r="L274">
        <f>+J274/I274</f>
        <v>5.3665433950553431E-3</v>
      </c>
      <c r="M274">
        <f>+(L274-$L$614)/$L$615</f>
        <v>-0.48667784627432187</v>
      </c>
      <c r="N274">
        <f>+N272+M274</f>
        <v>15.429567974215811</v>
      </c>
      <c r="Z274">
        <f>+(I274-$F$614)/$F$615</f>
        <v>0.14983444671928156</v>
      </c>
      <c r="AA274">
        <f>+AA272+Z274</f>
        <v>32.618214182474546</v>
      </c>
    </row>
    <row r="275" spans="1:27">
      <c r="A275" s="15">
        <v>9</v>
      </c>
      <c r="B275" s="75">
        <v>40598</v>
      </c>
      <c r="C275" s="15">
        <v>2011</v>
      </c>
      <c r="D275" s="11" t="s">
        <v>28</v>
      </c>
      <c r="E275" s="15">
        <v>2</v>
      </c>
      <c r="F275" s="26">
        <v>5.968</v>
      </c>
      <c r="G275" s="27">
        <v>1.5154374999999999E-2</v>
      </c>
    </row>
    <row r="276" spans="1:27">
      <c r="A276" s="15">
        <v>10</v>
      </c>
      <c r="B276" s="75">
        <v>40598</v>
      </c>
      <c r="C276" s="15">
        <v>2011</v>
      </c>
      <c r="D276" s="11" t="s">
        <v>28</v>
      </c>
      <c r="E276" s="15">
        <v>2</v>
      </c>
      <c r="F276" s="26">
        <v>7.6689999999999996</v>
      </c>
      <c r="G276" s="27">
        <v>3.0515999999999998E-2</v>
      </c>
      <c r="I276" s="27">
        <f>AVERAGE(F275:F276)</f>
        <v>6.8185000000000002</v>
      </c>
      <c r="J276" s="27">
        <f>AVERAGE(G275:G276)</f>
        <v>2.28351875E-2</v>
      </c>
      <c r="L276">
        <f>+J276/I276</f>
        <v>3.3490045464544984E-3</v>
      </c>
      <c r="M276">
        <f>+(L276-$L$614)/$L$615</f>
        <v>-0.67831412690047377</v>
      </c>
      <c r="N276">
        <f>+N274+M276</f>
        <v>14.751253847315336</v>
      </c>
      <c r="Z276">
        <f>+(I276-$F$614)/$F$615</f>
        <v>0.55280372013772849</v>
      </c>
      <c r="AA276">
        <f>+AA274+Z276</f>
        <v>33.171017902612277</v>
      </c>
    </row>
    <row r="277" spans="1:27">
      <c r="A277" s="15">
        <v>9</v>
      </c>
      <c r="B277" s="75">
        <v>40617</v>
      </c>
      <c r="C277" s="15">
        <v>2011</v>
      </c>
      <c r="D277" s="11" t="s">
        <v>29</v>
      </c>
      <c r="E277" s="15">
        <v>3</v>
      </c>
      <c r="F277" s="26">
        <v>3.0249999999999999</v>
      </c>
      <c r="G277" s="27">
        <v>1.22525E-2</v>
      </c>
    </row>
    <row r="278" spans="1:27">
      <c r="A278" s="15">
        <v>10</v>
      </c>
      <c r="B278" s="75">
        <v>40617</v>
      </c>
      <c r="C278" s="15">
        <v>2011</v>
      </c>
      <c r="D278" s="11" t="s">
        <v>29</v>
      </c>
      <c r="E278" s="15">
        <v>3</v>
      </c>
      <c r="F278" s="26">
        <v>6.4660000000000002</v>
      </c>
      <c r="G278" s="27">
        <v>3.5279749999999999E-2</v>
      </c>
      <c r="I278" s="27">
        <f>AVERAGE(F277:F278)</f>
        <v>4.7454999999999998</v>
      </c>
      <c r="J278" s="27">
        <f>AVERAGE(G277:G278)</f>
        <v>2.3766124999999999E-2</v>
      </c>
      <c r="L278">
        <f>+J278/I278</f>
        <v>5.0081392898535457E-3</v>
      </c>
      <c r="M278">
        <f>+(L278-$L$614)/$L$615</f>
        <v>-0.52072092293163041</v>
      </c>
      <c r="N278">
        <f>+N276+M278</f>
        <v>14.230532924383706</v>
      </c>
      <c r="Z278">
        <f>+(I278-$F$614)/$F$615</f>
        <v>0.13196981394304813</v>
      </c>
      <c r="AA278">
        <f>+AA276+Z278</f>
        <v>33.302987716555329</v>
      </c>
    </row>
    <row r="279" spans="1:27">
      <c r="A279" s="15">
        <v>9</v>
      </c>
      <c r="B279" s="75">
        <v>40647</v>
      </c>
      <c r="C279" s="15">
        <v>2011</v>
      </c>
      <c r="D279" s="11" t="s">
        <v>30</v>
      </c>
      <c r="E279" s="15">
        <v>4</v>
      </c>
      <c r="F279" s="26">
        <v>0.82199999999999995</v>
      </c>
      <c r="G279" s="27">
        <v>0</v>
      </c>
    </row>
    <row r="280" spans="1:27">
      <c r="A280" s="15">
        <v>10</v>
      </c>
      <c r="B280" s="75">
        <v>40647</v>
      </c>
      <c r="C280" s="15">
        <v>2011</v>
      </c>
      <c r="D280" s="11" t="s">
        <v>30</v>
      </c>
      <c r="E280" s="15">
        <v>4</v>
      </c>
      <c r="F280" s="26">
        <v>1.1830000000000001</v>
      </c>
      <c r="G280" s="27">
        <v>4.078749999999999E-3</v>
      </c>
      <c r="I280" s="27">
        <f>AVERAGE(F279:F280)</f>
        <v>1.0024999999999999</v>
      </c>
      <c r="J280" s="27">
        <f>AVERAGE(G279:G280)</f>
        <v>2.0393749999999995E-3</v>
      </c>
      <c r="L280">
        <f>+J280/I280</f>
        <v>2.0342892768079796E-3</v>
      </c>
      <c r="M280">
        <f>+(L280-$L$614)/$L$615</f>
        <v>-0.80319258687768391</v>
      </c>
      <c r="N280">
        <f>+N278+M280</f>
        <v>13.427340337506022</v>
      </c>
      <c r="Z280">
        <f>+(I280-$F$614)/$F$615</f>
        <v>-0.62788610061878891</v>
      </c>
      <c r="AA280">
        <f>+AA278+Z280</f>
        <v>32.675101615936541</v>
      </c>
    </row>
    <row r="281" spans="1:27">
      <c r="A281" s="15">
        <v>9</v>
      </c>
      <c r="B281" s="75">
        <v>40682</v>
      </c>
      <c r="C281" s="15">
        <v>2011</v>
      </c>
      <c r="D281" s="11" t="s">
        <v>31</v>
      </c>
      <c r="E281" s="15">
        <v>5</v>
      </c>
      <c r="F281" s="26">
        <v>4.0890000000000004</v>
      </c>
      <c r="G281" s="27">
        <v>0</v>
      </c>
    </row>
    <row r="282" spans="1:27">
      <c r="A282" s="15">
        <v>10</v>
      </c>
      <c r="B282" s="75">
        <v>40682</v>
      </c>
      <c r="C282" s="15">
        <v>2011</v>
      </c>
      <c r="D282" s="11" t="s">
        <v>31</v>
      </c>
      <c r="E282" s="15">
        <v>5</v>
      </c>
      <c r="F282" s="26">
        <v>2.3570000000000002</v>
      </c>
      <c r="G282" s="27">
        <v>1.3599874999999999E-2</v>
      </c>
      <c r="I282" s="27">
        <f>AVERAGE(F281:F282)</f>
        <v>3.2230000000000003</v>
      </c>
      <c r="J282" s="27">
        <f>AVERAGE(G281:G282)</f>
        <v>6.7999374999999996E-3</v>
      </c>
      <c r="L282">
        <f>+J282/I282</f>
        <v>2.1098161650636052E-3</v>
      </c>
      <c r="M282">
        <f>+(L282-$L$614)/$L$615</f>
        <v>-0.79601865217867551</v>
      </c>
      <c r="N282">
        <f>+N280+M282</f>
        <v>12.631321685327347</v>
      </c>
      <c r="Z282">
        <f>+(I282-$F$614)/$F$615</f>
        <v>-0.1771086338048537</v>
      </c>
      <c r="AA282">
        <f>+AA280+Z282</f>
        <v>32.497992982131684</v>
      </c>
    </row>
    <row r="283" spans="1:27">
      <c r="A283" s="15">
        <v>9</v>
      </c>
      <c r="B283" s="75">
        <v>40709</v>
      </c>
      <c r="C283" s="15">
        <v>2011</v>
      </c>
      <c r="D283" s="11" t="s">
        <v>32</v>
      </c>
      <c r="E283" s="15">
        <v>6</v>
      </c>
      <c r="F283" s="26">
        <v>2.9489999999999998</v>
      </c>
      <c r="G283" s="27">
        <v>7.5697749999999994E-2</v>
      </c>
    </row>
    <row r="284" spans="1:27">
      <c r="A284" s="15">
        <v>10</v>
      </c>
      <c r="B284" s="75">
        <v>40709</v>
      </c>
      <c r="C284" s="15">
        <v>2011</v>
      </c>
      <c r="D284" s="11" t="s">
        <v>32</v>
      </c>
      <c r="E284" s="15">
        <v>6</v>
      </c>
      <c r="F284" s="26">
        <v>3.8260000000000001</v>
      </c>
      <c r="G284" s="27">
        <v>0.12230712499999997</v>
      </c>
      <c r="I284" s="27">
        <f>AVERAGE(F283:F284)</f>
        <v>3.3875000000000002</v>
      </c>
      <c r="J284" s="27">
        <f>AVERAGE(G283:G284)</f>
        <v>9.9002437499999985E-2</v>
      </c>
      <c r="L284">
        <f>+J284/I284</f>
        <v>2.9225811808118077E-2</v>
      </c>
      <c r="M284">
        <f>+(L284-$L$614)/$L$615</f>
        <v>1.7795989395785232</v>
      </c>
      <c r="N284">
        <f>+N282+M284</f>
        <v>14.41092062490587</v>
      </c>
      <c r="Z284">
        <f>+(I284-$F$614)/$F$615</f>
        <v>-0.14371395094473557</v>
      </c>
      <c r="AA284">
        <f>+AA282+Z284</f>
        <v>32.354279031186948</v>
      </c>
    </row>
    <row r="285" spans="1:27">
      <c r="A285" s="15">
        <v>9</v>
      </c>
      <c r="B285" s="75">
        <v>40736</v>
      </c>
      <c r="C285" s="15">
        <v>2011</v>
      </c>
      <c r="D285" s="11" t="s">
        <v>33</v>
      </c>
      <c r="E285" s="15">
        <v>7</v>
      </c>
      <c r="F285" s="26">
        <v>12.976000000000001</v>
      </c>
      <c r="G285" s="27">
        <v>0.11013337499999999</v>
      </c>
    </row>
    <row r="286" spans="1:27">
      <c r="A286" s="15">
        <v>10</v>
      </c>
      <c r="B286" s="75">
        <v>40736</v>
      </c>
      <c r="C286" s="15">
        <v>2011</v>
      </c>
      <c r="D286" s="11" t="s">
        <v>33</v>
      </c>
      <c r="E286" s="15">
        <v>7</v>
      </c>
      <c r="F286" s="26">
        <v>10.025</v>
      </c>
      <c r="G286" s="27">
        <v>0.44893462499999992</v>
      </c>
      <c r="I286" s="27">
        <f>AVERAGE(F285:F286)</f>
        <v>11.500500000000001</v>
      </c>
      <c r="J286" s="27">
        <f>AVERAGE(G285:G286)</f>
        <v>0.27953399999999995</v>
      </c>
      <c r="L286">
        <f>+J286/I286</f>
        <v>2.4306247554454149E-2</v>
      </c>
      <c r="M286">
        <f>+(L286-$L$614)/$L$615</f>
        <v>1.3123132679656411</v>
      </c>
      <c r="N286">
        <f>+N284+M286</f>
        <v>15.723233892871511</v>
      </c>
      <c r="Z286">
        <f>+(I286-$F$614)/$F$615</f>
        <v>1.5032833867096016</v>
      </c>
      <c r="AA286">
        <f>+AA284+Z286</f>
        <v>33.857562417896553</v>
      </c>
    </row>
    <row r="287" spans="1:27">
      <c r="A287" s="15">
        <v>9</v>
      </c>
      <c r="B287" s="75">
        <v>40772</v>
      </c>
      <c r="C287" s="15">
        <v>2011</v>
      </c>
      <c r="D287" s="11" t="s">
        <v>34</v>
      </c>
      <c r="E287" s="15">
        <v>8</v>
      </c>
      <c r="F287" s="26">
        <v>4.3159999999999998</v>
      </c>
      <c r="G287" s="27">
        <v>6.9693875000000002E-2</v>
      </c>
    </row>
    <row r="288" spans="1:27">
      <c r="A288" s="15">
        <v>10</v>
      </c>
      <c r="B288" s="75">
        <v>40772</v>
      </c>
      <c r="C288" s="15">
        <v>2011</v>
      </c>
      <c r="D288" s="11" t="s">
        <v>34</v>
      </c>
      <c r="E288" s="15">
        <v>8</v>
      </c>
      <c r="F288" s="26">
        <v>6.4589999999999996</v>
      </c>
      <c r="G288" s="27">
        <v>0.236988</v>
      </c>
      <c r="I288" s="27">
        <f>AVERAGE(F287:F288)</f>
        <v>5.3874999999999993</v>
      </c>
      <c r="J288" s="27">
        <f>AVERAGE(G287:G288)</f>
        <v>0.1533409375</v>
      </c>
      <c r="L288">
        <f>+J288/I288</f>
        <v>2.8462354988399077E-2</v>
      </c>
      <c r="M288">
        <f>+(L288-$L$614)/$L$615</f>
        <v>1.7070818599440551</v>
      </c>
      <c r="N288">
        <f>+N286+M288</f>
        <v>17.430315752815567</v>
      </c>
      <c r="Z288">
        <f>+(I288-$F$614)/$F$615</f>
        <v>0.26230043033329636</v>
      </c>
      <c r="AA288">
        <f>+AA286+Z288</f>
        <v>34.11986284822985</v>
      </c>
    </row>
    <row r="289" spans="1:27">
      <c r="A289" s="15">
        <v>9</v>
      </c>
      <c r="B289" s="75">
        <v>40798</v>
      </c>
      <c r="C289" s="15">
        <v>2011</v>
      </c>
      <c r="D289" s="11" t="s">
        <v>40</v>
      </c>
      <c r="E289" s="15">
        <v>9</v>
      </c>
      <c r="F289" s="26">
        <v>1.679</v>
      </c>
      <c r="G289" s="27">
        <v>3.0884874999999999E-2</v>
      </c>
    </row>
    <row r="290" spans="1:27">
      <c r="A290" s="15">
        <v>10</v>
      </c>
      <c r="B290" s="75">
        <v>40798</v>
      </c>
      <c r="C290" s="15">
        <v>2011</v>
      </c>
      <c r="D290" s="11" t="s">
        <v>40</v>
      </c>
      <c r="E290" s="15">
        <v>9</v>
      </c>
      <c r="F290" s="26">
        <v>2.7109999999999999</v>
      </c>
      <c r="G290" s="27">
        <v>0.127761125</v>
      </c>
      <c r="I290" s="27">
        <f>AVERAGE(F289:F290)</f>
        <v>2.1949999999999998</v>
      </c>
      <c r="J290" s="27">
        <f>AVERAGE(G289:G290)</f>
        <v>7.9323000000000005E-2</v>
      </c>
      <c r="L290">
        <f>+J290/I290</f>
        <v>3.613804100227791E-2</v>
      </c>
      <c r="M290">
        <f>+(L290-$L$614)/$L$615</f>
        <v>2.4361582393029977</v>
      </c>
      <c r="N290">
        <f>+N288+M290</f>
        <v>19.866473992118564</v>
      </c>
      <c r="Z290">
        <f>+(I290-$F$614)/$F$615</f>
        <v>-0.38580002578176231</v>
      </c>
      <c r="AA290">
        <f>+AA288+Z290</f>
        <v>33.734062822448088</v>
      </c>
    </row>
    <row r="291" spans="1:27">
      <c r="A291" s="15">
        <v>9</v>
      </c>
      <c r="B291" s="75">
        <v>40829</v>
      </c>
      <c r="C291" s="15">
        <v>2011</v>
      </c>
      <c r="D291" s="11" t="s">
        <v>36</v>
      </c>
      <c r="E291" s="15">
        <v>10</v>
      </c>
      <c r="F291" s="28">
        <v>1.6930000000000001</v>
      </c>
      <c r="G291" s="27">
        <v>4.7457374999999996E-2</v>
      </c>
    </row>
    <row r="292" spans="1:27">
      <c r="A292" s="15">
        <v>10</v>
      </c>
      <c r="B292" s="75">
        <v>40829</v>
      </c>
      <c r="C292" s="15">
        <v>2011</v>
      </c>
      <c r="D292" s="11" t="s">
        <v>36</v>
      </c>
      <c r="E292" s="15">
        <v>10</v>
      </c>
      <c r="F292" s="28">
        <v>1.528</v>
      </c>
      <c r="G292" s="27">
        <v>3.3738374999999994E-2</v>
      </c>
      <c r="I292" s="27">
        <f>AVERAGE(F291:F292)</f>
        <v>1.6105</v>
      </c>
      <c r="J292" s="27">
        <f>AVERAGE(G291:G292)</f>
        <v>4.0597874999999992E-2</v>
      </c>
      <c r="L292">
        <f>+J292/I292</f>
        <v>2.5208242781744793E-2</v>
      </c>
      <c r="M292">
        <f>+(L292-$L$614)/$L$615</f>
        <v>1.397989442489068</v>
      </c>
      <c r="N292">
        <f>+N290+M292</f>
        <v>21.264463434607631</v>
      </c>
      <c r="Z292">
        <f>+(I292-$F$614)/$F$615</f>
        <v>-0.50445772871026717</v>
      </c>
      <c r="AA292">
        <f>+AA290+Z292</f>
        <v>33.229605093737824</v>
      </c>
    </row>
    <row r="293" spans="1:27">
      <c r="A293" s="15">
        <v>9</v>
      </c>
      <c r="B293" s="76">
        <v>40877</v>
      </c>
      <c r="C293" s="15">
        <v>2011</v>
      </c>
      <c r="D293" s="11" t="s">
        <v>37</v>
      </c>
      <c r="E293" s="15">
        <v>11</v>
      </c>
      <c r="F293" s="28">
        <v>0.92700000000000005</v>
      </c>
      <c r="G293" s="27">
        <v>0</v>
      </c>
    </row>
    <row r="294" spans="1:27">
      <c r="A294" s="15">
        <v>10</v>
      </c>
      <c r="B294" s="76">
        <v>40877</v>
      </c>
      <c r="C294" s="15">
        <v>2011</v>
      </c>
      <c r="D294" s="11" t="s">
        <v>37</v>
      </c>
      <c r="E294" s="15">
        <v>11</v>
      </c>
      <c r="F294" s="28">
        <v>0.66600000000000004</v>
      </c>
      <c r="G294" s="27">
        <v>0</v>
      </c>
      <c r="I294" s="27">
        <f>AVERAGE(F293:F294)</f>
        <v>0.79649999999999999</v>
      </c>
      <c r="J294" s="27">
        <f>AVERAGE(G293:G294)</f>
        <v>0</v>
      </c>
      <c r="L294">
        <f>+J294/I294</f>
        <v>0</v>
      </c>
      <c r="M294">
        <f>+(L294-$L$614)/$L$615</f>
        <v>-0.99641990985860229</v>
      </c>
      <c r="N294">
        <f>+N292+M294</f>
        <v>20.268043524749029</v>
      </c>
      <c r="Z294">
        <f>+(I294-$F$614)/$F$615</f>
        <v>-0.66970558189042617</v>
      </c>
      <c r="AA294">
        <f>+AA292+Z294</f>
        <v>32.559899511847398</v>
      </c>
    </row>
    <row r="295" spans="1:27">
      <c r="A295" s="15">
        <v>9</v>
      </c>
      <c r="B295" s="76">
        <v>40891</v>
      </c>
      <c r="C295" s="15">
        <v>2011</v>
      </c>
      <c r="D295" s="11" t="s">
        <v>38</v>
      </c>
      <c r="E295" s="15">
        <v>12</v>
      </c>
      <c r="F295" s="28">
        <v>0.36799999999999999</v>
      </c>
      <c r="G295" s="27">
        <v>0</v>
      </c>
    </row>
    <row r="296" spans="1:27">
      <c r="A296" s="15">
        <v>10</v>
      </c>
      <c r="B296" s="76">
        <v>40891</v>
      </c>
      <c r="C296" s="15">
        <v>2011</v>
      </c>
      <c r="D296" s="11" t="s">
        <v>38</v>
      </c>
      <c r="E296" s="15">
        <v>12</v>
      </c>
      <c r="F296" s="28">
        <v>0.41299999999999998</v>
      </c>
      <c r="G296" s="27">
        <v>0</v>
      </c>
      <c r="I296" s="27">
        <f>AVERAGE(F295:F296)</f>
        <v>0.39049999999999996</v>
      </c>
      <c r="J296" s="27">
        <f>AVERAGE(G295:G296)</f>
        <v>0</v>
      </c>
      <c r="L296">
        <f>+J296/I296</f>
        <v>0</v>
      </c>
      <c r="M296">
        <f>+(L296-$L$614)/$L$615</f>
        <v>-0.99641990985860229</v>
      </c>
      <c r="N296">
        <f>+N294+M296</f>
        <v>19.271623614890427</v>
      </c>
      <c r="Z296">
        <f>+(I296-$F$614)/$F$615</f>
        <v>-0.75212650128986669</v>
      </c>
      <c r="AA296">
        <f>+AA294+Z296</f>
        <v>31.807773010557533</v>
      </c>
    </row>
    <row r="297" spans="1:27">
      <c r="A297" s="15">
        <v>9</v>
      </c>
      <c r="B297" s="75">
        <v>40919</v>
      </c>
      <c r="C297" s="15">
        <v>2012</v>
      </c>
      <c r="D297" s="11" t="s">
        <v>39</v>
      </c>
      <c r="E297" s="15">
        <v>1</v>
      </c>
      <c r="F297" s="30">
        <v>1.2430000000000001</v>
      </c>
      <c r="G297" s="27">
        <v>9.5107499999999984E-3</v>
      </c>
    </row>
    <row r="298" spans="1:27">
      <c r="A298" s="15">
        <v>10</v>
      </c>
      <c r="B298" s="75">
        <v>40919</v>
      </c>
      <c r="C298" s="15">
        <v>2012</v>
      </c>
      <c r="D298" s="11" t="s">
        <v>39</v>
      </c>
      <c r="E298" s="15">
        <v>1</v>
      </c>
      <c r="F298" s="30">
        <v>1.21</v>
      </c>
      <c r="G298" s="27">
        <v>8.525375E-3</v>
      </c>
      <c r="I298" s="27">
        <f>AVERAGE(F297:F298)</f>
        <v>1.2265000000000001</v>
      </c>
      <c r="J298" s="27">
        <f>AVERAGE(G297:G298)</f>
        <v>9.0180625E-3</v>
      </c>
      <c r="L298">
        <f>+J298/I298</f>
        <v>7.3526803913575205E-3</v>
      </c>
      <c r="M298">
        <f>+(L298-$L$614)/$L$615</f>
        <v>-0.29802427608443333</v>
      </c>
      <c r="N298">
        <f>+N296+M298</f>
        <v>18.973599338805993</v>
      </c>
      <c r="Z298">
        <f>+(I298-$F$614)/$F$615</f>
        <v>-0.58241248991564931</v>
      </c>
      <c r="AA298">
        <f>+AA296+Z298</f>
        <v>31.225360520641882</v>
      </c>
    </row>
    <row r="299" spans="1:27">
      <c r="A299" s="15">
        <v>9</v>
      </c>
      <c r="B299" s="75">
        <v>40960</v>
      </c>
      <c r="C299" s="15">
        <v>2012</v>
      </c>
      <c r="D299" s="11" t="s">
        <v>28</v>
      </c>
      <c r="E299" s="15">
        <v>2</v>
      </c>
      <c r="F299" s="30">
        <v>1.022</v>
      </c>
      <c r="G299" s="27">
        <v>7.8476249999999987E-3</v>
      </c>
    </row>
    <row r="300" spans="1:27">
      <c r="A300" s="15">
        <v>10</v>
      </c>
      <c r="B300" s="75">
        <v>40960</v>
      </c>
      <c r="C300" s="15">
        <v>2012</v>
      </c>
      <c r="D300" s="11" t="s">
        <v>28</v>
      </c>
      <c r="E300" s="15">
        <v>2</v>
      </c>
      <c r="F300" s="30">
        <v>2.6539999999999999</v>
      </c>
      <c r="G300" s="27">
        <v>3.8599125000000005E-2</v>
      </c>
      <c r="I300" s="27">
        <f>AVERAGE(F299:F300)</f>
        <v>1.8380000000000001</v>
      </c>
      <c r="J300" s="27">
        <f>AVERAGE(G299:G300)</f>
        <v>2.3223375000000001E-2</v>
      </c>
      <c r="L300">
        <f>+J300/I300</f>
        <v>1.2635133297062024E-2</v>
      </c>
      <c r="M300">
        <f>+(L300-$L$614)/$L$615</f>
        <v>0.20373043765208407</v>
      </c>
      <c r="N300">
        <f>+N298+M300</f>
        <v>19.177329776458077</v>
      </c>
      <c r="Z300">
        <f>+(I300-$F$614)/$F$615</f>
        <v>-0.45827359283989094</v>
      </c>
      <c r="AA300">
        <f>+AA298+Z300</f>
        <v>30.767086927801991</v>
      </c>
    </row>
    <row r="301" spans="1:27">
      <c r="A301" s="15">
        <v>9</v>
      </c>
      <c r="B301" s="75">
        <v>40982</v>
      </c>
      <c r="C301" s="15">
        <v>2012</v>
      </c>
      <c r="D301" s="11" t="s">
        <v>29</v>
      </c>
      <c r="E301" s="15">
        <v>3</v>
      </c>
      <c r="F301" s="30">
        <v>0.80700000000000005</v>
      </c>
      <c r="G301" s="27">
        <v>1.2128125000000002E-2</v>
      </c>
    </row>
    <row r="302" spans="1:27">
      <c r="A302" s="15">
        <v>10</v>
      </c>
      <c r="B302" s="75">
        <v>40982</v>
      </c>
      <c r="C302" s="15">
        <v>2012</v>
      </c>
      <c r="D302" s="11" t="s">
        <v>29</v>
      </c>
      <c r="E302" s="15">
        <v>3</v>
      </c>
      <c r="F302" s="30">
        <v>1.095</v>
      </c>
      <c r="G302" s="27">
        <v>1.5827500000000001E-2</v>
      </c>
      <c r="I302" s="27">
        <f>AVERAGE(F301:F302)</f>
        <v>0.95100000000000007</v>
      </c>
      <c r="J302" s="27">
        <f>AVERAGE(G301:G302)</f>
        <v>1.3977812500000002E-2</v>
      </c>
      <c r="L302">
        <f>+J302/I302</f>
        <v>1.4698015247108308E-2</v>
      </c>
      <c r="M302">
        <f>+(L302-$L$614)/$L$615</f>
        <v>0.39967364070457945</v>
      </c>
      <c r="N302">
        <f>+N300+M302</f>
        <v>19.577003417162658</v>
      </c>
      <c r="Z302">
        <f>+(I302-$F$614)/$F$615</f>
        <v>-0.63834097093669817</v>
      </c>
      <c r="AA302">
        <f>+AA300+Z302</f>
        <v>30.128745956865291</v>
      </c>
    </row>
    <row r="303" spans="1:27">
      <c r="A303" s="15">
        <v>9</v>
      </c>
      <c r="B303" s="75">
        <v>41016</v>
      </c>
      <c r="C303" s="15">
        <v>2012</v>
      </c>
      <c r="D303" s="11" t="s">
        <v>30</v>
      </c>
      <c r="E303" s="15">
        <v>4</v>
      </c>
      <c r="F303" s="26">
        <v>1.5580000000000001</v>
      </c>
      <c r="G303" s="27">
        <v>2.3074999999999995E-2</v>
      </c>
    </row>
    <row r="304" spans="1:27">
      <c r="A304" s="15">
        <v>10</v>
      </c>
      <c r="B304" s="75">
        <v>41016</v>
      </c>
      <c r="C304" s="15">
        <v>2012</v>
      </c>
      <c r="D304" s="11" t="s">
        <v>30</v>
      </c>
      <c r="E304" s="15">
        <v>4</v>
      </c>
      <c r="F304" s="26">
        <v>0.84899999999999998</v>
      </c>
      <c r="G304" s="27">
        <v>1.8075000000000001E-2</v>
      </c>
      <c r="I304" s="27">
        <f>AVERAGE(F303:F304)</f>
        <v>1.2035</v>
      </c>
      <c r="J304" s="27">
        <f>AVERAGE(G303:G304)</f>
        <v>2.0574999999999996E-2</v>
      </c>
      <c r="L304">
        <f>+J304/I304</f>
        <v>1.7095970087245529E-2</v>
      </c>
      <c r="M304">
        <f>+(L304-$L$614)/$L$615</f>
        <v>0.62744380086385543</v>
      </c>
      <c r="N304">
        <f>+N302+M304</f>
        <v>20.204447218026512</v>
      </c>
      <c r="Z304">
        <f>+(I304-$F$614)/$F$615</f>
        <v>-0.58708165530034662</v>
      </c>
      <c r="AA304">
        <f>+AA302+Z304</f>
        <v>29.541664301564946</v>
      </c>
    </row>
    <row r="305" spans="1:27">
      <c r="A305" s="15">
        <v>9</v>
      </c>
      <c r="B305" s="75">
        <v>41051</v>
      </c>
      <c r="C305" s="15">
        <v>2012</v>
      </c>
      <c r="D305" s="11" t="s">
        <v>31</v>
      </c>
      <c r="E305" s="15">
        <v>5</v>
      </c>
      <c r="F305" s="26">
        <v>3.21</v>
      </c>
      <c r="G305" s="27">
        <v>1.8366250000000001E-2</v>
      </c>
    </row>
    <row r="306" spans="1:27">
      <c r="A306" s="15">
        <v>10</v>
      </c>
      <c r="B306" s="75">
        <v>41051</v>
      </c>
      <c r="C306" s="15">
        <v>2012</v>
      </c>
      <c r="D306" s="11" t="s">
        <v>31</v>
      </c>
      <c r="E306" s="15">
        <v>5</v>
      </c>
      <c r="F306" s="26">
        <v>3.669</v>
      </c>
      <c r="G306" s="27">
        <v>2.1178124999999996E-2</v>
      </c>
      <c r="I306" s="27">
        <f>AVERAGE(F305:F306)</f>
        <v>3.4394999999999998</v>
      </c>
      <c r="J306" s="27">
        <f>AVERAGE(G305:G306)</f>
        <v>1.9772187499999996E-2</v>
      </c>
      <c r="L306">
        <f>+J306/I306</f>
        <v>5.748564471580171E-3</v>
      </c>
      <c r="M306">
        <f>+(L306-$L$614)/$L$615</f>
        <v>-0.45039150746266193</v>
      </c>
      <c r="N306">
        <f>+N304+M306</f>
        <v>19.754055710563851</v>
      </c>
      <c r="Z306">
        <f>+(I306-$F$614)/$F$615</f>
        <v>-0.13315757703150682</v>
      </c>
      <c r="AA306">
        <f>+AA304+Z306</f>
        <v>29.408506724533439</v>
      </c>
    </row>
    <row r="307" spans="1:27">
      <c r="A307" s="15">
        <v>9</v>
      </c>
      <c r="B307" s="75">
        <v>41080</v>
      </c>
      <c r="C307" s="15">
        <v>2012</v>
      </c>
      <c r="D307" s="11" t="s">
        <v>32</v>
      </c>
      <c r="E307" s="15">
        <v>6</v>
      </c>
      <c r="F307" s="26">
        <v>5.1959999999999997</v>
      </c>
      <c r="G307" s="27">
        <v>7.1582750000000001E-2</v>
      </c>
    </row>
    <row r="308" spans="1:27">
      <c r="A308" s="15">
        <v>10</v>
      </c>
      <c r="B308" s="75">
        <v>41080</v>
      </c>
      <c r="C308" s="15">
        <v>2012</v>
      </c>
      <c r="D308" s="11" t="s">
        <v>32</v>
      </c>
      <c r="E308" s="15">
        <v>6</v>
      </c>
      <c r="F308" s="26">
        <v>3.335</v>
      </c>
      <c r="G308" s="27">
        <v>0.103142</v>
      </c>
      <c r="I308" s="27">
        <f>AVERAGE(F307:F308)</f>
        <v>4.2654999999999994</v>
      </c>
      <c r="J308" s="27">
        <f>AVERAGE(G307:G308)</f>
        <v>8.7362374999999992E-2</v>
      </c>
      <c r="L308">
        <f>+J308/I308</f>
        <v>2.0481156956980426E-2</v>
      </c>
      <c r="M308">
        <f>+(L308-$L$614)/$L$615</f>
        <v>0.94898636813108272</v>
      </c>
      <c r="N308">
        <f>+N306+M308</f>
        <v>20.703042078694935</v>
      </c>
      <c r="Z308">
        <f>+(I308-$F$614)/$F$615</f>
        <v>3.4526362436320353E-2</v>
      </c>
      <c r="AA308">
        <f>+AA306+Z308</f>
        <v>29.443033086969759</v>
      </c>
    </row>
    <row r="309" spans="1:27">
      <c r="A309" s="15">
        <v>9</v>
      </c>
      <c r="B309" s="75">
        <v>41106</v>
      </c>
      <c r="C309" s="15">
        <v>2012</v>
      </c>
      <c r="D309" s="11" t="s">
        <v>33</v>
      </c>
      <c r="E309" s="15">
        <v>7</v>
      </c>
      <c r="F309" s="26">
        <v>8.5009999999999994</v>
      </c>
      <c r="G309" s="27">
        <v>7.1438000000000001E-2</v>
      </c>
    </row>
    <row r="310" spans="1:27">
      <c r="A310" s="15">
        <v>10</v>
      </c>
      <c r="B310" s="75">
        <v>41106</v>
      </c>
      <c r="C310" s="15">
        <v>2012</v>
      </c>
      <c r="D310" s="11" t="s">
        <v>33</v>
      </c>
      <c r="E310" s="15">
        <v>7</v>
      </c>
      <c r="F310" s="26">
        <v>4.3010000000000002</v>
      </c>
      <c r="G310" s="27">
        <v>0.10530762499999999</v>
      </c>
      <c r="I310" s="27">
        <f>AVERAGE(F309:F310)</f>
        <v>6.4009999999999998</v>
      </c>
      <c r="J310" s="27">
        <f>AVERAGE(G309:G310)</f>
        <v>8.8372812499999995E-2</v>
      </c>
      <c r="L310">
        <f>+J310/I310</f>
        <v>1.3806094750820183E-2</v>
      </c>
      <c r="M310">
        <f>+(L310-$L$614)/$L$615</f>
        <v>0.31495441626861731</v>
      </c>
      <c r="N310">
        <f>+N308+M310</f>
        <v>21.017996494963551</v>
      </c>
      <c r="Z310">
        <f>+(I310-$F$614)/$F$615</f>
        <v>0.46804821804593921</v>
      </c>
      <c r="AA310">
        <f>+AA308+Z310</f>
        <v>29.911081305015699</v>
      </c>
    </row>
    <row r="311" spans="1:27">
      <c r="A311" s="15">
        <v>9</v>
      </c>
      <c r="B311" s="75">
        <v>41137</v>
      </c>
      <c r="C311" s="15">
        <v>2012</v>
      </c>
      <c r="D311" s="11" t="s">
        <v>34</v>
      </c>
      <c r="E311" s="15">
        <v>8</v>
      </c>
      <c r="F311" s="26">
        <v>4.9180000000000001</v>
      </c>
      <c r="G311" s="27">
        <v>5.6160624999999985E-2</v>
      </c>
    </row>
    <row r="312" spans="1:27">
      <c r="A312" s="15">
        <v>10</v>
      </c>
      <c r="B312" s="75">
        <v>41137</v>
      </c>
      <c r="C312" s="15">
        <v>2012</v>
      </c>
      <c r="D312" s="11" t="s">
        <v>34</v>
      </c>
      <c r="E312" s="15">
        <v>8</v>
      </c>
      <c r="F312" s="26">
        <v>2.9590000000000001</v>
      </c>
      <c r="G312" s="27">
        <v>0.15306824999999996</v>
      </c>
      <c r="I312" s="27">
        <f>AVERAGE(F311:F312)</f>
        <v>3.9385000000000003</v>
      </c>
      <c r="J312" s="27">
        <f>AVERAGE(G311:G312)</f>
        <v>0.10461443749999998</v>
      </c>
      <c r="L312">
        <f>+J312/I312</f>
        <v>2.6562000126951878E-2</v>
      </c>
      <c r="M312">
        <f>+(L312-$L$614)/$L$615</f>
        <v>1.5265763208461971</v>
      </c>
      <c r="N312">
        <f>+N310+M312</f>
        <v>22.544572815809747</v>
      </c>
      <c r="Z312">
        <f>+(I312-$F$614)/$F$615</f>
        <v>-3.1856988902637703E-2</v>
      </c>
      <c r="AA312">
        <f>+AA310+Z312</f>
        <v>29.87922431611306</v>
      </c>
    </row>
    <row r="313" spans="1:27">
      <c r="A313" s="15">
        <v>9</v>
      </c>
      <c r="B313" s="75">
        <v>41163</v>
      </c>
      <c r="C313" s="15">
        <v>2012</v>
      </c>
      <c r="D313" s="11" t="s">
        <v>40</v>
      </c>
      <c r="E313" s="15">
        <v>9</v>
      </c>
      <c r="F313" s="26">
        <v>5.3540000000000001</v>
      </c>
      <c r="G313" s="27">
        <v>4.2667999999999991E-2</v>
      </c>
    </row>
    <row r="314" spans="1:27">
      <c r="A314" s="15">
        <v>10</v>
      </c>
      <c r="B314" s="75">
        <v>41163</v>
      </c>
      <c r="C314" s="15">
        <v>2012</v>
      </c>
      <c r="D314" s="11" t="s">
        <v>40</v>
      </c>
      <c r="E314" s="15">
        <v>9</v>
      </c>
      <c r="F314" s="26">
        <v>2.87</v>
      </c>
      <c r="G314" s="27">
        <v>4.4393374999999992E-2</v>
      </c>
      <c r="I314" s="27">
        <f>AVERAGE(F313:F314)</f>
        <v>4.1120000000000001</v>
      </c>
      <c r="J314" s="27">
        <f>AVERAGE(G313:G314)</f>
        <v>4.3530687499999991E-2</v>
      </c>
      <c r="L314">
        <f>+J314/I314</f>
        <v>1.0586256687743188E-2</v>
      </c>
      <c r="M314">
        <f>+(L314-$L$614)/$L$615</f>
        <v>9.1175343396760894E-3</v>
      </c>
      <c r="N314">
        <f>+N312+M314</f>
        <v>22.553690350149424</v>
      </c>
      <c r="Z314">
        <f>+(I314-$F$614)/$F$615</f>
        <v>3.3647586732315315E-3</v>
      </c>
      <c r="AA314">
        <f>+AA312+Z314</f>
        <v>29.882589074786292</v>
      </c>
    </row>
    <row r="315" spans="1:27">
      <c r="A315" s="15">
        <v>9</v>
      </c>
      <c r="B315" s="75">
        <v>41199</v>
      </c>
      <c r="C315" s="15">
        <v>2012</v>
      </c>
      <c r="D315" s="11" t="s">
        <v>36</v>
      </c>
      <c r="E315" s="15">
        <v>10</v>
      </c>
      <c r="F315" s="26">
        <v>0.81899999999999995</v>
      </c>
      <c r="G315" s="27">
        <v>0</v>
      </c>
    </row>
    <row r="316" spans="1:27">
      <c r="A316" s="15">
        <v>10</v>
      </c>
      <c r="B316" s="75">
        <v>41199</v>
      </c>
      <c r="C316" s="15">
        <v>2012</v>
      </c>
      <c r="D316" s="11" t="s">
        <v>36</v>
      </c>
      <c r="E316" s="15">
        <v>10</v>
      </c>
      <c r="F316" s="26">
        <v>0.44900000000000001</v>
      </c>
      <c r="G316" s="27">
        <v>0</v>
      </c>
      <c r="I316" s="27">
        <f>AVERAGE(F315:F316)</f>
        <v>0.63400000000000001</v>
      </c>
      <c r="J316" s="27">
        <f>AVERAGE(G315:G316)</f>
        <v>0</v>
      </c>
      <c r="L316">
        <f>+J316/I316</f>
        <v>0</v>
      </c>
      <c r="M316">
        <f>+(L316-$L$614)/$L$615</f>
        <v>-0.99641990985860229</v>
      </c>
      <c r="N316">
        <f>+N314+M316</f>
        <v>21.557270440290822</v>
      </c>
      <c r="Z316">
        <f>+(I316-$F$614)/$F$615</f>
        <v>-0.70269425036926636</v>
      </c>
      <c r="AA316">
        <f>+AA314+Z316</f>
        <v>29.179894824417026</v>
      </c>
    </row>
    <row r="317" spans="1:27">
      <c r="A317" s="15">
        <v>9</v>
      </c>
      <c r="B317" s="75">
        <v>41225</v>
      </c>
      <c r="C317" s="15">
        <v>2012</v>
      </c>
      <c r="D317" s="11" t="s">
        <v>37</v>
      </c>
      <c r="E317" s="15">
        <v>11</v>
      </c>
      <c r="F317" s="26">
        <v>0.96099999999999997</v>
      </c>
      <c r="G317" s="27">
        <v>0</v>
      </c>
    </row>
    <row r="318" spans="1:27">
      <c r="A318" s="15">
        <v>10</v>
      </c>
      <c r="B318" s="75">
        <v>41225</v>
      </c>
      <c r="C318" s="15">
        <v>2012</v>
      </c>
      <c r="D318" s="11" t="s">
        <v>37</v>
      </c>
      <c r="E318" s="15">
        <v>11</v>
      </c>
      <c r="F318" s="26">
        <v>1.843</v>
      </c>
      <c r="G318" s="27">
        <v>1.4069E-2</v>
      </c>
      <c r="I318" s="27">
        <f>AVERAGE(F317:F318)</f>
        <v>1.4019999999999999</v>
      </c>
      <c r="J318" s="27">
        <f>AVERAGE(G317:G318)</f>
        <v>7.0345E-3</v>
      </c>
      <c r="L318">
        <f>+J318/I318</f>
        <v>5.0174750356633381E-3</v>
      </c>
      <c r="M318">
        <f>+(L318-$L$614)/$L$615</f>
        <v>-0.51983416548202765</v>
      </c>
      <c r="N318">
        <f>+N316+M318</f>
        <v>21.037436274808794</v>
      </c>
      <c r="Z318">
        <f>+(I318-$F$614)/$F$615</f>
        <v>-0.54678472795850197</v>
      </c>
      <c r="AA318">
        <f>+AA316+Z318</f>
        <v>28.633110096458523</v>
      </c>
    </row>
    <row r="319" spans="1:27">
      <c r="A319" s="15">
        <v>9</v>
      </c>
      <c r="B319" s="75">
        <v>41255</v>
      </c>
      <c r="C319" s="15">
        <v>2012</v>
      </c>
      <c r="D319" s="11" t="s">
        <v>38</v>
      </c>
      <c r="E319" s="15">
        <v>12</v>
      </c>
      <c r="F319" s="26">
        <v>0.89900000000000002</v>
      </c>
      <c r="G319" s="27">
        <v>0</v>
      </c>
    </row>
    <row r="320" spans="1:27">
      <c r="A320" s="15">
        <v>10</v>
      </c>
      <c r="B320" s="75">
        <v>41255</v>
      </c>
      <c r="C320" s="15">
        <v>2012</v>
      </c>
      <c r="D320" s="11" t="s">
        <v>38</v>
      </c>
      <c r="E320" s="15">
        <v>12</v>
      </c>
      <c r="F320" s="26">
        <v>1.2509999999999999</v>
      </c>
      <c r="G320" s="27">
        <v>0</v>
      </c>
      <c r="I320" s="27">
        <f>AVERAGE(F319:F320)</f>
        <v>1.075</v>
      </c>
      <c r="J320" s="27">
        <f>AVERAGE(G319:G320)</f>
        <v>0</v>
      </c>
      <c r="L320">
        <f>+J320/I320</f>
        <v>0</v>
      </c>
      <c r="M320">
        <f>+(L320-$L$614)/$L$615</f>
        <v>-0.99641990985860229</v>
      </c>
      <c r="N320">
        <f>+N318+M320</f>
        <v>20.041016364950192</v>
      </c>
      <c r="Z320">
        <f>+(I320-$F$614)/$F$615</f>
        <v>-0.6131680792974602</v>
      </c>
      <c r="AA320">
        <f>+AA318+Z320</f>
        <v>28.019942017161064</v>
      </c>
    </row>
    <row r="321" spans="1:27">
      <c r="A321" s="15">
        <v>9</v>
      </c>
      <c r="B321" s="75">
        <v>41297</v>
      </c>
      <c r="C321" s="15">
        <v>2013</v>
      </c>
      <c r="D321" s="11" t="s">
        <v>39</v>
      </c>
      <c r="E321" s="15">
        <v>1</v>
      </c>
      <c r="F321" s="26">
        <v>1.665</v>
      </c>
      <c r="G321" s="27">
        <v>1.3470499999999998E-2</v>
      </c>
    </row>
    <row r="322" spans="1:27">
      <c r="A322" s="15">
        <v>10</v>
      </c>
      <c r="B322" s="75">
        <v>41297</v>
      </c>
      <c r="C322" s="15">
        <v>2013</v>
      </c>
      <c r="D322" s="11" t="s">
        <v>39</v>
      </c>
      <c r="E322" s="15">
        <v>1</v>
      </c>
      <c r="F322" s="26">
        <v>1.169</v>
      </c>
      <c r="G322" s="27">
        <v>1.2965374999999996E-2</v>
      </c>
      <c r="I322" s="27">
        <f>AVERAGE(F321:F322)</f>
        <v>1.417</v>
      </c>
      <c r="J322" s="27">
        <f>AVERAGE(G321:G322)</f>
        <v>1.3217937499999997E-2</v>
      </c>
      <c r="L322">
        <f>+J322/I322</f>
        <v>9.3281139731827781E-3</v>
      </c>
      <c r="M322">
        <f>+(L322-$L$614)/$L$615</f>
        <v>-0.11038737159185184</v>
      </c>
      <c r="N322">
        <f>+N320+M322</f>
        <v>19.93062899335834</v>
      </c>
      <c r="Z322">
        <f>+(I322-$F$614)/$F$615</f>
        <v>-0.54373962009891674</v>
      </c>
      <c r="AA322">
        <f>+AA320+Z322</f>
        <v>27.476202397062146</v>
      </c>
    </row>
    <row r="323" spans="1:27">
      <c r="A323" s="15">
        <v>9</v>
      </c>
      <c r="B323" s="75">
        <v>41319</v>
      </c>
      <c r="C323" s="15">
        <v>2013</v>
      </c>
      <c r="D323" s="11" t="s">
        <v>28</v>
      </c>
      <c r="E323" s="15">
        <v>2</v>
      </c>
      <c r="F323" s="31">
        <v>2.944</v>
      </c>
      <c r="G323" s="27">
        <v>0</v>
      </c>
    </row>
    <row r="324" spans="1:27">
      <c r="A324" s="15">
        <v>10</v>
      </c>
      <c r="B324" s="75">
        <v>41319</v>
      </c>
      <c r="C324" s="15">
        <v>2013</v>
      </c>
      <c r="D324" s="11" t="s">
        <v>28</v>
      </c>
      <c r="E324" s="15">
        <v>2</v>
      </c>
      <c r="F324" s="31">
        <v>2.371</v>
      </c>
      <c r="G324" s="27">
        <v>0</v>
      </c>
      <c r="I324" s="27">
        <f>AVERAGE(F323:F324)</f>
        <v>2.6574999999999998</v>
      </c>
      <c r="J324" s="27">
        <f>AVERAGE(G323:G324)</f>
        <v>0</v>
      </c>
      <c r="L324">
        <f>+J324/I324</f>
        <v>0</v>
      </c>
      <c r="M324">
        <f>+(L324-$L$614)/$L$615</f>
        <v>-0.99641990985860229</v>
      </c>
      <c r="N324">
        <f>+N322+M324</f>
        <v>18.934209083499738</v>
      </c>
      <c r="Z324">
        <f>+(I324-$F$614)/$F$615</f>
        <v>-0.2919092001112174</v>
      </c>
      <c r="AA324">
        <f>+AA322+Z324</f>
        <v>27.184293196950929</v>
      </c>
    </row>
    <row r="325" spans="1:27">
      <c r="A325" s="15">
        <v>9</v>
      </c>
      <c r="B325" s="75">
        <v>41346</v>
      </c>
      <c r="C325" s="15">
        <v>2013</v>
      </c>
      <c r="D325" s="11" t="s">
        <v>29</v>
      </c>
      <c r="E325" s="15">
        <v>3</v>
      </c>
      <c r="F325" s="31">
        <v>8.3840000000000003</v>
      </c>
      <c r="G325" s="27">
        <v>4.7836624999999994E-2</v>
      </c>
    </row>
    <row r="326" spans="1:27">
      <c r="A326" s="15">
        <v>10</v>
      </c>
      <c r="B326" s="75">
        <v>41346</v>
      </c>
      <c r="C326" s="15">
        <v>2013</v>
      </c>
      <c r="D326" s="11" t="s">
        <v>29</v>
      </c>
      <c r="E326" s="15">
        <v>3</v>
      </c>
      <c r="F326" s="31">
        <v>8.6709999999999994</v>
      </c>
      <c r="G326" s="27">
        <v>7.794524999999998E-2</v>
      </c>
      <c r="I326" s="27">
        <f>AVERAGE(F325:F326)</f>
        <v>8.5274999999999999</v>
      </c>
      <c r="J326" s="27">
        <f>AVERAGE(G325:G326)</f>
        <v>6.2890937499999994E-2</v>
      </c>
      <c r="L326">
        <f>+J326/I326</f>
        <v>7.3750732922896502E-3</v>
      </c>
      <c r="M326">
        <f>+(L326-$L$614)/$L$615</f>
        <v>-0.29589728247038755</v>
      </c>
      <c r="N326">
        <f>+N324+M326</f>
        <v>18.638311801029349</v>
      </c>
      <c r="Z326">
        <f>+(I326-$F$614)/$F$615</f>
        <v>0.89974300893980685</v>
      </c>
      <c r="AA326">
        <f>+AA324+Z326</f>
        <v>28.084036205890737</v>
      </c>
    </row>
    <row r="327" spans="1:27">
      <c r="A327" s="15">
        <v>9</v>
      </c>
      <c r="B327" s="75">
        <v>41380</v>
      </c>
      <c r="C327" s="15">
        <v>2013</v>
      </c>
      <c r="D327" s="11" t="s">
        <v>30</v>
      </c>
      <c r="E327" s="15">
        <v>4</v>
      </c>
      <c r="F327" s="32">
        <v>0.495</v>
      </c>
      <c r="G327" s="27">
        <v>0</v>
      </c>
    </row>
    <row r="328" spans="1:27">
      <c r="A328" s="15">
        <v>10</v>
      </c>
      <c r="B328" s="75">
        <v>41380</v>
      </c>
      <c r="C328" s="15">
        <v>2013</v>
      </c>
      <c r="D328" s="11" t="s">
        <v>30</v>
      </c>
      <c r="E328" s="15">
        <v>4</v>
      </c>
      <c r="F328" s="32">
        <v>0.755</v>
      </c>
      <c r="G328" s="27">
        <v>8.3277500000000001E-3</v>
      </c>
      <c r="I328" s="27"/>
      <c r="J328" s="27"/>
    </row>
    <row r="329" spans="1:27">
      <c r="A329" s="15">
        <v>10</v>
      </c>
      <c r="B329" s="75">
        <v>41380</v>
      </c>
      <c r="C329" s="15">
        <v>2013</v>
      </c>
      <c r="D329" s="11" t="s">
        <v>30</v>
      </c>
      <c r="E329" s="15">
        <v>4</v>
      </c>
      <c r="F329" s="32">
        <v>0.755</v>
      </c>
      <c r="G329" s="27">
        <v>8.3812499999999981E-3</v>
      </c>
      <c r="I329" s="27">
        <f>AVERAGE(F327:F329)</f>
        <v>0.66833333333333333</v>
      </c>
      <c r="J329" s="27">
        <f>AVERAGE(G327:G329)</f>
        <v>5.5696666666666663E-3</v>
      </c>
      <c r="L329">
        <f>+J329/I329</f>
        <v>8.3336658354114714E-3</v>
      </c>
      <c r="M329">
        <f>+(L329-$L$614)/$L$615</f>
        <v>-0.20484520199757486</v>
      </c>
      <c r="N329">
        <f>+N326+M329</f>
        <v>18.433466599031775</v>
      </c>
      <c r="Z329">
        <f>+(I329-$F$614)/$F$615</f>
        <v>-0.69572433682399337</v>
      </c>
      <c r="AA329">
        <f>+AA326+Z329</f>
        <v>27.388311869066744</v>
      </c>
    </row>
    <row r="330" spans="1:27">
      <c r="A330" s="15">
        <v>9</v>
      </c>
      <c r="B330" s="75">
        <v>41407</v>
      </c>
      <c r="C330" s="15">
        <v>2013</v>
      </c>
      <c r="D330" s="11" t="s">
        <v>31</v>
      </c>
      <c r="E330" s="15">
        <v>5</v>
      </c>
      <c r="F330" s="32">
        <v>0.65900000000000003</v>
      </c>
      <c r="G330" s="27">
        <v>9.3333749999999997E-3</v>
      </c>
      <c r="I330" s="27"/>
      <c r="J330" s="27"/>
    </row>
    <row r="331" spans="1:27">
      <c r="A331" s="15">
        <v>10</v>
      </c>
      <c r="B331" s="75">
        <v>41407</v>
      </c>
      <c r="C331" s="15">
        <v>2013</v>
      </c>
      <c r="D331" s="11" t="s">
        <v>31</v>
      </c>
      <c r="E331" s="15">
        <v>5</v>
      </c>
      <c r="F331" s="32">
        <v>2.657</v>
      </c>
      <c r="G331" s="27">
        <v>2.1961624999999999E-2</v>
      </c>
      <c r="I331" s="27">
        <f>AVERAGE(F330:F331)</f>
        <v>1.6579999999999999</v>
      </c>
      <c r="J331" s="27">
        <f>AVERAGE(G330:G331)</f>
        <v>1.5647499999999998E-2</v>
      </c>
      <c r="L331">
        <f>+J331/I331</f>
        <v>9.4375753920385996E-3</v>
      </c>
      <c r="M331">
        <f>+(L331-$L$614)/$L$615</f>
        <v>-9.9990159564862485E-2</v>
      </c>
      <c r="N331">
        <f>+N329+M331</f>
        <v>18.333476439466914</v>
      </c>
      <c r="Z331">
        <f>+(I331-$F$614)/$F$615</f>
        <v>-0.4948148871549139</v>
      </c>
      <c r="AA331">
        <f>+AA329+Z331</f>
        <v>26.893496981911831</v>
      </c>
    </row>
    <row r="332" spans="1:27">
      <c r="A332" s="15">
        <v>9</v>
      </c>
      <c r="B332" s="75">
        <v>41437</v>
      </c>
      <c r="C332" s="15">
        <v>2013</v>
      </c>
      <c r="D332" s="11" t="s">
        <v>32</v>
      </c>
      <c r="E332" s="15">
        <v>6</v>
      </c>
      <c r="F332" s="32">
        <v>4.7809999999999997</v>
      </c>
      <c r="G332" s="27">
        <v>1.4484374999999997E-2</v>
      </c>
    </row>
    <row r="333" spans="1:27">
      <c r="A333" s="15">
        <v>10</v>
      </c>
      <c r="B333" s="75">
        <v>41437</v>
      </c>
      <c r="C333" s="15">
        <v>2013</v>
      </c>
      <c r="D333" s="11" t="s">
        <v>32</v>
      </c>
      <c r="E333" s="15">
        <v>6</v>
      </c>
      <c r="F333" s="32">
        <v>3.68</v>
      </c>
      <c r="G333" s="27">
        <v>4.2951749999999997E-2</v>
      </c>
      <c r="I333" s="27">
        <f>AVERAGE(F332:F333)</f>
        <v>4.2305000000000001</v>
      </c>
      <c r="J333" s="27">
        <f>AVERAGE(G332:G333)</f>
        <v>2.8718062499999995E-2</v>
      </c>
      <c r="L333">
        <f>+J333/I333</f>
        <v>6.7883376669424407E-3</v>
      </c>
      <c r="M333">
        <f>+(L333-$L$614)/$L$615</f>
        <v>-0.35162846852927071</v>
      </c>
      <c r="N333">
        <f>+N331+M333</f>
        <v>17.981847970937643</v>
      </c>
      <c r="Z333">
        <f>+(I333-$F$614)/$F$615</f>
        <v>2.7421110763954943E-2</v>
      </c>
      <c r="AA333">
        <f>+AA331+Z333</f>
        <v>26.920918092675787</v>
      </c>
    </row>
    <row r="334" spans="1:27">
      <c r="A334" s="15">
        <v>9</v>
      </c>
      <c r="B334" s="75">
        <v>41470</v>
      </c>
      <c r="C334" s="15">
        <v>2013</v>
      </c>
      <c r="D334" s="11" t="s">
        <v>33</v>
      </c>
      <c r="E334" s="15">
        <v>7</v>
      </c>
      <c r="F334" s="32">
        <v>7.8250000000000002</v>
      </c>
      <c r="G334" s="27">
        <v>0.117590625</v>
      </c>
    </row>
    <row r="335" spans="1:27">
      <c r="A335" s="15">
        <v>10</v>
      </c>
      <c r="B335" s="75">
        <v>41470</v>
      </c>
      <c r="C335" s="15">
        <v>2013</v>
      </c>
      <c r="D335" s="11" t="s">
        <v>33</v>
      </c>
      <c r="E335" s="15">
        <v>7</v>
      </c>
      <c r="F335" s="32">
        <v>10.163</v>
      </c>
      <c r="G335" s="27">
        <v>0.25031775000000001</v>
      </c>
      <c r="I335" s="27">
        <f>AVERAGE(F334:F335)</f>
        <v>8.9939999999999998</v>
      </c>
      <c r="J335" s="27">
        <f>AVERAGE(G334:G335)</f>
        <v>0.1839541875</v>
      </c>
      <c r="L335">
        <f>+J335/I335</f>
        <v>2.045298949299533E-2</v>
      </c>
      <c r="M335">
        <f>+(L335-$L$614)/$L$615</f>
        <v>0.94631087663483804</v>
      </c>
      <c r="N335">
        <f>+N333+M335</f>
        <v>18.928158847572483</v>
      </c>
      <c r="Z335">
        <f>+(I335-$F$614)/$F$615</f>
        <v>0.99444586337290786</v>
      </c>
      <c r="AA335">
        <f>+AA333+Z335</f>
        <v>27.915363956048694</v>
      </c>
    </row>
    <row r="336" spans="1:27">
      <c r="A336" s="15">
        <v>9</v>
      </c>
      <c r="B336" s="75">
        <v>41498</v>
      </c>
      <c r="C336" s="15">
        <v>2013</v>
      </c>
      <c r="D336" s="11" t="s">
        <v>34</v>
      </c>
      <c r="E336" s="15">
        <v>8</v>
      </c>
      <c r="F336" s="32">
        <v>3.544</v>
      </c>
      <c r="G336" s="27">
        <v>3.1042249999999997E-2</v>
      </c>
    </row>
    <row r="337" spans="1:27">
      <c r="A337" s="15">
        <v>10</v>
      </c>
      <c r="B337" s="75">
        <v>41498</v>
      </c>
      <c r="C337" s="15">
        <v>2013</v>
      </c>
      <c r="D337" s="11" t="s">
        <v>34</v>
      </c>
      <c r="E337" s="15">
        <v>8</v>
      </c>
      <c r="F337" s="32">
        <v>3.4510000000000001</v>
      </c>
      <c r="G337" s="27">
        <v>0.15326387499999997</v>
      </c>
      <c r="I337" s="27">
        <f>AVERAGE(F336:F337)</f>
        <v>3.4975000000000001</v>
      </c>
      <c r="J337" s="27">
        <f>AVERAGE(G336:G337)</f>
        <v>9.215306249999998E-2</v>
      </c>
      <c r="L337">
        <f>+J337/I337</f>
        <v>2.6348266619013575E-2</v>
      </c>
      <c r="M337">
        <f>+(L337-$L$614)/$L$615</f>
        <v>1.5062748061889295</v>
      </c>
      <c r="N337">
        <f>+N335+M337</f>
        <v>20.434433653761413</v>
      </c>
      <c r="Z337">
        <f>+(I337-$F$614)/$F$615</f>
        <v>-0.12138315997444384</v>
      </c>
      <c r="AA337">
        <f>+AA335+Z337</f>
        <v>27.793980796074251</v>
      </c>
    </row>
    <row r="338" spans="1:27">
      <c r="A338" s="15">
        <v>9</v>
      </c>
      <c r="B338" s="75">
        <v>41535</v>
      </c>
      <c r="C338" s="15">
        <v>2013</v>
      </c>
      <c r="D338" s="11" t="s">
        <v>40</v>
      </c>
      <c r="E338" s="15">
        <v>9</v>
      </c>
      <c r="F338" s="32">
        <v>1.6279999999999999</v>
      </c>
      <c r="G338" s="27">
        <v>2.7882624999999998E-2</v>
      </c>
    </row>
    <row r="339" spans="1:27">
      <c r="A339" s="15">
        <v>10</v>
      </c>
      <c r="B339" s="75">
        <v>41535</v>
      </c>
      <c r="C339" s="15">
        <v>2013</v>
      </c>
      <c r="D339" s="11" t="s">
        <v>40</v>
      </c>
      <c r="E339" s="15">
        <v>9</v>
      </c>
      <c r="F339" s="32">
        <v>1.2649999999999999</v>
      </c>
      <c r="G339" s="27">
        <v>3.2875000000000001E-2</v>
      </c>
      <c r="I339" s="27">
        <f>AVERAGE(F338:F339)</f>
        <v>1.4464999999999999</v>
      </c>
      <c r="J339" s="27">
        <f>AVERAGE(G338:G339)</f>
        <v>3.0378812499999998E-2</v>
      </c>
      <c r="L339">
        <f>+J339/I339</f>
        <v>2.1001598686484619E-2</v>
      </c>
      <c r="M339">
        <f>+(L339-$L$614)/$L$615</f>
        <v>0.99842061689114581</v>
      </c>
      <c r="N339">
        <f>+N337+M339</f>
        <v>21.432854270652559</v>
      </c>
      <c r="Z339">
        <f>+(I339-$F$614)/$F$615</f>
        <v>-0.53775090797506575</v>
      </c>
      <c r="AA339">
        <f>+AA337+Z339</f>
        <v>27.256229888099185</v>
      </c>
    </row>
    <row r="340" spans="1:27">
      <c r="A340" s="15">
        <v>9</v>
      </c>
      <c r="B340" s="75">
        <v>406810</v>
      </c>
      <c r="C340" s="15">
        <v>2013</v>
      </c>
      <c r="D340" s="11" t="s">
        <v>36</v>
      </c>
      <c r="E340" s="15">
        <v>10</v>
      </c>
      <c r="F340" s="26">
        <v>0.60099999999999998</v>
      </c>
      <c r="G340" s="27">
        <v>0</v>
      </c>
    </row>
    <row r="341" spans="1:27">
      <c r="A341" s="15">
        <v>10</v>
      </c>
      <c r="B341" s="75">
        <v>406810</v>
      </c>
      <c r="C341" s="15">
        <v>2013</v>
      </c>
      <c r="D341" s="11" t="s">
        <v>36</v>
      </c>
      <c r="E341" s="15">
        <v>10</v>
      </c>
      <c r="F341" s="26">
        <v>0.93</v>
      </c>
      <c r="G341" s="27">
        <v>0</v>
      </c>
      <c r="I341" s="27">
        <f>AVERAGE(F340:F341)</f>
        <v>0.76550000000000007</v>
      </c>
      <c r="J341" s="27">
        <f>AVERAGE(G340:G341)</f>
        <v>0</v>
      </c>
      <c r="L341">
        <f>+J341/I341</f>
        <v>0</v>
      </c>
      <c r="M341">
        <f>+(L341-$L$614)/$L$615</f>
        <v>-0.99641990985860229</v>
      </c>
      <c r="N341">
        <f>+N339+M341</f>
        <v>20.436434360793957</v>
      </c>
      <c r="Z341">
        <f>+(I341-$F$614)/$F$615</f>
        <v>-0.67599880480023566</v>
      </c>
      <c r="AA341">
        <f>+AA339+Z341</f>
        <v>26.580231083298948</v>
      </c>
    </row>
    <row r="342" spans="1:27">
      <c r="A342" s="15">
        <v>9</v>
      </c>
      <c r="B342" s="75">
        <v>41599</v>
      </c>
      <c r="C342" s="15">
        <v>2013</v>
      </c>
      <c r="D342" s="11" t="s">
        <v>37</v>
      </c>
      <c r="E342" s="15">
        <v>11</v>
      </c>
      <c r="F342" s="26">
        <v>0.249</v>
      </c>
      <c r="G342" s="27">
        <v>0</v>
      </c>
    </row>
    <row r="343" spans="1:27">
      <c r="A343" s="15">
        <v>10</v>
      </c>
      <c r="B343" s="75">
        <v>41599</v>
      </c>
      <c r="C343" s="15">
        <v>2013</v>
      </c>
      <c r="D343" s="11" t="s">
        <v>37</v>
      </c>
      <c r="E343" s="15">
        <v>11</v>
      </c>
      <c r="F343" s="26">
        <v>0.36599999999999999</v>
      </c>
      <c r="G343" s="27">
        <v>0</v>
      </c>
      <c r="I343" s="27">
        <f>AVERAGE(F342:F343)</f>
        <v>0.3075</v>
      </c>
      <c r="J343" s="27">
        <f>AVERAGE(G342:G343)</f>
        <v>0</v>
      </c>
      <c r="L343">
        <f>+J343/I343</f>
        <v>0</v>
      </c>
      <c r="M343">
        <f>+(L343-$L$614)/$L$615</f>
        <v>-0.99641990985860229</v>
      </c>
      <c r="N343">
        <f>+N341+M343</f>
        <v>19.440014450935355</v>
      </c>
      <c r="Z343">
        <f>+(I343-$F$614)/$F$615</f>
        <v>-0.76897609811290502</v>
      </c>
      <c r="AA343">
        <f>+AA341+Z343</f>
        <v>25.811254985186043</v>
      </c>
    </row>
    <row r="344" spans="1:27">
      <c r="A344" s="15">
        <v>9</v>
      </c>
      <c r="B344" s="75">
        <v>41627</v>
      </c>
      <c r="C344" s="15">
        <v>2013</v>
      </c>
      <c r="D344" s="11" t="s">
        <v>38</v>
      </c>
      <c r="E344" s="15">
        <v>12</v>
      </c>
      <c r="F344" s="26">
        <v>0.96</v>
      </c>
      <c r="G344" s="27">
        <v>0</v>
      </c>
    </row>
    <row r="345" spans="1:27">
      <c r="A345" s="15">
        <v>10</v>
      </c>
      <c r="B345" s="75">
        <v>41627</v>
      </c>
      <c r="C345" s="15">
        <v>2013</v>
      </c>
      <c r="D345" s="11" t="s">
        <v>38</v>
      </c>
      <c r="E345" s="15">
        <v>12</v>
      </c>
      <c r="F345" s="26">
        <v>1.0349999999999999</v>
      </c>
      <c r="G345" s="27">
        <v>0</v>
      </c>
      <c r="I345" s="27">
        <f>AVERAGE(F344:F345)</f>
        <v>0.99749999999999994</v>
      </c>
      <c r="J345" s="27">
        <f>AVERAGE(G344:G345)</f>
        <v>0</v>
      </c>
      <c r="L345">
        <f>+J345/I345</f>
        <v>0</v>
      </c>
      <c r="M345">
        <f>+(L345-$L$614)/$L$615</f>
        <v>-0.99641990985860229</v>
      </c>
      <c r="N345">
        <f>+N343+M345</f>
        <v>18.443594541076752</v>
      </c>
      <c r="Z345">
        <f>+(I345-$F$614)/$F$615</f>
        <v>-0.62890113657198399</v>
      </c>
      <c r="AA345">
        <f>+AA343+Z345</f>
        <v>25.18235384861406</v>
      </c>
    </row>
    <row r="346" spans="1:27">
      <c r="A346" s="15">
        <v>9</v>
      </c>
      <c r="B346" s="75">
        <v>41655</v>
      </c>
      <c r="C346" s="15">
        <v>2014</v>
      </c>
      <c r="D346" s="11" t="s">
        <v>39</v>
      </c>
      <c r="E346" s="15">
        <v>1</v>
      </c>
      <c r="F346" s="26">
        <v>1.9850000000000001</v>
      </c>
      <c r="G346" s="27">
        <v>0</v>
      </c>
    </row>
    <row r="347" spans="1:27">
      <c r="A347" s="15">
        <v>10</v>
      </c>
      <c r="B347" s="75">
        <v>41655</v>
      </c>
      <c r="C347" s="15">
        <v>2014</v>
      </c>
      <c r="D347" s="11" t="s">
        <v>39</v>
      </c>
      <c r="E347" s="15">
        <v>1</v>
      </c>
      <c r="F347" s="26">
        <v>1.8129999999999999</v>
      </c>
      <c r="G347" s="27">
        <v>0</v>
      </c>
      <c r="I347" s="27">
        <f>AVERAGE(F346:F347)</f>
        <v>1.899</v>
      </c>
      <c r="J347" s="27">
        <f>AVERAGE(G346:G347)</f>
        <v>0</v>
      </c>
      <c r="L347">
        <f>+J347/I347</f>
        <v>0</v>
      </c>
      <c r="M347">
        <f>+(L347-$L$614)/$L$615</f>
        <v>-0.99641990985860229</v>
      </c>
      <c r="N347">
        <f>+N345+M347</f>
        <v>17.44717463121815</v>
      </c>
      <c r="Z347">
        <f>+(I347-$F$614)/$F$615</f>
        <v>-0.44589015421091099</v>
      </c>
      <c r="AA347">
        <f>+AA345+Z347</f>
        <v>24.736463694403149</v>
      </c>
    </row>
    <row r="348" spans="1:27">
      <c r="A348" s="15">
        <v>9</v>
      </c>
      <c r="B348" s="75">
        <v>41690</v>
      </c>
      <c r="C348" s="15">
        <v>2014</v>
      </c>
      <c r="D348" s="11" t="s">
        <v>28</v>
      </c>
      <c r="E348" s="15">
        <v>2</v>
      </c>
      <c r="F348" s="26">
        <v>3.0960000000000001</v>
      </c>
      <c r="G348" s="27">
        <v>2.8504000000000002E-2</v>
      </c>
    </row>
    <row r="349" spans="1:27">
      <c r="A349" s="15">
        <v>10</v>
      </c>
      <c r="B349" s="75">
        <v>41690</v>
      </c>
      <c r="C349" s="15">
        <v>2014</v>
      </c>
      <c r="D349" s="11" t="s">
        <v>28</v>
      </c>
      <c r="E349" s="15">
        <v>2</v>
      </c>
      <c r="F349" s="26">
        <v>4.5090000000000003</v>
      </c>
      <c r="G349" s="27">
        <v>3.91735E-2</v>
      </c>
      <c r="I349" s="27">
        <f>AVERAGE(F348:F349)</f>
        <v>3.8025000000000002</v>
      </c>
      <c r="J349" s="27">
        <f>AVERAGE(G348:G349)</f>
        <v>3.3838750000000001E-2</v>
      </c>
      <c r="L349">
        <f>+J349/I349</f>
        <v>8.8990795529257059E-3</v>
      </c>
      <c r="M349">
        <f>+(L349-$L$614)/$L$615</f>
        <v>-0.15113928108577854</v>
      </c>
      <c r="N349">
        <f>+N347+M349</f>
        <v>17.296035350132371</v>
      </c>
      <c r="Z349">
        <f>+(I349-$F$614)/$F$615</f>
        <v>-5.9465966829543915E-2</v>
      </c>
      <c r="AA349">
        <f>+AA347+Z349</f>
        <v>24.676997727573603</v>
      </c>
    </row>
    <row r="350" spans="1:27">
      <c r="A350" s="15">
        <v>9</v>
      </c>
      <c r="B350" s="75">
        <v>41718</v>
      </c>
      <c r="C350" s="15">
        <v>2014</v>
      </c>
      <c r="D350" s="11" t="s">
        <v>29</v>
      </c>
      <c r="E350" s="15">
        <v>3</v>
      </c>
      <c r="F350" s="26">
        <v>6.6929999999999996</v>
      </c>
      <c r="G350" s="27">
        <v>3.2197749999999997E-2</v>
      </c>
    </row>
    <row r="351" spans="1:27">
      <c r="A351" s="15">
        <v>10</v>
      </c>
      <c r="B351" s="75">
        <v>41718</v>
      </c>
      <c r="C351" s="15">
        <v>2014</v>
      </c>
      <c r="D351" s="11" t="s">
        <v>29</v>
      </c>
      <c r="E351" s="15">
        <v>3</v>
      </c>
      <c r="F351" s="26">
        <v>4.5419999999999998</v>
      </c>
      <c r="G351" s="27">
        <v>5.8065125000000002E-2</v>
      </c>
      <c r="I351" s="27">
        <f>AVERAGE(F350:F351)</f>
        <v>5.6174999999999997</v>
      </c>
      <c r="J351" s="27">
        <f>AVERAGE(G350:G351)</f>
        <v>4.5131437499999996E-2</v>
      </c>
      <c r="L351">
        <f>+J351/I351</f>
        <v>8.0340787716955946E-3</v>
      </c>
      <c r="M351">
        <f>+(L351-$L$614)/$L$615</f>
        <v>-0.23330153167570494</v>
      </c>
      <c r="N351">
        <f>+N349+M351</f>
        <v>17.062733818456667</v>
      </c>
      <c r="Z351">
        <f>+(I351-$F$614)/$F$615</f>
        <v>0.30899208418027013</v>
      </c>
      <c r="AA351">
        <f>+AA349+Z351</f>
        <v>24.985989811753875</v>
      </c>
    </row>
    <row r="352" spans="1:27">
      <c r="A352" s="15">
        <v>9</v>
      </c>
      <c r="B352" s="75">
        <v>41750</v>
      </c>
      <c r="C352" s="15">
        <v>2014</v>
      </c>
      <c r="D352" s="11" t="s">
        <v>30</v>
      </c>
      <c r="E352" s="15">
        <v>4</v>
      </c>
      <c r="F352" s="33">
        <v>2.2000000000000002</v>
      </c>
      <c r="G352" s="27">
        <v>8.629249999999998E-3</v>
      </c>
    </row>
    <row r="353" spans="1:27">
      <c r="A353" s="15">
        <v>10</v>
      </c>
      <c r="B353" s="75">
        <v>41750</v>
      </c>
      <c r="C353" s="15">
        <v>2014</v>
      </c>
      <c r="D353" s="11" t="s">
        <v>30</v>
      </c>
      <c r="E353" s="15">
        <v>4</v>
      </c>
      <c r="F353" s="33">
        <v>1.27</v>
      </c>
      <c r="G353" s="27">
        <v>1.2682125000000001E-2</v>
      </c>
      <c r="I353" s="27">
        <f>AVERAGE(F352:F353)</f>
        <v>1.7350000000000001</v>
      </c>
      <c r="J353" s="27">
        <f>AVERAGE(G352:G353)</f>
        <v>1.06556875E-2</v>
      </c>
      <c r="L353">
        <f>+J353/I353</f>
        <v>6.1416066282420747E-3</v>
      </c>
      <c r="M353">
        <f>+(L353-$L$614)/$L$615</f>
        <v>-0.41305832942536991</v>
      </c>
      <c r="N353">
        <f>+N351+M353</f>
        <v>16.649675489031299</v>
      </c>
      <c r="Z353">
        <f>+(I353-$F$614)/$F$615</f>
        <v>-0.47918333347570957</v>
      </c>
      <c r="AA353">
        <f>+AA351+Z353</f>
        <v>24.506806478278165</v>
      </c>
    </row>
    <row r="354" spans="1:27">
      <c r="A354" s="15">
        <v>9</v>
      </c>
      <c r="B354" s="75">
        <v>41406</v>
      </c>
      <c r="C354" s="15">
        <v>2014</v>
      </c>
      <c r="D354" s="11" t="s">
        <v>31</v>
      </c>
      <c r="E354" s="15">
        <v>5</v>
      </c>
      <c r="F354" s="33">
        <v>0.90700000000000003</v>
      </c>
      <c r="G354" s="27">
        <v>0</v>
      </c>
    </row>
    <row r="355" spans="1:27">
      <c r="A355" s="15">
        <v>10</v>
      </c>
      <c r="B355" s="75">
        <v>41406</v>
      </c>
      <c r="C355" s="15">
        <v>2014</v>
      </c>
      <c r="D355" s="11" t="s">
        <v>31</v>
      </c>
      <c r="E355" s="15">
        <v>5</v>
      </c>
      <c r="F355" s="33">
        <v>3.2</v>
      </c>
      <c r="G355" s="27">
        <v>2.5636874999999996E-2</v>
      </c>
      <c r="I355" s="27">
        <f>AVERAGE(F354:F355)</f>
        <v>2.0535000000000001</v>
      </c>
      <c r="J355" s="27">
        <f>AVERAGE(G354:G355)</f>
        <v>1.2818437499999998E-2</v>
      </c>
      <c r="L355">
        <f>+J355/I355</f>
        <v>6.2422388604821029E-3</v>
      </c>
      <c r="M355">
        <f>+(L355-$L$614)/$L$615</f>
        <v>-0.40349975923428782</v>
      </c>
      <c r="N355">
        <f>+N353+M355</f>
        <v>16.246175729797013</v>
      </c>
      <c r="Z355">
        <f>+(I355-$F$614)/$F$615</f>
        <v>-0.41452554325718299</v>
      </c>
      <c r="AA355">
        <f>+AA353+Z355</f>
        <v>24.09228093502098</v>
      </c>
    </row>
    <row r="356" spans="1:27">
      <c r="A356" s="15">
        <v>9</v>
      </c>
      <c r="B356" s="75">
        <v>41807</v>
      </c>
      <c r="C356" s="15">
        <v>2014</v>
      </c>
      <c r="D356" s="11" t="s">
        <v>32</v>
      </c>
      <c r="E356" s="15">
        <v>6</v>
      </c>
      <c r="F356" s="33">
        <v>3.6440000000000001</v>
      </c>
      <c r="G356" s="27">
        <v>3.9655500000000003E-2</v>
      </c>
    </row>
    <row r="357" spans="1:27">
      <c r="A357" s="15">
        <v>10</v>
      </c>
      <c r="B357" s="75">
        <v>41807</v>
      </c>
      <c r="C357" s="15">
        <v>2014</v>
      </c>
      <c r="D357" s="11" t="s">
        <v>32</v>
      </c>
      <c r="E357" s="15">
        <v>6</v>
      </c>
      <c r="F357" s="33">
        <v>5.5940000000000003</v>
      </c>
      <c r="G357" s="27">
        <v>6.071725E-2</v>
      </c>
      <c r="I357" s="27">
        <f>AVERAGE(F356:F357)</f>
        <v>4.6189999999999998</v>
      </c>
      <c r="J357" s="27">
        <f>AVERAGE(G356:G357)</f>
        <v>5.0186375000000005E-2</v>
      </c>
      <c r="L357">
        <f>+J357/I357</f>
        <v>1.0865203507252653E-2</v>
      </c>
      <c r="M357">
        <f>+(L357-$L$614)/$L$615</f>
        <v>3.561334680958729E-2</v>
      </c>
      <c r="N357">
        <f>+N355+M357</f>
        <v>16.2817890766066</v>
      </c>
      <c r="Z357">
        <f>+(I357-$F$614)/$F$615</f>
        <v>0.10628940432721261</v>
      </c>
      <c r="AA357">
        <f>+AA355+Z357</f>
        <v>24.198570339348194</v>
      </c>
    </row>
    <row r="358" spans="1:27">
      <c r="A358" s="15">
        <v>9</v>
      </c>
      <c r="B358" s="75">
        <v>41837</v>
      </c>
      <c r="C358" s="15">
        <v>2014</v>
      </c>
      <c r="D358" s="11" t="s">
        <v>33</v>
      </c>
      <c r="E358" s="15">
        <v>7</v>
      </c>
      <c r="F358" s="33">
        <v>5.2190000000000003</v>
      </c>
      <c r="G358" s="27">
        <v>3.2733375000000002E-2</v>
      </c>
    </row>
    <row r="359" spans="1:27">
      <c r="A359" s="15">
        <v>10</v>
      </c>
      <c r="B359" s="75">
        <v>41837</v>
      </c>
      <c r="C359" s="15">
        <v>2014</v>
      </c>
      <c r="D359" s="11" t="s">
        <v>33</v>
      </c>
      <c r="E359" s="15">
        <v>7</v>
      </c>
      <c r="F359" s="33">
        <v>6.8840000000000003</v>
      </c>
      <c r="G359" s="27">
        <v>0.23456362500000003</v>
      </c>
      <c r="I359" s="27">
        <f>AVERAGE(F358:F359)</f>
        <v>6.0515000000000008</v>
      </c>
      <c r="J359" s="27">
        <f>AVERAGE(G358:G359)</f>
        <v>0.1336485</v>
      </c>
      <c r="L359">
        <f>+J359/I359</f>
        <v>2.2085185491200525E-2</v>
      </c>
      <c r="M359">
        <f>+(L359-$L$614)/$L$615</f>
        <v>1.1013452991768624</v>
      </c>
      <c r="N359">
        <f>+N357+M359</f>
        <v>17.383134375783463</v>
      </c>
      <c r="Z359">
        <f>+(I359-$F$614)/$F$615</f>
        <v>0.39709720491760331</v>
      </c>
      <c r="AA359">
        <f>+AA357+Z359</f>
        <v>24.595667544265797</v>
      </c>
    </row>
    <row r="360" spans="1:27">
      <c r="A360" s="15">
        <v>9</v>
      </c>
      <c r="B360" s="75">
        <v>41862</v>
      </c>
      <c r="C360" s="15">
        <v>2014</v>
      </c>
      <c r="D360" s="11" t="s">
        <v>34</v>
      </c>
      <c r="E360" s="15">
        <v>8</v>
      </c>
      <c r="F360" s="33">
        <v>9.9480000000000004</v>
      </c>
      <c r="G360" s="27">
        <v>7.8044125000000006E-2</v>
      </c>
    </row>
    <row r="361" spans="1:27">
      <c r="A361" s="15">
        <v>10</v>
      </c>
      <c r="B361" s="75">
        <v>41862</v>
      </c>
      <c r="C361" s="15">
        <v>2014</v>
      </c>
      <c r="D361" s="11" t="s">
        <v>34</v>
      </c>
      <c r="E361" s="15">
        <v>8</v>
      </c>
      <c r="F361" s="33">
        <v>6.9889999999999999</v>
      </c>
      <c r="G361" s="27">
        <v>8.3518624999999985E-2</v>
      </c>
      <c r="I361" s="27">
        <f>AVERAGE(F360:F361)</f>
        <v>8.4685000000000006</v>
      </c>
      <c r="J361" s="27">
        <f>AVERAGE(G360:G361)</f>
        <v>8.0781374999999989E-2</v>
      </c>
      <c r="L361">
        <f>+J361/I361</f>
        <v>9.5390417429296794E-3</v>
      </c>
      <c r="M361">
        <f>+(L361-$L$614)/$L$615</f>
        <v>-9.0352360467730194E-2</v>
      </c>
      <c r="N361">
        <f>+N359+M361</f>
        <v>17.292782015315733</v>
      </c>
      <c r="Z361">
        <f>+(I361-$F$614)/$F$615</f>
        <v>0.88776558469210509</v>
      </c>
      <c r="AA361">
        <f>+AA359+Z361</f>
        <v>25.483433128957902</v>
      </c>
    </row>
    <row r="362" spans="1:27">
      <c r="A362" s="15">
        <v>9</v>
      </c>
      <c r="B362" s="75">
        <v>41897</v>
      </c>
      <c r="C362" s="15">
        <v>2014</v>
      </c>
      <c r="D362" s="11" t="s">
        <v>40</v>
      </c>
      <c r="E362" s="15">
        <v>9</v>
      </c>
      <c r="F362" s="33">
        <v>1.9710000000000001</v>
      </c>
      <c r="G362" s="27">
        <v>2.2410500000000003E-2</v>
      </c>
    </row>
    <row r="363" spans="1:27">
      <c r="A363" s="15">
        <v>10</v>
      </c>
      <c r="B363" s="75">
        <v>41897</v>
      </c>
      <c r="C363" s="15">
        <v>2014</v>
      </c>
      <c r="D363" s="11" t="s">
        <v>40</v>
      </c>
      <c r="E363" s="15">
        <v>9</v>
      </c>
      <c r="F363" s="33">
        <v>2.0739999999999998</v>
      </c>
      <c r="G363" s="27">
        <v>2.2668999999999995E-2</v>
      </c>
      <c r="I363" s="27">
        <f>AVERAGE(F362:F363)</f>
        <v>2.0225</v>
      </c>
      <c r="J363" s="27">
        <f>AVERAGE(G362:G363)</f>
        <v>2.2539749999999997E-2</v>
      </c>
      <c r="L363">
        <f>+J363/I363</f>
        <v>1.1144499381953027E-2</v>
      </c>
      <c r="M363">
        <f>+(L363-$L$614)/$L$615</f>
        <v>6.2142314347895397E-2</v>
      </c>
      <c r="N363">
        <f>+N361+M363</f>
        <v>17.354924329663628</v>
      </c>
      <c r="Z363">
        <f>+(I363-$F$614)/$F$615</f>
        <v>-0.42081876616699254</v>
      </c>
      <c r="AA363">
        <f>+AA361+Z363</f>
        <v>25.06261436279091</v>
      </c>
    </row>
    <row r="364" spans="1:27">
      <c r="A364" s="15">
        <v>9</v>
      </c>
      <c r="B364" s="75">
        <v>41928</v>
      </c>
      <c r="C364" s="15">
        <v>2014</v>
      </c>
      <c r="D364" s="11" t="s">
        <v>36</v>
      </c>
      <c r="E364" s="15">
        <v>10</v>
      </c>
      <c r="F364" s="26">
        <v>1.5629999999999999</v>
      </c>
      <c r="G364" s="27">
        <v>0</v>
      </c>
    </row>
    <row r="365" spans="1:27">
      <c r="A365" s="15">
        <v>10</v>
      </c>
      <c r="B365" s="75">
        <v>41928</v>
      </c>
      <c r="C365" s="15">
        <v>2014</v>
      </c>
      <c r="D365" s="11" t="s">
        <v>36</v>
      </c>
      <c r="E365" s="15">
        <v>10</v>
      </c>
      <c r="F365" s="26">
        <v>1.704</v>
      </c>
      <c r="G365" s="27">
        <v>0.11469724999999999</v>
      </c>
      <c r="I365" s="27">
        <f>AVERAGE(F364:F365)</f>
        <v>1.6335</v>
      </c>
      <c r="J365" s="27">
        <f>AVERAGE(G364:G365)</f>
        <v>5.7348624999999993E-2</v>
      </c>
      <c r="L365">
        <f>+J365/I365</f>
        <v>3.5107820630547903E-2</v>
      </c>
      <c r="M365">
        <f>+(L365-$L$614)/$L$615</f>
        <v>2.3383025769941677</v>
      </c>
      <c r="N365">
        <f>+N363+M365</f>
        <v>19.693226906657795</v>
      </c>
      <c r="Z365">
        <f>+(I365-$F$614)/$F$615</f>
        <v>-0.49978856332556981</v>
      </c>
      <c r="AA365">
        <f>+AA363+Z365</f>
        <v>24.56282579946534</v>
      </c>
    </row>
    <row r="366" spans="1:27">
      <c r="A366" s="15">
        <v>9</v>
      </c>
      <c r="B366" s="75">
        <v>41955</v>
      </c>
      <c r="C366" s="15">
        <v>2014</v>
      </c>
      <c r="D366" s="11" t="s">
        <v>37</v>
      </c>
      <c r="E366" s="15">
        <v>11</v>
      </c>
      <c r="F366" s="26">
        <v>0.51700000000000002</v>
      </c>
      <c r="G366" s="27">
        <v>0</v>
      </c>
    </row>
    <row r="367" spans="1:27">
      <c r="A367" s="15">
        <v>10</v>
      </c>
      <c r="B367" s="75">
        <v>41955</v>
      </c>
      <c r="C367" s="15">
        <v>2014</v>
      </c>
      <c r="D367" s="11" t="s">
        <v>37</v>
      </c>
      <c r="E367" s="15">
        <v>11</v>
      </c>
      <c r="F367" s="26">
        <v>0.57899999999999996</v>
      </c>
      <c r="G367" s="27">
        <v>0</v>
      </c>
      <c r="I367" s="27">
        <f>AVERAGE(F366:F367)</f>
        <v>0.54800000000000004</v>
      </c>
      <c r="J367" s="27">
        <f>AVERAGE(G366:G367)</f>
        <v>0</v>
      </c>
      <c r="L367">
        <f>+J367/I367</f>
        <v>0</v>
      </c>
      <c r="M367">
        <f>+(L367-$L$614)/$L$615</f>
        <v>-0.99641990985860229</v>
      </c>
      <c r="N367">
        <f>+N365+M367</f>
        <v>18.696806996799193</v>
      </c>
      <c r="Z367">
        <f>+(I367-$F$614)/$F$615</f>
        <v>-0.72015286876422169</v>
      </c>
      <c r="AA367">
        <f>+AA365+Z367</f>
        <v>23.84267293070112</v>
      </c>
    </row>
    <row r="368" spans="1:27">
      <c r="A368" s="15">
        <v>9</v>
      </c>
      <c r="B368" s="75">
        <v>41992</v>
      </c>
      <c r="C368" s="15">
        <v>2014</v>
      </c>
      <c r="D368" s="11" t="s">
        <v>38</v>
      </c>
      <c r="E368" s="15">
        <v>12</v>
      </c>
      <c r="F368" s="26">
        <v>0.72499999999999998</v>
      </c>
      <c r="G368" s="27">
        <v>0</v>
      </c>
    </row>
    <row r="369" spans="1:27">
      <c r="A369" s="15">
        <v>10</v>
      </c>
      <c r="B369" s="75">
        <v>41992</v>
      </c>
      <c r="C369" s="15">
        <v>2014</v>
      </c>
      <c r="D369" s="11" t="s">
        <v>38</v>
      </c>
      <c r="E369" s="15">
        <v>12</v>
      </c>
      <c r="F369" s="26">
        <v>1.506</v>
      </c>
      <c r="G369" s="27">
        <v>0</v>
      </c>
      <c r="I369" s="27">
        <f>AVERAGE(F368:F369)</f>
        <v>1.1154999999999999</v>
      </c>
      <c r="J369" s="27">
        <f>AVERAGE(G368:G369)</f>
        <v>0</v>
      </c>
      <c r="L369">
        <f>+J369/I369</f>
        <v>0</v>
      </c>
      <c r="M369">
        <f>+(L369-$L$614)/$L$615</f>
        <v>-0.99641990985860229</v>
      </c>
      <c r="N369">
        <f>+N367+M369</f>
        <v>17.700387086940591</v>
      </c>
      <c r="Z369">
        <f>+(I369-$F$614)/$F$615</f>
        <v>-0.60494628807658013</v>
      </c>
      <c r="AA369">
        <f>+AA367+Z369</f>
        <v>23.237726642624541</v>
      </c>
    </row>
    <row r="370" spans="1:27">
      <c r="A370" s="8">
        <v>9</v>
      </c>
      <c r="B370" s="70">
        <v>42014</v>
      </c>
      <c r="E370" s="15">
        <v>1</v>
      </c>
      <c r="F370" s="80">
        <v>3.976</v>
      </c>
      <c r="G370" s="80">
        <v>1.6E-2</v>
      </c>
    </row>
    <row r="371" spans="1:27">
      <c r="A371" s="8">
        <v>10</v>
      </c>
      <c r="B371" s="70">
        <v>42009</v>
      </c>
      <c r="E371" s="15">
        <v>1</v>
      </c>
      <c r="F371" s="80">
        <v>6.22</v>
      </c>
      <c r="G371" s="80">
        <v>1.7999999999999999E-2</v>
      </c>
      <c r="I371" s="27">
        <f>AVERAGE(F370:F371)</f>
        <v>5.0979999999999999</v>
      </c>
      <c r="J371" s="27">
        <f>AVERAGE(G370:G371)</f>
        <v>1.7000000000000001E-2</v>
      </c>
      <c r="L371">
        <f>+J371/I371</f>
        <v>3.3346410357002749E-3</v>
      </c>
      <c r="M371">
        <f>+(L371-$L$614)/$L$615</f>
        <v>-0.67967844748323825</v>
      </c>
      <c r="N371">
        <f>+N369+M371</f>
        <v>17.020708639457354</v>
      </c>
      <c r="Z371">
        <f>+(I371-$F$614)/$F$615</f>
        <v>0.20352984864330131</v>
      </c>
      <c r="AA371">
        <f>+AA369+Z371</f>
        <v>23.441256491267843</v>
      </c>
    </row>
    <row r="372" spans="1:27">
      <c r="A372" s="8">
        <v>9</v>
      </c>
      <c r="B372" s="71">
        <v>42036</v>
      </c>
      <c r="E372" s="15">
        <v>2</v>
      </c>
    </row>
    <row r="373" spans="1:27">
      <c r="A373" s="8">
        <v>10</v>
      </c>
      <c r="B373" s="71">
        <v>42036</v>
      </c>
      <c r="E373" s="15">
        <v>2</v>
      </c>
      <c r="I373" s="27"/>
      <c r="J373" s="27"/>
    </row>
    <row r="374" spans="1:27">
      <c r="A374" s="8">
        <v>9</v>
      </c>
      <c r="B374" s="71">
        <v>42064</v>
      </c>
      <c r="E374" s="15">
        <v>3</v>
      </c>
      <c r="F374" s="80">
        <v>9.702</v>
      </c>
      <c r="G374" s="80">
        <v>6.5000000000000002E-2</v>
      </c>
    </row>
    <row r="375" spans="1:27">
      <c r="A375" s="8">
        <v>10</v>
      </c>
      <c r="B375" s="71">
        <v>42064</v>
      </c>
      <c r="E375" s="15">
        <v>3</v>
      </c>
      <c r="F375" s="80">
        <v>9.532</v>
      </c>
      <c r="G375" s="80">
        <v>7.0999999999999994E-2</v>
      </c>
      <c r="I375" s="27">
        <f>AVERAGE(F374:F375)</f>
        <v>9.6170000000000009</v>
      </c>
      <c r="J375" s="27">
        <f>AVERAGE(G374:G375)</f>
        <v>6.8000000000000005E-2</v>
      </c>
      <c r="L375">
        <f>+J375/I375</f>
        <v>7.0708121035666007E-3</v>
      </c>
      <c r="M375">
        <f>+(L375-$L$614)/$L$615</f>
        <v>-0.32479758473034792</v>
      </c>
      <c r="N375">
        <f>+N371+M375</f>
        <v>16.695911054727006</v>
      </c>
      <c r="Z375">
        <f>+(I375-$F$614)/$F$615</f>
        <v>1.1209193431410149</v>
      </c>
      <c r="AA375">
        <f>+AA371+Z375</f>
        <v>24.562175834408858</v>
      </c>
    </row>
    <row r="376" spans="1:27">
      <c r="A376" s="8">
        <v>9</v>
      </c>
      <c r="B376" s="71">
        <v>42095</v>
      </c>
      <c r="E376" s="15">
        <v>4</v>
      </c>
      <c r="F376" s="80">
        <v>1.2410000000000001</v>
      </c>
      <c r="G376" s="80">
        <v>8.0000000000000002E-3</v>
      </c>
    </row>
    <row r="377" spans="1:27">
      <c r="A377" s="8">
        <v>10</v>
      </c>
      <c r="B377" s="71">
        <v>42095</v>
      </c>
      <c r="E377" s="15">
        <v>4</v>
      </c>
      <c r="F377" s="80">
        <v>1.5940000000000001</v>
      </c>
      <c r="G377" s="80">
        <v>0.01</v>
      </c>
      <c r="I377" s="27">
        <f>AVERAGE(F376:F377)</f>
        <v>1.4175</v>
      </c>
      <c r="J377" s="27">
        <f>AVERAGE(G376:G377)</f>
        <v>9.0000000000000011E-3</v>
      </c>
      <c r="L377">
        <f>+J377/I377</f>
        <v>6.3492063492063501E-3</v>
      </c>
      <c r="M377">
        <f>+(L377-$L$614)/$L$615</f>
        <v>-0.39333943359731161</v>
      </c>
      <c r="N377">
        <f>+N375+M377</f>
        <v>16.302571621129694</v>
      </c>
      <c r="Z377">
        <f>+(I377-$F$614)/$F$615</f>
        <v>-0.54363811650359728</v>
      </c>
      <c r="AA377">
        <f>+AA375+Z377</f>
        <v>24.018537717905261</v>
      </c>
    </row>
    <row r="378" spans="1:27">
      <c r="A378" s="8">
        <v>9</v>
      </c>
      <c r="B378" s="71">
        <v>42125</v>
      </c>
      <c r="E378" s="15">
        <v>5</v>
      </c>
      <c r="F378" s="80">
        <v>2.585</v>
      </c>
      <c r="G378" s="80">
        <v>0.01</v>
      </c>
    </row>
    <row r="379" spans="1:27">
      <c r="A379" s="8">
        <v>10</v>
      </c>
      <c r="B379" s="71">
        <v>42125</v>
      </c>
      <c r="E379" s="15">
        <v>5</v>
      </c>
      <c r="F379" s="80">
        <v>1.6220000000000001</v>
      </c>
      <c r="G379" s="80">
        <v>1.6E-2</v>
      </c>
      <c r="I379" s="27">
        <f>AVERAGE(F378:F379)</f>
        <v>2.1034999999999999</v>
      </c>
      <c r="J379" s="27">
        <f>AVERAGE(G378:G379)</f>
        <v>1.3000000000000001E-2</v>
      </c>
      <c r="L379">
        <f>+J379/I379</f>
        <v>6.1801758973140013E-3</v>
      </c>
      <c r="M379">
        <f>+(L379-$L$614)/$L$615</f>
        <v>-0.4093948206525207</v>
      </c>
      <c r="N379">
        <f>+N377+M379</f>
        <v>15.893176800477173</v>
      </c>
      <c r="Z379">
        <f>+(I379-$F$614)/$F$615</f>
        <v>-0.40437518372523223</v>
      </c>
      <c r="AA379">
        <f>+AA377+Z379</f>
        <v>23.614162534180029</v>
      </c>
    </row>
    <row r="380" spans="1:27">
      <c r="A380" s="8">
        <v>9</v>
      </c>
      <c r="B380" s="71">
        <v>42156</v>
      </c>
      <c r="E380" s="15">
        <v>6</v>
      </c>
      <c r="F380" s="80">
        <v>5.1520000000000001</v>
      </c>
      <c r="G380" s="80">
        <v>0.13800000000000001</v>
      </c>
    </row>
    <row r="381" spans="1:27">
      <c r="A381" s="8">
        <v>10</v>
      </c>
      <c r="B381" s="71">
        <v>42156</v>
      </c>
      <c r="E381" s="15">
        <v>6</v>
      </c>
      <c r="F381" s="80">
        <v>4.38</v>
      </c>
      <c r="G381" s="80">
        <v>6.6000000000000003E-2</v>
      </c>
      <c r="I381" s="27">
        <f>AVERAGE(F380:F381)</f>
        <v>4.766</v>
      </c>
      <c r="J381" s="27">
        <f>AVERAGE(G380:G381)</f>
        <v>0.10200000000000001</v>
      </c>
      <c r="L381">
        <f>+J381/I381</f>
        <v>2.1401594628619389E-2</v>
      </c>
      <c r="M381">
        <f>+(L381-$L$614)/$L$615</f>
        <v>1.0364143014585681</v>
      </c>
      <c r="N381">
        <f>+N379+M381</f>
        <v>16.929591101935742</v>
      </c>
      <c r="Z381">
        <f>+(I381-$F$614)/$F$615</f>
        <v>0.13613146135114801</v>
      </c>
      <c r="AA381">
        <f>+AA379+Z381</f>
        <v>23.750293995531177</v>
      </c>
    </row>
    <row r="382" spans="1:27">
      <c r="A382" s="8">
        <v>9</v>
      </c>
      <c r="B382" s="71">
        <v>42186</v>
      </c>
      <c r="E382" s="15">
        <v>7</v>
      </c>
      <c r="F382" s="80">
        <v>11.952999999999999</v>
      </c>
      <c r="G382" s="80">
        <v>0.08</v>
      </c>
    </row>
    <row r="383" spans="1:27">
      <c r="A383" s="8">
        <v>10</v>
      </c>
      <c r="B383" s="71">
        <v>42186</v>
      </c>
      <c r="E383" s="15">
        <v>7</v>
      </c>
      <c r="F383" s="80">
        <v>4.7160000000000002</v>
      </c>
      <c r="G383" s="80">
        <v>0.127</v>
      </c>
      <c r="I383" s="27">
        <f>AVERAGE(F382:F383)</f>
        <v>8.3345000000000002</v>
      </c>
      <c r="J383" s="27">
        <f>AVERAGE(G382:G383)</f>
        <v>0.10350000000000001</v>
      </c>
      <c r="L383">
        <f>+J383/I383</f>
        <v>1.2418261443397924E-2</v>
      </c>
      <c r="M383">
        <f>+(L383-$L$614)/$L$615</f>
        <v>0.18313082667680633</v>
      </c>
      <c r="N383">
        <f>+N381+M383</f>
        <v>17.112721928612547</v>
      </c>
      <c r="Z383">
        <f>+(I383-$F$614)/$F$615</f>
        <v>0.86056262114647686</v>
      </c>
      <c r="AA383">
        <f>+AA381+Z383</f>
        <v>24.610856616677655</v>
      </c>
    </row>
    <row r="384" spans="1:27">
      <c r="A384" s="8">
        <v>9</v>
      </c>
      <c r="B384" s="71">
        <v>42217</v>
      </c>
      <c r="E384" s="15">
        <v>8</v>
      </c>
      <c r="F384" s="80">
        <v>7.1840000000000002</v>
      </c>
      <c r="G384" s="80">
        <v>8.6999999999999994E-2</v>
      </c>
    </row>
    <row r="385" spans="1:27">
      <c r="A385" s="8">
        <v>10</v>
      </c>
      <c r="B385" s="71">
        <v>42217</v>
      </c>
      <c r="E385" s="15">
        <v>8</v>
      </c>
      <c r="F385" s="80">
        <v>3.6680000000000001</v>
      </c>
      <c r="G385" s="80">
        <v>7.4999999999999997E-2</v>
      </c>
      <c r="I385" s="27">
        <f>AVERAGE(F384:F385)</f>
        <v>5.4260000000000002</v>
      </c>
      <c r="J385" s="27">
        <f>AVERAGE(G384:G385)</f>
        <v>8.0999999999999989E-2</v>
      </c>
      <c r="L385">
        <f>+J385/I385</f>
        <v>1.4928123848138589E-2</v>
      </c>
      <c r="M385">
        <f>+(L385-$L$614)/$L$615</f>
        <v>0.42153054644501231</v>
      </c>
      <c r="N385">
        <f>+N383+M385</f>
        <v>17.53425247505756</v>
      </c>
      <c r="Z385">
        <f>+(I385-$F$614)/$F$615</f>
        <v>0.27011620717289864</v>
      </c>
      <c r="AA385">
        <f>+AA383+Z385</f>
        <v>24.880972823850552</v>
      </c>
    </row>
    <row r="386" spans="1:27">
      <c r="A386" s="8">
        <v>9</v>
      </c>
      <c r="B386" s="71">
        <v>42248</v>
      </c>
      <c r="E386" s="15">
        <v>9</v>
      </c>
      <c r="F386" s="80">
        <v>3.6819999999999999</v>
      </c>
      <c r="G386" s="80">
        <v>3.9E-2</v>
      </c>
    </row>
    <row r="387" spans="1:27">
      <c r="A387" s="8">
        <v>10</v>
      </c>
      <c r="B387" s="71">
        <v>42248</v>
      </c>
      <c r="E387" s="15">
        <v>9</v>
      </c>
      <c r="F387" s="80">
        <v>1.704</v>
      </c>
      <c r="G387" s="80">
        <v>3.7999999999999999E-2</v>
      </c>
      <c r="I387" s="27">
        <f>AVERAGE(F386:F387)</f>
        <v>2.6930000000000001</v>
      </c>
      <c r="J387" s="27">
        <f>AVERAGE(G386:G387)</f>
        <v>3.85E-2</v>
      </c>
      <c r="L387">
        <f>+J387/I387</f>
        <v>1.4296323802450798E-2</v>
      </c>
      <c r="M387">
        <f>+(L387-$L$614)/$L$615</f>
        <v>0.36151890853330293</v>
      </c>
      <c r="N387">
        <f>+N385+M387</f>
        <v>17.895771383590862</v>
      </c>
      <c r="Z387">
        <f>+(I387-$F$614)/$F$615</f>
        <v>-0.28470244484353224</v>
      </c>
      <c r="AA387">
        <f>+AA385+Z387</f>
        <v>24.59627037900702</v>
      </c>
    </row>
    <row r="388" spans="1:27">
      <c r="A388" s="8">
        <v>9</v>
      </c>
      <c r="B388" s="71">
        <v>42278</v>
      </c>
      <c r="E388" s="15">
        <v>10</v>
      </c>
      <c r="F388" s="80">
        <v>1.911</v>
      </c>
      <c r="G388" s="80">
        <v>5.0000000000000001E-3</v>
      </c>
    </row>
    <row r="389" spans="1:27">
      <c r="A389" s="8">
        <v>10</v>
      </c>
      <c r="B389" s="71">
        <v>42278</v>
      </c>
      <c r="E389" s="15">
        <v>10</v>
      </c>
      <c r="F389" s="80">
        <v>1.5549999999999999</v>
      </c>
      <c r="G389" s="80">
        <v>0.01</v>
      </c>
      <c r="I389" s="27">
        <f>AVERAGE(F388:F389)</f>
        <v>1.7330000000000001</v>
      </c>
      <c r="J389" s="27">
        <f>AVERAGE(G388:G389)</f>
        <v>7.4999999999999997E-3</v>
      </c>
      <c r="L389">
        <f>+J389/I389</f>
        <v>4.3277553375649161E-3</v>
      </c>
      <c r="M389">
        <f>+(L389-$L$614)/$L$615</f>
        <v>-0.58534731171454601</v>
      </c>
      <c r="N389">
        <f>+N387+M389</f>
        <v>17.310424071876316</v>
      </c>
      <c r="Z389">
        <f>+(I389-$F$614)/$F$615</f>
        <v>-0.47958934785698765</v>
      </c>
      <c r="AA389">
        <f>+AA387+Z389</f>
        <v>24.116681031150033</v>
      </c>
    </row>
    <row r="390" spans="1:27">
      <c r="A390" s="8">
        <v>9</v>
      </c>
      <c r="B390" s="71">
        <v>42309</v>
      </c>
      <c r="E390" s="15">
        <v>11</v>
      </c>
      <c r="F390" s="80">
        <v>0.35599999999999998</v>
      </c>
      <c r="G390" s="80">
        <v>9.9989999999999996E-4</v>
      </c>
    </row>
    <row r="391" spans="1:27">
      <c r="A391" s="8">
        <v>10</v>
      </c>
      <c r="B391" s="71">
        <v>42309</v>
      </c>
      <c r="E391" s="15">
        <v>11</v>
      </c>
      <c r="F391" s="80">
        <v>0.47799999999999998</v>
      </c>
      <c r="G391" s="80">
        <v>9.9989999999999996E-4</v>
      </c>
      <c r="I391" s="27">
        <f>AVERAGE(F390:F391)</f>
        <v>0.41699999999999998</v>
      </c>
      <c r="J391" s="27">
        <f>AVERAGE(G390:G391)</f>
        <v>9.9989999999999996E-4</v>
      </c>
      <c r="L391">
        <f>+J391/I391</f>
        <v>2.3978417266187053E-3</v>
      </c>
      <c r="M391">
        <f>+(L391-$L$614)/$L$615</f>
        <v>-0.76866049380667856</v>
      </c>
      <c r="N391">
        <f>+N389+M391</f>
        <v>16.541763578069638</v>
      </c>
      <c r="Z391">
        <f>+(I391-$F$614)/$F$615</f>
        <v>-0.74674681073793281</v>
      </c>
      <c r="AA391">
        <f>+AA389+Z391</f>
        <v>23.369934220412102</v>
      </c>
    </row>
    <row r="392" spans="1:27">
      <c r="A392" s="8">
        <v>9</v>
      </c>
      <c r="B392" s="72">
        <v>42339</v>
      </c>
      <c r="E392" s="15">
        <v>12</v>
      </c>
      <c r="F392" s="80">
        <v>1.258</v>
      </c>
      <c r="G392" s="80">
        <v>5.0000000000000001E-3</v>
      </c>
    </row>
    <row r="393" spans="1:27">
      <c r="A393" s="8">
        <v>10</v>
      </c>
      <c r="B393" s="71">
        <v>42339</v>
      </c>
      <c r="E393" s="15">
        <v>12</v>
      </c>
      <c r="F393" s="80">
        <v>2.3940000000000001</v>
      </c>
      <c r="G393" s="80">
        <v>7.0000000000000001E-3</v>
      </c>
      <c r="I393" s="27">
        <f>AVERAGE(F392:F393)</f>
        <v>1.8260000000000001</v>
      </c>
      <c r="J393" s="27">
        <f>AVERAGE(G392:G393)</f>
        <v>6.0000000000000001E-3</v>
      </c>
      <c r="L393">
        <f>+J393/I393</f>
        <v>3.2858707557502738E-3</v>
      </c>
      <c r="M393">
        <f>+(L393-$L$614)/$L$615</f>
        <v>-0.6843109010596321</v>
      </c>
      <c r="N393">
        <f>+N391+M393</f>
        <v>15.857452677010006</v>
      </c>
      <c r="Z393">
        <f>+(I393-$F$614)/$F$615</f>
        <v>-0.46070967912755917</v>
      </c>
      <c r="AA393">
        <f>+AA391+Z393</f>
        <v>22.909224541284541</v>
      </c>
    </row>
    <row r="394" spans="1:27">
      <c r="A394" s="8">
        <v>9</v>
      </c>
      <c r="B394" s="70">
        <v>42379</v>
      </c>
      <c r="E394" s="15">
        <v>1</v>
      </c>
      <c r="F394" s="79">
        <v>1.8260000000000001</v>
      </c>
      <c r="G394" s="79">
        <v>4.0000000000000001E-3</v>
      </c>
    </row>
    <row r="395" spans="1:27">
      <c r="A395" s="8">
        <v>10</v>
      </c>
      <c r="B395" s="70">
        <v>42374</v>
      </c>
      <c r="E395" s="15">
        <v>1</v>
      </c>
      <c r="F395" s="79">
        <v>3.1139999999999999</v>
      </c>
      <c r="G395" s="79">
        <v>5.0000000000000001E-3</v>
      </c>
      <c r="I395" s="27">
        <f>AVERAGE(F394:F395)</f>
        <v>2.4699999999999998</v>
      </c>
      <c r="J395" s="27">
        <f>AVERAGE(G394:G395)</f>
        <v>4.5000000000000005E-3</v>
      </c>
      <c r="L395">
        <f>+J395/I395</f>
        <v>1.8218623481781381E-3</v>
      </c>
      <c r="M395">
        <f>+(L395-$L$614)/$L$615</f>
        <v>-0.82336999587067117</v>
      </c>
      <c r="N395">
        <f>+N393+M395</f>
        <v>15.034082681139335</v>
      </c>
      <c r="Z395">
        <f>+(I395-$F$614)/$F$615</f>
        <v>-0.32997304835603292</v>
      </c>
      <c r="AA395">
        <f>+AA393+Z395</f>
        <v>22.579251492928506</v>
      </c>
    </row>
    <row r="396" spans="1:27">
      <c r="A396" s="8">
        <v>9</v>
      </c>
      <c r="B396" s="71">
        <v>42401</v>
      </c>
      <c r="E396" s="15">
        <v>2</v>
      </c>
      <c r="F396" s="79">
        <v>6.7649999999999997</v>
      </c>
      <c r="G396" s="79">
        <v>1.7000000000000001E-2</v>
      </c>
    </row>
    <row r="397" spans="1:27">
      <c r="A397" s="8">
        <v>10</v>
      </c>
      <c r="B397" s="71">
        <v>42401</v>
      </c>
      <c r="E397" s="15">
        <v>2</v>
      </c>
      <c r="F397" s="79">
        <v>4.335</v>
      </c>
      <c r="G397" s="79">
        <v>2.1000000000000001E-2</v>
      </c>
      <c r="I397" s="27">
        <f>AVERAGE(F396:F397)</f>
        <v>5.55</v>
      </c>
      <c r="J397" s="27">
        <f>AVERAGE(G396:G397)</f>
        <v>1.9000000000000003E-2</v>
      </c>
      <c r="L397">
        <f>+J397/I397</f>
        <v>3.423423423423424E-3</v>
      </c>
      <c r="M397">
        <f>+(L397-$L$614)/$L$615</f>
        <v>-0.67124543684744686</v>
      </c>
      <c r="N397">
        <f>+N395+M397</f>
        <v>14.362837244291889</v>
      </c>
      <c r="Z397">
        <f>+(I397-$F$614)/$F$615</f>
        <v>0.29528909881213655</v>
      </c>
      <c r="AA397">
        <f>+AA395+Z397</f>
        <v>22.874540591740644</v>
      </c>
    </row>
    <row r="398" spans="1:27">
      <c r="A398" s="8">
        <v>9</v>
      </c>
      <c r="B398" s="71">
        <v>42430</v>
      </c>
      <c r="E398" s="15">
        <v>3</v>
      </c>
      <c r="F398" s="79">
        <v>2.052</v>
      </c>
      <c r="G398" s="79">
        <v>1.2999999999999999E-2</v>
      </c>
    </row>
    <row r="399" spans="1:27">
      <c r="A399" s="8">
        <v>10</v>
      </c>
      <c r="B399" s="71">
        <v>42430</v>
      </c>
      <c r="E399" s="15">
        <v>3</v>
      </c>
      <c r="F399" s="79">
        <v>1.5209999999999999</v>
      </c>
      <c r="G399" s="79">
        <v>7.0000000000000001E-3</v>
      </c>
      <c r="I399" s="27">
        <f>AVERAGE(F398:F399)</f>
        <v>1.7865</v>
      </c>
      <c r="J399" s="27">
        <f>AVERAGE(G398:G399)</f>
        <v>0.01</v>
      </c>
      <c r="L399">
        <f>+J399/I399</f>
        <v>5.5975370836831798E-3</v>
      </c>
      <c r="M399">
        <f>+(L399-$L$614)/$L$615</f>
        <v>-0.464736870333535</v>
      </c>
      <c r="N399">
        <f>+N397+M399</f>
        <v>13.898100373958354</v>
      </c>
      <c r="Z399">
        <f>+(I399-$F$614)/$F$615</f>
        <v>-0.46872846315780026</v>
      </c>
      <c r="AA399">
        <f>+AA397+Z399</f>
        <v>22.405812128582845</v>
      </c>
    </row>
    <row r="400" spans="1:27">
      <c r="A400" s="8">
        <v>9</v>
      </c>
      <c r="B400" s="71">
        <v>42461</v>
      </c>
      <c r="E400" s="15">
        <v>4</v>
      </c>
      <c r="F400" s="79">
        <v>1.613</v>
      </c>
      <c r="G400" s="79">
        <v>2E-3</v>
      </c>
    </row>
    <row r="401" spans="1:27">
      <c r="A401" s="8">
        <v>10</v>
      </c>
      <c r="B401" s="71">
        <v>42461</v>
      </c>
      <c r="E401" s="15">
        <v>4</v>
      </c>
      <c r="F401" s="79">
        <v>1.4419999999999999</v>
      </c>
      <c r="G401" s="79">
        <v>4.0000000000000001E-3</v>
      </c>
      <c r="I401" s="27">
        <f>AVERAGE(F400:F401)</f>
        <v>1.5274999999999999</v>
      </c>
      <c r="J401" s="27">
        <f>AVERAGE(G400:G401)</f>
        <v>3.0000000000000001E-3</v>
      </c>
      <c r="L401">
        <f>+J401/I401</f>
        <v>1.9639934533551557E-3</v>
      </c>
      <c r="M401">
        <f>+(L401-$L$614)/$L$615</f>
        <v>-0.80986964797090344</v>
      </c>
      <c r="N401">
        <f>+N399+M401</f>
        <v>13.088230725987451</v>
      </c>
      <c r="Z401">
        <f>+(I401-$F$614)/$F$615</f>
        <v>-0.5213073255333055</v>
      </c>
      <c r="AA401">
        <f>+AA399+Z401</f>
        <v>21.884504803049538</v>
      </c>
    </row>
    <row r="402" spans="1:27">
      <c r="A402" s="12">
        <v>9</v>
      </c>
      <c r="B402" s="71">
        <v>42491</v>
      </c>
      <c r="E402" s="15">
        <v>5</v>
      </c>
      <c r="F402" s="79">
        <v>1.478</v>
      </c>
      <c r="G402" s="79">
        <v>1.2E-2</v>
      </c>
    </row>
    <row r="403" spans="1:27">
      <c r="A403" s="12">
        <v>10</v>
      </c>
      <c r="B403" s="71">
        <v>42491</v>
      </c>
      <c r="E403" s="15">
        <v>5</v>
      </c>
      <c r="F403" s="79">
        <v>1.6819999999999999</v>
      </c>
      <c r="G403" s="79">
        <v>1.2E-2</v>
      </c>
      <c r="I403" s="27">
        <f>AVERAGE(F402:F403)</f>
        <v>1.58</v>
      </c>
      <c r="J403" s="27">
        <f>AVERAGE(G402:G403)</f>
        <v>1.2E-2</v>
      </c>
      <c r="L403">
        <f>+J403/I403</f>
        <v>7.5949367088607592E-3</v>
      </c>
      <c r="M403">
        <f>+(L403-$L$614)/$L$615</f>
        <v>-0.27501351736883067</v>
      </c>
      <c r="N403">
        <f>+N401+M403</f>
        <v>12.813217208618621</v>
      </c>
      <c r="Z403">
        <f>+(I403-$F$614)/$F$615</f>
        <v>-0.51064944802475709</v>
      </c>
      <c r="AA403">
        <f>+AA401+Z403</f>
        <v>21.37385535502478</v>
      </c>
    </row>
    <row r="404" spans="1:27">
      <c r="A404" s="8">
        <v>9</v>
      </c>
      <c r="B404" s="71">
        <v>42522</v>
      </c>
      <c r="E404" s="15">
        <v>6</v>
      </c>
      <c r="F404" s="79">
        <v>1.738</v>
      </c>
      <c r="G404" s="79">
        <v>2.8000000000000001E-2</v>
      </c>
    </row>
    <row r="405" spans="1:27">
      <c r="A405" s="8">
        <v>10</v>
      </c>
      <c r="B405" s="71">
        <v>42522</v>
      </c>
      <c r="E405" s="15">
        <v>6</v>
      </c>
      <c r="F405" s="79">
        <v>1.972</v>
      </c>
      <c r="G405" s="79">
        <v>3.4000000000000002E-2</v>
      </c>
      <c r="I405" s="27">
        <f>AVERAGE(F404:F405)</f>
        <v>1.855</v>
      </c>
      <c r="J405" s="27">
        <f>AVERAGE(G404:G405)</f>
        <v>3.1E-2</v>
      </c>
      <c r="L405">
        <f>+J405/I405</f>
        <v>1.6711590296495958E-2</v>
      </c>
      <c r="M405">
        <f>+(L405-$L$614)/$L$615</f>
        <v>0.59093341916875697</v>
      </c>
      <c r="N405">
        <f>+N403+M405</f>
        <v>13.404150627787377</v>
      </c>
      <c r="Z405">
        <f>+(I405-$F$614)/$F$615</f>
        <v>-0.4548224705990277</v>
      </c>
      <c r="AA405">
        <f>+AA403+Z405</f>
        <v>20.919032884425754</v>
      </c>
    </row>
    <row r="406" spans="1:27">
      <c r="A406" s="8">
        <v>9</v>
      </c>
      <c r="B406" s="71">
        <v>42552</v>
      </c>
      <c r="E406" s="15">
        <v>7</v>
      </c>
      <c r="F406" s="79">
        <v>7.6849999999999996</v>
      </c>
      <c r="G406" s="79">
        <v>5.5E-2</v>
      </c>
    </row>
    <row r="407" spans="1:27">
      <c r="A407" s="8">
        <v>10</v>
      </c>
      <c r="B407" s="71">
        <v>42552</v>
      </c>
      <c r="E407" s="15">
        <v>7</v>
      </c>
      <c r="F407" s="79">
        <v>8.9510000000000005</v>
      </c>
      <c r="G407" s="79">
        <v>0.11</v>
      </c>
      <c r="I407" s="27">
        <f>AVERAGE(F406:F407)</f>
        <v>8.3179999999999996</v>
      </c>
      <c r="J407" s="27">
        <f>AVERAGE(G406:G407)</f>
        <v>8.2500000000000004E-2</v>
      </c>
      <c r="L407">
        <f>+J407/I407</f>
        <v>9.9182495792257755E-3</v>
      </c>
      <c r="M407">
        <f>+(L407-$L$614)/$L$615</f>
        <v>-5.4333237771544744E-2</v>
      </c>
      <c r="N407">
        <f>+N405+M407</f>
        <v>13.349817390015833</v>
      </c>
      <c r="Z407">
        <f>+(I407-$F$614)/$F$615</f>
        <v>0.85721300250093291</v>
      </c>
      <c r="AA407">
        <f>+AA405+Z407</f>
        <v>21.776245886926688</v>
      </c>
    </row>
    <row r="408" spans="1:27">
      <c r="A408" s="8">
        <v>9</v>
      </c>
      <c r="B408" s="71">
        <v>42583</v>
      </c>
      <c r="E408" s="15">
        <v>8</v>
      </c>
      <c r="F408" s="79">
        <v>4.2569999999999997</v>
      </c>
      <c r="G408" s="79">
        <v>2.3E-2</v>
      </c>
    </row>
    <row r="409" spans="1:27">
      <c r="A409" s="8">
        <v>10</v>
      </c>
      <c r="B409" s="71">
        <v>42583</v>
      </c>
      <c r="E409" s="15">
        <v>8</v>
      </c>
      <c r="F409" s="79">
        <v>3.7749999999999999</v>
      </c>
      <c r="G409" s="79">
        <v>6.4000000000000001E-2</v>
      </c>
      <c r="I409" s="27">
        <f>AVERAGE(F408:F409)</f>
        <v>4.016</v>
      </c>
      <c r="J409" s="27">
        <f>AVERAGE(G408:G409)</f>
        <v>4.3499999999999997E-2</v>
      </c>
      <c r="L409">
        <f>+J409/I409</f>
        <v>1.0831673306772907E-2</v>
      </c>
      <c r="M409">
        <f>+(L409-$L$614)/$L$615</f>
        <v>3.2428474848859558E-2</v>
      </c>
      <c r="N409">
        <f>+N407+M409</f>
        <v>13.382245864864693</v>
      </c>
      <c r="Z409">
        <f>+(I409-$F$614)/$F$615</f>
        <v>-1.6123931628114027E-2</v>
      </c>
      <c r="AA409">
        <f>+AA407+Z409</f>
        <v>21.760121955298573</v>
      </c>
    </row>
    <row r="410" spans="1:27">
      <c r="A410" s="8">
        <v>9</v>
      </c>
      <c r="B410" s="71">
        <v>42614</v>
      </c>
      <c r="E410" s="15">
        <v>9</v>
      </c>
      <c r="F410" s="79">
        <v>1.1890000000000001</v>
      </c>
      <c r="G410" s="79">
        <v>4.0000000000000001E-3</v>
      </c>
    </row>
    <row r="411" spans="1:27">
      <c r="A411" s="8">
        <v>10</v>
      </c>
      <c r="B411" s="71">
        <v>42614</v>
      </c>
      <c r="E411" s="15">
        <v>9</v>
      </c>
      <c r="F411" s="79">
        <v>3.073</v>
      </c>
      <c r="G411" s="79">
        <v>2.9000000000000001E-2</v>
      </c>
      <c r="I411" s="27">
        <f>AVERAGE(F410:F411)</f>
        <v>2.1310000000000002</v>
      </c>
      <c r="J411" s="27">
        <f>AVERAGE(G410:G411)</f>
        <v>1.6500000000000001E-2</v>
      </c>
      <c r="L411">
        <f>+J411/I411</f>
        <v>7.7428437353355226E-3</v>
      </c>
      <c r="M411">
        <f>+(L411-$L$614)/$L$615</f>
        <v>-0.26096454257374596</v>
      </c>
      <c r="N411">
        <f>+N409+M411</f>
        <v>13.121281322290947</v>
      </c>
      <c r="Z411">
        <f>+(I411-$F$614)/$F$615</f>
        <v>-0.39879248598265926</v>
      </c>
      <c r="AA411">
        <f>+AA409+Z411</f>
        <v>21.361329469315912</v>
      </c>
    </row>
    <row r="412" spans="1:27">
      <c r="A412" s="8">
        <v>9</v>
      </c>
      <c r="B412" s="71">
        <v>42644</v>
      </c>
      <c r="E412" s="15">
        <v>10</v>
      </c>
      <c r="F412" s="79">
        <v>0.74099999999999999</v>
      </c>
      <c r="G412" s="79">
        <v>9.9989999999999996E-4</v>
      </c>
    </row>
    <row r="413" spans="1:27">
      <c r="A413" s="8">
        <v>10</v>
      </c>
      <c r="B413" s="71">
        <v>42644</v>
      </c>
      <c r="E413" s="15">
        <v>10</v>
      </c>
      <c r="F413" s="79">
        <v>0.85899999999999999</v>
      </c>
      <c r="G413" s="79">
        <v>3.0000000000000001E-3</v>
      </c>
      <c r="I413" s="27">
        <f>AVERAGE(F412:F413)</f>
        <v>0.8</v>
      </c>
      <c r="J413" s="27">
        <f>AVERAGE(G412:G413)</f>
        <v>1.9999499999999999E-3</v>
      </c>
      <c r="L413">
        <f>+J413/I413</f>
        <v>2.4999374999999996E-3</v>
      </c>
      <c r="M413">
        <f>+(L413-$L$614)/$L$615</f>
        <v>-0.75896290890415741</v>
      </c>
      <c r="N413">
        <f>+N411+M413</f>
        <v>12.36231841338679</v>
      </c>
      <c r="Z413">
        <f>+(I413-$F$614)/$F$615</f>
        <v>-0.66899505672318971</v>
      </c>
      <c r="AA413">
        <f>+AA411+Z413</f>
        <v>20.692334412592722</v>
      </c>
    </row>
    <row r="414" spans="1:27">
      <c r="A414" s="8">
        <v>9</v>
      </c>
      <c r="B414" s="71">
        <v>42675</v>
      </c>
      <c r="E414" s="15">
        <v>11</v>
      </c>
      <c r="F414" s="79">
        <v>0.249</v>
      </c>
      <c r="G414" s="79">
        <v>9.9989999999999996E-4</v>
      </c>
    </row>
    <row r="415" spans="1:27">
      <c r="A415" s="8">
        <v>10</v>
      </c>
      <c r="B415" s="71">
        <v>42675</v>
      </c>
      <c r="E415" s="15">
        <v>11</v>
      </c>
      <c r="F415" s="79">
        <v>0.19600000000000001</v>
      </c>
      <c r="G415" s="79">
        <v>9.9989999999999996E-4</v>
      </c>
      <c r="I415" s="27">
        <f>AVERAGE(F414:F415)</f>
        <v>0.2225</v>
      </c>
      <c r="J415" s="27">
        <f>AVERAGE(G414:G415)</f>
        <v>9.9989999999999996E-4</v>
      </c>
      <c r="L415">
        <f>+J415/I415</f>
        <v>4.493932584269663E-3</v>
      </c>
      <c r="M415">
        <f>+(L415-$L$614)/$L$615</f>
        <v>-0.56956293685342407</v>
      </c>
      <c r="N415">
        <f>+N413+M415</f>
        <v>11.792755476533365</v>
      </c>
      <c r="Z415">
        <f>+(I415-$F$614)/$F$615</f>
        <v>-0.78623170931722142</v>
      </c>
      <c r="AA415">
        <f>+AA413+Z415</f>
        <v>19.906102703275501</v>
      </c>
    </row>
    <row r="416" spans="1:27">
      <c r="A416" s="8">
        <v>9</v>
      </c>
      <c r="B416" s="72">
        <v>42705</v>
      </c>
      <c r="E416" s="15">
        <v>12</v>
      </c>
      <c r="F416" s="79">
        <v>0.745</v>
      </c>
      <c r="G416" s="79">
        <v>3.0000000000000001E-3</v>
      </c>
    </row>
    <row r="417" spans="1:27">
      <c r="A417" s="8">
        <v>10</v>
      </c>
      <c r="B417" s="71">
        <v>42705</v>
      </c>
      <c r="E417" s="15">
        <v>12</v>
      </c>
      <c r="F417" s="79">
        <v>1.111</v>
      </c>
      <c r="G417" s="79">
        <v>5.0000000000000001E-3</v>
      </c>
      <c r="I417" s="27">
        <f>AVERAGE(F416:F417)</f>
        <v>0.92799999999999994</v>
      </c>
      <c r="J417" s="27">
        <f>AVERAGE(G416:G417)</f>
        <v>4.0000000000000001E-3</v>
      </c>
      <c r="L417">
        <f>+J417/I417</f>
        <v>4.3103448275862077E-3</v>
      </c>
      <c r="M417">
        <f>+(L417-$L$614)/$L$615</f>
        <v>-0.58700105205190711</v>
      </c>
      <c r="N417">
        <f>+N415+M417</f>
        <v>11.205754424481459</v>
      </c>
      <c r="Z417">
        <f>+(I417-$F$614)/$F$615</f>
        <v>-0.64301013632139559</v>
      </c>
      <c r="AA417">
        <f>+AA415+Z417</f>
        <v>19.263092566954104</v>
      </c>
    </row>
    <row r="418" spans="1:27">
      <c r="A418" s="8">
        <v>9</v>
      </c>
      <c r="B418" s="70">
        <v>42745</v>
      </c>
      <c r="E418" s="15">
        <v>1</v>
      </c>
    </row>
    <row r="419" spans="1:27">
      <c r="A419" s="8">
        <v>10</v>
      </c>
      <c r="B419" s="70">
        <v>42740</v>
      </c>
      <c r="E419" s="15">
        <v>1</v>
      </c>
    </row>
    <row r="420" spans="1:27">
      <c r="A420" s="8">
        <v>9</v>
      </c>
      <c r="B420" s="71">
        <v>42767</v>
      </c>
      <c r="E420" s="15">
        <v>2</v>
      </c>
    </row>
    <row r="421" spans="1:27">
      <c r="A421" s="8">
        <v>10</v>
      </c>
      <c r="B421" s="71">
        <v>42767</v>
      </c>
      <c r="E421" s="15">
        <v>2</v>
      </c>
    </row>
    <row r="422" spans="1:27">
      <c r="A422" s="8">
        <v>9</v>
      </c>
      <c r="B422" s="71">
        <v>42795</v>
      </c>
      <c r="E422" s="15">
        <v>3</v>
      </c>
      <c r="F422" s="79">
        <v>0.53100000000000003</v>
      </c>
      <c r="G422" s="79">
        <v>4.0000000000000001E-3</v>
      </c>
    </row>
    <row r="423" spans="1:27">
      <c r="A423" s="8">
        <v>10</v>
      </c>
      <c r="B423" s="71">
        <v>42795</v>
      </c>
      <c r="E423" s="15">
        <v>3</v>
      </c>
      <c r="F423" s="79">
        <v>0.54</v>
      </c>
      <c r="G423" s="79">
        <v>9.9989999999999996E-4</v>
      </c>
      <c r="I423" s="27">
        <f>AVERAGE(F422:F423)</f>
        <v>0.53550000000000009</v>
      </c>
      <c r="J423" s="27">
        <f>AVERAGE(G422:G423)</f>
        <v>2.4999499999999999E-3</v>
      </c>
      <c r="L423">
        <f>+J423/I423</f>
        <v>4.6684407096171795E-3</v>
      </c>
      <c r="M423">
        <f>+(L423-$L$614)/$L$615</f>
        <v>-0.55298725202642196</v>
      </c>
      <c r="N423">
        <f>+N417+M423</f>
        <v>10.652767172455036</v>
      </c>
      <c r="Z423">
        <f>+(I423-$F$614)/$F$615</f>
        <v>-0.72269045864720938</v>
      </c>
      <c r="AA423">
        <f>+AA417+Z423</f>
        <v>18.540402108306893</v>
      </c>
    </row>
    <row r="424" spans="1:27">
      <c r="A424" s="8">
        <v>9</v>
      </c>
      <c r="B424" s="71">
        <v>42826</v>
      </c>
      <c r="E424" s="15">
        <v>4</v>
      </c>
      <c r="F424" s="79">
        <v>0.71599999999999997</v>
      </c>
      <c r="G424" s="79">
        <v>7.0000000000000001E-3</v>
      </c>
    </row>
    <row r="425" spans="1:27">
      <c r="A425" s="8">
        <v>10</v>
      </c>
      <c r="B425" s="71">
        <v>42826</v>
      </c>
      <c r="E425" s="15">
        <v>4</v>
      </c>
      <c r="F425" s="79">
        <v>0.83</v>
      </c>
      <c r="G425" s="79">
        <v>6.0000000000000001E-3</v>
      </c>
      <c r="I425" s="27">
        <f>AVERAGE(F424:F425)</f>
        <v>0.77299999999999991</v>
      </c>
      <c r="J425" s="27">
        <f>AVERAGE(G424:G425)</f>
        <v>6.5000000000000006E-3</v>
      </c>
      <c r="L425">
        <f>+J425/I425</f>
        <v>8.4087968952134551E-3</v>
      </c>
      <c r="M425">
        <f>+(L425-$L$614)/$L$615</f>
        <v>-0.19770886513351002</v>
      </c>
      <c r="N425">
        <f>+N423+M425</f>
        <v>10.455058307321526</v>
      </c>
      <c r="Z425">
        <f>+(I425-$F$614)/$F$615</f>
        <v>-0.67447625087044316</v>
      </c>
      <c r="AA425">
        <f>+AA423+Z425</f>
        <v>17.865925857436448</v>
      </c>
    </row>
    <row r="426" spans="1:27">
      <c r="A426" s="8">
        <v>9</v>
      </c>
      <c r="B426" s="71">
        <v>42856</v>
      </c>
      <c r="E426" s="15">
        <v>5</v>
      </c>
      <c r="F426" s="79">
        <v>0.94099999999999995</v>
      </c>
      <c r="G426" s="79">
        <v>1.0999999999999999E-2</v>
      </c>
    </row>
    <row r="427" spans="1:27">
      <c r="A427" s="8">
        <v>10</v>
      </c>
      <c r="B427" s="71">
        <v>42856</v>
      </c>
      <c r="E427" s="15">
        <v>5</v>
      </c>
      <c r="F427" s="79">
        <v>2.5449999999999999</v>
      </c>
      <c r="G427" s="79">
        <v>0.03</v>
      </c>
      <c r="I427" s="27">
        <f>AVERAGE(F426:F427)</f>
        <v>1.7429999999999999</v>
      </c>
      <c r="J427" s="27">
        <f>AVERAGE(G426:G427)</f>
        <v>2.0499999999999997E-2</v>
      </c>
      <c r="L427">
        <f>+J427/I427</f>
        <v>1.1761331038439472E-2</v>
      </c>
      <c r="M427">
        <f>+(L427-$L$614)/$L$615</f>
        <v>0.12073217719167996</v>
      </c>
      <c r="N427">
        <f>+N425+M427</f>
        <v>10.575790484513206</v>
      </c>
      <c r="Z427">
        <f>+(I427-$F$614)/$F$615</f>
        <v>-0.47755927595059755</v>
      </c>
      <c r="AA427">
        <f>+AA425+Z427</f>
        <v>17.388366581485851</v>
      </c>
    </row>
    <row r="428" spans="1:27">
      <c r="A428" s="8">
        <v>9</v>
      </c>
      <c r="B428" s="71">
        <v>42887</v>
      </c>
      <c r="E428" s="15">
        <v>6</v>
      </c>
      <c r="F428" s="79">
        <v>2.71</v>
      </c>
      <c r="G428" s="79">
        <v>3.5000000000000003E-2</v>
      </c>
    </row>
    <row r="429" spans="1:27">
      <c r="A429" s="8">
        <v>10</v>
      </c>
      <c r="B429" s="71">
        <v>42887</v>
      </c>
      <c r="E429" s="15">
        <v>6</v>
      </c>
      <c r="F429" s="79">
        <v>2.5990000000000002</v>
      </c>
      <c r="G429" s="79">
        <v>6.0999999999999999E-2</v>
      </c>
      <c r="I429" s="27">
        <f>AVERAGE(F428:F429)</f>
        <v>2.6545000000000001</v>
      </c>
      <c r="J429" s="27">
        <f>AVERAGE(G428:G429)</f>
        <v>4.8000000000000001E-2</v>
      </c>
      <c r="L429">
        <f>+J429/I429</f>
        <v>1.8082501412695424E-2</v>
      </c>
      <c r="M429">
        <f>+(L429-$L$614)/$L$615</f>
        <v>0.72114965146569876</v>
      </c>
      <c r="N429">
        <f>+N427+M429</f>
        <v>11.296940135978904</v>
      </c>
      <c r="Z429">
        <f>+(I429-$F$614)/$F$615</f>
        <v>-0.29251822168313435</v>
      </c>
      <c r="AA429">
        <f>+AA427+Z429</f>
        <v>17.095848359802716</v>
      </c>
    </row>
    <row r="430" spans="1:27">
      <c r="A430" s="8">
        <v>9</v>
      </c>
      <c r="B430" s="71">
        <v>42917</v>
      </c>
      <c r="E430" s="15">
        <v>7</v>
      </c>
      <c r="F430" s="79">
        <v>1.377</v>
      </c>
      <c r="G430" s="79">
        <v>9.9989999999999996E-4</v>
      </c>
    </row>
    <row r="431" spans="1:27">
      <c r="A431" s="8">
        <v>10</v>
      </c>
      <c r="B431" s="71">
        <v>42917</v>
      </c>
      <c r="E431" s="15">
        <v>7</v>
      </c>
      <c r="F431" s="79">
        <v>1.393</v>
      </c>
      <c r="G431" s="79">
        <v>3.1E-2</v>
      </c>
      <c r="I431" s="27">
        <f>AVERAGE(F430:F431)</f>
        <v>1.385</v>
      </c>
      <c r="J431" s="27">
        <f>AVERAGE(G430:G431)</f>
        <v>1.5999949999999999E-2</v>
      </c>
      <c r="L431">
        <f>+J431/I431</f>
        <v>1.1552310469314079E-2</v>
      </c>
      <c r="M431">
        <f>+(L431-$L$614)/$L$615</f>
        <v>0.10087832185237361</v>
      </c>
      <c r="N431">
        <f>+N429+M431</f>
        <v>11.397818457831278</v>
      </c>
      <c r="Z431">
        <f>+(I431-$F$614)/$F$615</f>
        <v>-0.55023585019936527</v>
      </c>
      <c r="AA431">
        <f>+AA429+Z431</f>
        <v>16.545612509603352</v>
      </c>
    </row>
    <row r="432" spans="1:27">
      <c r="A432" s="8">
        <v>9</v>
      </c>
      <c r="B432" s="71">
        <v>42948</v>
      </c>
      <c r="E432" s="15">
        <v>8</v>
      </c>
    </row>
    <row r="433" spans="1:27">
      <c r="A433" s="8">
        <v>10</v>
      </c>
      <c r="B433" s="71">
        <v>42948</v>
      </c>
      <c r="E433" s="15">
        <v>8</v>
      </c>
      <c r="I433" s="27"/>
      <c r="J433" s="27"/>
    </row>
    <row r="434" spans="1:27">
      <c r="A434" s="8">
        <v>9</v>
      </c>
      <c r="B434" s="71">
        <v>42979</v>
      </c>
      <c r="E434" s="15">
        <v>9</v>
      </c>
      <c r="F434" s="79">
        <v>0.41599999999999998</v>
      </c>
      <c r="G434" s="79">
        <v>9.9989999999999996E-4</v>
      </c>
    </row>
    <row r="435" spans="1:27">
      <c r="A435" s="8">
        <v>10</v>
      </c>
      <c r="B435" s="71">
        <v>42979</v>
      </c>
      <c r="E435" s="15">
        <v>9</v>
      </c>
      <c r="F435" s="79">
        <v>0.78500000000000003</v>
      </c>
      <c r="G435" s="79">
        <v>5.0000000000000001E-3</v>
      </c>
      <c r="I435" s="27">
        <f>AVERAGE(F434:F435)</f>
        <v>0.60050000000000003</v>
      </c>
      <c r="J435" s="27">
        <f>AVERAGE(G434:G435)</f>
        <v>2.9999499999999999E-3</v>
      </c>
      <c r="L435">
        <f>+J435/I435</f>
        <v>4.9957535387177348E-3</v>
      </c>
      <c r="M435">
        <f>+(L435-$L$614)/$L$615</f>
        <v>-0.52189738567091004</v>
      </c>
      <c r="N435">
        <f>+N431+M435</f>
        <v>10.875921072160368</v>
      </c>
      <c r="Z435">
        <f>+(I435-$F$614)/$F$615</f>
        <v>-0.70949499125567328</v>
      </c>
      <c r="AA435">
        <f>+AA431+Z435</f>
        <v>15.836117518347679</v>
      </c>
    </row>
    <row r="436" spans="1:27">
      <c r="A436" s="8">
        <v>9</v>
      </c>
      <c r="B436" s="71">
        <v>43009</v>
      </c>
      <c r="E436" s="15">
        <v>10</v>
      </c>
    </row>
    <row r="437" spans="1:27">
      <c r="A437" s="8">
        <v>10</v>
      </c>
      <c r="B437" s="71">
        <v>43009</v>
      </c>
      <c r="E437" s="15">
        <v>10</v>
      </c>
      <c r="I437" s="27"/>
      <c r="J437" s="27"/>
    </row>
    <row r="438" spans="1:27">
      <c r="A438" s="8">
        <v>9</v>
      </c>
      <c r="B438" s="71">
        <v>43040</v>
      </c>
      <c r="E438" s="15">
        <v>11</v>
      </c>
      <c r="F438" s="79">
        <v>0.19800000000000001</v>
      </c>
      <c r="G438" s="79">
        <v>9.9989999999999996E-4</v>
      </c>
    </row>
    <row r="439" spans="1:27">
      <c r="A439" s="8">
        <v>10</v>
      </c>
      <c r="B439" s="71">
        <v>43040</v>
      </c>
      <c r="E439" s="15">
        <v>11</v>
      </c>
      <c r="F439" s="79">
        <v>0.17799999999999999</v>
      </c>
      <c r="G439" s="79">
        <v>9.9989999999999996E-4</v>
      </c>
      <c r="I439" s="27">
        <f>AVERAGE(F438:F439)</f>
        <v>0.188</v>
      </c>
      <c r="J439" s="27">
        <f>AVERAGE(G438:G439)</f>
        <v>9.9989999999999996E-4</v>
      </c>
      <c r="L439">
        <f>+J439/I439</f>
        <v>5.3186170212765954E-3</v>
      </c>
      <c r="M439">
        <f>+(L439-$L$614)/$L$615</f>
        <v>-0.4912301412753462</v>
      </c>
      <c r="N439">
        <f>+N435+M439</f>
        <v>10.384690930885021</v>
      </c>
      <c r="Z439">
        <f>+(I439-$F$614)/$F$615</f>
        <v>-0.79323545739426737</v>
      </c>
      <c r="AA439">
        <f>+AA435+Z439</f>
        <v>15.042882060953412</v>
      </c>
    </row>
    <row r="440" spans="1:27">
      <c r="A440" s="8">
        <v>9</v>
      </c>
      <c r="B440" s="72">
        <v>43070</v>
      </c>
      <c r="E440" s="15">
        <v>12</v>
      </c>
      <c r="F440" s="79">
        <v>0.89300000000000002</v>
      </c>
      <c r="G440" s="79">
        <v>9.9989999999999996E-4</v>
      </c>
    </row>
    <row r="441" spans="1:27">
      <c r="A441" s="8">
        <v>10</v>
      </c>
      <c r="B441" s="71">
        <v>43070</v>
      </c>
      <c r="E441" s="15">
        <v>12</v>
      </c>
      <c r="F441" s="79">
        <v>1.59</v>
      </c>
      <c r="G441" s="79">
        <v>9.9989999999999996E-4</v>
      </c>
      <c r="I441" s="27">
        <f>AVERAGE(F440:F441)</f>
        <v>1.2415</v>
      </c>
      <c r="J441" s="27">
        <f>AVERAGE(G440:G441)</f>
        <v>9.9989999999999996E-4</v>
      </c>
      <c r="L441">
        <f>+J441/I441</f>
        <v>8.0539669754329439E-4</v>
      </c>
      <c r="M441">
        <f>+(L441-$L$614)/$L$615</f>
        <v>-0.91991916358904768</v>
      </c>
      <c r="N441">
        <f>+N439+M441</f>
        <v>9.4647717672959732</v>
      </c>
      <c r="Z441">
        <f>+(I441-$F$614)/$F$615</f>
        <v>-0.57936738205606397</v>
      </c>
      <c r="AA441">
        <f>+AA439+Z441</f>
        <v>14.463514678897347</v>
      </c>
    </row>
    <row r="442" spans="1:27">
      <c r="A442" s="8">
        <v>9</v>
      </c>
      <c r="B442" s="70">
        <v>43110</v>
      </c>
      <c r="E442" s="15">
        <v>1</v>
      </c>
      <c r="F442" s="77">
        <v>7.3230000000000004</v>
      </c>
      <c r="G442" s="77">
        <v>1.4E-2</v>
      </c>
    </row>
    <row r="443" spans="1:27">
      <c r="A443" s="8">
        <v>10</v>
      </c>
      <c r="B443" s="70">
        <v>43105</v>
      </c>
      <c r="E443" s="15">
        <v>1</v>
      </c>
      <c r="F443" s="77">
        <v>8.65</v>
      </c>
      <c r="G443" s="77">
        <v>1.6E-2</v>
      </c>
      <c r="I443">
        <v>7.9865000000000004</v>
      </c>
      <c r="J443">
        <v>1.4999999999999999E-2</v>
      </c>
      <c r="L443">
        <v>1.8781694108808613E-3</v>
      </c>
      <c r="M443">
        <f>+(L443-$L$614)/$L$615</f>
        <v>-0.81802165966548901</v>
      </c>
      <c r="N443">
        <f>+N441+M443</f>
        <v>8.6467501076304849</v>
      </c>
      <c r="Z443">
        <f>+(I443-$F$614)/$F$615</f>
        <v>0.78991611880409929</v>
      </c>
      <c r="AA443">
        <f>+AA441+Z443</f>
        <v>15.253430797701446</v>
      </c>
    </row>
    <row r="444" spans="1:27">
      <c r="A444" s="8">
        <v>9</v>
      </c>
      <c r="B444" s="71">
        <v>43132</v>
      </c>
      <c r="E444" s="15">
        <v>2</v>
      </c>
      <c r="F444" s="77">
        <v>1.143</v>
      </c>
      <c r="G444" s="77">
        <v>7.0000000000000001E-3</v>
      </c>
    </row>
    <row r="445" spans="1:27">
      <c r="A445" s="8">
        <v>10</v>
      </c>
      <c r="B445" s="71">
        <v>43132</v>
      </c>
      <c r="E445" s="15">
        <v>2</v>
      </c>
      <c r="F445" s="77">
        <v>1.004</v>
      </c>
      <c r="G445" s="77">
        <v>8.9999999999999993E-3</v>
      </c>
      <c r="I445">
        <v>1.0735000000000001</v>
      </c>
      <c r="J445">
        <v>8.0000000000000002E-3</v>
      </c>
      <c r="L445">
        <v>7.4522589659990679E-3</v>
      </c>
      <c r="M445">
        <f>+(L445-$L$614)/$L$615</f>
        <v>-0.28856578774474473</v>
      </c>
      <c r="N445">
        <f>+N443+M445</f>
        <v>8.3581843198857406</v>
      </c>
      <c r="Z445">
        <f>+(I445-$F$614)/$F$615</f>
        <v>-0.6134725900834187</v>
      </c>
      <c r="AA445">
        <f>+AA443+Z445</f>
        <v>14.639958207618028</v>
      </c>
    </row>
    <row r="446" spans="1:27">
      <c r="A446" s="8">
        <v>9</v>
      </c>
      <c r="B446" s="71">
        <v>43160</v>
      </c>
      <c r="E446" s="15">
        <v>3</v>
      </c>
      <c r="F446" s="77">
        <v>3.3940000000000001</v>
      </c>
      <c r="G446" s="77">
        <v>1.9E-2</v>
      </c>
    </row>
    <row r="447" spans="1:27">
      <c r="A447" s="8">
        <v>10</v>
      </c>
      <c r="B447" s="71">
        <v>43160</v>
      </c>
      <c r="E447" s="15">
        <v>3</v>
      </c>
      <c r="F447" s="77">
        <v>3.2530000000000001</v>
      </c>
      <c r="G447" s="77">
        <v>1.2999999999999999E-2</v>
      </c>
      <c r="I447">
        <v>3.3235000000000001</v>
      </c>
      <c r="J447">
        <v>1.6E-2</v>
      </c>
      <c r="L447">
        <v>4.8142018955919961E-3</v>
      </c>
      <c r="M447">
        <f>+(L447-$L$614)/$L$615</f>
        <v>-0.53914210026677067</v>
      </c>
      <c r="N447">
        <f>+N445+M447</f>
        <v>7.8190422196189697</v>
      </c>
      <c r="Z447">
        <f>+(I447-$F$614)/$F$615</f>
        <v>-0.15670641114563261</v>
      </c>
      <c r="AA447">
        <f>+AA445+Z447</f>
        <v>14.483251796472395</v>
      </c>
    </row>
    <row r="448" spans="1:27">
      <c r="A448" s="8">
        <v>9</v>
      </c>
      <c r="B448" s="71">
        <v>43191</v>
      </c>
      <c r="E448" s="15">
        <v>4</v>
      </c>
      <c r="F448" s="77">
        <v>0.54100000000000004</v>
      </c>
      <c r="G448" s="77">
        <v>6.0000000000000001E-3</v>
      </c>
    </row>
    <row r="449" spans="1:27">
      <c r="A449" s="8">
        <v>10</v>
      </c>
      <c r="B449" s="71">
        <v>43191</v>
      </c>
      <c r="E449" s="15">
        <v>4</v>
      </c>
      <c r="F449" s="77">
        <v>1.1479999999999999</v>
      </c>
      <c r="G449" s="77">
        <v>1.4E-2</v>
      </c>
      <c r="I449">
        <v>0.84450000000000003</v>
      </c>
      <c r="J449">
        <v>0.01</v>
      </c>
      <c r="L449">
        <v>1.1841326228537596E-2</v>
      </c>
      <c r="M449">
        <f>+(L449-$L$614)/$L$615</f>
        <v>0.12833053432320074</v>
      </c>
      <c r="N449">
        <f>+N447+M449</f>
        <v>7.9473727539421706</v>
      </c>
      <c r="Z449">
        <f>+(I449-$F$614)/$F$615</f>
        <v>-0.65996123673975338</v>
      </c>
      <c r="AA449">
        <f>+AA447+Z449</f>
        <v>13.823290559732641</v>
      </c>
    </row>
    <row r="450" spans="1:27">
      <c r="A450" s="8">
        <v>9</v>
      </c>
      <c r="B450" s="71">
        <v>43221</v>
      </c>
      <c r="E450" s="15">
        <v>5</v>
      </c>
      <c r="F450" s="78">
        <v>1.667</v>
      </c>
      <c r="G450" s="78">
        <v>8.0000000000000002E-3</v>
      </c>
    </row>
    <row r="451" spans="1:27">
      <c r="A451" s="8">
        <v>10</v>
      </c>
      <c r="B451" s="71">
        <v>43221</v>
      </c>
      <c r="E451" s="15">
        <v>5</v>
      </c>
      <c r="F451" s="78">
        <v>2.024</v>
      </c>
      <c r="G451" s="78">
        <v>0.01</v>
      </c>
      <c r="I451">
        <v>1.8454999999999999</v>
      </c>
      <c r="J451">
        <v>9.0000000000000011E-3</v>
      </c>
      <c r="L451">
        <v>4.8767271742075329E-3</v>
      </c>
      <c r="M451">
        <f>+(L451-$L$614)/$L$615</f>
        <v>-0.53320312573485285</v>
      </c>
      <c r="N451">
        <f>+N449+M451</f>
        <v>7.4141696282073175</v>
      </c>
      <c r="Z451">
        <f>+(I451-$F$614)/$F$615</f>
        <v>-0.45675103891009838</v>
      </c>
      <c r="AA451">
        <f>+AA449+Z451</f>
        <v>13.366539520822542</v>
      </c>
    </row>
    <row r="452" spans="1:27">
      <c r="A452" s="12">
        <v>9</v>
      </c>
      <c r="B452" s="71">
        <v>43252</v>
      </c>
      <c r="E452" s="15">
        <v>6</v>
      </c>
      <c r="F452" s="78">
        <v>3.161</v>
      </c>
      <c r="G452" s="78">
        <v>0.10100000000000001</v>
      </c>
    </row>
    <row r="453" spans="1:27">
      <c r="A453" s="12">
        <v>10</v>
      </c>
      <c r="B453" s="71">
        <v>43252</v>
      </c>
      <c r="E453" s="15">
        <v>6</v>
      </c>
      <c r="F453" s="78">
        <v>2.0110000000000001</v>
      </c>
      <c r="G453" s="78">
        <v>2.4E-2</v>
      </c>
      <c r="I453">
        <v>2.5860000000000003</v>
      </c>
      <c r="J453">
        <v>6.25E-2</v>
      </c>
      <c r="L453">
        <v>2.4168600154679039E-2</v>
      </c>
      <c r="M453">
        <f>+(L453-$L$614)/$L$615</f>
        <v>1.2992388056081721</v>
      </c>
      <c r="N453">
        <f>+N451+M453</f>
        <v>8.7134084338154896</v>
      </c>
      <c r="Z453">
        <f>+(I453-$F$614)/$F$615</f>
        <v>-0.30642421424190691</v>
      </c>
      <c r="AA453">
        <f>+AA451+Z453</f>
        <v>13.060115306580634</v>
      </c>
    </row>
    <row r="454" spans="1:27">
      <c r="A454" s="8">
        <v>9</v>
      </c>
      <c r="B454" s="71">
        <v>43282</v>
      </c>
      <c r="E454" s="15">
        <v>7</v>
      </c>
      <c r="F454" s="78">
        <v>6.1909999999999998</v>
      </c>
      <c r="G454" s="78">
        <v>8.6999999999999994E-2</v>
      </c>
    </row>
    <row r="455" spans="1:27">
      <c r="A455" s="8">
        <v>10</v>
      </c>
      <c r="B455" s="71">
        <v>43282</v>
      </c>
      <c r="E455" s="15">
        <v>7</v>
      </c>
      <c r="F455" s="78">
        <v>8.5850000000000009</v>
      </c>
      <c r="G455" s="78">
        <v>0.20799999999999999</v>
      </c>
      <c r="I455">
        <v>7.3879999999999999</v>
      </c>
      <c r="J455">
        <v>0.14749999999999999</v>
      </c>
      <c r="L455">
        <v>1.9964807796426638E-2</v>
      </c>
      <c r="M455">
        <f>+(L455-$L$614)/$L$615</f>
        <v>0.89994085274901914</v>
      </c>
      <c r="N455">
        <f>+N453+M455</f>
        <v>9.6133492865645085</v>
      </c>
      <c r="Z455">
        <f>+(I455-$F$614)/$F$615</f>
        <v>0.66841631520664802</v>
      </c>
      <c r="AA455">
        <f>+AA453+Z455</f>
        <v>13.728531621787283</v>
      </c>
    </row>
    <row r="456" spans="1:27">
      <c r="A456" s="8">
        <v>9</v>
      </c>
      <c r="B456" s="71">
        <v>43313</v>
      </c>
      <c r="E456" s="15">
        <v>8</v>
      </c>
      <c r="F456" s="78">
        <v>1.9279999999999999</v>
      </c>
      <c r="G456" s="78">
        <v>1.9E-2</v>
      </c>
    </row>
    <row r="457" spans="1:27">
      <c r="A457" s="8">
        <v>10</v>
      </c>
      <c r="B457" s="71">
        <v>43313</v>
      </c>
      <c r="E457" s="15">
        <v>8</v>
      </c>
      <c r="F457" s="78">
        <v>3.03</v>
      </c>
      <c r="G457" s="78">
        <v>2.8000000000000001E-2</v>
      </c>
      <c r="I457">
        <v>2.4790000000000001</v>
      </c>
      <c r="J457">
        <v>2.35E-2</v>
      </c>
      <c r="L457">
        <v>9.4796288826139562E-3</v>
      </c>
      <c r="M457">
        <f>+(L457-$L$614)/$L$615</f>
        <v>-9.5995701402732364E-2</v>
      </c>
      <c r="N457">
        <f>+N455+M457</f>
        <v>9.5173535851617768</v>
      </c>
      <c r="Z457">
        <f>+(I457-$F$614)/$F$615</f>
        <v>-0.32814598364028169</v>
      </c>
      <c r="AA457">
        <f>+AA455+Z457</f>
        <v>13.400385638147002</v>
      </c>
    </row>
    <row r="458" spans="1:27">
      <c r="A458" s="8">
        <v>9</v>
      </c>
      <c r="B458" s="71">
        <v>43344</v>
      </c>
      <c r="E458" s="15">
        <v>9</v>
      </c>
      <c r="F458" s="78">
        <v>2.2989999999999999</v>
      </c>
      <c r="G458" s="78">
        <v>1.2E-2</v>
      </c>
    </row>
    <row r="459" spans="1:27">
      <c r="A459" s="8">
        <v>10</v>
      </c>
      <c r="B459" s="71">
        <v>43344</v>
      </c>
      <c r="E459" s="15">
        <v>9</v>
      </c>
      <c r="F459" s="78">
        <v>2.4009999999999998</v>
      </c>
      <c r="G459" s="78">
        <v>1.2E-2</v>
      </c>
      <c r="I459">
        <v>2.3499999999999996</v>
      </c>
      <c r="J459">
        <v>1.2E-2</v>
      </c>
      <c r="L459">
        <v>5.1063829787234049E-3</v>
      </c>
      <c r="M459">
        <f>+(L459-$L$614)/$L$615</f>
        <v>-0.51138922895058558</v>
      </c>
      <c r="N459">
        <f>+N457+M459</f>
        <v>9.0059643562111908</v>
      </c>
      <c r="Z459">
        <f>+(I459-$F$614)/$F$615</f>
        <v>-0.35433391123271485</v>
      </c>
      <c r="AA459">
        <f>+AA457+Z459</f>
        <v>13.046051726914287</v>
      </c>
    </row>
    <row r="460" spans="1:27">
      <c r="A460" s="8">
        <v>9</v>
      </c>
      <c r="B460" s="71">
        <v>43374</v>
      </c>
      <c r="E460" s="15">
        <v>10</v>
      </c>
      <c r="F460" s="78">
        <v>0.40799999999999997</v>
      </c>
      <c r="G460" s="78">
        <v>9.9989999999999996E-4</v>
      </c>
    </row>
    <row r="461" spans="1:27">
      <c r="A461" s="8">
        <v>10</v>
      </c>
      <c r="B461" s="71">
        <v>43374</v>
      </c>
      <c r="E461" s="15">
        <v>10</v>
      </c>
      <c r="F461" s="78">
        <v>0.91700000000000004</v>
      </c>
      <c r="G461" s="78">
        <v>9.9989999999999996E-4</v>
      </c>
      <c r="I461">
        <v>0.66249999999999998</v>
      </c>
      <c r="J461">
        <v>9.9989999999999996E-4</v>
      </c>
      <c r="L461">
        <v>1.5092830188679245E-3</v>
      </c>
      <c r="M461">
        <f>+(L461-$L$614)/$L$615</f>
        <v>-0.85306039817007073</v>
      </c>
      <c r="N461">
        <f>+N459+M461</f>
        <v>8.1529039580411204</v>
      </c>
      <c r="Z461">
        <f>+(I461-$F$614)/$F$615</f>
        <v>-0.69690854543605429</v>
      </c>
      <c r="AA461">
        <f>+AA459+Z461</f>
        <v>12.349143181478233</v>
      </c>
    </row>
    <row r="462" spans="1:27">
      <c r="A462" s="8">
        <v>9</v>
      </c>
      <c r="B462" s="71">
        <v>43405</v>
      </c>
      <c r="E462" s="15">
        <v>11</v>
      </c>
      <c r="F462" s="78"/>
      <c r="G462" s="78"/>
    </row>
    <row r="463" spans="1:27">
      <c r="A463" s="8">
        <v>10</v>
      </c>
      <c r="B463" s="71">
        <v>43405</v>
      </c>
      <c r="E463" s="15">
        <v>11</v>
      </c>
    </row>
    <row r="464" spans="1:27">
      <c r="A464" s="8">
        <v>9</v>
      </c>
      <c r="B464" s="72">
        <v>43435</v>
      </c>
      <c r="E464" s="15">
        <v>12</v>
      </c>
    </row>
    <row r="465" spans="1:27">
      <c r="A465" s="8">
        <v>10</v>
      </c>
      <c r="B465" s="71">
        <v>43435</v>
      </c>
      <c r="E465" s="15">
        <v>12</v>
      </c>
    </row>
    <row r="466" spans="1:27">
      <c r="A466" s="8">
        <v>9</v>
      </c>
      <c r="B466" s="70">
        <v>43475</v>
      </c>
      <c r="E466" s="15">
        <v>1</v>
      </c>
    </row>
    <row r="467" spans="1:27">
      <c r="A467" s="8">
        <v>10</v>
      </c>
      <c r="B467" s="70">
        <v>43470</v>
      </c>
      <c r="E467" s="15">
        <v>1</v>
      </c>
    </row>
    <row r="468" spans="1:27">
      <c r="A468" s="8">
        <v>9</v>
      </c>
      <c r="B468" s="71">
        <v>43497</v>
      </c>
      <c r="E468" s="15">
        <v>2</v>
      </c>
    </row>
    <row r="469" spans="1:27">
      <c r="A469" s="8">
        <v>10</v>
      </c>
      <c r="B469" s="71">
        <v>43497</v>
      </c>
      <c r="E469" s="15">
        <v>2</v>
      </c>
    </row>
    <row r="470" spans="1:27">
      <c r="A470" s="8">
        <v>9</v>
      </c>
      <c r="B470" s="71">
        <v>43525</v>
      </c>
      <c r="E470" s="15">
        <v>3</v>
      </c>
      <c r="F470" s="83">
        <v>0.44400000000000001</v>
      </c>
      <c r="G470" s="83">
        <v>9.9989999999999996E-4</v>
      </c>
    </row>
    <row r="471" spans="1:27">
      <c r="A471" s="8">
        <v>10</v>
      </c>
      <c r="B471" s="71">
        <v>43525</v>
      </c>
      <c r="E471" s="15">
        <v>3</v>
      </c>
      <c r="F471" s="83">
        <v>0.70199999999999996</v>
      </c>
      <c r="G471" s="83">
        <v>5.0000000000000001E-3</v>
      </c>
      <c r="I471" s="27">
        <f>AVERAGE(F470:F471)</f>
        <v>0.57299999999999995</v>
      </c>
      <c r="J471" s="27">
        <f>AVERAGE(G470:G471)</f>
        <v>2.9999499999999999E-3</v>
      </c>
      <c r="L471">
        <f>+J471/I471</f>
        <v>5.2355148342059336E-3</v>
      </c>
      <c r="M471">
        <f>+(L471-$L$614)/$L$615</f>
        <v>-0.49912361705806257</v>
      </c>
      <c r="N471">
        <f>+N461+M471</f>
        <v>7.653780340983058</v>
      </c>
      <c r="Z471">
        <f>+(I471-$F$614)/$F$615</f>
        <v>-0.71507768899824631</v>
      </c>
      <c r="AA471">
        <f>+AA461+Z471</f>
        <v>11.634065492479987</v>
      </c>
    </row>
    <row r="472" spans="1:27">
      <c r="A472" s="8">
        <v>9</v>
      </c>
      <c r="B472" s="71">
        <v>43556</v>
      </c>
      <c r="E472" s="15">
        <v>4</v>
      </c>
      <c r="F472" s="77">
        <v>1.5860000000000001</v>
      </c>
      <c r="G472" s="77">
        <v>9.9989999999999996E-4</v>
      </c>
    </row>
    <row r="473" spans="1:27">
      <c r="A473" s="8">
        <v>10</v>
      </c>
      <c r="B473" s="71">
        <v>43556</v>
      </c>
      <c r="E473" s="15">
        <v>4</v>
      </c>
      <c r="F473" s="77">
        <v>1.992</v>
      </c>
      <c r="G473" s="77">
        <v>3.0000000000000001E-3</v>
      </c>
      <c r="I473" s="27">
        <f>AVERAGE(F472:F473)</f>
        <v>1.7890000000000001</v>
      </c>
      <c r="J473" s="27">
        <f>AVERAGE(G472:G473)</f>
        <v>1.9999499999999999E-3</v>
      </c>
      <c r="L473">
        <f>+J473/I473</f>
        <v>1.1179150363331469E-3</v>
      </c>
      <c r="M473">
        <f>+(L473-$L$614)/$L$615</f>
        <v>-0.89023455448489852</v>
      </c>
      <c r="N473">
        <f>+N471+M473</f>
        <v>6.7635457864981596</v>
      </c>
      <c r="Z473">
        <f>+(I473-$F$614)/$F$615</f>
        <v>-0.46822094518120272</v>
      </c>
      <c r="AA473">
        <f>+AA471+Z473</f>
        <v>11.165844547298784</v>
      </c>
    </row>
    <row r="474" spans="1:27">
      <c r="A474" s="8">
        <v>9</v>
      </c>
      <c r="B474" s="71">
        <v>43586</v>
      </c>
      <c r="E474" s="15">
        <v>5</v>
      </c>
      <c r="F474" s="77">
        <v>0.50700000000000001</v>
      </c>
      <c r="G474" s="77">
        <v>9.9989999999999996E-4</v>
      </c>
    </row>
    <row r="475" spans="1:27">
      <c r="A475" s="8">
        <v>10</v>
      </c>
      <c r="B475" s="71">
        <v>43586</v>
      </c>
      <c r="E475" s="15">
        <v>5</v>
      </c>
      <c r="F475" s="77">
        <v>0.747</v>
      </c>
      <c r="G475" s="77">
        <v>9.9989999999999996E-4</v>
      </c>
      <c r="I475" s="27">
        <f>AVERAGE(F474:F475)</f>
        <v>0.627</v>
      </c>
      <c r="J475" s="27">
        <f>AVERAGE(G474:G475)</f>
        <v>9.9989999999999996E-4</v>
      </c>
      <c r="L475">
        <f>+J475/I475</f>
        <v>1.5947368421052632E-3</v>
      </c>
      <c r="M475">
        <f>+(L475-$L$614)/$L$615</f>
        <v>-0.84494355181449998</v>
      </c>
      <c r="N475">
        <f>+N473+M475</f>
        <v>5.91860223468366</v>
      </c>
      <c r="Z475">
        <f>+(I475-$F$614)/$F$615</f>
        <v>-0.70411530070373951</v>
      </c>
      <c r="AA475">
        <f>+AA473+Z475</f>
        <v>10.461729246595045</v>
      </c>
    </row>
    <row r="476" spans="1:27">
      <c r="A476" s="8">
        <v>9</v>
      </c>
      <c r="B476" s="71">
        <v>43617</v>
      </c>
      <c r="E476" s="15">
        <v>6</v>
      </c>
      <c r="F476" s="78">
        <v>1.6539999999999999</v>
      </c>
      <c r="G476" s="78">
        <v>1.6E-2</v>
      </c>
    </row>
    <row r="477" spans="1:27">
      <c r="A477" s="8">
        <v>10</v>
      </c>
      <c r="B477" s="71">
        <v>43617</v>
      </c>
      <c r="E477" s="15">
        <v>6</v>
      </c>
      <c r="F477" s="78">
        <v>2.0870000000000002</v>
      </c>
      <c r="G477" s="78">
        <v>1.7000000000000001E-2</v>
      </c>
      <c r="I477" s="27">
        <f>AVERAGE(F476:F477)</f>
        <v>1.8705000000000001</v>
      </c>
      <c r="J477" s="27">
        <f>AVERAGE(G476:G477)</f>
        <v>1.6500000000000001E-2</v>
      </c>
      <c r="L477">
        <f>+J477/I477</f>
        <v>8.8211708099438652E-3</v>
      </c>
      <c r="M477">
        <f>+(L477-$L$614)/$L$615</f>
        <v>-0.15853945667280764</v>
      </c>
      <c r="N477">
        <f>+N475+M477</f>
        <v>5.7600627780108526</v>
      </c>
      <c r="Z477">
        <f>+(I477-$F$614)/$F$615</f>
        <v>-0.451675859144123</v>
      </c>
      <c r="AA477">
        <f>+AA475+Z477</f>
        <v>10.010053387450922</v>
      </c>
    </row>
    <row r="478" spans="1:27">
      <c r="A478" s="8">
        <v>9</v>
      </c>
      <c r="B478" s="71">
        <v>43647</v>
      </c>
      <c r="E478" s="15">
        <v>7</v>
      </c>
      <c r="F478" s="78">
        <v>6.5380000000000003</v>
      </c>
      <c r="G478" s="78">
        <v>9.2999999999999999E-2</v>
      </c>
    </row>
    <row r="479" spans="1:27">
      <c r="A479" s="8">
        <v>10</v>
      </c>
      <c r="B479" s="71">
        <v>43647</v>
      </c>
      <c r="E479" s="15">
        <v>7</v>
      </c>
      <c r="F479" s="78">
        <v>4.4180000000000001</v>
      </c>
      <c r="G479" s="78">
        <v>4.8000000000000001E-2</v>
      </c>
      <c r="I479" s="27">
        <f>AVERAGE(F478:F479)</f>
        <v>5.4779999999999998</v>
      </c>
      <c r="J479" s="27">
        <f>AVERAGE(G478:G479)</f>
        <v>7.0500000000000007E-2</v>
      </c>
      <c r="L479">
        <f>+J479/I479</f>
        <v>1.2869660460021907E-2</v>
      </c>
      <c r="M479">
        <f>+(L479-$L$614)/$L$615</f>
        <v>0.22600704127069787</v>
      </c>
      <c r="N479">
        <f>+N477+M479</f>
        <v>5.9860698192815507</v>
      </c>
      <c r="Z479">
        <f>+(I479-$F$614)/$F$615</f>
        <v>0.28067258108612736</v>
      </c>
      <c r="AA479">
        <f>+AA477+Z479</f>
        <v>10.29072596853705</v>
      </c>
    </row>
    <row r="480" spans="1:27">
      <c r="A480" s="8">
        <v>9</v>
      </c>
      <c r="B480" s="71">
        <v>43678</v>
      </c>
      <c r="E480" s="15">
        <v>8</v>
      </c>
    </row>
    <row r="481" spans="1:27">
      <c r="A481" s="8">
        <v>10</v>
      </c>
      <c r="B481" s="71">
        <v>43678</v>
      </c>
      <c r="E481" s="15">
        <v>8</v>
      </c>
      <c r="I481" s="27"/>
      <c r="J481" s="27"/>
    </row>
    <row r="482" spans="1:27">
      <c r="A482" s="8">
        <v>9</v>
      </c>
      <c r="B482" s="71">
        <v>43709</v>
      </c>
      <c r="E482" s="15">
        <v>9</v>
      </c>
    </row>
    <row r="483" spans="1:27">
      <c r="A483" s="8">
        <v>10</v>
      </c>
      <c r="B483" s="71">
        <v>43709</v>
      </c>
      <c r="E483" s="15">
        <v>9</v>
      </c>
      <c r="I483" s="27"/>
      <c r="J483" s="27"/>
    </row>
    <row r="484" spans="1:27">
      <c r="A484" s="8">
        <v>9</v>
      </c>
      <c r="B484" s="71">
        <v>43739</v>
      </c>
      <c r="E484" s="15">
        <v>10</v>
      </c>
      <c r="F484" s="78">
        <v>3.4790000000000001</v>
      </c>
      <c r="G484" s="78">
        <v>9.9989999999999996E-4</v>
      </c>
    </row>
    <row r="485" spans="1:27">
      <c r="A485" s="8">
        <v>10</v>
      </c>
      <c r="B485" s="71">
        <v>43739</v>
      </c>
      <c r="E485" s="15">
        <v>10</v>
      </c>
      <c r="F485" s="78">
        <v>1.141</v>
      </c>
      <c r="G485" s="78">
        <v>9.9989999999999996E-4</v>
      </c>
      <c r="I485" s="27">
        <f>AVERAGE(F484:F485)</f>
        <v>2.31</v>
      </c>
      <c r="J485" s="27">
        <f>AVERAGE(G484:G485)</f>
        <v>9.9989999999999996E-4</v>
      </c>
      <c r="L485">
        <f>+J485/I485</f>
        <v>4.3285714285714282E-4</v>
      </c>
      <c r="M485">
        <f>+(L485-$L$614)/$L$615</f>
        <v>-0.95530489838948884</v>
      </c>
      <c r="N485">
        <f>+N479+M485</f>
        <v>5.0307649208920617</v>
      </c>
      <c r="Z485">
        <f>+(I485-$F$614)/$F$615</f>
        <v>-0.3624541988582754</v>
      </c>
      <c r="AA485">
        <f>+AA479+Z485</f>
        <v>9.9282717696787746</v>
      </c>
    </row>
    <row r="486" spans="1:27">
      <c r="A486" s="8">
        <v>9</v>
      </c>
      <c r="B486" s="71">
        <v>43770</v>
      </c>
      <c r="E486" s="15">
        <v>11</v>
      </c>
    </row>
    <row r="487" spans="1:27">
      <c r="A487" s="8">
        <v>10</v>
      </c>
      <c r="B487" s="71">
        <v>43770</v>
      </c>
      <c r="E487" s="15">
        <v>11</v>
      </c>
      <c r="I487" s="27"/>
      <c r="J487" s="27"/>
    </row>
    <row r="488" spans="1:27">
      <c r="A488" s="8">
        <v>9</v>
      </c>
      <c r="B488" s="72">
        <v>43800</v>
      </c>
      <c r="E488" s="15">
        <v>12</v>
      </c>
      <c r="F488" s="78">
        <v>2.3090000000000002</v>
      </c>
      <c r="G488" s="78">
        <v>1.2E-2</v>
      </c>
    </row>
    <row r="489" spans="1:27">
      <c r="A489" s="8">
        <v>10</v>
      </c>
      <c r="B489" s="71">
        <v>43800</v>
      </c>
      <c r="E489" s="15">
        <v>12</v>
      </c>
      <c r="F489" s="78">
        <v>2.286</v>
      </c>
      <c r="G489" s="78">
        <v>1.2E-2</v>
      </c>
      <c r="I489" s="27">
        <f>AVERAGE(F488:F489)</f>
        <v>2.2975000000000003</v>
      </c>
      <c r="J489" s="27">
        <f>AVERAGE(G488:G489)</f>
        <v>1.2E-2</v>
      </c>
      <c r="L489">
        <f>+J489/I489</f>
        <v>5.2230685527747548E-3</v>
      </c>
      <c r="M489">
        <f>+(L489-$L$614)/$L$615</f>
        <v>-0.50030582927804124</v>
      </c>
      <c r="N489">
        <f>+N485+M489</f>
        <v>4.5304590916140208</v>
      </c>
      <c r="Z489">
        <f>+(I489-$F$614)/$F$615</f>
        <v>-0.36499178874126303</v>
      </c>
      <c r="AA489">
        <f>+AA485+Z489</f>
        <v>9.5632799809375122</v>
      </c>
    </row>
    <row r="490" spans="1:27">
      <c r="A490" s="85">
        <v>9</v>
      </c>
      <c r="B490" s="88">
        <v>43831</v>
      </c>
      <c r="C490" s="89">
        <v>2020</v>
      </c>
      <c r="D490" s="90" t="s">
        <v>39</v>
      </c>
      <c r="E490" s="91">
        <v>1</v>
      </c>
    </row>
    <row r="491" spans="1:27">
      <c r="A491" s="8">
        <v>10</v>
      </c>
      <c r="B491" s="73">
        <v>43831</v>
      </c>
      <c r="C491">
        <v>2020</v>
      </c>
      <c r="D491" s="11" t="s">
        <v>39</v>
      </c>
      <c r="E491" s="15">
        <v>1</v>
      </c>
    </row>
    <row r="492" spans="1:27">
      <c r="A492" s="8">
        <v>9</v>
      </c>
      <c r="B492" s="71">
        <v>43862</v>
      </c>
      <c r="C492">
        <v>2020</v>
      </c>
      <c r="D492" s="11" t="s">
        <v>28</v>
      </c>
      <c r="E492" s="15">
        <v>2</v>
      </c>
      <c r="F492" s="95">
        <v>0.32100000000000001</v>
      </c>
      <c r="G492" s="95">
        <v>9.9989999999999996E-4</v>
      </c>
    </row>
    <row r="493" spans="1:27">
      <c r="A493" s="8">
        <v>10</v>
      </c>
      <c r="B493" s="71">
        <v>43862</v>
      </c>
      <c r="C493">
        <v>2020</v>
      </c>
      <c r="D493" s="11" t="s">
        <v>28</v>
      </c>
      <c r="E493" s="15">
        <v>2</v>
      </c>
      <c r="F493" s="95">
        <v>0.10100000000000001</v>
      </c>
      <c r="G493" s="95">
        <v>9.9989999999999996E-4</v>
      </c>
      <c r="I493" s="27">
        <f>AVERAGE(F492:F493)</f>
        <v>0.21100000000000002</v>
      </c>
      <c r="J493" s="27">
        <f>AVERAGE(G492:G493)</f>
        <v>9.9989999999999996E-4</v>
      </c>
      <c r="L493">
        <f>+J493/I493</f>
        <v>4.7388625592417058E-3</v>
      </c>
      <c r="M493">
        <f>+(L493-$L$614)/$L$615</f>
        <v>-0.54629822031522723</v>
      </c>
      <c r="N493">
        <f>+N489+M493</f>
        <v>3.9841608712987937</v>
      </c>
    </row>
    <row r="494" spans="1:27">
      <c r="A494" s="8">
        <v>9</v>
      </c>
      <c r="B494" s="71">
        <v>43891</v>
      </c>
      <c r="C494">
        <v>2020</v>
      </c>
      <c r="D494" s="11" t="s">
        <v>29</v>
      </c>
      <c r="E494" s="15">
        <v>3</v>
      </c>
    </row>
    <row r="495" spans="1:27">
      <c r="A495" s="8">
        <v>10</v>
      </c>
      <c r="B495" s="71">
        <v>43891</v>
      </c>
      <c r="C495">
        <v>2020</v>
      </c>
      <c r="D495" s="11" t="s">
        <v>29</v>
      </c>
      <c r="E495" s="15">
        <v>3</v>
      </c>
    </row>
    <row r="496" spans="1:27">
      <c r="A496" s="8">
        <v>9</v>
      </c>
      <c r="B496" s="71">
        <v>43922</v>
      </c>
      <c r="C496">
        <v>2020</v>
      </c>
      <c r="D496" s="11" t="s">
        <v>30</v>
      </c>
      <c r="E496" s="15">
        <v>4</v>
      </c>
    </row>
    <row r="497" spans="1:14">
      <c r="A497" s="8">
        <v>10</v>
      </c>
      <c r="B497" s="71">
        <v>43922</v>
      </c>
      <c r="C497">
        <v>2020</v>
      </c>
      <c r="D497" s="11" t="s">
        <v>30</v>
      </c>
      <c r="E497" s="15">
        <v>4</v>
      </c>
    </row>
    <row r="498" spans="1:14">
      <c r="A498" s="8">
        <v>9</v>
      </c>
      <c r="B498" s="71">
        <v>43952</v>
      </c>
      <c r="C498">
        <v>2020</v>
      </c>
      <c r="D498" s="11" t="s">
        <v>31</v>
      </c>
      <c r="E498" s="15">
        <v>5</v>
      </c>
    </row>
    <row r="499" spans="1:14">
      <c r="A499" s="8">
        <v>10</v>
      </c>
      <c r="B499" s="71">
        <v>43952</v>
      </c>
      <c r="C499">
        <v>2020</v>
      </c>
      <c r="D499" s="11" t="s">
        <v>31</v>
      </c>
      <c r="E499" s="15">
        <v>5</v>
      </c>
    </row>
    <row r="500" spans="1:14">
      <c r="A500" s="8">
        <v>9</v>
      </c>
      <c r="B500" s="71">
        <v>43983</v>
      </c>
      <c r="C500">
        <v>2020</v>
      </c>
      <c r="D500" s="11" t="s">
        <v>32</v>
      </c>
      <c r="E500" s="15">
        <v>6</v>
      </c>
      <c r="F500" s="95">
        <v>2.2690000000000001</v>
      </c>
      <c r="G500" s="95">
        <v>9.9989999999999996E-4</v>
      </c>
    </row>
    <row r="501" spans="1:14">
      <c r="A501" s="8">
        <v>10</v>
      </c>
      <c r="B501" s="71">
        <v>43983</v>
      </c>
      <c r="C501">
        <v>2020</v>
      </c>
      <c r="D501" s="11" t="s">
        <v>32</v>
      </c>
      <c r="E501" s="15">
        <v>6</v>
      </c>
      <c r="F501" s="95">
        <v>2.1589999999999998</v>
      </c>
      <c r="G501" s="95">
        <v>5.0000000000000001E-3</v>
      </c>
      <c r="I501" s="27">
        <f>AVERAGE(F500:F501)</f>
        <v>2.214</v>
      </c>
      <c r="J501" s="27">
        <f>AVERAGE(G500:G501)</f>
        <v>2.9999499999999999E-3</v>
      </c>
      <c r="L501">
        <f>+J501/I501</f>
        <v>1.3549909665763324E-3</v>
      </c>
      <c r="M501">
        <f>+(L501-$L$614)/$L$615</f>
        <v>-0.86771585575981769</v>
      </c>
      <c r="N501">
        <f>+N493+M501</f>
        <v>3.116445015538976</v>
      </c>
    </row>
    <row r="502" spans="1:14">
      <c r="A502" s="8">
        <v>9</v>
      </c>
      <c r="B502" s="71">
        <v>44013</v>
      </c>
      <c r="C502">
        <v>2020</v>
      </c>
      <c r="D502" s="11" t="s">
        <v>33</v>
      </c>
      <c r="E502" s="15">
        <v>7</v>
      </c>
      <c r="F502" s="95">
        <v>7.3760000000000003</v>
      </c>
      <c r="G502" s="95">
        <v>2.1000000000000001E-2</v>
      </c>
    </row>
    <row r="503" spans="1:14">
      <c r="A503" s="8">
        <v>10</v>
      </c>
      <c r="B503" s="71">
        <v>44013</v>
      </c>
      <c r="C503">
        <v>2020</v>
      </c>
      <c r="D503" s="11" t="s">
        <v>33</v>
      </c>
      <c r="E503" s="15">
        <v>7</v>
      </c>
      <c r="F503" s="95">
        <v>4.7709999999999999</v>
      </c>
      <c r="G503" s="95">
        <v>2.7E-2</v>
      </c>
      <c r="I503" s="27">
        <f t="shared" ref="I503" si="0">AVERAGE(F502:F503)</f>
        <v>6.0735000000000001</v>
      </c>
      <c r="J503" s="27">
        <f t="shared" ref="J503" si="1">AVERAGE(G502:G503)</f>
        <v>2.4E-2</v>
      </c>
      <c r="L503">
        <f t="shared" ref="L503" si="2">+J503/I503</f>
        <v>3.9515929859224499E-3</v>
      </c>
      <c r="M503">
        <f t="shared" ref="M503" si="3">+(L503-$L$614)/$L$615</f>
        <v>-0.62107715851791268</v>
      </c>
      <c r="N503">
        <f>+N501+M503</f>
        <v>2.4953678570210633</v>
      </c>
    </row>
    <row r="504" spans="1:14">
      <c r="A504" s="8">
        <v>9</v>
      </c>
      <c r="B504" s="71">
        <v>44044</v>
      </c>
      <c r="C504">
        <v>2020</v>
      </c>
      <c r="D504" s="11" t="s">
        <v>34</v>
      </c>
      <c r="E504" s="15">
        <v>8</v>
      </c>
      <c r="F504" s="95">
        <v>2.9569999999999999</v>
      </c>
      <c r="G504" s="95">
        <v>1.2E-2</v>
      </c>
    </row>
    <row r="505" spans="1:14">
      <c r="A505" s="8">
        <v>10</v>
      </c>
      <c r="B505" s="71">
        <v>44044</v>
      </c>
      <c r="C505">
        <v>2020</v>
      </c>
      <c r="D505" s="11" t="s">
        <v>34</v>
      </c>
      <c r="E505" s="15">
        <v>8</v>
      </c>
      <c r="F505" s="95">
        <v>1.8169999999999999</v>
      </c>
      <c r="G505" s="95">
        <v>1.4999999999999999E-2</v>
      </c>
      <c r="I505" s="27">
        <f t="shared" ref="I505" si="4">AVERAGE(F504:F505)</f>
        <v>2.387</v>
      </c>
      <c r="J505" s="27">
        <f t="shared" ref="J505" si="5">AVERAGE(G504:G505)</f>
        <v>1.35E-2</v>
      </c>
      <c r="L505">
        <f t="shared" ref="L505" si="6">+J505/I505</f>
        <v>5.655634687892752E-3</v>
      </c>
      <c r="M505">
        <f t="shared" ref="M505" si="7">+(L505-$L$614)/$L$615</f>
        <v>-0.45921845922996007</v>
      </c>
      <c r="N505">
        <f t="shared" ref="N505" si="8">+N503+M505</f>
        <v>2.0361493977911032</v>
      </c>
    </row>
    <row r="506" spans="1:14">
      <c r="A506" s="8">
        <v>9</v>
      </c>
      <c r="B506" s="71">
        <v>44075</v>
      </c>
      <c r="C506">
        <v>2020</v>
      </c>
      <c r="D506" s="11" t="s">
        <v>40</v>
      </c>
      <c r="E506" s="15">
        <v>9</v>
      </c>
      <c r="F506" s="95">
        <v>0.89900000000000002</v>
      </c>
      <c r="G506" s="95">
        <v>9.9989999999999996E-4</v>
      </c>
    </row>
    <row r="507" spans="1:14">
      <c r="A507" s="8">
        <v>10</v>
      </c>
      <c r="B507" s="71">
        <v>44075</v>
      </c>
      <c r="C507">
        <v>2020</v>
      </c>
      <c r="D507" s="11" t="s">
        <v>40</v>
      </c>
      <c r="E507" s="15">
        <v>9</v>
      </c>
      <c r="F507" s="95">
        <v>2.0430000000000001</v>
      </c>
      <c r="G507" s="95">
        <v>1.4E-2</v>
      </c>
      <c r="I507" s="27">
        <f t="shared" ref="I507" si="9">AVERAGE(F506:F507)</f>
        <v>1.4710000000000001</v>
      </c>
      <c r="J507" s="27">
        <f t="shared" ref="J507" si="10">AVERAGE(G506:G507)</f>
        <v>7.49995E-3</v>
      </c>
      <c r="L507">
        <f t="shared" ref="L507" si="11">+J507/I507</f>
        <v>5.0985384092454107E-3</v>
      </c>
      <c r="M507">
        <f t="shared" ref="M507" si="12">+(L507-$L$614)/$L$615</f>
        <v>-0.51213434675533998</v>
      </c>
      <c r="N507">
        <f t="shared" ref="N507" si="13">+N505+M507</f>
        <v>1.5240150510357631</v>
      </c>
    </row>
    <row r="508" spans="1:14">
      <c r="A508" s="8">
        <v>9</v>
      </c>
      <c r="B508" s="71">
        <v>44105</v>
      </c>
      <c r="C508">
        <v>2020</v>
      </c>
      <c r="D508" s="11" t="s">
        <v>36</v>
      </c>
      <c r="E508" s="15">
        <v>10</v>
      </c>
      <c r="F508" s="95">
        <v>0.85</v>
      </c>
      <c r="G508" s="95">
        <v>9.9989999999999996E-4</v>
      </c>
    </row>
    <row r="509" spans="1:14">
      <c r="A509" s="8">
        <v>10</v>
      </c>
      <c r="B509" s="71">
        <v>44105</v>
      </c>
      <c r="C509">
        <v>2020</v>
      </c>
      <c r="D509" s="11" t="s">
        <v>36</v>
      </c>
      <c r="E509" s="15">
        <v>10</v>
      </c>
      <c r="F509" s="95">
        <v>1.034</v>
      </c>
      <c r="G509" s="95">
        <v>5.0000000000000001E-3</v>
      </c>
      <c r="I509" s="27">
        <f t="shared" ref="I509" si="14">AVERAGE(F508:F509)</f>
        <v>0.94199999999999995</v>
      </c>
      <c r="J509" s="27">
        <f t="shared" ref="J509" si="15">AVERAGE(G508:G509)</f>
        <v>2.9999499999999999E-3</v>
      </c>
      <c r="L509">
        <f t="shared" ref="L509" si="16">+J509/I509</f>
        <v>3.1846602972399152E-3</v>
      </c>
      <c r="M509">
        <f t="shared" ref="M509" si="17">+(L509-$L$614)/$L$615</f>
        <v>-0.69392439417419749</v>
      </c>
      <c r="N509">
        <f t="shared" ref="N509" si="18">+N507+M509</f>
        <v>0.83009065686156558</v>
      </c>
    </row>
    <row r="510" spans="1:14">
      <c r="A510" s="8">
        <v>9</v>
      </c>
      <c r="B510" s="71">
        <v>44136</v>
      </c>
      <c r="C510">
        <v>2020</v>
      </c>
      <c r="D510" s="11" t="s">
        <v>37</v>
      </c>
      <c r="E510" s="15">
        <v>11</v>
      </c>
      <c r="F510" s="87">
        <v>0.47699999999999998</v>
      </c>
      <c r="G510" s="87">
        <v>1E-3</v>
      </c>
      <c r="H510" s="93" t="s">
        <v>100</v>
      </c>
    </row>
    <row r="511" spans="1:14">
      <c r="A511" s="8">
        <v>10</v>
      </c>
      <c r="B511" s="71">
        <v>44136</v>
      </c>
      <c r="C511">
        <v>2020</v>
      </c>
      <c r="D511" s="11" t="s">
        <v>37</v>
      </c>
      <c r="E511" s="15">
        <v>11</v>
      </c>
      <c r="F511" s="87">
        <v>0.36699999999999999</v>
      </c>
      <c r="G511" s="87">
        <v>1E-3</v>
      </c>
      <c r="H511" s="93" t="s">
        <v>100</v>
      </c>
      <c r="I511" s="27">
        <f t="shared" ref="I511:J511" si="19">AVERAGE(F510:F511)</f>
        <v>0.42199999999999999</v>
      </c>
      <c r="J511" s="27">
        <f t="shared" si="19"/>
        <v>1E-3</v>
      </c>
      <c r="L511">
        <f t="shared" ref="L511" si="20">+J511/I511</f>
        <v>2.3696682464454978E-3</v>
      </c>
      <c r="M511">
        <f t="shared" ref="M511" si="21">+(L511-$L$614)/$L$615</f>
        <v>-0.77133655675160395</v>
      </c>
      <c r="N511">
        <f t="shared" ref="N511" si="22">+N509+M511</f>
        <v>5.8754100109961627E-2</v>
      </c>
    </row>
    <row r="512" spans="1:14">
      <c r="A512" s="8">
        <v>9</v>
      </c>
      <c r="B512" s="72">
        <v>44166</v>
      </c>
      <c r="C512">
        <v>2020</v>
      </c>
      <c r="D512" s="11" t="s">
        <v>38</v>
      </c>
      <c r="E512" s="15">
        <v>12</v>
      </c>
    </row>
    <row r="513" spans="1:14">
      <c r="A513" s="8">
        <v>10</v>
      </c>
      <c r="B513" s="71">
        <v>44166</v>
      </c>
      <c r="C513">
        <v>2020</v>
      </c>
      <c r="D513" s="11" t="s">
        <v>38</v>
      </c>
      <c r="E513" s="15">
        <v>12</v>
      </c>
    </row>
    <row r="514" spans="1:14">
      <c r="A514" s="85">
        <v>9</v>
      </c>
      <c r="B514" s="88">
        <v>44197</v>
      </c>
      <c r="C514" s="89">
        <v>2021</v>
      </c>
      <c r="D514" s="90" t="s">
        <v>39</v>
      </c>
      <c r="E514" s="91">
        <v>1</v>
      </c>
    </row>
    <row r="515" spans="1:14">
      <c r="A515" s="8">
        <v>10</v>
      </c>
      <c r="B515" s="73">
        <v>44197</v>
      </c>
      <c r="C515">
        <v>2021</v>
      </c>
      <c r="D515" s="11" t="s">
        <v>39</v>
      </c>
      <c r="E515" s="15">
        <v>1</v>
      </c>
    </row>
    <row r="516" spans="1:14">
      <c r="A516" s="8">
        <v>9</v>
      </c>
      <c r="B516" s="71">
        <v>44228</v>
      </c>
      <c r="C516">
        <v>2021</v>
      </c>
      <c r="D516" s="11" t="s">
        <v>28</v>
      </c>
      <c r="E516" s="15">
        <v>2</v>
      </c>
      <c r="F516" s="95">
        <v>1.8140000000000001</v>
      </c>
      <c r="G516" s="95">
        <v>1.4E-2</v>
      </c>
    </row>
    <row r="517" spans="1:14">
      <c r="A517" s="8">
        <v>10</v>
      </c>
      <c r="B517" s="71">
        <v>44228</v>
      </c>
      <c r="C517">
        <v>2021</v>
      </c>
      <c r="D517" s="11" t="s">
        <v>28</v>
      </c>
      <c r="E517" s="15">
        <v>2</v>
      </c>
      <c r="F517" s="95">
        <v>3.0790000000000002</v>
      </c>
      <c r="G517" s="95">
        <v>1.2999999999999999E-2</v>
      </c>
      <c r="I517" s="27">
        <f>AVERAGE(F516:F517)</f>
        <v>2.4465000000000003</v>
      </c>
      <c r="J517" s="27">
        <f>AVERAGE(G516:G517)</f>
        <v>1.35E-2</v>
      </c>
      <c r="L517">
        <f>+J517/I517</f>
        <v>5.5180870631514403E-3</v>
      </c>
      <c r="M517">
        <f>+(L517-$L$614)/$L$615</f>
        <v>-0.47228344443838199</v>
      </c>
      <c r="N517">
        <f>+N511+M517</f>
        <v>-0.41352934432842037</v>
      </c>
    </row>
    <row r="518" spans="1:14">
      <c r="A518" s="8">
        <v>9</v>
      </c>
      <c r="B518" s="71">
        <v>44256</v>
      </c>
      <c r="C518">
        <v>2021</v>
      </c>
      <c r="D518" s="11" t="s">
        <v>29</v>
      </c>
      <c r="E518" s="15">
        <v>3</v>
      </c>
      <c r="F518" s="95">
        <v>1.944</v>
      </c>
      <c r="G518" s="95">
        <v>1.4999999999999999E-2</v>
      </c>
    </row>
    <row r="519" spans="1:14">
      <c r="A519" s="8">
        <v>10</v>
      </c>
      <c r="B519" s="71">
        <v>44256</v>
      </c>
      <c r="C519">
        <v>2021</v>
      </c>
      <c r="D519" s="11" t="s">
        <v>29</v>
      </c>
      <c r="E519" s="15">
        <v>3</v>
      </c>
      <c r="F519" s="95">
        <v>2.294</v>
      </c>
      <c r="G519" s="95">
        <v>9.9989999999999996E-4</v>
      </c>
      <c r="I519" s="27">
        <f t="shared" ref="I519" si="23">AVERAGE(F518:F519)</f>
        <v>2.1189999999999998</v>
      </c>
      <c r="J519" s="27">
        <f t="shared" ref="J519" si="24">AVERAGE(G518:G519)</f>
        <v>7.9999500000000005E-3</v>
      </c>
      <c r="L519">
        <f t="shared" ref="L519" si="25">+J519/I519</f>
        <v>3.7753421425200571E-3</v>
      </c>
      <c r="M519">
        <f t="shared" ref="M519" si="26">+(L519-$L$614)/$L$615</f>
        <v>-0.63781837572435229</v>
      </c>
      <c r="N519">
        <f>+N517+M519</f>
        <v>-1.0513477200527728</v>
      </c>
    </row>
    <row r="520" spans="1:14">
      <c r="A520" s="8">
        <v>9</v>
      </c>
      <c r="B520" s="71">
        <v>44287</v>
      </c>
      <c r="C520">
        <v>2021</v>
      </c>
      <c r="D520" s="11" t="s">
        <v>30</v>
      </c>
      <c r="E520" s="15">
        <v>4</v>
      </c>
      <c r="F520" s="95">
        <v>0.49099999999999999</v>
      </c>
      <c r="G520" s="95">
        <v>6.0000000000000001E-3</v>
      </c>
    </row>
    <row r="521" spans="1:14">
      <c r="A521" s="8">
        <v>10</v>
      </c>
      <c r="B521" s="71">
        <v>44287</v>
      </c>
      <c r="C521">
        <v>2021</v>
      </c>
      <c r="D521" s="11" t="s">
        <v>30</v>
      </c>
      <c r="E521" s="15">
        <v>4</v>
      </c>
      <c r="F521" s="95">
        <v>0.92900000000000005</v>
      </c>
      <c r="G521" s="95">
        <v>1.6E-2</v>
      </c>
      <c r="I521" s="27">
        <f t="shared" ref="I521" si="27">AVERAGE(F520:F521)</f>
        <v>0.71</v>
      </c>
      <c r="J521" s="27">
        <f t="shared" ref="J521" si="28">AVERAGE(G520:G521)</f>
        <v>1.0999999999999999E-2</v>
      </c>
      <c r="L521">
        <f t="shared" ref="L521" si="29">+J521/I521</f>
        <v>1.5492957746478873E-2</v>
      </c>
      <c r="M521">
        <f t="shared" ref="M521" si="30">+(L521-$L$614)/$L$615</f>
        <v>0.47518139313109625</v>
      </c>
      <c r="N521">
        <f t="shared" ref="N521" si="31">+N519+M521</f>
        <v>-0.57616632692167657</v>
      </c>
    </row>
    <row r="522" spans="1:14">
      <c r="A522" s="8">
        <v>9</v>
      </c>
      <c r="B522" s="71">
        <v>44317</v>
      </c>
      <c r="C522">
        <v>2021</v>
      </c>
      <c r="D522" s="11" t="s">
        <v>31</v>
      </c>
      <c r="E522" s="15">
        <v>5</v>
      </c>
      <c r="F522" s="95">
        <v>1.1020000000000001</v>
      </c>
      <c r="G522" s="95">
        <v>8.0000000000000002E-3</v>
      </c>
    </row>
    <row r="523" spans="1:14">
      <c r="A523" s="8">
        <v>10</v>
      </c>
      <c r="B523" s="71">
        <v>44317</v>
      </c>
      <c r="C523">
        <v>2021</v>
      </c>
      <c r="D523" s="11" t="s">
        <v>31</v>
      </c>
      <c r="E523" s="15">
        <v>5</v>
      </c>
      <c r="F523" s="95">
        <v>1.2370000000000001</v>
      </c>
      <c r="G523" s="95">
        <v>8.0000000000000002E-3</v>
      </c>
      <c r="I523" s="27">
        <f t="shared" ref="I523" si="32">AVERAGE(F522:F523)</f>
        <v>1.1695000000000002</v>
      </c>
      <c r="J523" s="27">
        <f t="shared" ref="J523" si="33">AVERAGE(G522:G523)</f>
        <v>8.0000000000000002E-3</v>
      </c>
      <c r="L523">
        <f t="shared" ref="L523" si="34">+J523/I523</f>
        <v>6.8405301410859329E-3</v>
      </c>
      <c r="M523">
        <f t="shared" ref="M523" si="35">+(L523-$L$614)/$L$615</f>
        <v>-0.34667095723848601</v>
      </c>
      <c r="N523">
        <f t="shared" ref="N523" si="36">+N521+M523</f>
        <v>-0.92283728416016264</v>
      </c>
    </row>
    <row r="524" spans="1:14">
      <c r="A524" s="8">
        <v>9</v>
      </c>
      <c r="B524" s="71">
        <v>44348</v>
      </c>
      <c r="C524">
        <v>2021</v>
      </c>
      <c r="D524" s="11" t="s">
        <v>32</v>
      </c>
      <c r="E524" s="15">
        <v>6</v>
      </c>
      <c r="F524" s="95">
        <v>4.4279999999999999</v>
      </c>
      <c r="G524" s="95">
        <v>0.41499999999999998</v>
      </c>
    </row>
    <row r="525" spans="1:14">
      <c r="A525" s="8">
        <v>10</v>
      </c>
      <c r="B525" s="71">
        <v>44348</v>
      </c>
      <c r="C525">
        <v>2021</v>
      </c>
      <c r="D525" s="11" t="s">
        <v>32</v>
      </c>
      <c r="E525" s="15">
        <v>6</v>
      </c>
      <c r="F525" s="95">
        <v>7.2560000000000002</v>
      </c>
      <c r="G525" s="95">
        <v>0.24399999999999999</v>
      </c>
      <c r="I525" s="27">
        <f t="shared" ref="I525" si="37">AVERAGE(F524:F525)</f>
        <v>5.8420000000000005</v>
      </c>
      <c r="J525" s="27">
        <f t="shared" ref="J525" si="38">AVERAGE(G524:G525)</f>
        <v>0.32950000000000002</v>
      </c>
      <c r="L525">
        <f t="shared" ref="L525" si="39">+J525/I525</f>
        <v>5.6401917151660388E-2</v>
      </c>
      <c r="M525">
        <f t="shared" ref="M525" si="40">+(L525-$L$614)/$L$615</f>
        <v>4.3609260617564267</v>
      </c>
      <c r="N525">
        <f t="shared" ref="N525" si="41">+N523+M525</f>
        <v>3.4380887775962643</v>
      </c>
    </row>
    <row r="526" spans="1:14">
      <c r="A526" s="8">
        <v>9</v>
      </c>
      <c r="B526" s="71">
        <v>44378</v>
      </c>
      <c r="C526">
        <v>2021</v>
      </c>
      <c r="D526" s="11" t="s">
        <v>33</v>
      </c>
      <c r="E526" s="15">
        <v>7</v>
      </c>
      <c r="H526" s="93" t="s">
        <v>96</v>
      </c>
    </row>
    <row r="527" spans="1:14">
      <c r="A527" s="8">
        <v>10</v>
      </c>
      <c r="B527" s="71">
        <v>44378</v>
      </c>
      <c r="C527">
        <v>2021</v>
      </c>
      <c r="D527" s="11" t="s">
        <v>33</v>
      </c>
      <c r="E527" s="15">
        <v>7</v>
      </c>
      <c r="H527" s="93" t="s">
        <v>97</v>
      </c>
      <c r="I527" s="27"/>
      <c r="J527" s="27"/>
    </row>
    <row r="528" spans="1:14">
      <c r="A528" s="8">
        <v>9</v>
      </c>
      <c r="B528" s="71">
        <v>44409</v>
      </c>
      <c r="C528">
        <v>2021</v>
      </c>
      <c r="D528" s="11" t="s">
        <v>34</v>
      </c>
      <c r="E528" s="15">
        <v>8</v>
      </c>
      <c r="F528" s="95">
        <v>1.7909999999999999</v>
      </c>
      <c r="G528" s="95">
        <v>0.01</v>
      </c>
    </row>
    <row r="529" spans="1:14">
      <c r="A529" s="8">
        <v>10</v>
      </c>
      <c r="B529" s="71">
        <v>44409</v>
      </c>
      <c r="C529">
        <v>2021</v>
      </c>
      <c r="D529" s="11" t="s">
        <v>34</v>
      </c>
      <c r="E529" s="15">
        <v>8</v>
      </c>
      <c r="F529" s="95">
        <v>2.581</v>
      </c>
      <c r="G529" s="95">
        <v>2.5000000000000001E-2</v>
      </c>
      <c r="I529" s="27">
        <f t="shared" ref="I529" si="42">AVERAGE(F528:F529)</f>
        <v>2.1859999999999999</v>
      </c>
      <c r="J529" s="27">
        <f t="shared" ref="J529" si="43">AVERAGE(G528:G529)</f>
        <v>1.7500000000000002E-2</v>
      </c>
      <c r="L529">
        <f t="shared" ref="L529" si="44">+J529/I529</f>
        <v>8.0054894784995431E-3</v>
      </c>
      <c r="M529">
        <f t="shared" ref="M529" si="45">+(L529-$L$614)/$L$615</f>
        <v>-0.23601709069337709</v>
      </c>
      <c r="N529">
        <f>+N525+M529</f>
        <v>3.2020716869028871</v>
      </c>
    </row>
    <row r="530" spans="1:14">
      <c r="A530" s="8">
        <v>9</v>
      </c>
      <c r="B530" s="71">
        <v>44440</v>
      </c>
      <c r="C530">
        <v>2021</v>
      </c>
      <c r="D530" s="11" t="s">
        <v>40</v>
      </c>
      <c r="E530" s="15">
        <v>9</v>
      </c>
      <c r="F530" s="95">
        <v>1.242</v>
      </c>
      <c r="G530" s="95">
        <v>9.9989999999999996E-4</v>
      </c>
    </row>
    <row r="531" spans="1:14">
      <c r="A531" s="8">
        <v>10</v>
      </c>
      <c r="B531" s="71">
        <v>44440</v>
      </c>
      <c r="C531">
        <v>2021</v>
      </c>
      <c r="D531" s="11" t="s">
        <v>40</v>
      </c>
      <c r="E531" s="15">
        <v>9</v>
      </c>
      <c r="F531" s="95">
        <v>1.141</v>
      </c>
      <c r="G531" s="95">
        <v>4.0000000000000001E-3</v>
      </c>
      <c r="I531" s="27">
        <f t="shared" ref="I531" si="46">AVERAGE(F530:F531)</f>
        <v>1.1915</v>
      </c>
      <c r="J531" s="27">
        <f t="shared" ref="J531" si="47">AVERAGE(G530:G531)</f>
        <v>2.4999499999999999E-3</v>
      </c>
      <c r="L531">
        <f t="shared" ref="L531" si="48">+J531/I531</f>
        <v>2.0981535879143936E-3</v>
      </c>
      <c r="M531">
        <f t="shared" ref="M531" si="49">+(L531-$L$614)/$L$615</f>
        <v>-0.79712642411027435</v>
      </c>
      <c r="N531">
        <f t="shared" ref="N531" si="50">+N529+M531</f>
        <v>2.4049452627926127</v>
      </c>
    </row>
    <row r="532" spans="1:14">
      <c r="A532" s="8">
        <v>9</v>
      </c>
      <c r="B532" s="71">
        <v>44470</v>
      </c>
      <c r="C532">
        <v>2021</v>
      </c>
      <c r="D532" s="11" t="s">
        <v>36</v>
      </c>
      <c r="E532" s="15">
        <v>10</v>
      </c>
      <c r="F532" s="95">
        <v>1.8680000000000001</v>
      </c>
      <c r="G532" s="95">
        <v>5.0000000000000001E-3</v>
      </c>
    </row>
    <row r="533" spans="1:14">
      <c r="A533" s="8">
        <v>10</v>
      </c>
      <c r="B533" s="71">
        <v>44470</v>
      </c>
      <c r="C533">
        <v>2021</v>
      </c>
      <c r="D533" s="11" t="s">
        <v>36</v>
      </c>
      <c r="E533" s="15">
        <v>10</v>
      </c>
      <c r="F533" s="95">
        <v>1.8009999999999999</v>
      </c>
      <c r="G533" s="95">
        <v>6.0000000000000001E-3</v>
      </c>
      <c r="I533" s="27">
        <f t="shared" ref="I533" si="51">AVERAGE(F532:F533)</f>
        <v>1.8345</v>
      </c>
      <c r="J533" s="27">
        <f t="shared" ref="J533" si="52">AVERAGE(G532:G533)</f>
        <v>5.4999999999999997E-3</v>
      </c>
      <c r="L533">
        <f t="shared" ref="L533" si="53">+J533/I533</f>
        <v>2.9980921231943305E-3</v>
      </c>
      <c r="M533">
        <f t="shared" ref="M533" si="54">+(L533-$L$614)/$L$615</f>
        <v>-0.71164560483742867</v>
      </c>
      <c r="N533">
        <f t="shared" ref="N533" si="55">+N531+M533</f>
        <v>1.693299657955184</v>
      </c>
    </row>
    <row r="534" spans="1:14">
      <c r="A534" s="8">
        <v>9</v>
      </c>
      <c r="B534" s="71">
        <v>44501</v>
      </c>
      <c r="C534">
        <v>2021</v>
      </c>
      <c r="D534" s="11" t="s">
        <v>37</v>
      </c>
      <c r="E534" s="15">
        <v>11</v>
      </c>
      <c r="F534" s="95">
        <v>1.008</v>
      </c>
      <c r="G534" s="95">
        <v>9.9989999999999996E-4</v>
      </c>
    </row>
    <row r="535" spans="1:14">
      <c r="A535" s="8">
        <v>10</v>
      </c>
      <c r="B535" s="71">
        <v>44501</v>
      </c>
      <c r="C535">
        <v>2021</v>
      </c>
      <c r="D535" s="11" t="s">
        <v>37</v>
      </c>
      <c r="E535" s="15">
        <v>11</v>
      </c>
      <c r="F535" s="95">
        <v>1.512</v>
      </c>
      <c r="G535" s="95">
        <v>4.0000000000000001E-3</v>
      </c>
      <c r="I535" s="27">
        <f t="shared" ref="I535" si="56">AVERAGE(F534:F535)</f>
        <v>1.26</v>
      </c>
      <c r="J535" s="27">
        <f t="shared" ref="J535" si="57">AVERAGE(G534:G535)</f>
        <v>2.4999499999999999E-3</v>
      </c>
      <c r="L535">
        <f t="shared" ref="L535" si="58">+J535/I535</f>
        <v>1.9840873015873014E-3</v>
      </c>
      <c r="M535">
        <f t="shared" ref="M535" si="59">+(L535-$L$614)/$L$615</f>
        <v>-0.80796103027992572</v>
      </c>
      <c r="N535">
        <f t="shared" ref="N535" si="60">+N533+M535</f>
        <v>0.88533862767525828</v>
      </c>
    </row>
    <row r="536" spans="1:14">
      <c r="A536" s="8">
        <v>9</v>
      </c>
      <c r="B536" s="72">
        <v>44531</v>
      </c>
      <c r="C536">
        <v>2021</v>
      </c>
      <c r="D536" s="11" t="s">
        <v>38</v>
      </c>
      <c r="E536" s="15">
        <v>12</v>
      </c>
      <c r="F536" s="95">
        <v>12.759</v>
      </c>
      <c r="G536" s="95">
        <v>2.4E-2</v>
      </c>
    </row>
    <row r="537" spans="1:14">
      <c r="A537" s="8">
        <v>10</v>
      </c>
      <c r="B537" s="71">
        <v>44531</v>
      </c>
      <c r="C537">
        <v>2021</v>
      </c>
      <c r="D537" s="11" t="s">
        <v>38</v>
      </c>
      <c r="E537" s="15">
        <v>12</v>
      </c>
      <c r="F537" s="95">
        <v>12.851000000000001</v>
      </c>
      <c r="G537" s="95">
        <v>4.3999999999999997E-2</v>
      </c>
      <c r="I537" s="27">
        <f t="shared" ref="I537:J537" si="61">AVERAGE(F536:F537)</f>
        <v>12.805</v>
      </c>
      <c r="J537" s="27">
        <f t="shared" si="61"/>
        <v>3.4000000000000002E-2</v>
      </c>
      <c r="L537">
        <f t="shared" ref="L537" si="62">+J537/I537</f>
        <v>2.6552128074970715E-3</v>
      </c>
      <c r="M537">
        <f t="shared" ref="M537" si="63">+(L537-$L$614)/$L$615</f>
        <v>-0.74421405664663731</v>
      </c>
      <c r="N537">
        <f t="shared" ref="N537" si="64">+N535+M537</f>
        <v>0.14112457102862097</v>
      </c>
    </row>
    <row r="538" spans="1:14">
      <c r="A538" s="85">
        <v>9</v>
      </c>
      <c r="B538" s="88">
        <v>44562</v>
      </c>
      <c r="C538" s="89">
        <v>2022</v>
      </c>
      <c r="D538" s="90" t="s">
        <v>39</v>
      </c>
      <c r="E538" s="91">
        <v>1</v>
      </c>
      <c r="H538" s="93" t="s">
        <v>93</v>
      </c>
    </row>
    <row r="539" spans="1:14">
      <c r="A539" s="8">
        <v>10</v>
      </c>
      <c r="B539" s="73">
        <v>44562</v>
      </c>
      <c r="C539">
        <v>2022</v>
      </c>
      <c r="D539" s="11" t="s">
        <v>39</v>
      </c>
      <c r="E539" s="15">
        <v>1</v>
      </c>
      <c r="H539" s="93" t="s">
        <v>94</v>
      </c>
    </row>
    <row r="540" spans="1:14">
      <c r="A540" s="8">
        <v>9</v>
      </c>
      <c r="B540" s="71">
        <v>44593</v>
      </c>
      <c r="C540">
        <v>2022</v>
      </c>
      <c r="D540" s="11" t="s">
        <v>28</v>
      </c>
      <c r="E540" s="15">
        <v>2</v>
      </c>
      <c r="H540" s="93" t="s">
        <v>95</v>
      </c>
    </row>
    <row r="541" spans="1:14">
      <c r="A541" s="8">
        <v>10</v>
      </c>
      <c r="B541" s="71">
        <v>44593</v>
      </c>
      <c r="C541">
        <v>2022</v>
      </c>
      <c r="D541" s="11" t="s">
        <v>28</v>
      </c>
      <c r="E541" s="15">
        <v>2</v>
      </c>
    </row>
    <row r="542" spans="1:14">
      <c r="A542" s="8">
        <v>9</v>
      </c>
      <c r="B542" s="71">
        <v>44621</v>
      </c>
      <c r="C542">
        <v>2022</v>
      </c>
      <c r="D542" s="11" t="s">
        <v>29</v>
      </c>
      <c r="E542" s="15">
        <v>3</v>
      </c>
    </row>
    <row r="543" spans="1:14">
      <c r="A543" s="8">
        <v>10</v>
      </c>
      <c r="B543" s="71">
        <v>44621</v>
      </c>
      <c r="C543">
        <v>2022</v>
      </c>
      <c r="D543" s="11" t="s">
        <v>29</v>
      </c>
      <c r="E543" s="15">
        <v>3</v>
      </c>
    </row>
    <row r="544" spans="1:14">
      <c r="A544" s="8">
        <v>9</v>
      </c>
      <c r="B544" s="71">
        <v>44652</v>
      </c>
      <c r="C544">
        <v>2022</v>
      </c>
      <c r="D544" s="11" t="s">
        <v>30</v>
      </c>
      <c r="E544" s="15">
        <v>4</v>
      </c>
    </row>
    <row r="545" spans="1:5">
      <c r="A545" s="8">
        <v>10</v>
      </c>
      <c r="B545" s="71">
        <v>44652</v>
      </c>
      <c r="C545">
        <v>2022</v>
      </c>
      <c r="D545" s="11" t="s">
        <v>30</v>
      </c>
      <c r="E545" s="15">
        <v>4</v>
      </c>
    </row>
    <row r="546" spans="1:5">
      <c r="A546" s="8">
        <v>9</v>
      </c>
      <c r="B546" s="71">
        <v>44682</v>
      </c>
      <c r="C546">
        <v>2022</v>
      </c>
      <c r="D546" s="11" t="s">
        <v>31</v>
      </c>
      <c r="E546" s="15">
        <v>5</v>
      </c>
    </row>
    <row r="547" spans="1:5">
      <c r="A547" s="8">
        <v>10</v>
      </c>
      <c r="B547" s="71">
        <v>44682</v>
      </c>
      <c r="C547">
        <v>2022</v>
      </c>
      <c r="D547" s="11" t="s">
        <v>31</v>
      </c>
      <c r="E547" s="15">
        <v>5</v>
      </c>
    </row>
    <row r="548" spans="1:5">
      <c r="A548" s="8">
        <v>9</v>
      </c>
      <c r="B548" s="71">
        <v>44713</v>
      </c>
      <c r="C548">
        <v>2022</v>
      </c>
      <c r="D548" s="11" t="s">
        <v>32</v>
      </c>
      <c r="E548" s="15">
        <v>6</v>
      </c>
    </row>
    <row r="549" spans="1:5">
      <c r="A549" s="8">
        <v>10</v>
      </c>
      <c r="B549" s="71">
        <v>44713</v>
      </c>
      <c r="C549">
        <v>2022</v>
      </c>
      <c r="D549" s="11" t="s">
        <v>32</v>
      </c>
      <c r="E549" s="15">
        <v>6</v>
      </c>
    </row>
    <row r="550" spans="1:5">
      <c r="A550" s="8">
        <v>9</v>
      </c>
      <c r="B550" s="71">
        <v>44743</v>
      </c>
      <c r="C550">
        <v>2022</v>
      </c>
      <c r="D550" s="11" t="s">
        <v>33</v>
      </c>
      <c r="E550" s="15">
        <v>7</v>
      </c>
    </row>
    <row r="551" spans="1:5">
      <c r="A551" s="8">
        <v>10</v>
      </c>
      <c r="B551" s="71">
        <v>44743</v>
      </c>
      <c r="C551">
        <v>2022</v>
      </c>
      <c r="D551" s="11" t="s">
        <v>33</v>
      </c>
      <c r="E551" s="15">
        <v>7</v>
      </c>
    </row>
    <row r="552" spans="1:5">
      <c r="A552" s="8">
        <v>9</v>
      </c>
      <c r="B552" s="71">
        <v>44774</v>
      </c>
      <c r="C552">
        <v>2022</v>
      </c>
      <c r="D552" s="11" t="s">
        <v>34</v>
      </c>
      <c r="E552" s="15">
        <v>8</v>
      </c>
    </row>
    <row r="553" spans="1:5">
      <c r="A553" s="8">
        <v>10</v>
      </c>
      <c r="B553" s="71">
        <v>44774</v>
      </c>
      <c r="C553">
        <v>2022</v>
      </c>
      <c r="D553" s="11" t="s">
        <v>34</v>
      </c>
      <c r="E553" s="15">
        <v>8</v>
      </c>
    </row>
    <row r="554" spans="1:5">
      <c r="A554" s="8">
        <v>9</v>
      </c>
      <c r="B554" s="71">
        <v>44805</v>
      </c>
      <c r="C554">
        <v>2022</v>
      </c>
      <c r="D554" s="11" t="s">
        <v>40</v>
      </c>
      <c r="E554" s="15">
        <v>9</v>
      </c>
    </row>
    <row r="555" spans="1:5">
      <c r="A555" s="8">
        <v>10</v>
      </c>
      <c r="B555" s="71">
        <v>44805</v>
      </c>
      <c r="C555">
        <v>2022</v>
      </c>
      <c r="D555" s="11" t="s">
        <v>40</v>
      </c>
      <c r="E555" s="15">
        <v>9</v>
      </c>
    </row>
    <row r="556" spans="1:5">
      <c r="A556" s="8">
        <v>9</v>
      </c>
      <c r="B556" s="71">
        <v>44835</v>
      </c>
      <c r="C556">
        <v>2022</v>
      </c>
      <c r="D556" s="11" t="s">
        <v>36</v>
      </c>
      <c r="E556" s="15">
        <v>10</v>
      </c>
    </row>
    <row r="557" spans="1:5">
      <c r="A557" s="8">
        <v>10</v>
      </c>
      <c r="B557" s="71">
        <v>44835</v>
      </c>
      <c r="C557">
        <v>2022</v>
      </c>
      <c r="D557" s="11" t="s">
        <v>36</v>
      </c>
      <c r="E557" s="15">
        <v>10</v>
      </c>
    </row>
    <row r="558" spans="1:5">
      <c r="A558" s="8">
        <v>9</v>
      </c>
      <c r="B558" s="71">
        <v>44866</v>
      </c>
      <c r="C558">
        <v>2022</v>
      </c>
      <c r="D558" s="11" t="s">
        <v>37</v>
      </c>
      <c r="E558" s="15">
        <v>11</v>
      </c>
    </row>
    <row r="559" spans="1:5">
      <c r="A559" s="8">
        <v>10</v>
      </c>
      <c r="B559" s="71">
        <v>44866</v>
      </c>
      <c r="C559">
        <v>2022</v>
      </c>
      <c r="D559" s="11" t="s">
        <v>37</v>
      </c>
      <c r="E559" s="15">
        <v>11</v>
      </c>
    </row>
    <row r="560" spans="1:5">
      <c r="A560" s="8">
        <v>9</v>
      </c>
      <c r="B560" s="72">
        <v>44896</v>
      </c>
      <c r="C560">
        <v>2022</v>
      </c>
      <c r="D560" s="11" t="s">
        <v>38</v>
      </c>
      <c r="E560" s="15">
        <v>12</v>
      </c>
    </row>
    <row r="561" spans="1:14">
      <c r="A561" s="8">
        <v>10</v>
      </c>
      <c r="B561" s="71">
        <v>44896</v>
      </c>
      <c r="C561">
        <v>2022</v>
      </c>
      <c r="D561" s="11" t="s">
        <v>38</v>
      </c>
      <c r="E561" s="15">
        <v>12</v>
      </c>
    </row>
    <row r="562" spans="1:14">
      <c r="A562" s="85">
        <v>9</v>
      </c>
      <c r="B562" s="88">
        <v>44927</v>
      </c>
      <c r="C562" s="89">
        <v>2023</v>
      </c>
      <c r="D562" s="90" t="s">
        <v>39</v>
      </c>
      <c r="E562" s="91">
        <v>1</v>
      </c>
      <c r="F562" s="96">
        <v>1.141</v>
      </c>
      <c r="G562" s="95">
        <v>8.9999999999999993E-3</v>
      </c>
    </row>
    <row r="563" spans="1:14">
      <c r="A563" s="8">
        <v>10</v>
      </c>
      <c r="B563" s="73">
        <v>44927</v>
      </c>
      <c r="C563">
        <v>2023</v>
      </c>
      <c r="D563" s="11" t="s">
        <v>39</v>
      </c>
      <c r="E563" s="15">
        <v>1</v>
      </c>
      <c r="F563" s="96">
        <v>3.2789999999999999</v>
      </c>
      <c r="G563" s="95">
        <v>1.2E-2</v>
      </c>
      <c r="I563" s="27">
        <f>AVERAGE(F562:F563)</f>
        <v>2.21</v>
      </c>
      <c r="J563" s="27">
        <f>AVERAGE(G562:G563)</f>
        <v>1.0499999999999999E-2</v>
      </c>
      <c r="L563">
        <f>+J563/I563</f>
        <v>4.7511312217194566E-3</v>
      </c>
      <c r="M563">
        <f>+(L563-$L$614)/$L$615</f>
        <v>-0.54513287926262521</v>
      </c>
      <c r="N563">
        <f>+N537+M563</f>
        <v>-0.40400830823400424</v>
      </c>
    </row>
    <row r="564" spans="1:14">
      <c r="A564" s="8">
        <v>9</v>
      </c>
      <c r="B564" s="71">
        <v>44958</v>
      </c>
      <c r="C564">
        <v>2023</v>
      </c>
      <c r="D564" s="11" t="s">
        <v>28</v>
      </c>
      <c r="E564" s="15">
        <v>2</v>
      </c>
      <c r="F564" s="78">
        <v>8.7460000000000004</v>
      </c>
      <c r="G564" s="78">
        <v>0.14699999999999999</v>
      </c>
    </row>
    <row r="565" spans="1:14">
      <c r="A565" s="8">
        <v>10</v>
      </c>
      <c r="B565" s="71">
        <v>44958</v>
      </c>
      <c r="C565">
        <v>2023</v>
      </c>
      <c r="D565" s="11" t="s">
        <v>28</v>
      </c>
      <c r="E565" s="15">
        <v>2</v>
      </c>
      <c r="F565" s="78">
        <v>1.1359999999999999</v>
      </c>
      <c r="G565" s="78">
        <v>1.7000000000000001E-2</v>
      </c>
      <c r="I565" s="27">
        <f t="shared" ref="I565" si="65">AVERAGE(F564:F565)</f>
        <v>4.9409999999999998</v>
      </c>
      <c r="J565" s="27">
        <f t="shared" ref="J565" si="66">AVERAGE(G564:G565)</f>
        <v>8.199999999999999E-2</v>
      </c>
      <c r="L565">
        <f t="shared" ref="L565" si="67">+J565/I565</f>
        <v>1.6595830803481076E-2</v>
      </c>
      <c r="M565">
        <f t="shared" ref="M565" si="68">+(L565-$L$614)/$L$615</f>
        <v>0.57993798346553604</v>
      </c>
      <c r="N565">
        <f>+N563+M565</f>
        <v>0.1759296752315318</v>
      </c>
    </row>
    <row r="566" spans="1:14">
      <c r="A566" s="8">
        <v>9</v>
      </c>
      <c r="B566" s="71">
        <v>44986</v>
      </c>
      <c r="C566">
        <v>2023</v>
      </c>
      <c r="D566" s="11" t="s">
        <v>29</v>
      </c>
      <c r="E566" s="15">
        <v>3</v>
      </c>
      <c r="F566" s="78">
        <v>3.0510000000000002</v>
      </c>
      <c r="G566" s="78">
        <v>3.3000000000000002E-2</v>
      </c>
    </row>
    <row r="567" spans="1:14">
      <c r="A567" s="8">
        <v>10</v>
      </c>
      <c r="B567" s="71">
        <v>44986</v>
      </c>
      <c r="C567">
        <v>2023</v>
      </c>
      <c r="D567" s="11" t="s">
        <v>29</v>
      </c>
      <c r="E567" s="15">
        <v>3</v>
      </c>
      <c r="F567" s="78">
        <v>2.5550000000000002</v>
      </c>
      <c r="G567" s="78">
        <v>4.5999999999999999E-2</v>
      </c>
      <c r="I567" s="27">
        <f t="shared" ref="I567" si="69">AVERAGE(F566:F567)</f>
        <v>2.8029999999999999</v>
      </c>
      <c r="J567" s="27">
        <f t="shared" ref="J567" si="70">AVERAGE(G566:G567)</f>
        <v>3.95E-2</v>
      </c>
      <c r="L567">
        <f t="shared" ref="L567" si="71">+J567/I567</f>
        <v>1.4092044238316091E-2</v>
      </c>
      <c r="M567">
        <f t="shared" ref="M567" si="72">+(L567-$L$614)/$L$615</f>
        <v>0.34211537838276562</v>
      </c>
      <c r="N567">
        <f t="shared" ref="N567" si="73">+N565+M567</f>
        <v>0.51804505361429742</v>
      </c>
    </row>
    <row r="568" spans="1:14">
      <c r="A568" s="8">
        <v>9</v>
      </c>
      <c r="B568" s="71">
        <v>45017</v>
      </c>
      <c r="C568">
        <v>2023</v>
      </c>
      <c r="D568" s="11" t="s">
        <v>30</v>
      </c>
      <c r="E568" s="15">
        <v>4</v>
      </c>
      <c r="F568" s="78">
        <v>2.9</v>
      </c>
      <c r="G568" s="78">
        <v>4.1000000000000002E-2</v>
      </c>
    </row>
    <row r="569" spans="1:14">
      <c r="A569" s="8">
        <v>10</v>
      </c>
      <c r="B569" s="71">
        <v>45017</v>
      </c>
      <c r="C569">
        <v>2023</v>
      </c>
      <c r="D569" s="11" t="s">
        <v>30</v>
      </c>
      <c r="E569" s="15">
        <v>4</v>
      </c>
      <c r="F569" s="78">
        <v>2.5289999999999999</v>
      </c>
      <c r="G569" s="78">
        <v>4.7E-2</v>
      </c>
      <c r="I569" s="27">
        <f t="shared" ref="I569" si="74">AVERAGE(F568:F569)</f>
        <v>2.7145000000000001</v>
      </c>
      <c r="J569" s="27">
        <f t="shared" ref="J569" si="75">AVERAGE(G568:G569)</f>
        <v>4.3999999999999997E-2</v>
      </c>
      <c r="L569">
        <f t="shared" ref="L569" si="76">+J569/I569</f>
        <v>1.620924663842328E-2</v>
      </c>
      <c r="M569">
        <f t="shared" ref="M569" si="77">+(L569-$L$614)/$L$615</f>
        <v>0.54321821889098076</v>
      </c>
      <c r="N569">
        <f t="shared" ref="N569" si="78">+N567+M569</f>
        <v>1.0612632725052782</v>
      </c>
    </row>
    <row r="570" spans="1:14">
      <c r="A570" s="8">
        <v>9</v>
      </c>
      <c r="B570" s="71">
        <v>45047</v>
      </c>
      <c r="C570">
        <v>2023</v>
      </c>
      <c r="D570" s="11" t="s">
        <v>31</v>
      </c>
      <c r="E570" s="15">
        <v>5</v>
      </c>
      <c r="F570" s="78">
        <v>5.0890000000000004</v>
      </c>
      <c r="G570" s="97">
        <v>2.8000000000000001E-2</v>
      </c>
    </row>
    <row r="571" spans="1:14">
      <c r="A571" s="8">
        <v>10</v>
      </c>
      <c r="B571" s="71">
        <v>45047</v>
      </c>
      <c r="C571">
        <v>2023</v>
      </c>
      <c r="D571" s="11" t="s">
        <v>31</v>
      </c>
      <c r="E571" s="15">
        <v>5</v>
      </c>
      <c r="F571" s="78">
        <v>5.17</v>
      </c>
      <c r="G571" s="97">
        <v>5.5E-2</v>
      </c>
      <c r="I571" s="27">
        <f t="shared" ref="I571" si="79">AVERAGE(F570:F571)</f>
        <v>5.1295000000000002</v>
      </c>
      <c r="J571" s="27">
        <f t="shared" ref="J571" si="80">AVERAGE(G570:G571)</f>
        <v>4.1500000000000002E-2</v>
      </c>
      <c r="L571">
        <f t="shared" ref="L571" si="81">+J571/I571</f>
        <v>8.090457159567209E-3</v>
      </c>
      <c r="M571">
        <f t="shared" ref="M571" si="82">+(L571-$L$614)/$L$615</f>
        <v>-0.22794642063687298</v>
      </c>
      <c r="N571">
        <f t="shared" ref="N571" si="83">+N569+M571</f>
        <v>0.83331685186840521</v>
      </c>
    </row>
    <row r="572" spans="1:14">
      <c r="A572" s="8">
        <v>9</v>
      </c>
      <c r="B572" s="71">
        <v>45078</v>
      </c>
      <c r="C572">
        <v>2023</v>
      </c>
      <c r="D572" s="11" t="s">
        <v>32</v>
      </c>
      <c r="E572" s="15">
        <v>6</v>
      </c>
      <c r="F572" s="78">
        <v>4.7069999999999999</v>
      </c>
      <c r="G572" s="97">
        <v>5.7000000000000002E-2</v>
      </c>
    </row>
    <row r="573" spans="1:14">
      <c r="A573" s="8">
        <v>10</v>
      </c>
      <c r="B573" s="71">
        <v>45078</v>
      </c>
      <c r="C573">
        <v>2023</v>
      </c>
      <c r="D573" s="11" t="s">
        <v>32</v>
      </c>
      <c r="E573" s="15">
        <v>6</v>
      </c>
      <c r="F573" s="78">
        <v>4.9379999999999997</v>
      </c>
      <c r="G573" s="97">
        <v>7.3999999999999996E-2</v>
      </c>
      <c r="I573" s="27">
        <f t="shared" ref="I573" si="84">AVERAGE(F572:F573)</f>
        <v>4.8224999999999998</v>
      </c>
      <c r="J573" s="27">
        <f t="shared" ref="J573" si="85">AVERAGE(G572:G573)</f>
        <v>6.5500000000000003E-2</v>
      </c>
      <c r="L573">
        <f t="shared" ref="L573" si="86">+J573/I573</f>
        <v>1.3582166925868326E-2</v>
      </c>
      <c r="M573">
        <f t="shared" ref="M573" si="87">+(L573-$L$614)/$L$615</f>
        <v>0.29368459262569824</v>
      </c>
      <c r="N573">
        <f t="shared" ref="N573" si="88">+N571+M573</f>
        <v>1.1270014444941034</v>
      </c>
    </row>
    <row r="574" spans="1:14">
      <c r="A574" s="8">
        <v>9</v>
      </c>
      <c r="B574" s="71">
        <v>45108</v>
      </c>
      <c r="C574">
        <v>2023</v>
      </c>
      <c r="D574" s="11" t="s">
        <v>33</v>
      </c>
      <c r="E574" s="15">
        <v>7</v>
      </c>
      <c r="F574" s="78">
        <v>6.7670000000000003</v>
      </c>
      <c r="G574" s="97">
        <v>0.09</v>
      </c>
    </row>
    <row r="575" spans="1:14">
      <c r="A575" s="8">
        <v>10</v>
      </c>
      <c r="B575" s="71">
        <v>45108</v>
      </c>
      <c r="C575">
        <v>2023</v>
      </c>
      <c r="D575" s="11" t="s">
        <v>33</v>
      </c>
      <c r="E575" s="15">
        <v>7</v>
      </c>
      <c r="F575" s="78">
        <v>7.2809999999999997</v>
      </c>
      <c r="G575" s="97">
        <v>0.158</v>
      </c>
      <c r="I575" s="27">
        <f t="shared" ref="I575" si="89">AVERAGE(F574:F575)</f>
        <v>7.024</v>
      </c>
      <c r="J575" s="27">
        <f t="shared" ref="J575" si="90">AVERAGE(G574:G575)</f>
        <v>0.124</v>
      </c>
      <c r="L575">
        <f t="shared" ref="L575" si="91">+J575/I575</f>
        <v>1.765375854214123E-2</v>
      </c>
      <c r="M575">
        <f t="shared" ref="M575" si="92">+(L575-$L$614)/$L$615</f>
        <v>0.68042543487132434</v>
      </c>
      <c r="N575">
        <f t="shared" ref="N575" si="93">+N573+M575</f>
        <v>1.8074268793654278</v>
      </c>
    </row>
    <row r="576" spans="1:14">
      <c r="A576" s="8">
        <v>9</v>
      </c>
      <c r="B576" s="71">
        <v>45139</v>
      </c>
      <c r="C576">
        <v>2023</v>
      </c>
      <c r="D576" s="11" t="s">
        <v>34</v>
      </c>
      <c r="E576" s="15">
        <v>8</v>
      </c>
      <c r="F576" s="78">
        <v>4.7409999999999997</v>
      </c>
      <c r="G576" s="97">
        <v>4.7E-2</v>
      </c>
    </row>
    <row r="577" spans="1:14">
      <c r="A577" s="8">
        <v>10</v>
      </c>
      <c r="B577" s="71">
        <v>45139</v>
      </c>
      <c r="C577">
        <v>2023</v>
      </c>
      <c r="D577" s="11" t="s">
        <v>34</v>
      </c>
      <c r="E577" s="15">
        <v>8</v>
      </c>
      <c r="F577" s="78">
        <v>4.601</v>
      </c>
      <c r="G577" s="97">
        <v>3.9E-2</v>
      </c>
      <c r="I577" s="27">
        <f t="shared" ref="I577" si="94">AVERAGE(F576:F577)</f>
        <v>4.6709999999999994</v>
      </c>
      <c r="J577" s="27">
        <f t="shared" ref="J577" si="95">AVERAGE(G576:G577)</f>
        <v>4.2999999999999997E-2</v>
      </c>
      <c r="L577">
        <f t="shared" ref="L577" si="96">+J577/I577</f>
        <v>9.2057375294369512E-3</v>
      </c>
      <c r="M577">
        <f t="shared" ref="M577" si="97">+(L577-$L$614)/$L$615</f>
        <v>-0.12201131951829178</v>
      </c>
      <c r="N577">
        <f t="shared" ref="N577" si="98">+N575+M577</f>
        <v>1.6854155598471361</v>
      </c>
    </row>
    <row r="578" spans="1:14">
      <c r="A578" s="8">
        <v>9</v>
      </c>
      <c r="B578" s="71">
        <v>45170</v>
      </c>
      <c r="C578">
        <v>2023</v>
      </c>
      <c r="D578" s="11" t="s">
        <v>40</v>
      </c>
      <c r="E578" s="15">
        <v>9</v>
      </c>
      <c r="F578" s="78">
        <v>1.4279999999999999</v>
      </c>
      <c r="G578" s="97">
        <v>1.2E-2</v>
      </c>
    </row>
    <row r="579" spans="1:14">
      <c r="A579" s="8">
        <v>10</v>
      </c>
      <c r="B579" s="71">
        <v>45170</v>
      </c>
      <c r="C579">
        <v>2023</v>
      </c>
      <c r="D579" s="11" t="s">
        <v>40</v>
      </c>
      <c r="E579" s="15">
        <v>9</v>
      </c>
      <c r="F579" s="78">
        <v>1.58</v>
      </c>
      <c r="G579" s="97">
        <v>0.04</v>
      </c>
      <c r="I579" s="27">
        <f t="shared" ref="I579" si="99">AVERAGE(F578:F579)</f>
        <v>1.504</v>
      </c>
      <c r="J579" s="27">
        <f t="shared" ref="J579" si="100">AVERAGE(G578:G579)</f>
        <v>2.6000000000000002E-2</v>
      </c>
      <c r="L579">
        <f t="shared" ref="L579" si="101">+J579/I579</f>
        <v>1.7287234042553192E-2</v>
      </c>
      <c r="M579">
        <f t="shared" ref="M579" si="102">+(L579-$L$614)/$L$615</f>
        <v>0.64561104113207923</v>
      </c>
      <c r="N579">
        <f t="shared" ref="N579" si="103">+N577+M579</f>
        <v>2.3310266009792153</v>
      </c>
    </row>
    <row r="580" spans="1:14">
      <c r="A580" s="8">
        <v>9</v>
      </c>
      <c r="B580" s="71">
        <v>45200</v>
      </c>
      <c r="C580">
        <v>2023</v>
      </c>
      <c r="D580" s="11" t="s">
        <v>36</v>
      </c>
      <c r="E580" s="15">
        <v>10</v>
      </c>
      <c r="F580" s="78">
        <v>0.93200000000000005</v>
      </c>
      <c r="G580" s="97">
        <v>8.9999999999999993E-3</v>
      </c>
    </row>
    <row r="581" spans="1:14">
      <c r="A581" s="8">
        <v>10</v>
      </c>
      <c r="B581" s="71">
        <v>45200</v>
      </c>
      <c r="C581">
        <v>2023</v>
      </c>
      <c r="D581" s="11" t="s">
        <v>36</v>
      </c>
      <c r="E581" s="15">
        <v>10</v>
      </c>
      <c r="F581" s="78">
        <v>0.71499999999999997</v>
      </c>
      <c r="G581" s="97">
        <v>9.9989999999999996E-4</v>
      </c>
      <c r="I581" s="27">
        <f t="shared" ref="I581" si="104">AVERAGE(F580:F581)</f>
        <v>0.82350000000000001</v>
      </c>
      <c r="J581" s="27">
        <f t="shared" ref="J581" si="105">AVERAGE(G580:G581)</f>
        <v>4.9999499999999995E-3</v>
      </c>
      <c r="L581">
        <f t="shared" ref="L581" si="106">+J581/I581</f>
        <v>6.0715846994535512E-3</v>
      </c>
      <c r="M581">
        <f t="shared" ref="M581" si="107">+(L581-$L$614)/$L$615</f>
        <v>-0.4197093745859663</v>
      </c>
      <c r="N581">
        <f t="shared" ref="N581" si="108">+N579+M581</f>
        <v>1.911317226393249</v>
      </c>
    </row>
    <row r="582" spans="1:14">
      <c r="A582" s="8">
        <v>9</v>
      </c>
      <c r="B582" s="71">
        <v>45231</v>
      </c>
      <c r="C582">
        <v>2023</v>
      </c>
      <c r="D582" s="11" t="s">
        <v>37</v>
      </c>
      <c r="E582" s="15">
        <v>11</v>
      </c>
      <c r="F582" s="78">
        <v>0.54</v>
      </c>
      <c r="G582" s="97">
        <v>9.9989999999999996E-4</v>
      </c>
    </row>
    <row r="583" spans="1:14">
      <c r="A583" s="8">
        <v>10</v>
      </c>
      <c r="B583" s="71">
        <v>45231</v>
      </c>
      <c r="C583">
        <v>2023</v>
      </c>
      <c r="D583" s="11" t="s">
        <v>37</v>
      </c>
      <c r="E583" s="15">
        <v>11</v>
      </c>
      <c r="F583" s="78">
        <v>0.312</v>
      </c>
      <c r="G583" s="97">
        <v>9.9989999999999996E-4</v>
      </c>
      <c r="I583" s="27">
        <f t="shared" ref="I583" si="109">AVERAGE(F582:F583)</f>
        <v>0.42600000000000005</v>
      </c>
      <c r="J583" s="27">
        <f t="shared" ref="J583" si="110">AVERAGE(G582:G583)</f>
        <v>9.9989999999999996E-4</v>
      </c>
      <c r="L583">
        <f t="shared" ref="L583" si="111">+J583/I583</f>
        <v>2.3471830985915491E-3</v>
      </c>
      <c r="M583">
        <f t="shared" ref="M583" si="112">+(L583-$L$614)/$L$615</f>
        <v>-0.77347231245566295</v>
      </c>
      <c r="N583">
        <f t="shared" ref="N583" si="113">+N581+M583</f>
        <v>1.1378449139375859</v>
      </c>
    </row>
    <row r="584" spans="1:14">
      <c r="A584" s="8">
        <v>9</v>
      </c>
      <c r="B584" s="72">
        <v>45261</v>
      </c>
      <c r="C584">
        <v>2023</v>
      </c>
      <c r="D584" s="11" t="s">
        <v>38</v>
      </c>
      <c r="E584" s="15">
        <v>12</v>
      </c>
      <c r="F584" s="78">
        <v>0.71599999999999997</v>
      </c>
      <c r="G584" s="97">
        <v>4.0000000000000001E-3</v>
      </c>
    </row>
    <row r="585" spans="1:14">
      <c r="A585" s="8">
        <v>10</v>
      </c>
      <c r="B585" s="71">
        <v>45261</v>
      </c>
      <c r="C585">
        <v>2023</v>
      </c>
      <c r="D585" s="11" t="s">
        <v>38</v>
      </c>
      <c r="E585" s="15">
        <v>12</v>
      </c>
      <c r="F585" s="78">
        <v>0.61599999999999999</v>
      </c>
      <c r="G585" s="97">
        <v>5.0000000000000001E-3</v>
      </c>
      <c r="I585" s="27">
        <f t="shared" ref="I585" si="114">AVERAGE(F584:F585)</f>
        <v>0.66599999999999993</v>
      </c>
      <c r="J585" s="27">
        <f t="shared" ref="J585" si="115">AVERAGE(G584:G585)</f>
        <v>4.5000000000000005E-3</v>
      </c>
      <c r="L585">
        <f t="shared" ref="L585" si="116">+J585/I585</f>
        <v>6.756756756756758E-3</v>
      </c>
      <c r="M585">
        <f t="shared" ref="M585" si="117">+(L585-$L$614)/$L$615</f>
        <v>-0.35462818681026925</v>
      </c>
      <c r="N585">
        <f t="shared" ref="N585" si="118">+N583+M585</f>
        <v>0.78321672712731671</v>
      </c>
    </row>
    <row r="586" spans="1:14">
      <c r="A586" s="85">
        <v>9</v>
      </c>
      <c r="B586" s="88">
        <v>45292</v>
      </c>
      <c r="C586" s="89">
        <v>2024</v>
      </c>
      <c r="D586" s="90" t="s">
        <v>39</v>
      </c>
      <c r="E586" s="91">
        <v>1</v>
      </c>
      <c r="F586" s="78">
        <v>1.423</v>
      </c>
      <c r="G586" s="97">
        <v>5.0000000000000001E-3</v>
      </c>
    </row>
    <row r="587" spans="1:14">
      <c r="A587" s="8">
        <v>10</v>
      </c>
      <c r="B587" s="73">
        <v>45292</v>
      </c>
      <c r="C587">
        <v>2024</v>
      </c>
      <c r="D587" s="11" t="s">
        <v>39</v>
      </c>
      <c r="E587" s="15">
        <v>1</v>
      </c>
      <c r="F587" s="78">
        <v>1.786</v>
      </c>
      <c r="G587" s="97">
        <v>5.0000000000000001E-3</v>
      </c>
      <c r="I587" s="27">
        <f t="shared" ref="I587" si="119">AVERAGE(F586:F587)</f>
        <v>1.6045</v>
      </c>
      <c r="J587" s="27">
        <f t="shared" ref="J587" si="120">AVERAGE(G586:G587)</f>
        <v>5.0000000000000001E-3</v>
      </c>
      <c r="L587">
        <f t="shared" ref="L587" si="121">+J587/I587</f>
        <v>3.1162355874104083E-3</v>
      </c>
      <c r="M587">
        <f t="shared" ref="M587" si="122">+(L587-$L$614)/$L$615</f>
        <v>-0.70042372721244062</v>
      </c>
      <c r="N587">
        <f t="shared" ref="N587" si="123">+N585+M587</f>
        <v>8.2792999914876098E-2</v>
      </c>
    </row>
    <row r="588" spans="1:14">
      <c r="A588" s="8">
        <v>9</v>
      </c>
      <c r="B588" s="71">
        <v>45323</v>
      </c>
      <c r="C588">
        <v>2024</v>
      </c>
      <c r="D588" s="11" t="s">
        <v>28</v>
      </c>
      <c r="E588" s="15">
        <v>2</v>
      </c>
    </row>
    <row r="589" spans="1:14">
      <c r="A589" s="8">
        <v>10</v>
      </c>
      <c r="B589" s="71">
        <v>45323</v>
      </c>
      <c r="C589">
        <v>2024</v>
      </c>
      <c r="D589" s="11" t="s">
        <v>28</v>
      </c>
      <c r="E589" s="15">
        <v>2</v>
      </c>
      <c r="I589" s="27"/>
      <c r="J589" s="27"/>
    </row>
    <row r="590" spans="1:14">
      <c r="A590" s="8">
        <v>9</v>
      </c>
      <c r="B590" s="71">
        <v>45352</v>
      </c>
      <c r="C590">
        <v>2024</v>
      </c>
      <c r="D590" s="11" t="s">
        <v>29</v>
      </c>
      <c r="E590" s="15">
        <v>3</v>
      </c>
      <c r="F590" s="78">
        <v>0.32</v>
      </c>
      <c r="G590" s="97">
        <v>8.9999999999999993E-3</v>
      </c>
    </row>
    <row r="591" spans="1:14">
      <c r="A591" s="8">
        <v>10</v>
      </c>
      <c r="B591" s="71">
        <v>45352</v>
      </c>
      <c r="C591">
        <v>2024</v>
      </c>
      <c r="D591" s="11" t="s">
        <v>29</v>
      </c>
      <c r="E591" s="15">
        <v>3</v>
      </c>
      <c r="F591" s="78">
        <v>0.51300000000000001</v>
      </c>
      <c r="G591" s="97">
        <v>8.9999999999999993E-3</v>
      </c>
      <c r="I591" s="27">
        <f t="shared" ref="I591" si="124">AVERAGE(F590:F591)</f>
        <v>0.41649999999999998</v>
      </c>
      <c r="J591" s="27">
        <f t="shared" ref="J591" si="125">AVERAGE(G590:G591)</f>
        <v>8.9999999999999993E-3</v>
      </c>
      <c r="L591">
        <f t="shared" ref="L591" si="126">+J591/I591</f>
        <v>2.1608643457382951E-2</v>
      </c>
      <c r="M591">
        <f t="shared" ref="M591" si="127">+(L591-$L$614)/$L$615</f>
        <v>1.0560808706945293</v>
      </c>
      <c r="N591">
        <f>+N587+M591</f>
        <v>1.1388738706094053</v>
      </c>
    </row>
    <row r="592" spans="1:14">
      <c r="A592" s="8">
        <v>9</v>
      </c>
      <c r="B592" s="71">
        <v>45383</v>
      </c>
      <c r="C592">
        <v>2024</v>
      </c>
      <c r="D592" s="11" t="s">
        <v>30</v>
      </c>
      <c r="E592" s="15">
        <v>4</v>
      </c>
      <c r="F592" s="78">
        <v>0.91900000000000004</v>
      </c>
      <c r="G592" s="97">
        <v>4.0000000000000001E-3</v>
      </c>
    </row>
    <row r="593" spans="1:14">
      <c r="A593" s="8">
        <v>10</v>
      </c>
      <c r="B593" s="71">
        <v>45383</v>
      </c>
      <c r="C593">
        <v>2024</v>
      </c>
      <c r="D593" s="11" t="s">
        <v>30</v>
      </c>
      <c r="E593" s="15">
        <v>4</v>
      </c>
      <c r="F593" s="78">
        <v>1.327</v>
      </c>
      <c r="G593" s="97">
        <v>8.9999999999999993E-3</v>
      </c>
      <c r="I593" s="27">
        <f t="shared" ref="I593" si="128">AVERAGE(F592:F593)</f>
        <v>1.123</v>
      </c>
      <c r="J593" s="27">
        <f t="shared" ref="J593" si="129">AVERAGE(G592:G593)</f>
        <v>6.4999999999999997E-3</v>
      </c>
      <c r="L593">
        <f t="shared" ref="L593" si="130">+J593/I593</f>
        <v>5.7880676758682095E-3</v>
      </c>
      <c r="M593">
        <f t="shared" ref="M593" si="131">+(L593-$L$614)/$L$615</f>
        <v>-0.44663928868986125</v>
      </c>
      <c r="N593">
        <f t="shared" ref="N593" si="132">+N591+M593</f>
        <v>0.69223458191954401</v>
      </c>
    </row>
    <row r="594" spans="1:14">
      <c r="A594" s="8">
        <v>9</v>
      </c>
      <c r="B594" s="71">
        <v>45413</v>
      </c>
      <c r="C594">
        <v>2024</v>
      </c>
      <c r="D594" s="11" t="s">
        <v>31</v>
      </c>
      <c r="E594" s="15">
        <v>5</v>
      </c>
      <c r="F594" s="78">
        <v>3.2970000000000002</v>
      </c>
      <c r="G594" s="97">
        <v>8.9999999999999993E-3</v>
      </c>
    </row>
    <row r="595" spans="1:14">
      <c r="A595" s="8">
        <v>10</v>
      </c>
      <c r="B595" s="71">
        <v>45413</v>
      </c>
      <c r="C595">
        <v>2024</v>
      </c>
      <c r="D595" s="11" t="s">
        <v>31</v>
      </c>
      <c r="E595" s="15">
        <v>5</v>
      </c>
      <c r="F595" s="78">
        <v>3.8849999999999998</v>
      </c>
      <c r="G595" s="97">
        <v>1.4E-2</v>
      </c>
      <c r="I595" s="27">
        <f t="shared" ref="I595:J595" si="133">AVERAGE(F594:F595)</f>
        <v>3.5910000000000002</v>
      </c>
      <c r="J595" s="27">
        <f t="shared" si="133"/>
        <v>1.15E-2</v>
      </c>
      <c r="L595">
        <f t="shared" ref="L595" si="134">+J595/I595</f>
        <v>3.2024505708716233E-3</v>
      </c>
      <c r="M595">
        <f t="shared" ref="M595" si="135">+(L595-$L$614)/$L$615</f>
        <v>-0.69223458191979348</v>
      </c>
      <c r="N595">
        <f t="shared" ref="N595" si="136">+N593+M595</f>
        <v>-2.4946711363327267E-13</v>
      </c>
    </row>
    <row r="596" spans="1:14">
      <c r="A596" s="8">
        <v>9</v>
      </c>
      <c r="B596" s="71">
        <v>45444</v>
      </c>
      <c r="C596">
        <v>2024</v>
      </c>
      <c r="D596" s="11" t="s">
        <v>32</v>
      </c>
      <c r="E596" s="15">
        <v>6</v>
      </c>
      <c r="H596" s="93" t="s">
        <v>98</v>
      </c>
    </row>
    <row r="597" spans="1:14">
      <c r="A597" s="8">
        <v>10</v>
      </c>
      <c r="B597" s="71">
        <v>45444</v>
      </c>
      <c r="C597">
        <v>2024</v>
      </c>
      <c r="D597" s="11" t="s">
        <v>32</v>
      </c>
      <c r="E597" s="15">
        <v>6</v>
      </c>
      <c r="H597" s="93" t="s">
        <v>99</v>
      </c>
    </row>
    <row r="598" spans="1:14">
      <c r="A598" s="8">
        <v>9</v>
      </c>
      <c r="B598" s="71">
        <v>45474</v>
      </c>
      <c r="C598">
        <v>2024</v>
      </c>
      <c r="D598" s="11" t="s">
        <v>33</v>
      </c>
      <c r="E598" s="15">
        <v>7</v>
      </c>
    </row>
    <row r="599" spans="1:14">
      <c r="A599" s="8">
        <v>10</v>
      </c>
      <c r="B599" s="71">
        <v>45474</v>
      </c>
      <c r="C599">
        <v>2024</v>
      </c>
      <c r="D599" s="11" t="s">
        <v>33</v>
      </c>
      <c r="E599" s="15">
        <v>7</v>
      </c>
    </row>
    <row r="600" spans="1:14">
      <c r="A600" s="8">
        <v>9</v>
      </c>
      <c r="B600" s="71">
        <v>45505</v>
      </c>
      <c r="C600">
        <v>2024</v>
      </c>
      <c r="D600" s="11" t="s">
        <v>34</v>
      </c>
      <c r="E600" s="15">
        <v>8</v>
      </c>
    </row>
    <row r="601" spans="1:14">
      <c r="A601" s="8">
        <v>10</v>
      </c>
      <c r="B601" s="71">
        <v>45505</v>
      </c>
      <c r="C601">
        <v>2024</v>
      </c>
      <c r="D601" s="11" t="s">
        <v>34</v>
      </c>
      <c r="E601" s="15">
        <v>8</v>
      </c>
    </row>
    <row r="602" spans="1:14">
      <c r="A602" s="8">
        <v>9</v>
      </c>
      <c r="B602" s="71">
        <v>45536</v>
      </c>
      <c r="C602">
        <v>2024</v>
      </c>
      <c r="D602" s="11" t="s">
        <v>40</v>
      </c>
      <c r="E602" s="15">
        <v>9</v>
      </c>
    </row>
    <row r="603" spans="1:14">
      <c r="A603" s="8">
        <v>10</v>
      </c>
      <c r="B603" s="71">
        <v>45536</v>
      </c>
      <c r="C603">
        <v>2024</v>
      </c>
      <c r="D603" s="11" t="s">
        <v>40</v>
      </c>
      <c r="E603" s="15">
        <v>9</v>
      </c>
    </row>
    <row r="604" spans="1:14">
      <c r="A604" s="8">
        <v>9</v>
      </c>
      <c r="B604" s="71">
        <v>45566</v>
      </c>
      <c r="C604">
        <v>2024</v>
      </c>
      <c r="D604" s="11" t="s">
        <v>36</v>
      </c>
      <c r="E604" s="15">
        <v>10</v>
      </c>
    </row>
    <row r="605" spans="1:14">
      <c r="A605" s="8">
        <v>10</v>
      </c>
      <c r="B605" s="71">
        <v>45566</v>
      </c>
      <c r="C605">
        <v>2024</v>
      </c>
      <c r="D605" s="11" t="s">
        <v>36</v>
      </c>
      <c r="E605" s="15">
        <v>10</v>
      </c>
    </row>
    <row r="606" spans="1:14">
      <c r="A606" s="8">
        <v>9</v>
      </c>
      <c r="B606" s="71">
        <v>45597</v>
      </c>
      <c r="C606">
        <v>2024</v>
      </c>
      <c r="D606" s="11" t="s">
        <v>37</v>
      </c>
      <c r="E606" s="15">
        <v>11</v>
      </c>
    </row>
    <row r="607" spans="1:14">
      <c r="A607" s="8">
        <v>10</v>
      </c>
      <c r="B607" s="71">
        <v>45597</v>
      </c>
      <c r="C607">
        <v>2024</v>
      </c>
      <c r="D607" s="11" t="s">
        <v>37</v>
      </c>
      <c r="E607" s="15">
        <v>11</v>
      </c>
    </row>
    <row r="608" spans="1:14">
      <c r="A608" s="8">
        <v>9</v>
      </c>
      <c r="B608" s="72">
        <v>45627</v>
      </c>
      <c r="C608">
        <v>2024</v>
      </c>
      <c r="D608" s="11" t="s">
        <v>38</v>
      </c>
      <c r="E608" s="15">
        <v>12</v>
      </c>
    </row>
    <row r="609" spans="1:12">
      <c r="A609" s="8">
        <v>10</v>
      </c>
      <c r="B609" s="71">
        <v>45627</v>
      </c>
      <c r="C609">
        <v>2024</v>
      </c>
      <c r="D609" s="11" t="s">
        <v>38</v>
      </c>
      <c r="E609" s="15">
        <v>12</v>
      </c>
    </row>
    <row r="610" spans="1:12">
      <c r="A610" s="15"/>
    </row>
    <row r="611" spans="1:12">
      <c r="A611" s="15"/>
    </row>
    <row r="612" spans="1:12">
      <c r="A612" s="15"/>
    </row>
    <row r="613" spans="1:12">
      <c r="A613" s="15"/>
    </row>
    <row r="614" spans="1:12">
      <c r="A614" s="15"/>
      <c r="E614" s="84" t="s">
        <v>89</v>
      </c>
      <c r="F614" s="94">
        <f>AVERAGE(F3:F609)</f>
        <v>4.0954254212245385</v>
      </c>
      <c r="K614" s="84" t="s">
        <v>89</v>
      </c>
      <c r="L614" s="84">
        <f>AVERAGE(L4:L609)</f>
        <v>1.0490267662733701E-2</v>
      </c>
    </row>
    <row r="615" spans="1:12">
      <c r="A615" s="15"/>
      <c r="E615" s="84" t="s">
        <v>90</v>
      </c>
      <c r="F615" s="84">
        <f>STDEV(F3:F609)</f>
        <v>4.9259338886088182</v>
      </c>
      <c r="K615" s="84" t="s">
        <v>90</v>
      </c>
      <c r="L615" s="84">
        <f>STDEV(L4:L609)</f>
        <v>1.052795870389857E-2</v>
      </c>
    </row>
    <row r="616" spans="1:12">
      <c r="A616" s="15"/>
    </row>
    <row r="617" spans="1:12">
      <c r="A617" s="15"/>
    </row>
    <row r="618" spans="1:12">
      <c r="A618" s="15"/>
    </row>
    <row r="619" spans="1:12">
      <c r="A619" s="15"/>
    </row>
    <row r="620" spans="1:12">
      <c r="A620" s="15"/>
    </row>
    <row r="621" spans="1:12">
      <c r="A621" s="1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6175F-EB2D-CD4F-9AC3-76B68C35FB78}">
  <sheetPr>
    <tabColor theme="9" tint="0.39997558519241921"/>
  </sheetPr>
  <dimension ref="A1:Q621"/>
  <sheetViews>
    <sheetView workbookViewId="0">
      <pane ySplit="2" topLeftCell="A486" activePane="bottomLeft" state="frozen"/>
      <selection pane="bottomLeft" activeCell="O495" sqref="O495"/>
    </sheetView>
  </sheetViews>
  <sheetFormatPr defaultColWidth="11.42578125" defaultRowHeight="15"/>
  <cols>
    <col min="2" max="2" width="10.85546875" style="70"/>
    <col min="14" max="14" width="12.28515625" bestFit="1" customWidth="1"/>
  </cols>
  <sheetData>
    <row r="1" spans="1:17" ht="18">
      <c r="F1" s="1" t="s">
        <v>0</v>
      </c>
      <c r="G1" s="1" t="s">
        <v>1</v>
      </c>
      <c r="I1" s="68" t="s">
        <v>81</v>
      </c>
    </row>
    <row r="2" spans="1:17">
      <c r="A2" s="2" t="s">
        <v>2</v>
      </c>
      <c r="B2" s="73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6" t="s">
        <v>10</v>
      </c>
      <c r="I2" s="6" t="s">
        <v>7</v>
      </c>
      <c r="J2" s="6" t="s">
        <v>10</v>
      </c>
      <c r="L2" s="69" t="s">
        <v>83</v>
      </c>
      <c r="M2" s="69" t="s">
        <v>85</v>
      </c>
      <c r="N2" s="69" t="s">
        <v>86</v>
      </c>
    </row>
    <row r="3" spans="1:17">
      <c r="A3" s="8">
        <v>9</v>
      </c>
      <c r="B3" s="74">
        <v>36446</v>
      </c>
      <c r="C3" s="10">
        <v>1999</v>
      </c>
      <c r="D3" s="11" t="s">
        <v>14</v>
      </c>
      <c r="E3" s="12">
        <v>10</v>
      </c>
      <c r="F3" s="13">
        <v>0.81480390855350104</v>
      </c>
      <c r="G3" s="13">
        <v>8.4785111499999996E-2</v>
      </c>
    </row>
    <row r="4" spans="1:17">
      <c r="A4" s="8">
        <v>10</v>
      </c>
      <c r="B4" s="74">
        <v>36446</v>
      </c>
      <c r="C4" s="10">
        <v>1999</v>
      </c>
      <c r="D4" s="11" t="s">
        <v>14</v>
      </c>
      <c r="E4" s="12">
        <v>10</v>
      </c>
      <c r="F4" s="13">
        <v>1.0560991827525938</v>
      </c>
      <c r="G4" s="13">
        <v>0.18236785699999999</v>
      </c>
      <c r="I4" s="27">
        <f>AVERAGE(F3:F4)</f>
        <v>0.93545154565304744</v>
      </c>
      <c r="J4" s="27">
        <f>AVERAGE(G3:G4)</f>
        <v>0.13357648424999999</v>
      </c>
      <c r="L4">
        <f>+J4/I4</f>
        <v>0.14279358975963741</v>
      </c>
      <c r="M4">
        <f>+(L4-$L$614)/$L$615</f>
        <v>-1.0642875160123257</v>
      </c>
      <c r="N4">
        <f>+M4</f>
        <v>-1.0642875160123257</v>
      </c>
    </row>
    <row r="5" spans="1:17">
      <c r="A5" s="8">
        <v>9</v>
      </c>
      <c r="B5" s="74">
        <v>36473</v>
      </c>
      <c r="C5" s="10">
        <v>1999</v>
      </c>
      <c r="D5" s="11" t="s">
        <v>16</v>
      </c>
      <c r="E5" s="10">
        <v>11</v>
      </c>
      <c r="F5" s="13">
        <v>0.50144492594905754</v>
      </c>
      <c r="G5" s="13">
        <v>0.19313916750000001</v>
      </c>
      <c r="Q5" t="s">
        <v>92</v>
      </c>
    </row>
    <row r="6" spans="1:17">
      <c r="A6" s="8">
        <v>10</v>
      </c>
      <c r="B6" s="74">
        <v>36473</v>
      </c>
      <c r="C6" s="10">
        <v>1999</v>
      </c>
      <c r="D6" s="11" t="s">
        <v>16</v>
      </c>
      <c r="E6" s="10">
        <v>11</v>
      </c>
      <c r="F6" s="13">
        <v>0.60564519988186705</v>
      </c>
      <c r="G6" s="13">
        <v>0.14116971983333332</v>
      </c>
      <c r="I6" s="27">
        <f>AVERAGE(F5:F6)</f>
        <v>0.55354506291546235</v>
      </c>
      <c r="J6" s="27">
        <f>AVERAGE(G5:G6)</f>
        <v>0.16715444366666665</v>
      </c>
      <c r="L6">
        <f>+J6/I6</f>
        <v>0.30197079671577626</v>
      </c>
      <c r="M6">
        <f>+(L6-$L$614)/$L$615</f>
        <v>0.5800727405092635</v>
      </c>
      <c r="N6">
        <f>+N4+M6</f>
        <v>-0.48421477550306224</v>
      </c>
    </row>
    <row r="7" spans="1:17">
      <c r="A7" s="8">
        <v>9</v>
      </c>
      <c r="B7" s="74">
        <v>36502</v>
      </c>
      <c r="C7" s="10">
        <v>1999</v>
      </c>
      <c r="D7" s="11" t="s">
        <v>17</v>
      </c>
      <c r="E7" s="10">
        <v>12</v>
      </c>
      <c r="F7" s="13">
        <v>0.34286829680411729</v>
      </c>
      <c r="G7" s="13">
        <v>7.697356050000001E-2</v>
      </c>
    </row>
    <row r="8" spans="1:17">
      <c r="A8" s="8">
        <v>10</v>
      </c>
      <c r="B8" s="74">
        <v>36502</v>
      </c>
      <c r="C8" s="10">
        <v>1999</v>
      </c>
      <c r="D8" s="11" t="s">
        <v>17</v>
      </c>
      <c r="E8" s="10">
        <v>12</v>
      </c>
      <c r="F8" s="13">
        <v>0.57065639539668933</v>
      </c>
      <c r="G8" s="13">
        <v>0.1314135105</v>
      </c>
      <c r="I8" s="27">
        <f>AVERAGE(F7:F8)</f>
        <v>0.45676234610040334</v>
      </c>
      <c r="J8" s="27">
        <f>AVERAGE(G7:G8)</f>
        <v>0.1041935355</v>
      </c>
      <c r="L8">
        <f>+J8/I8</f>
        <v>0.22811323304022235</v>
      </c>
      <c r="M8">
        <f>+(L8-$L$614)/$L$615</f>
        <v>-0.18290359683191409</v>
      </c>
      <c r="N8">
        <f>+N6+M8</f>
        <v>-0.66711837233497628</v>
      </c>
    </row>
    <row r="9" spans="1:17">
      <c r="A9" s="8">
        <v>9</v>
      </c>
      <c r="B9" s="74">
        <v>36531</v>
      </c>
      <c r="C9" s="12">
        <v>2000</v>
      </c>
      <c r="D9" s="11" t="s">
        <v>18</v>
      </c>
      <c r="E9" s="10">
        <v>1</v>
      </c>
      <c r="F9" s="13">
        <v>0.68891194013953239</v>
      </c>
      <c r="G9" s="13">
        <v>0.14787098099999998</v>
      </c>
    </row>
    <row r="10" spans="1:17">
      <c r="A10" s="8">
        <v>10</v>
      </c>
      <c r="B10" s="74">
        <v>36531</v>
      </c>
      <c r="C10" s="12">
        <v>2000</v>
      </c>
      <c r="D10" s="11" t="s">
        <v>18</v>
      </c>
      <c r="E10" s="10">
        <v>1</v>
      </c>
      <c r="F10" s="13">
        <v>1.3492125675996263</v>
      </c>
      <c r="G10" s="13">
        <v>0.24209738250000001</v>
      </c>
      <c r="I10" s="27">
        <f>AVERAGE(F9:F10)</f>
        <v>1.0190622538695793</v>
      </c>
      <c r="J10" s="27">
        <f>AVERAGE(G9:G10)</f>
        <v>0.19498418174999999</v>
      </c>
      <c r="L10">
        <f>+J10/I10</f>
        <v>0.19133686976394895</v>
      </c>
      <c r="M10">
        <f>+(L10-$L$614)/$L$615</f>
        <v>-0.5628172245887294</v>
      </c>
      <c r="N10">
        <f>+N8+M10</f>
        <v>-1.2299355969237058</v>
      </c>
    </row>
    <row r="11" spans="1:17">
      <c r="A11" s="8">
        <v>9</v>
      </c>
      <c r="B11" s="74">
        <v>36578</v>
      </c>
      <c r="C11" s="12">
        <v>2000</v>
      </c>
      <c r="D11" s="11" t="s">
        <v>19</v>
      </c>
      <c r="E11" s="12">
        <v>2</v>
      </c>
      <c r="F11" s="13">
        <v>4.9123786024972533</v>
      </c>
      <c r="G11" s="13">
        <v>1.8182539691666668</v>
      </c>
    </row>
    <row r="12" spans="1:17">
      <c r="A12" s="8">
        <v>10</v>
      </c>
      <c r="B12" s="74">
        <v>36578</v>
      </c>
      <c r="C12" s="12">
        <v>2000</v>
      </c>
      <c r="D12" s="11" t="s">
        <v>19</v>
      </c>
      <c r="E12" s="12">
        <v>2</v>
      </c>
      <c r="F12" s="13">
        <v>4.5288761327930205</v>
      </c>
      <c r="G12" s="13">
        <v>1.3623071748333331</v>
      </c>
      <c r="I12" s="27">
        <f>AVERAGE(F11:F12)</f>
        <v>4.7206273676451369</v>
      </c>
      <c r="J12" s="27">
        <f>AVERAGE(G11:G12)</f>
        <v>1.5902805719999999</v>
      </c>
      <c r="L12">
        <f>+J12/I12</f>
        <v>0.33687907308669951</v>
      </c>
      <c r="M12">
        <f>+(L12-$L$614)/$L$615</f>
        <v>0.94068832979922323</v>
      </c>
      <c r="N12">
        <f>+N10+M12</f>
        <v>-0.28924726712448257</v>
      </c>
    </row>
    <row r="13" spans="1:17">
      <c r="A13" s="8">
        <v>9</v>
      </c>
      <c r="B13" s="74">
        <v>36599</v>
      </c>
      <c r="C13" s="12">
        <v>2000</v>
      </c>
      <c r="D13" s="11" t="s">
        <v>20</v>
      </c>
      <c r="E13" s="12">
        <v>3</v>
      </c>
      <c r="F13" s="13">
        <v>0.85382744653759191</v>
      </c>
      <c r="G13" s="13">
        <v>0.21243101683333332</v>
      </c>
    </row>
    <row r="14" spans="1:17">
      <c r="A14" s="8">
        <v>10</v>
      </c>
      <c r="B14" s="74">
        <v>36599</v>
      </c>
      <c r="C14" s="12">
        <v>2000</v>
      </c>
      <c r="D14" s="11" t="s">
        <v>20</v>
      </c>
      <c r="E14" s="12">
        <v>3</v>
      </c>
      <c r="F14" s="13">
        <v>1.8556943782286839</v>
      </c>
      <c r="G14" s="13">
        <v>0.32125252466666665</v>
      </c>
      <c r="I14" s="27">
        <f>AVERAGE(F13:F14)</f>
        <v>1.3547609123831379</v>
      </c>
      <c r="J14" s="27">
        <f>AVERAGE(G13:G14)</f>
        <v>0.26684177074999998</v>
      </c>
      <c r="L14">
        <f>+J14/I14</f>
        <v>0.19696595045734155</v>
      </c>
      <c r="M14">
        <f>+(L14-$L$614)/$L$615</f>
        <v>-0.50466670951204295</v>
      </c>
      <c r="N14">
        <f>+N12+M14</f>
        <v>-0.79391397663652552</v>
      </c>
    </row>
    <row r="15" spans="1:17">
      <c r="A15" s="8">
        <v>9</v>
      </c>
      <c r="B15" s="74">
        <v>36626</v>
      </c>
      <c r="C15" s="12">
        <v>2000</v>
      </c>
      <c r="D15" s="15" t="s">
        <v>21</v>
      </c>
      <c r="E15" s="12">
        <v>4</v>
      </c>
      <c r="F15" s="13">
        <v>0.98931851157363693</v>
      </c>
      <c r="G15" s="13">
        <v>0.20023156183333332</v>
      </c>
    </row>
    <row r="16" spans="1:17">
      <c r="A16" s="8">
        <v>10</v>
      </c>
      <c r="B16" s="74">
        <v>36626</v>
      </c>
      <c r="C16" s="12">
        <v>2000</v>
      </c>
      <c r="D16" s="15" t="s">
        <v>21</v>
      </c>
      <c r="E16" s="12">
        <v>4</v>
      </c>
      <c r="F16" s="13">
        <v>1.4558117858405109</v>
      </c>
      <c r="G16" s="13">
        <v>0.36165696866666663</v>
      </c>
      <c r="I16" s="27">
        <f>AVERAGE(F15:F16)</f>
        <v>1.2225651487070739</v>
      </c>
      <c r="J16" s="27">
        <f>AVERAGE(G15:G16)</f>
        <v>0.28094426524999999</v>
      </c>
      <c r="L16">
        <f>+J16/I16</f>
        <v>0.22979901361257773</v>
      </c>
      <c r="M16">
        <f>+(L16-$L$614)/$L$615</f>
        <v>-0.16548885116948242</v>
      </c>
      <c r="N16">
        <f>+N14+M16</f>
        <v>-0.95940282780600794</v>
      </c>
    </row>
    <row r="17" spans="1:14">
      <c r="A17" s="8">
        <v>9</v>
      </c>
      <c r="B17" s="74">
        <v>36663</v>
      </c>
      <c r="C17" s="12">
        <v>2000</v>
      </c>
      <c r="D17" s="15" t="s">
        <v>22</v>
      </c>
      <c r="E17" s="12">
        <v>5</v>
      </c>
      <c r="F17" s="13">
        <v>2.0611459375832135</v>
      </c>
      <c r="G17" s="13">
        <v>0.44602389999999997</v>
      </c>
    </row>
    <row r="18" spans="1:14">
      <c r="A18" s="8">
        <v>10</v>
      </c>
      <c r="B18" s="74">
        <v>36663</v>
      </c>
      <c r="C18" s="12">
        <v>2000</v>
      </c>
      <c r="D18" s="15" t="s">
        <v>22</v>
      </c>
      <c r="E18" s="12">
        <v>5</v>
      </c>
      <c r="F18" s="13">
        <v>2.2679517126852482</v>
      </c>
      <c r="G18" s="13">
        <v>0.33529936299999996</v>
      </c>
      <c r="I18" s="27">
        <f>AVERAGE(F17:F18)</f>
        <v>2.1645488251342311</v>
      </c>
      <c r="J18" s="27">
        <f>AVERAGE(G17:G18)</f>
        <v>0.3906616315</v>
      </c>
      <c r="L18">
        <f>+J18/I18</f>
        <v>0.18048178306893758</v>
      </c>
      <c r="M18">
        <f>+(L18-$L$614)/$L$615</f>
        <v>-0.67495434197948401</v>
      </c>
      <c r="N18">
        <f>+N16+M18</f>
        <v>-1.6343571697854919</v>
      </c>
    </row>
    <row r="19" spans="1:14">
      <c r="A19" s="8">
        <v>9</v>
      </c>
      <c r="B19" s="74">
        <v>36692</v>
      </c>
      <c r="C19" s="12">
        <v>2000</v>
      </c>
      <c r="D19" s="15" t="s">
        <v>23</v>
      </c>
      <c r="E19" s="12">
        <v>6</v>
      </c>
      <c r="F19" s="13">
        <v>3.1162979370312809</v>
      </c>
      <c r="G19" s="13">
        <v>0.87048431716666674</v>
      </c>
    </row>
    <row r="20" spans="1:14">
      <c r="A20" s="8">
        <v>10</v>
      </c>
      <c r="B20" s="74">
        <v>36692</v>
      </c>
      <c r="C20" s="12">
        <v>2000</v>
      </c>
      <c r="D20" s="15" t="s">
        <v>23</v>
      </c>
      <c r="E20" s="12">
        <v>6</v>
      </c>
      <c r="F20" s="13">
        <v>5.0290643195011295</v>
      </c>
      <c r="G20" s="13">
        <v>1.2113576581666667</v>
      </c>
      <c r="I20" s="27">
        <f>AVERAGE(F19:F20)</f>
        <v>4.072681128266205</v>
      </c>
      <c r="J20" s="27">
        <f>AVERAGE(G19:G20)</f>
        <v>1.0409209876666667</v>
      </c>
      <c r="L20">
        <f>+J20/I20</f>
        <v>0.25558617404201267</v>
      </c>
      <c r="M20">
        <f>+(L20-$L$614)/$L$615</f>
        <v>0.10090218904014522</v>
      </c>
      <c r="N20">
        <f>+N18+M20</f>
        <v>-1.5334549807453468</v>
      </c>
    </row>
    <row r="21" spans="1:14">
      <c r="A21" s="8">
        <v>9</v>
      </c>
      <c r="B21" s="74">
        <v>36719</v>
      </c>
      <c r="C21" s="12">
        <v>2000</v>
      </c>
      <c r="D21" s="15" t="s">
        <v>24</v>
      </c>
      <c r="E21" s="12">
        <v>7</v>
      </c>
      <c r="F21" s="13">
        <v>5.8162761812081509</v>
      </c>
      <c r="G21" s="13">
        <v>1.0136247988333333</v>
      </c>
    </row>
    <row r="22" spans="1:14">
      <c r="A22" s="8">
        <v>10</v>
      </c>
      <c r="B22" s="74">
        <v>36719</v>
      </c>
      <c r="C22" s="12">
        <v>2000</v>
      </c>
      <c r="D22" s="15" t="s">
        <v>24</v>
      </c>
      <c r="E22" s="12">
        <v>7</v>
      </c>
      <c r="F22" s="13">
        <v>6.6924579211511181</v>
      </c>
      <c r="G22" s="13">
        <v>0.85006645299999983</v>
      </c>
      <c r="I22" s="27">
        <f>AVERAGE(F21:F22)</f>
        <v>6.254367051179635</v>
      </c>
      <c r="J22" s="27">
        <f>AVERAGE(G21:G22)</f>
        <v>0.93184562591666653</v>
      </c>
      <c r="L22">
        <f>+J22/I22</f>
        <v>0.14899119579828807</v>
      </c>
      <c r="M22">
        <f>+(L22-$L$614)/$L$615</f>
        <v>-1.0002639208606436</v>
      </c>
      <c r="N22">
        <f>+N20+M22</f>
        <v>-2.5337189016059902</v>
      </c>
    </row>
    <row r="23" spans="1:14">
      <c r="A23" s="8">
        <v>9</v>
      </c>
      <c r="B23" s="74">
        <v>36755</v>
      </c>
      <c r="C23" s="12">
        <v>2000</v>
      </c>
      <c r="D23" s="15" t="s">
        <v>25</v>
      </c>
      <c r="E23" s="12">
        <v>8</v>
      </c>
      <c r="F23" s="13">
        <v>0.84630613564951318</v>
      </c>
      <c r="G23" s="13">
        <v>8.7203826166666665E-2</v>
      </c>
    </row>
    <row r="24" spans="1:14">
      <c r="A24" s="8">
        <v>10</v>
      </c>
      <c r="B24" s="74">
        <v>36755</v>
      </c>
      <c r="C24" s="12">
        <v>2000</v>
      </c>
      <c r="D24" s="15" t="s">
        <v>25</v>
      </c>
      <c r="E24" s="12">
        <v>8</v>
      </c>
      <c r="F24" s="13">
        <v>3.5766022851941686</v>
      </c>
      <c r="G24" s="13">
        <v>0.8821704033333333</v>
      </c>
      <c r="I24" s="27">
        <f>AVERAGE(F23:F24)</f>
        <v>2.2114542104218406</v>
      </c>
      <c r="J24" s="27">
        <f>AVERAGE(G23:G24)</f>
        <v>0.48468711474999998</v>
      </c>
      <c r="L24">
        <f>+J24/I24</f>
        <v>0.2191712188594421</v>
      </c>
      <c r="M24">
        <f>+(L24-$L$614)/$L$615</f>
        <v>-0.27527795754160506</v>
      </c>
      <c r="N24">
        <f>+N22+M24</f>
        <v>-2.8089968591475953</v>
      </c>
    </row>
    <row r="25" spans="1:14">
      <c r="A25" s="8">
        <v>9</v>
      </c>
      <c r="B25" s="74">
        <v>36783</v>
      </c>
      <c r="C25" s="12">
        <v>2000</v>
      </c>
      <c r="D25" s="15" t="s">
        <v>26</v>
      </c>
      <c r="E25" s="12">
        <v>9</v>
      </c>
      <c r="F25" s="13">
        <v>1.2064864205241426</v>
      </c>
      <c r="G25" s="13">
        <v>0.28493469366666668</v>
      </c>
    </row>
    <row r="26" spans="1:14">
      <c r="A26" s="8">
        <v>10</v>
      </c>
      <c r="B26" s="74">
        <v>36783</v>
      </c>
      <c r="C26" s="12">
        <v>2000</v>
      </c>
      <c r="D26" s="15" t="s">
        <v>26</v>
      </c>
      <c r="E26" s="12">
        <v>9</v>
      </c>
      <c r="F26" s="13">
        <v>1.8004016582666416</v>
      </c>
      <c r="G26" s="13">
        <v>0.40206288033333337</v>
      </c>
      <c r="I26" s="27">
        <f>AVERAGE(F25:F26)</f>
        <v>1.5034440393953921</v>
      </c>
      <c r="J26" s="27">
        <f>AVERAGE(G25:G26)</f>
        <v>0.34349878700000003</v>
      </c>
      <c r="L26">
        <f>+J26/I26</f>
        <v>0.22847460763364202</v>
      </c>
      <c r="M26">
        <f>+(L26-$L$614)/$L$615</f>
        <v>-0.17917046172734039</v>
      </c>
      <c r="N26">
        <f>+N24+M26</f>
        <v>-2.9881673208749358</v>
      </c>
    </row>
    <row r="27" spans="1:14">
      <c r="A27" s="8">
        <v>9</v>
      </c>
      <c r="B27" s="74">
        <v>36815</v>
      </c>
      <c r="C27" s="12">
        <v>2000</v>
      </c>
      <c r="D27" s="15" t="s">
        <v>14</v>
      </c>
      <c r="E27" s="12">
        <v>10</v>
      </c>
      <c r="F27" s="14">
        <v>0.43998358844421992</v>
      </c>
      <c r="G27" s="14">
        <v>8.3515265333333324E-2</v>
      </c>
    </row>
    <row r="28" spans="1:14">
      <c r="A28" s="8">
        <v>10</v>
      </c>
      <c r="B28" s="74">
        <v>36815</v>
      </c>
      <c r="C28" s="12">
        <v>2000</v>
      </c>
      <c r="D28" s="15" t="s">
        <v>14</v>
      </c>
      <c r="E28" s="12">
        <v>10</v>
      </c>
      <c r="F28" s="14">
        <v>1.561920699400118</v>
      </c>
      <c r="G28" s="14">
        <v>0.10729618283333334</v>
      </c>
      <c r="I28" s="27">
        <f>AVERAGE(F27:F28)</f>
        <v>1.0009521439221689</v>
      </c>
      <c r="J28" s="27">
        <f>AVERAGE(G27:G28)</f>
        <v>9.5405724083333338E-2</v>
      </c>
      <c r="L28">
        <f>+J28/I28</f>
        <v>9.5314970513467226E-2</v>
      </c>
      <c r="M28">
        <f>+(L28-$L$614)/$L$615</f>
        <v>-1.5547594624414145</v>
      </c>
      <c r="N28">
        <f>+N26+M28</f>
        <v>-4.54292678331635</v>
      </c>
    </row>
    <row r="29" spans="1:14">
      <c r="A29" s="8">
        <v>9</v>
      </c>
      <c r="B29" s="74">
        <v>36846</v>
      </c>
      <c r="C29" s="12">
        <v>2000</v>
      </c>
      <c r="D29" s="15" t="s">
        <v>16</v>
      </c>
      <c r="E29" s="12">
        <v>11</v>
      </c>
      <c r="F29" s="14">
        <v>0.39527561709589693</v>
      </c>
      <c r="G29" s="14">
        <v>5.0439824499999994E-2</v>
      </c>
    </row>
    <row r="30" spans="1:14">
      <c r="A30" s="8">
        <v>10</v>
      </c>
      <c r="B30" s="74">
        <v>36846</v>
      </c>
      <c r="C30" s="12">
        <v>2000</v>
      </c>
      <c r="D30" s="15" t="s">
        <v>16</v>
      </c>
      <c r="E30" s="12">
        <v>11</v>
      </c>
      <c r="F30" s="14">
        <v>0.53991698270694943</v>
      </c>
      <c r="G30" s="14">
        <v>6.8122482166666665E-2</v>
      </c>
      <c r="I30" s="27">
        <f>AVERAGE(F29:F30)</f>
        <v>0.46759629990142315</v>
      </c>
      <c r="J30" s="27">
        <f>AVERAGE(G29:G30)</f>
        <v>5.9281153333333329E-2</v>
      </c>
      <c r="L30">
        <f>+J30/I30</f>
        <v>0.12677849107409694</v>
      </c>
      <c r="M30">
        <f>+(L30-$L$614)/$L$615</f>
        <v>-1.2297294928277021</v>
      </c>
      <c r="N30">
        <f>+N28+M30</f>
        <v>-5.7726562761440521</v>
      </c>
    </row>
    <row r="31" spans="1:14">
      <c r="A31" s="8">
        <v>9</v>
      </c>
      <c r="B31" s="74">
        <v>36873</v>
      </c>
      <c r="C31" s="12">
        <v>2000</v>
      </c>
      <c r="D31" s="15" t="s">
        <v>17</v>
      </c>
      <c r="E31" s="12">
        <v>12</v>
      </c>
      <c r="F31" s="16">
        <v>3.3021338846700647</v>
      </c>
      <c r="G31" s="14">
        <v>0.81257933400000015</v>
      </c>
    </row>
    <row r="32" spans="1:14">
      <c r="A32" s="8">
        <v>10</v>
      </c>
      <c r="B32" s="74">
        <v>36873</v>
      </c>
      <c r="C32" s="12">
        <v>2000</v>
      </c>
      <c r="D32" s="15" t="s">
        <v>17</v>
      </c>
      <c r="E32" s="12">
        <v>12</v>
      </c>
      <c r="F32" s="16">
        <v>3.3909891865182566</v>
      </c>
      <c r="G32" s="14">
        <v>0.60923105416666667</v>
      </c>
      <c r="I32" s="27">
        <f>AVERAGE(F31:F32)</f>
        <v>3.3465615355941605</v>
      </c>
      <c r="J32" s="27">
        <f>AVERAGE(G31:G32)</f>
        <v>0.71090519408333341</v>
      </c>
      <c r="L32">
        <f>+J32/I32</f>
        <v>0.21242854390158905</v>
      </c>
      <c r="M32">
        <f>+(L32-$L$614)/$L$615</f>
        <v>-0.34493231908843169</v>
      </c>
      <c r="N32">
        <f>+N30+M32</f>
        <v>-6.1175885952324833</v>
      </c>
    </row>
    <row r="33" spans="1:14">
      <c r="A33" s="8">
        <v>9</v>
      </c>
      <c r="B33" s="74">
        <v>36902</v>
      </c>
      <c r="C33" s="12">
        <v>2001</v>
      </c>
      <c r="D33" s="15" t="s">
        <v>18</v>
      </c>
      <c r="E33" s="12">
        <v>1</v>
      </c>
      <c r="F33" s="14">
        <v>3.9184009800716293</v>
      </c>
      <c r="G33" s="14">
        <v>1.1262679009999998</v>
      </c>
    </row>
    <row r="34" spans="1:14">
      <c r="A34" s="8">
        <v>10</v>
      </c>
      <c r="B34" s="74">
        <v>36902</v>
      </c>
      <c r="C34" s="12">
        <v>2001</v>
      </c>
      <c r="D34" s="15" t="s">
        <v>18</v>
      </c>
      <c r="E34" s="12">
        <v>1</v>
      </c>
      <c r="F34" s="14">
        <v>3.823692504941226</v>
      </c>
      <c r="G34" s="14">
        <v>1.0502414048333333</v>
      </c>
      <c r="I34" s="27">
        <f>AVERAGE(F33:F34)</f>
        <v>3.8710467425064277</v>
      </c>
      <c r="J34" s="27">
        <f>AVERAGE(G33:G34)</f>
        <v>1.0882546529166666</v>
      </c>
      <c r="L34">
        <f>+J34/I34</f>
        <v>0.28112671463430661</v>
      </c>
      <c r="M34">
        <f>+(L34-$L$614)/$L$615</f>
        <v>0.36474555382300006</v>
      </c>
      <c r="N34">
        <f>+N32+M34</f>
        <v>-5.7528430414094833</v>
      </c>
    </row>
    <row r="35" spans="1:14">
      <c r="A35" s="12">
        <v>9</v>
      </c>
      <c r="B35" s="74">
        <v>36929</v>
      </c>
      <c r="C35" s="12">
        <v>2001</v>
      </c>
      <c r="D35" s="11" t="s">
        <v>19</v>
      </c>
      <c r="E35" s="12">
        <v>2</v>
      </c>
      <c r="F35" s="14">
        <v>3.8858306868674863</v>
      </c>
      <c r="G35" s="14">
        <v>0.98002927983333354</v>
      </c>
    </row>
    <row r="36" spans="1:14">
      <c r="A36" s="12">
        <v>10</v>
      </c>
      <c r="B36" s="74">
        <v>36929</v>
      </c>
      <c r="C36" s="12">
        <v>2001</v>
      </c>
      <c r="D36" s="11" t="s">
        <v>19</v>
      </c>
      <c r="E36" s="12">
        <v>2</v>
      </c>
      <c r="F36" s="14">
        <v>2.3564985082205148</v>
      </c>
      <c r="G36" s="14">
        <v>0.73837502783333331</v>
      </c>
      <c r="I36" s="27">
        <f>AVERAGE(F35:F36)</f>
        <v>3.1211645975440003</v>
      </c>
      <c r="J36" s="27">
        <f>AVERAGE(G35:G36)</f>
        <v>0.85920215383333343</v>
      </c>
      <c r="L36">
        <f>+J36/I36</f>
        <v>0.27528255142629365</v>
      </c>
      <c r="M36">
        <f>+(L36-$L$614)/$L$615</f>
        <v>0.30437315569108525</v>
      </c>
      <c r="N36">
        <f>+N34+M36</f>
        <v>-5.4484698857183984</v>
      </c>
    </row>
    <row r="37" spans="1:14">
      <c r="A37" s="8">
        <v>9</v>
      </c>
      <c r="B37" s="74">
        <v>36962</v>
      </c>
      <c r="C37" s="12">
        <v>2001</v>
      </c>
      <c r="D37" s="11" t="s">
        <v>20</v>
      </c>
      <c r="E37" s="12">
        <v>3</v>
      </c>
      <c r="F37" s="14">
        <v>5.6073203405111141</v>
      </c>
      <c r="G37" s="14">
        <v>2.1616217910000004</v>
      </c>
    </row>
    <row r="38" spans="1:14">
      <c r="A38" s="8">
        <v>10</v>
      </c>
      <c r="B38" s="74">
        <v>36962</v>
      </c>
      <c r="C38" s="12">
        <v>2001</v>
      </c>
      <c r="D38" s="11" t="s">
        <v>20</v>
      </c>
      <c r="E38" s="12">
        <v>3</v>
      </c>
      <c r="F38" s="14">
        <v>8.9202021810742398</v>
      </c>
      <c r="G38" s="14">
        <v>3.4691181279999999</v>
      </c>
      <c r="I38" s="27">
        <f>AVERAGE(F37:F38)</f>
        <v>7.2637612607926769</v>
      </c>
      <c r="J38" s="27">
        <f>AVERAGE(G37:G38)</f>
        <v>2.8153699594999999</v>
      </c>
      <c r="L38">
        <f>+J38/I38</f>
        <v>0.38759120219113113</v>
      </c>
      <c r="M38">
        <f>+(L38-$L$614)/$L$615</f>
        <v>1.4645636459799933</v>
      </c>
      <c r="N38">
        <f>+N36+M38</f>
        <v>-3.9839062397384053</v>
      </c>
    </row>
    <row r="39" spans="1:14">
      <c r="A39" s="8">
        <v>9</v>
      </c>
      <c r="B39" s="74">
        <v>36998</v>
      </c>
      <c r="C39" s="12">
        <v>2001</v>
      </c>
      <c r="D39" s="15" t="s">
        <v>21</v>
      </c>
      <c r="E39" s="12">
        <v>4</v>
      </c>
      <c r="F39" s="14">
        <v>0.8225617702714082</v>
      </c>
      <c r="G39" s="14">
        <v>9.8716413166666669E-2</v>
      </c>
    </row>
    <row r="40" spans="1:14">
      <c r="A40" s="8">
        <v>10</v>
      </c>
      <c r="B40" s="74">
        <v>36998</v>
      </c>
      <c r="C40" s="12">
        <v>2001</v>
      </c>
      <c r="D40" s="15" t="s">
        <v>21</v>
      </c>
      <c r="E40" s="12">
        <v>4</v>
      </c>
      <c r="F40" s="14">
        <v>1.6086673519985339</v>
      </c>
      <c r="G40" s="14">
        <v>9.2241906500000012E-2</v>
      </c>
      <c r="I40" s="27">
        <f>AVERAGE(F39:F40)</f>
        <v>1.2156145611349711</v>
      </c>
      <c r="J40" s="27">
        <f>AVERAGE(G39:G40)</f>
        <v>9.5479159833333341E-2</v>
      </c>
      <c r="L40">
        <f>+J40/I40</f>
        <v>7.8543942204993195E-2</v>
      </c>
      <c r="M40">
        <f>+(L40-$L$614)/$L$615</f>
        <v>-1.7280104758170427</v>
      </c>
      <c r="N40">
        <f>+N38+M40</f>
        <v>-5.7119167155554482</v>
      </c>
    </row>
    <row r="41" spans="1:14">
      <c r="A41" s="8">
        <v>9</v>
      </c>
      <c r="B41" s="74">
        <v>37025</v>
      </c>
      <c r="C41" s="12">
        <v>2001</v>
      </c>
      <c r="D41" s="15" t="s">
        <v>22</v>
      </c>
      <c r="E41" s="12">
        <v>5</v>
      </c>
      <c r="F41" s="14">
        <v>0.28314253986417204</v>
      </c>
      <c r="G41" s="14">
        <v>1.8947262166666666E-2</v>
      </c>
    </row>
    <row r="42" spans="1:14">
      <c r="A42" s="8">
        <v>10</v>
      </c>
      <c r="B42" s="74">
        <v>37025</v>
      </c>
      <c r="C42" s="12">
        <v>2001</v>
      </c>
      <c r="D42" s="15" t="s">
        <v>22</v>
      </c>
      <c r="E42" s="12">
        <v>5</v>
      </c>
      <c r="F42" s="14">
        <v>0.65344968643652213</v>
      </c>
      <c r="G42" s="14">
        <v>5.8485468333333325E-2</v>
      </c>
      <c r="I42" s="27">
        <f>AVERAGE(F41:F42)</f>
        <v>0.46829611315034708</v>
      </c>
      <c r="J42" s="27">
        <f>AVERAGE(G41:G42)</f>
        <v>3.8716365249999996E-2</v>
      </c>
      <c r="L42">
        <f>+J42/I42</f>
        <v>8.2674966037076747E-2</v>
      </c>
      <c r="M42">
        <f>+(L42-$L$614)/$L$615</f>
        <v>-1.6853354500509889</v>
      </c>
      <c r="N42">
        <f>+N40+M42</f>
        <v>-7.3972521656064369</v>
      </c>
    </row>
    <row r="43" spans="1:14">
      <c r="A43" s="8">
        <v>9</v>
      </c>
      <c r="B43" s="74">
        <v>37054</v>
      </c>
      <c r="C43" s="12">
        <v>2001</v>
      </c>
      <c r="D43" s="15" t="s">
        <v>23</v>
      </c>
      <c r="E43" s="12">
        <v>6</v>
      </c>
      <c r="F43" s="14">
        <v>1.6625532837477026</v>
      </c>
      <c r="G43" s="14">
        <v>0.20409089616666665</v>
      </c>
    </row>
    <row r="44" spans="1:14">
      <c r="A44" s="8">
        <v>10</v>
      </c>
      <c r="B44" s="74">
        <v>37054</v>
      </c>
      <c r="C44" s="12">
        <v>2001</v>
      </c>
      <c r="D44" s="15" t="s">
        <v>23</v>
      </c>
      <c r="E44" s="12">
        <v>6</v>
      </c>
      <c r="F44" s="14">
        <v>3.5693979435090388</v>
      </c>
      <c r="G44" s="14">
        <v>0.72396400883333323</v>
      </c>
      <c r="I44" s="27">
        <f>AVERAGE(F43:F44)</f>
        <v>2.6159756136283709</v>
      </c>
      <c r="J44" s="27">
        <f>AVERAGE(G43:G44)</f>
        <v>0.46402745249999994</v>
      </c>
      <c r="L44">
        <f>+J44/I44</f>
        <v>0.17738217821395957</v>
      </c>
      <c r="M44">
        <f>+(L44-$L$614)/$L$615</f>
        <v>-0.70697442281839229</v>
      </c>
      <c r="N44">
        <f>+N42+M44</f>
        <v>-8.1042265884248295</v>
      </c>
    </row>
    <row r="45" spans="1:14">
      <c r="A45" s="8">
        <v>9</v>
      </c>
      <c r="B45" s="74">
        <v>37090</v>
      </c>
      <c r="C45" s="12">
        <v>2001</v>
      </c>
      <c r="D45" s="15" t="s">
        <v>24</v>
      </c>
      <c r="E45" s="12">
        <v>7</v>
      </c>
      <c r="F45" s="14">
        <v>4.9985278325977225</v>
      </c>
      <c r="G45" s="14">
        <v>0.70814979566666669</v>
      </c>
    </row>
    <row r="46" spans="1:14">
      <c r="A46" s="8">
        <v>10</v>
      </c>
      <c r="B46" s="74">
        <v>37090</v>
      </c>
      <c r="C46" s="12">
        <v>2001</v>
      </c>
      <c r="D46" s="15" t="s">
        <v>24</v>
      </c>
      <c r="E46" s="12">
        <v>7</v>
      </c>
      <c r="F46" s="14">
        <v>3.9285171139776001</v>
      </c>
      <c r="G46" s="14">
        <v>0.56219915166666667</v>
      </c>
      <c r="I46" s="27">
        <f>AVERAGE(F45:F46)</f>
        <v>4.4635224732876608</v>
      </c>
      <c r="J46" s="27">
        <f>AVERAGE(G45:G46)</f>
        <v>0.63517447366666668</v>
      </c>
      <c r="L46">
        <f>+J46/I46</f>
        <v>0.14230341114398407</v>
      </c>
      <c r="M46">
        <f>+(L46-$L$614)/$L$615</f>
        <v>-1.0693512449820095</v>
      </c>
      <c r="N46">
        <f>+N44+M46</f>
        <v>-9.1735778334068385</v>
      </c>
    </row>
    <row r="47" spans="1:14">
      <c r="A47" s="8">
        <v>9</v>
      </c>
      <c r="B47" s="74">
        <v>37117</v>
      </c>
      <c r="C47" s="12">
        <v>2001</v>
      </c>
      <c r="D47" s="15" t="s">
        <v>25</v>
      </c>
      <c r="E47" s="12">
        <v>8</v>
      </c>
      <c r="F47" s="14">
        <v>3.3041615557801189</v>
      </c>
      <c r="G47" s="14">
        <v>0.54791938399999995</v>
      </c>
    </row>
    <row r="48" spans="1:14">
      <c r="A48" s="8">
        <v>10</v>
      </c>
      <c r="B48" s="74">
        <v>37117</v>
      </c>
      <c r="C48" s="12">
        <v>2001</v>
      </c>
      <c r="D48" s="15" t="s">
        <v>25</v>
      </c>
      <c r="E48" s="12">
        <v>8</v>
      </c>
      <c r="F48" s="14">
        <v>1.6653540946535696</v>
      </c>
      <c r="G48" s="14">
        <v>0.22929167633333333</v>
      </c>
      <c r="I48" s="27">
        <f>AVERAGE(F47:F48)</f>
        <v>2.4847578252168443</v>
      </c>
      <c r="J48" s="27">
        <f>AVERAGE(G47:G48)</f>
        <v>0.38860553016666666</v>
      </c>
      <c r="L48">
        <f>+J48/I48</f>
        <v>0.15639573652726221</v>
      </c>
      <c r="M48">
        <f>+(L48-$L$614)/$L$615</f>
        <v>-0.92377223762690341</v>
      </c>
      <c r="N48">
        <f>+N46+M48</f>
        <v>-10.097350071033741</v>
      </c>
    </row>
    <row r="49" spans="1:14">
      <c r="A49" s="8">
        <v>9</v>
      </c>
      <c r="B49" s="74">
        <v>37145</v>
      </c>
      <c r="C49" s="12">
        <v>2001</v>
      </c>
      <c r="D49" s="15" t="s">
        <v>26</v>
      </c>
      <c r="E49" s="12">
        <v>9</v>
      </c>
      <c r="F49" s="14">
        <v>2.9347511423023387</v>
      </c>
      <c r="G49" s="14">
        <v>0.83006991399999985</v>
      </c>
    </row>
    <row r="50" spans="1:14">
      <c r="A50" s="8">
        <v>10</v>
      </c>
      <c r="B50" s="74">
        <v>37145</v>
      </c>
      <c r="C50" s="12">
        <v>2001</v>
      </c>
      <c r="D50" s="15" t="s">
        <v>26</v>
      </c>
      <c r="E50" s="12">
        <v>9</v>
      </c>
      <c r="F50" s="14">
        <v>2.7943675451893024</v>
      </c>
      <c r="G50" s="14">
        <v>0.47163206249999995</v>
      </c>
      <c r="I50" s="27">
        <f>AVERAGE(F49:F50)</f>
        <v>2.8645593437458206</v>
      </c>
      <c r="J50" s="27">
        <f>AVERAGE(G49:G50)</f>
        <v>0.65085098824999987</v>
      </c>
      <c r="L50">
        <f>+J50/I50</f>
        <v>0.22720806593551637</v>
      </c>
      <c r="M50">
        <f>+(L50-$L$614)/$L$615</f>
        <v>-0.19225431255906819</v>
      </c>
      <c r="N50">
        <f>+N48+M50</f>
        <v>-10.28960438359281</v>
      </c>
    </row>
    <row r="51" spans="1:14">
      <c r="A51" s="8">
        <v>9</v>
      </c>
      <c r="B51" s="74">
        <v>37182</v>
      </c>
      <c r="C51" s="12">
        <v>2001</v>
      </c>
      <c r="D51" s="15" t="s">
        <v>14</v>
      </c>
      <c r="E51" s="12">
        <v>10</v>
      </c>
      <c r="F51" s="13">
        <v>0.4721011143849117</v>
      </c>
      <c r="G51" s="13">
        <v>6.9160898081002758E-2</v>
      </c>
    </row>
    <row r="52" spans="1:14">
      <c r="A52" s="8">
        <v>10</v>
      </c>
      <c r="B52" s="74">
        <v>37182</v>
      </c>
      <c r="C52" s="12">
        <v>2001</v>
      </c>
      <c r="D52" s="15" t="s">
        <v>14</v>
      </c>
      <c r="E52" s="12">
        <v>10</v>
      </c>
      <c r="F52" s="13">
        <v>1.2112738867058166</v>
      </c>
      <c r="G52" s="13">
        <v>0.22157821833465818</v>
      </c>
      <c r="I52" s="27">
        <f>AVERAGE(F51:F52)</f>
        <v>0.84168750054536412</v>
      </c>
      <c r="J52" s="27">
        <f>AVERAGE(G51:G52)</f>
        <v>0.14536955820783048</v>
      </c>
      <c r="L52">
        <f>+J52/I52</f>
        <v>0.17271203161938314</v>
      </c>
      <c r="M52">
        <f>+(L52-$L$614)/$L$615</f>
        <v>-0.75521878895032968</v>
      </c>
      <c r="N52">
        <f>+N50+M52</f>
        <v>-11.04482317254314</v>
      </c>
    </row>
    <row r="53" spans="1:14">
      <c r="A53" s="8">
        <v>9</v>
      </c>
      <c r="B53" s="74">
        <v>37202</v>
      </c>
      <c r="C53" s="12">
        <v>2001</v>
      </c>
      <c r="D53" s="15" t="s">
        <v>16</v>
      </c>
      <c r="E53" s="12">
        <v>11</v>
      </c>
      <c r="F53" s="13">
        <v>0.47858704932321527</v>
      </c>
      <c r="G53" s="13">
        <v>8.0767425732963638E-2</v>
      </c>
    </row>
    <row r="54" spans="1:14">
      <c r="A54" s="8">
        <v>10</v>
      </c>
      <c r="B54" s="74">
        <v>37202</v>
      </c>
      <c r="C54" s="12">
        <v>2001</v>
      </c>
      <c r="D54" s="15" t="s">
        <v>16</v>
      </c>
      <c r="E54" s="12">
        <v>11</v>
      </c>
      <c r="F54" s="13">
        <v>0.30968197273470283</v>
      </c>
      <c r="G54" s="13">
        <v>3.3063723297488343E-2</v>
      </c>
      <c r="I54" s="27">
        <f>AVERAGE(F53:F54)</f>
        <v>0.39413451102895902</v>
      </c>
      <c r="J54" s="27">
        <f>AVERAGE(G53:G54)</f>
        <v>5.691557451522599E-2</v>
      </c>
      <c r="L54">
        <f>+J54/I54</f>
        <v>0.14440647272079182</v>
      </c>
      <c r="M54">
        <f>+(L54-$L$614)/$L$615</f>
        <v>-1.0476258300180867</v>
      </c>
      <c r="N54">
        <f>+N52+M54</f>
        <v>-12.092449002561226</v>
      </c>
    </row>
    <row r="55" spans="1:14">
      <c r="A55" s="8">
        <v>9</v>
      </c>
      <c r="B55" s="74">
        <v>37230</v>
      </c>
      <c r="C55" s="12">
        <v>2001</v>
      </c>
      <c r="D55" s="15" t="s">
        <v>17</v>
      </c>
      <c r="E55" s="12">
        <v>12</v>
      </c>
      <c r="F55" s="13">
        <v>0.4186981867733931</v>
      </c>
      <c r="G55" s="13">
        <v>6.6952349765493746E-2</v>
      </c>
    </row>
    <row r="56" spans="1:14">
      <c r="A56" s="8">
        <v>10</v>
      </c>
      <c r="B56" s="74">
        <v>37230</v>
      </c>
      <c r="C56" s="12">
        <v>2001</v>
      </c>
      <c r="D56" s="15" t="s">
        <v>17</v>
      </c>
      <c r="E56" s="12">
        <v>12</v>
      </c>
      <c r="F56" s="13">
        <v>0.7572648443264195</v>
      </c>
      <c r="G56" s="13">
        <v>9.9156378650162788E-2</v>
      </c>
      <c r="I56" s="27">
        <f>AVERAGE(F55:F56)</f>
        <v>0.5879815155499063</v>
      </c>
      <c r="J56" s="27">
        <f>AVERAGE(G55:G56)</f>
        <v>8.3054364207828274E-2</v>
      </c>
      <c r="L56">
        <f>+J56/I56</f>
        <v>0.1412533591811167</v>
      </c>
      <c r="M56">
        <f>+(L56-$L$614)/$L$615</f>
        <v>-1.080198675641459</v>
      </c>
      <c r="N56">
        <f>+N54+M56</f>
        <v>-13.172647678202685</v>
      </c>
    </row>
    <row r="57" spans="1:14">
      <c r="A57" s="8">
        <v>9</v>
      </c>
      <c r="B57" s="74">
        <v>37272</v>
      </c>
      <c r="C57" s="12">
        <v>2002</v>
      </c>
      <c r="D57" s="15" t="s">
        <v>18</v>
      </c>
      <c r="E57" s="12">
        <v>1</v>
      </c>
      <c r="F57" s="13">
        <v>1.147997067637754</v>
      </c>
      <c r="G57" s="13">
        <v>0.3154286488099774</v>
      </c>
    </row>
    <row r="58" spans="1:14">
      <c r="A58" s="8">
        <v>10</v>
      </c>
      <c r="B58" s="74">
        <v>37272</v>
      </c>
      <c r="C58" s="12">
        <v>2002</v>
      </c>
      <c r="D58" s="15" t="s">
        <v>18</v>
      </c>
      <c r="E58" s="12">
        <v>1</v>
      </c>
      <c r="F58" s="13">
        <v>1.682021769965901</v>
      </c>
      <c r="G58" s="13">
        <v>0.30435021393381639</v>
      </c>
      <c r="I58" s="27">
        <f>AVERAGE(F57:F58)</f>
        <v>1.4150094188018274</v>
      </c>
      <c r="J58" s="27">
        <f>AVERAGE(G57:G58)</f>
        <v>0.3098894313718969</v>
      </c>
      <c r="L58">
        <f>+J58/I58</f>
        <v>0.21900167394949124</v>
      </c>
      <c r="M58">
        <f>+(L58-$L$614)/$L$615</f>
        <v>-0.27702942005907183</v>
      </c>
      <c r="N58">
        <f>+N56+M58</f>
        <v>-13.449677098261757</v>
      </c>
    </row>
    <row r="59" spans="1:14">
      <c r="A59" s="8">
        <v>9</v>
      </c>
      <c r="B59" s="74">
        <v>37301</v>
      </c>
      <c r="C59" s="12">
        <v>2002</v>
      </c>
      <c r="D59" s="11" t="s">
        <v>19</v>
      </c>
      <c r="E59" s="12">
        <v>2</v>
      </c>
      <c r="F59" s="13">
        <v>0.71297686444235664</v>
      </c>
      <c r="G59" s="13">
        <v>0.22453232410187637</v>
      </c>
    </row>
    <row r="60" spans="1:14">
      <c r="A60" s="8">
        <v>10</v>
      </c>
      <c r="B60" s="74">
        <v>37301</v>
      </c>
      <c r="C60" s="12">
        <v>2002</v>
      </c>
      <c r="D60" s="11" t="s">
        <v>19</v>
      </c>
      <c r="E60" s="12">
        <v>2</v>
      </c>
      <c r="F60" s="13">
        <v>0.9535940430726153</v>
      </c>
      <c r="G60" s="13">
        <v>0.2257179494722191</v>
      </c>
      <c r="I60" s="27">
        <f>AVERAGE(F59:F60)</f>
        <v>0.83328545375748597</v>
      </c>
      <c r="J60" s="27">
        <f>AVERAGE(G59:G60)</f>
        <v>0.22512513678704774</v>
      </c>
      <c r="L60">
        <f>+J60/I60</f>
        <v>0.27016568664663948</v>
      </c>
      <c r="M60">
        <f>+(L60-$L$614)/$L$615</f>
        <v>0.25151402313967114</v>
      </c>
      <c r="N60">
        <f>+N58+M60</f>
        <v>-13.198163075122086</v>
      </c>
    </row>
    <row r="61" spans="1:14">
      <c r="A61" s="8">
        <v>9</v>
      </c>
      <c r="B61" s="70">
        <v>37336</v>
      </c>
      <c r="C61" s="12">
        <v>2002</v>
      </c>
      <c r="D61" s="11" t="s">
        <v>20</v>
      </c>
      <c r="E61" s="12">
        <v>3</v>
      </c>
      <c r="F61" s="13">
        <v>1.3481645884658155</v>
      </c>
      <c r="G61" s="13">
        <v>0.21208549873849719</v>
      </c>
    </row>
    <row r="62" spans="1:14">
      <c r="A62" s="8">
        <v>10</v>
      </c>
      <c r="B62" s="70">
        <v>37336</v>
      </c>
      <c r="C62" s="12">
        <v>2002</v>
      </c>
      <c r="D62" s="11" t="s">
        <v>20</v>
      </c>
      <c r="E62" s="12">
        <v>3</v>
      </c>
      <c r="F62" s="13">
        <v>1.2886443731512156</v>
      </c>
      <c r="G62" s="13">
        <v>0.30920880587239696</v>
      </c>
      <c r="I62" s="27">
        <f>AVERAGE(F61:F62)</f>
        <v>1.3184044808085156</v>
      </c>
      <c r="J62" s="27">
        <f>AVERAGE(G61:G62)</f>
        <v>0.26064715230544711</v>
      </c>
      <c r="L62">
        <f>+J62/I62</f>
        <v>0.19769892783253015</v>
      </c>
      <c r="M62">
        <f>+(L62-$L$614)/$L$615</f>
        <v>-0.49709477828057114</v>
      </c>
      <c r="N62">
        <f>+N60+M62</f>
        <v>-13.695257853402657</v>
      </c>
    </row>
    <row r="63" spans="1:14">
      <c r="A63" s="8">
        <v>9</v>
      </c>
      <c r="B63" s="70">
        <v>37363</v>
      </c>
      <c r="C63" s="12">
        <v>2002</v>
      </c>
      <c r="D63" s="15" t="s">
        <v>21</v>
      </c>
      <c r="E63" s="12">
        <v>4</v>
      </c>
      <c r="F63" s="13">
        <v>0.85757683671362128</v>
      </c>
      <c r="G63" s="13">
        <v>7.7827509989645521E-2</v>
      </c>
    </row>
    <row r="64" spans="1:14">
      <c r="A64" s="8">
        <v>10</v>
      </c>
      <c r="B64" s="70">
        <v>37363</v>
      </c>
      <c r="C64" s="12">
        <v>2002</v>
      </c>
      <c r="D64" s="15" t="s">
        <v>21</v>
      </c>
      <c r="E64" s="12">
        <v>4</v>
      </c>
      <c r="F64" s="13">
        <v>1.103174564508576</v>
      </c>
      <c r="G64" s="13">
        <v>0.19882377988567018</v>
      </c>
      <c r="I64" s="27">
        <f>AVERAGE(F63:F64)</f>
        <v>0.98037570061109869</v>
      </c>
      <c r="J64" s="27">
        <f>AVERAGE(G63:G64)</f>
        <v>0.13832564493765787</v>
      </c>
      <c r="L64">
        <f>+J64/I64</f>
        <v>0.14109452616118004</v>
      </c>
      <c r="M64">
        <f>+(L64-$L$614)/$L$615</f>
        <v>-1.081839480316962</v>
      </c>
      <c r="N64">
        <f>+N62+M64</f>
        <v>-14.777097333719619</v>
      </c>
    </row>
    <row r="65" spans="1:14">
      <c r="A65" s="8">
        <v>9</v>
      </c>
      <c r="B65" s="70">
        <v>37391</v>
      </c>
      <c r="C65" s="12">
        <v>2002</v>
      </c>
      <c r="D65" s="15" t="s">
        <v>22</v>
      </c>
      <c r="E65" s="12">
        <v>5</v>
      </c>
      <c r="F65" s="13">
        <v>1.9396457396043549</v>
      </c>
      <c r="G65" s="19"/>
    </row>
    <row r="66" spans="1:14">
      <c r="A66" s="8">
        <v>10</v>
      </c>
      <c r="B66" s="70">
        <v>37391</v>
      </c>
      <c r="C66" s="12">
        <v>2002</v>
      </c>
      <c r="D66" s="15" t="s">
        <v>22</v>
      </c>
      <c r="E66" s="12">
        <v>5</v>
      </c>
      <c r="F66" s="13">
        <v>2.4335974169955601</v>
      </c>
      <c r="G66" s="19"/>
      <c r="I66" s="27">
        <f>AVERAGE(F65:F66)</f>
        <v>2.1866215782999574</v>
      </c>
      <c r="J66" s="27" t="e">
        <f>AVERAGE(G65:G66)</f>
        <v>#DIV/0!</v>
      </c>
    </row>
    <row r="67" spans="1:14">
      <c r="A67" s="8">
        <v>9</v>
      </c>
      <c r="B67" s="70">
        <v>37420</v>
      </c>
      <c r="C67" s="12">
        <v>2002</v>
      </c>
      <c r="D67" s="15" t="s">
        <v>23</v>
      </c>
      <c r="E67" s="12">
        <v>6</v>
      </c>
      <c r="F67" s="13">
        <v>5.3147026553096444</v>
      </c>
      <c r="G67" s="19"/>
    </row>
    <row r="68" spans="1:14">
      <c r="A68" s="8">
        <v>10</v>
      </c>
      <c r="B68" s="70">
        <v>37420</v>
      </c>
      <c r="C68" s="12">
        <v>2002</v>
      </c>
      <c r="D68" s="15" t="s">
        <v>23</v>
      </c>
      <c r="E68" s="12">
        <v>6</v>
      </c>
      <c r="F68" s="13">
        <v>4.260691903620927</v>
      </c>
      <c r="G68" s="19"/>
      <c r="I68" s="27">
        <f>AVERAGE(F67:F68)</f>
        <v>4.7876972794652861</v>
      </c>
      <c r="J68" s="27" t="e">
        <f>AVERAGE(G67:G68)</f>
        <v>#DIV/0!</v>
      </c>
    </row>
    <row r="69" spans="1:14">
      <c r="A69" s="8">
        <v>9</v>
      </c>
      <c r="B69" s="70">
        <v>37453</v>
      </c>
      <c r="C69" s="12">
        <v>2002</v>
      </c>
      <c r="D69" s="15" t="s">
        <v>24</v>
      </c>
      <c r="E69" s="12">
        <v>7</v>
      </c>
      <c r="F69" s="13">
        <v>10.683163546231519</v>
      </c>
      <c r="G69" s="19"/>
    </row>
    <row r="70" spans="1:14">
      <c r="A70" s="8">
        <v>10</v>
      </c>
      <c r="B70" s="70">
        <v>37453</v>
      </c>
      <c r="C70" s="12">
        <v>2002</v>
      </c>
      <c r="D70" s="15" t="s">
        <v>24</v>
      </c>
      <c r="E70" s="12">
        <v>7</v>
      </c>
      <c r="F70" s="13">
        <v>8.4764523140248631</v>
      </c>
      <c r="G70" s="19"/>
      <c r="I70" s="27">
        <f>AVERAGE(F69:F70)</f>
        <v>9.5798079301281902</v>
      </c>
      <c r="J70" s="27" t="e">
        <f>AVERAGE(G69:G70)</f>
        <v>#DIV/0!</v>
      </c>
    </row>
    <row r="71" spans="1:14">
      <c r="A71" s="8">
        <v>9</v>
      </c>
      <c r="B71" s="70">
        <v>37481</v>
      </c>
      <c r="C71" s="12">
        <v>2002</v>
      </c>
      <c r="D71" s="15" t="s">
        <v>25</v>
      </c>
      <c r="E71" s="12">
        <v>8</v>
      </c>
      <c r="F71" s="13">
        <v>7.9676668218483595</v>
      </c>
      <c r="G71" s="19"/>
    </row>
    <row r="72" spans="1:14">
      <c r="A72" s="8">
        <v>10</v>
      </c>
      <c r="B72" s="70">
        <v>37481</v>
      </c>
      <c r="C72" s="12">
        <v>2002</v>
      </c>
      <c r="D72" s="15" t="s">
        <v>25</v>
      </c>
      <c r="E72" s="12">
        <v>8</v>
      </c>
      <c r="F72" s="13">
        <v>4.6552995592289621</v>
      </c>
      <c r="G72" s="19"/>
      <c r="I72" s="27">
        <f>AVERAGE(F71:F72)</f>
        <v>6.3114831905386612</v>
      </c>
      <c r="J72" s="27" t="e">
        <f>AVERAGE(G71:G72)</f>
        <v>#DIV/0!</v>
      </c>
    </row>
    <row r="73" spans="1:14">
      <c r="A73" s="8">
        <v>9</v>
      </c>
      <c r="B73" s="70">
        <v>37518</v>
      </c>
      <c r="C73" s="12">
        <v>2002</v>
      </c>
      <c r="D73" s="15" t="s">
        <v>26</v>
      </c>
      <c r="E73" s="12">
        <v>9</v>
      </c>
      <c r="F73" s="13">
        <v>1.9085816221617367</v>
      </c>
      <c r="G73" s="19"/>
    </row>
    <row r="74" spans="1:14">
      <c r="A74" s="8">
        <v>10</v>
      </c>
      <c r="B74" s="70">
        <v>37518</v>
      </c>
      <c r="C74" s="12">
        <v>2002</v>
      </c>
      <c r="D74" s="15" t="s">
        <v>26</v>
      </c>
      <c r="E74" s="12">
        <v>9</v>
      </c>
      <c r="F74" s="13">
        <v>1.7816744587190372</v>
      </c>
      <c r="G74" s="19"/>
      <c r="I74" s="27">
        <f>AVERAGE(F73:F74)</f>
        <v>1.8451280404403869</v>
      </c>
      <c r="J74" s="27" t="e">
        <f>AVERAGE(G73:G74)</f>
        <v>#DIV/0!</v>
      </c>
    </row>
    <row r="75" spans="1:14">
      <c r="A75" s="8">
        <v>9</v>
      </c>
      <c r="B75" s="70">
        <v>37546</v>
      </c>
      <c r="C75" s="12">
        <v>2002</v>
      </c>
      <c r="D75" s="15" t="s">
        <v>14</v>
      </c>
      <c r="E75" s="12">
        <v>10</v>
      </c>
      <c r="F75" s="14">
        <v>1.2929485390832829</v>
      </c>
      <c r="G75" s="14">
        <v>0.34443415935485061</v>
      </c>
    </row>
    <row r="76" spans="1:14">
      <c r="A76" s="8">
        <v>10</v>
      </c>
      <c r="B76" s="70">
        <v>37546</v>
      </c>
      <c r="C76" s="12">
        <v>2002</v>
      </c>
      <c r="D76" s="15" t="s">
        <v>14</v>
      </c>
      <c r="E76" s="12">
        <v>10</v>
      </c>
      <c r="F76" s="14">
        <v>2.4992786733570096</v>
      </c>
      <c r="G76" s="14">
        <v>0.57341330123197498</v>
      </c>
      <c r="I76" s="27">
        <f>AVERAGE(F75:F76)</f>
        <v>1.8961136062201462</v>
      </c>
      <c r="J76" s="27">
        <f>AVERAGE(G75:G76)</f>
        <v>0.45892373029341282</v>
      </c>
      <c r="L76">
        <f>+J76/I76</f>
        <v>0.24203387855449521</v>
      </c>
      <c r="M76">
        <f>+(L76-$L$614)/$L$615</f>
        <v>-3.9098106922147706E-2</v>
      </c>
      <c r="N76">
        <f>+N64+M76</f>
        <v>-14.816195440641767</v>
      </c>
    </row>
    <row r="77" spans="1:14">
      <c r="A77" s="8">
        <v>9</v>
      </c>
      <c r="B77" s="70">
        <v>37574</v>
      </c>
      <c r="C77" s="12">
        <v>2002</v>
      </c>
      <c r="D77" s="15" t="s">
        <v>16</v>
      </c>
      <c r="E77" s="12">
        <v>11</v>
      </c>
      <c r="F77" s="14">
        <v>1.0867194293237217</v>
      </c>
      <c r="G77" s="14">
        <v>0.34087343526840319</v>
      </c>
    </row>
    <row r="78" spans="1:14">
      <c r="A78" s="8">
        <v>10</v>
      </c>
      <c r="B78" s="70">
        <v>37574</v>
      </c>
      <c r="C78" s="12">
        <v>2002</v>
      </c>
      <c r="D78" s="15" t="s">
        <v>16</v>
      </c>
      <c r="E78" s="12">
        <v>11</v>
      </c>
      <c r="F78" s="14">
        <v>1.0767334892909848</v>
      </c>
      <c r="G78" s="14">
        <v>0.12516282716334096</v>
      </c>
      <c r="I78" s="27">
        <f>AVERAGE(F77:F78)</f>
        <v>1.0817264593073532</v>
      </c>
      <c r="J78" s="27">
        <f>AVERAGE(G77:G78)</f>
        <v>0.23301813121587206</v>
      </c>
      <c r="L78">
        <f>+J78/I78</f>
        <v>0.21541317512476982</v>
      </c>
      <c r="M78">
        <f>+(L78-$L$614)/$L$615</f>
        <v>-0.3140999589935331</v>
      </c>
      <c r="N78">
        <f>+N76+M78</f>
        <v>-15.130295399635299</v>
      </c>
    </row>
    <row r="79" spans="1:14">
      <c r="A79" s="8">
        <v>9</v>
      </c>
      <c r="B79" s="70">
        <v>37608</v>
      </c>
      <c r="C79" s="12">
        <v>2002</v>
      </c>
      <c r="D79" s="15" t="s">
        <v>17</v>
      </c>
      <c r="E79" s="12">
        <v>12</v>
      </c>
      <c r="F79" s="14">
        <v>2.5888372076756232</v>
      </c>
      <c r="G79" s="14">
        <v>0.58889488883540586</v>
      </c>
    </row>
    <row r="80" spans="1:14">
      <c r="A80" s="8">
        <v>10</v>
      </c>
      <c r="B80" s="70">
        <v>37608</v>
      </c>
      <c r="C80" s="12">
        <v>2002</v>
      </c>
      <c r="D80" s="15" t="s">
        <v>17</v>
      </c>
      <c r="E80" s="12">
        <v>12</v>
      </c>
      <c r="F80" s="14">
        <v>2.8423970265451763</v>
      </c>
      <c r="G80" s="14">
        <v>0.64029351771613074</v>
      </c>
      <c r="I80" s="27">
        <f>AVERAGE(F79:F80)</f>
        <v>2.7156171171103995</v>
      </c>
      <c r="J80" s="27">
        <f>AVERAGE(G79:G80)</f>
        <v>0.6145942032757683</v>
      </c>
      <c r="L80">
        <f>+J80/I80</f>
        <v>0.2263184303130841</v>
      </c>
      <c r="M80">
        <f>+(L80-$L$614)/$L$615</f>
        <v>-0.20144458224834957</v>
      </c>
      <c r="N80">
        <f>+N78+M80</f>
        <v>-15.331739981883649</v>
      </c>
    </row>
    <row r="81" spans="1:14">
      <c r="A81" s="8">
        <v>9</v>
      </c>
      <c r="B81" s="70">
        <v>37636</v>
      </c>
      <c r="C81" s="12">
        <v>2003</v>
      </c>
      <c r="D81" s="15" t="s">
        <v>18</v>
      </c>
      <c r="E81" s="12">
        <v>1</v>
      </c>
      <c r="F81" s="14">
        <v>3.1264525681107216</v>
      </c>
      <c r="G81" s="14">
        <v>1.1607435016324106</v>
      </c>
    </row>
    <row r="82" spans="1:14">
      <c r="A82" s="8">
        <v>10</v>
      </c>
      <c r="B82" s="70">
        <v>37636</v>
      </c>
      <c r="C82" s="12">
        <v>2003</v>
      </c>
      <c r="D82" s="15" t="s">
        <v>18</v>
      </c>
      <c r="E82" s="12">
        <v>1</v>
      </c>
      <c r="F82" s="14">
        <v>3.2980055779066113</v>
      </c>
      <c r="G82" s="14">
        <v>0.87674040842545797</v>
      </c>
      <c r="I82" s="27">
        <f>AVERAGE(F81:F82)</f>
        <v>3.2122290730086664</v>
      </c>
      <c r="J82" s="27">
        <f>AVERAGE(G81:G82)</f>
        <v>1.0187419550289343</v>
      </c>
      <c r="L82">
        <f>+J82/I82</f>
        <v>0.31714486478847265</v>
      </c>
      <c r="M82">
        <f>+(L82-$L$614)/$L$615</f>
        <v>0.73682655561653876</v>
      </c>
      <c r="N82">
        <f>+N80+M82</f>
        <v>-14.594913426267111</v>
      </c>
    </row>
    <row r="83" spans="1:14">
      <c r="A83" s="8">
        <v>9</v>
      </c>
      <c r="B83" s="70">
        <v>37663</v>
      </c>
      <c r="C83" s="12">
        <v>2003</v>
      </c>
      <c r="D83" s="11" t="s">
        <v>19</v>
      </c>
      <c r="E83" s="12">
        <v>2</v>
      </c>
      <c r="F83" s="14">
        <v>3.1713906033163646</v>
      </c>
      <c r="G83" s="14">
        <v>1.1426493368951982</v>
      </c>
    </row>
    <row r="84" spans="1:14">
      <c r="A84" s="8">
        <v>10</v>
      </c>
      <c r="B84" s="70">
        <v>37663</v>
      </c>
      <c r="C84" s="12">
        <v>2003</v>
      </c>
      <c r="D84" s="11" t="s">
        <v>19</v>
      </c>
      <c r="E84" s="12">
        <v>2</v>
      </c>
      <c r="F84" s="14">
        <v>4.0365013086057164</v>
      </c>
      <c r="G84" s="14">
        <v>1.1426805748797479</v>
      </c>
      <c r="I84" s="27">
        <f>AVERAGE(F83:F84)</f>
        <v>3.6039459559610405</v>
      </c>
      <c r="J84" s="27">
        <f>AVERAGE(G83:G84)</f>
        <v>1.1426649558874731</v>
      </c>
      <c r="L84">
        <f>+J84/I84</f>
        <v>0.31705940373425112</v>
      </c>
      <c r="M84">
        <f>+(L84-$L$614)/$L$615</f>
        <v>0.73594371086929411</v>
      </c>
      <c r="N84">
        <f>+N82+M84</f>
        <v>-13.858969715397816</v>
      </c>
    </row>
    <row r="85" spans="1:14">
      <c r="A85" s="8">
        <v>9</v>
      </c>
      <c r="B85" s="70">
        <v>37691</v>
      </c>
      <c r="C85" s="12">
        <v>2003</v>
      </c>
      <c r="D85" s="11" t="s">
        <v>20</v>
      </c>
      <c r="E85" s="12">
        <v>3</v>
      </c>
      <c r="F85" s="14">
        <v>5.0388886297177624</v>
      </c>
      <c r="G85" s="14">
        <v>1.6815956410677575</v>
      </c>
    </row>
    <row r="86" spans="1:14">
      <c r="A86" s="8">
        <v>10</v>
      </c>
      <c r="B86" s="70">
        <v>37691</v>
      </c>
      <c r="C86" s="12">
        <v>2003</v>
      </c>
      <c r="D86" s="11" t="s">
        <v>20</v>
      </c>
      <c r="E86" s="12">
        <v>3</v>
      </c>
      <c r="F86" s="14">
        <v>7.6414041120201084</v>
      </c>
      <c r="G86" s="14">
        <v>2.3893810892381824</v>
      </c>
      <c r="I86" s="27">
        <f>AVERAGE(F85:F86)</f>
        <v>6.3401463708689354</v>
      </c>
      <c r="J86" s="27">
        <f>AVERAGE(G85:G86)</f>
        <v>2.03548836515297</v>
      </c>
      <c r="L86">
        <f>+J86/I86</f>
        <v>0.32104753519657314</v>
      </c>
      <c r="M86">
        <f>+(L86-$L$614)/$L$615</f>
        <v>0.77714260485562148</v>
      </c>
      <c r="N86">
        <f>+N84+M86</f>
        <v>-13.081827110542195</v>
      </c>
    </row>
    <row r="87" spans="1:14">
      <c r="A87" s="8">
        <v>9</v>
      </c>
      <c r="B87" s="70">
        <v>37727</v>
      </c>
      <c r="C87" s="12">
        <v>2003</v>
      </c>
      <c r="D87" s="11" t="s">
        <v>21</v>
      </c>
      <c r="E87" s="12">
        <v>4</v>
      </c>
      <c r="F87" s="14">
        <v>12.053436115301217</v>
      </c>
      <c r="G87" s="14">
        <v>5.9619603296594335</v>
      </c>
    </row>
    <row r="88" spans="1:14">
      <c r="A88" s="8">
        <v>10</v>
      </c>
      <c r="B88" s="70">
        <v>37727</v>
      </c>
      <c r="C88" s="12">
        <v>2003</v>
      </c>
      <c r="D88" s="11" t="s">
        <v>21</v>
      </c>
      <c r="E88" s="12">
        <v>4</v>
      </c>
      <c r="F88" s="14">
        <v>13.397116729720528</v>
      </c>
      <c r="G88" s="14">
        <v>5.7964300519043936</v>
      </c>
      <c r="I88" s="27">
        <f>AVERAGE(F87:F88)</f>
        <v>12.725276422510873</v>
      </c>
      <c r="J88" s="27">
        <f>AVERAGE(G87:G88)</f>
        <v>5.879195190781914</v>
      </c>
      <c r="L88">
        <f>+J88/I88</f>
        <v>0.46200923230097246</v>
      </c>
      <c r="M88">
        <f>+(L88-$L$614)/$L$615</f>
        <v>2.2333298118228768</v>
      </c>
      <c r="N88">
        <f>+N86+M88</f>
        <v>-10.848497298719318</v>
      </c>
    </row>
    <row r="89" spans="1:14">
      <c r="A89" s="8">
        <v>9</v>
      </c>
      <c r="B89" s="70">
        <v>37756</v>
      </c>
      <c r="C89" s="12">
        <v>2003</v>
      </c>
      <c r="D89" s="11" t="s">
        <v>22</v>
      </c>
      <c r="E89" s="12">
        <v>5</v>
      </c>
      <c r="F89" s="14">
        <v>1.8476474728478067</v>
      </c>
      <c r="G89" s="14">
        <v>0.64146033927334389</v>
      </c>
    </row>
    <row r="90" spans="1:14">
      <c r="A90" s="8">
        <v>10</v>
      </c>
      <c r="B90" s="70">
        <v>37756</v>
      </c>
      <c r="C90" s="12">
        <v>2003</v>
      </c>
      <c r="D90" s="11" t="s">
        <v>22</v>
      </c>
      <c r="E90" s="12">
        <v>5</v>
      </c>
      <c r="F90" s="14">
        <v>4.152192391345797</v>
      </c>
      <c r="G90" s="14">
        <v>0.78772361680645719</v>
      </c>
      <c r="I90" s="27">
        <f>AVERAGE(F89:F90)</f>
        <v>2.9999199320968017</v>
      </c>
      <c r="J90" s="27">
        <f>AVERAGE(G89:G90)</f>
        <v>0.7145919780399006</v>
      </c>
      <c r="L90">
        <f>+J90/I90</f>
        <v>0.23820368350312426</v>
      </c>
      <c r="M90">
        <f>+(L90-$L$614)/$L$615</f>
        <v>-7.8665458540118458E-2</v>
      </c>
      <c r="N90">
        <f>+N88+M90</f>
        <v>-10.927162757259437</v>
      </c>
    </row>
    <row r="91" spans="1:14">
      <c r="A91" s="8">
        <v>9</v>
      </c>
      <c r="B91" s="70">
        <v>37790</v>
      </c>
      <c r="C91" s="12">
        <v>2003</v>
      </c>
      <c r="D91" s="11" t="s">
        <v>23</v>
      </c>
      <c r="E91" s="12">
        <v>6</v>
      </c>
      <c r="F91" s="14">
        <v>25.687010217391375</v>
      </c>
      <c r="G91" s="14">
        <v>12.851072918188116</v>
      </c>
    </row>
    <row r="92" spans="1:14">
      <c r="A92" s="8">
        <v>10</v>
      </c>
      <c r="B92" s="70">
        <v>37790</v>
      </c>
      <c r="C92" s="12">
        <v>2003</v>
      </c>
      <c r="D92" s="11" t="s">
        <v>23</v>
      </c>
      <c r="E92" s="12">
        <v>6</v>
      </c>
      <c r="F92" s="14">
        <v>23.761915212820931</v>
      </c>
      <c r="G92" s="14">
        <v>12.108158166220349</v>
      </c>
      <c r="I92" s="27">
        <f>AVERAGE(F91:F92)</f>
        <v>24.724462715106153</v>
      </c>
      <c r="J92" s="27">
        <f>AVERAGE(G91:G92)</f>
        <v>12.479615542204233</v>
      </c>
      <c r="L92">
        <f>+J92/I92</f>
        <v>0.50474769405522557</v>
      </c>
      <c r="M92">
        <f>+(L92-$L$614)/$L$615</f>
        <v>2.6748341532888422</v>
      </c>
      <c r="N92">
        <f>+N90+M92</f>
        <v>-8.2523286039705948</v>
      </c>
    </row>
    <row r="93" spans="1:14">
      <c r="A93" s="8">
        <v>9</v>
      </c>
      <c r="B93" s="70">
        <v>37818</v>
      </c>
      <c r="C93" s="12">
        <v>2003</v>
      </c>
      <c r="D93" s="15" t="s">
        <v>24</v>
      </c>
      <c r="E93" s="12">
        <v>7</v>
      </c>
      <c r="F93" s="14">
        <v>17.655619443896327</v>
      </c>
      <c r="G93" s="14">
        <v>3.4673334892972134</v>
      </c>
    </row>
    <row r="94" spans="1:14">
      <c r="A94" s="8">
        <v>10</v>
      </c>
      <c r="B94" s="70">
        <v>37818</v>
      </c>
      <c r="C94" s="12">
        <v>2003</v>
      </c>
      <c r="D94" s="15" t="s">
        <v>24</v>
      </c>
      <c r="E94" s="12">
        <v>7</v>
      </c>
      <c r="F94" s="14">
        <v>16.888009174651454</v>
      </c>
      <c r="G94" s="14">
        <v>2.7355301404133519</v>
      </c>
      <c r="I94" s="27">
        <f>AVERAGE(F93:F94)</f>
        <v>17.271814309273893</v>
      </c>
      <c r="J94" s="27">
        <f>AVERAGE(G93:G94)</f>
        <v>3.1014318148552826</v>
      </c>
      <c r="L94">
        <f>+J94/I94</f>
        <v>0.17956606985926232</v>
      </c>
      <c r="M94">
        <f>+(L94-$L$614)/$L$615</f>
        <v>-0.68441400292690047</v>
      </c>
      <c r="N94">
        <f>+N92+M94</f>
        <v>-8.9367426068974947</v>
      </c>
    </row>
    <row r="95" spans="1:14">
      <c r="A95" s="8">
        <v>9</v>
      </c>
      <c r="B95" s="70">
        <v>37846</v>
      </c>
      <c r="C95" s="12">
        <v>2003</v>
      </c>
      <c r="D95" s="15" t="s">
        <v>25</v>
      </c>
      <c r="E95" s="12">
        <v>8</v>
      </c>
      <c r="F95" s="14">
        <v>24.113811290922982</v>
      </c>
      <c r="G95" s="14">
        <v>8.431359273479778</v>
      </c>
    </row>
    <row r="96" spans="1:14">
      <c r="A96" s="8">
        <v>10</v>
      </c>
      <c r="B96" s="70">
        <v>37846</v>
      </c>
      <c r="C96" s="12">
        <v>2003</v>
      </c>
      <c r="D96" s="15" t="s">
        <v>25</v>
      </c>
      <c r="E96" s="12">
        <v>8</v>
      </c>
      <c r="F96" s="14">
        <v>18.957917819459027</v>
      </c>
      <c r="G96" s="14">
        <v>5.695922304972175</v>
      </c>
      <c r="I96" s="27">
        <f>AVERAGE(F95:F96)</f>
        <v>21.535864555191004</v>
      </c>
      <c r="J96" s="27">
        <f>AVERAGE(G95:G96)</f>
        <v>7.0636407892259765</v>
      </c>
      <c r="L96">
        <f>+J96/I96</f>
        <v>0.32799429858613949</v>
      </c>
      <c r="M96">
        <f>+(L96-$L$614)/$L$615</f>
        <v>0.84890527645727665</v>
      </c>
      <c r="N96">
        <f>+N94+M96</f>
        <v>-8.0878373304402178</v>
      </c>
    </row>
    <row r="97" spans="1:14">
      <c r="A97" s="8">
        <v>9</v>
      </c>
      <c r="B97" s="70">
        <v>37886</v>
      </c>
      <c r="C97" s="12">
        <v>2003</v>
      </c>
      <c r="D97" s="15" t="s">
        <v>26</v>
      </c>
      <c r="E97" s="12">
        <v>9</v>
      </c>
      <c r="F97" s="14">
        <v>13.35583266019621</v>
      </c>
      <c r="G97" s="14">
        <v>2.9926865107898353</v>
      </c>
    </row>
    <row r="98" spans="1:14">
      <c r="A98" s="8">
        <v>10</v>
      </c>
      <c r="B98" s="70">
        <v>37886</v>
      </c>
      <c r="C98" s="12">
        <v>2003</v>
      </c>
      <c r="D98" s="15" t="s">
        <v>26</v>
      </c>
      <c r="E98" s="12">
        <v>9</v>
      </c>
      <c r="F98" s="14">
        <v>11.568462130128601</v>
      </c>
      <c r="G98" s="14">
        <v>1.8461065784330006</v>
      </c>
      <c r="I98" s="27">
        <f>AVERAGE(F97:F98)</f>
        <v>12.462147395162406</v>
      </c>
      <c r="J98" s="27">
        <f>AVERAGE(G97:G98)</f>
        <v>2.4193965446114181</v>
      </c>
      <c r="L98">
        <f>+J98/I98</f>
        <v>0.19413961879078614</v>
      </c>
      <c r="M98">
        <f>+(L98-$L$614)/$L$615</f>
        <v>-0.53386377580755073</v>
      </c>
      <c r="N98">
        <f>+N96+M98</f>
        <v>-8.6217011062477678</v>
      </c>
    </row>
    <row r="99" spans="1:14">
      <c r="A99" s="8">
        <v>9</v>
      </c>
      <c r="B99" s="70">
        <v>37910</v>
      </c>
      <c r="C99" s="12">
        <v>2003</v>
      </c>
      <c r="D99" s="15" t="s">
        <v>14</v>
      </c>
      <c r="E99" s="12">
        <v>10</v>
      </c>
      <c r="F99" s="13">
        <v>1.7733000000000001</v>
      </c>
      <c r="G99" s="14">
        <v>0.15930951969429141</v>
      </c>
    </row>
    <row r="100" spans="1:14">
      <c r="A100" s="8">
        <v>10</v>
      </c>
      <c r="B100" s="70">
        <v>37910</v>
      </c>
      <c r="C100" s="12">
        <v>2003</v>
      </c>
      <c r="D100" s="15" t="s">
        <v>14</v>
      </c>
      <c r="E100" s="12">
        <v>10</v>
      </c>
      <c r="F100" s="13">
        <v>2.1722999999999999</v>
      </c>
      <c r="G100" s="14">
        <v>0.12804640833142622</v>
      </c>
      <c r="I100" s="27">
        <f>AVERAGE(F99:F100)</f>
        <v>1.9727999999999999</v>
      </c>
      <c r="J100" s="27">
        <f>AVERAGE(G99:G100)</f>
        <v>0.14367796401285882</v>
      </c>
      <c r="L100">
        <f>+J100/I100</f>
        <v>7.282946269913769E-2</v>
      </c>
      <c r="M100">
        <f>+(L100-$L$614)/$L$615</f>
        <v>-1.7870431926602597</v>
      </c>
      <c r="N100">
        <f>+N98+M100</f>
        <v>-10.408744298908028</v>
      </c>
    </row>
    <row r="101" spans="1:14">
      <c r="A101" s="8">
        <v>9</v>
      </c>
      <c r="B101" s="70">
        <v>37942</v>
      </c>
      <c r="C101" s="12">
        <v>2003</v>
      </c>
      <c r="D101" s="15" t="s">
        <v>16</v>
      </c>
      <c r="E101" s="12">
        <v>11</v>
      </c>
      <c r="F101" s="13">
        <v>0.86929999999999996</v>
      </c>
      <c r="G101" s="14">
        <v>0.1246126040305244</v>
      </c>
    </row>
    <row r="102" spans="1:14">
      <c r="A102" s="8">
        <v>10</v>
      </c>
      <c r="B102" s="70">
        <v>37942</v>
      </c>
      <c r="C102" s="12">
        <v>2003</v>
      </c>
      <c r="D102" s="15" t="s">
        <v>16</v>
      </c>
      <c r="E102" s="12">
        <v>11</v>
      </c>
      <c r="F102" s="13">
        <v>1.3080000000000001</v>
      </c>
      <c r="G102" s="14">
        <v>0.17758804068981757</v>
      </c>
      <c r="I102" s="27">
        <f>AVERAGE(F101:F102)</f>
        <v>1.0886499999999999</v>
      </c>
      <c r="J102" s="27">
        <f>AVERAGE(G101:G102)</f>
        <v>0.15110032236017099</v>
      </c>
      <c r="L102">
        <f>+J102/I102</f>
        <v>0.13879605232183989</v>
      </c>
      <c r="M102">
        <f>+(L102-$L$614)/$L$615</f>
        <v>-1.1055835772535729</v>
      </c>
      <c r="N102">
        <f>+N100+M102</f>
        <v>-11.5143278761616</v>
      </c>
    </row>
    <row r="103" spans="1:14">
      <c r="A103" s="8">
        <v>9</v>
      </c>
      <c r="B103" s="70">
        <v>37971</v>
      </c>
      <c r="C103" s="12">
        <v>2003</v>
      </c>
      <c r="D103" s="15" t="s">
        <v>17</v>
      </c>
      <c r="E103" s="12">
        <v>12</v>
      </c>
      <c r="F103" s="13">
        <v>3.5051000000000001</v>
      </c>
      <c r="G103" s="14">
        <v>0.62456426793931374</v>
      </c>
    </row>
    <row r="104" spans="1:14">
      <c r="A104" s="8">
        <v>10</v>
      </c>
      <c r="B104" s="70">
        <v>37971</v>
      </c>
      <c r="C104" s="12">
        <v>2003</v>
      </c>
      <c r="D104" s="15" t="s">
        <v>17</v>
      </c>
      <c r="E104" s="12">
        <v>12</v>
      </c>
      <c r="F104" s="13">
        <v>4.6539000000000001</v>
      </c>
      <c r="G104" s="14">
        <v>0.97874857922821323</v>
      </c>
      <c r="I104" s="27">
        <f>AVERAGE(F103:F104)</f>
        <v>4.0795000000000003</v>
      </c>
      <c r="J104" s="27">
        <f>AVERAGE(G103:G104)</f>
        <v>0.80165642358376354</v>
      </c>
      <c r="L104">
        <f>+J104/I104</f>
        <v>0.1965084994689946</v>
      </c>
      <c r="M104">
        <f>+(L104-$L$614)/$L$615</f>
        <v>-0.5093923498152525</v>
      </c>
      <c r="N104">
        <f>+N102+M104</f>
        <v>-12.023720225976852</v>
      </c>
    </row>
    <row r="105" spans="1:14">
      <c r="A105" s="8">
        <v>9</v>
      </c>
      <c r="B105" s="70">
        <v>37998</v>
      </c>
      <c r="C105" s="12">
        <v>2004</v>
      </c>
      <c r="D105" s="15" t="s">
        <v>18</v>
      </c>
      <c r="E105" s="12">
        <v>1</v>
      </c>
      <c r="F105" s="13">
        <v>5.7762000000000002</v>
      </c>
      <c r="G105" s="13">
        <v>1.6849382831383986</v>
      </c>
    </row>
    <row r="106" spans="1:14">
      <c r="A106" s="8">
        <v>10</v>
      </c>
      <c r="B106" s="70">
        <v>37998</v>
      </c>
      <c r="C106" s="12">
        <v>2004</v>
      </c>
      <c r="D106" s="15" t="s">
        <v>18</v>
      </c>
      <c r="E106" s="12">
        <v>1</v>
      </c>
      <c r="F106" s="13">
        <v>5.8978000000000002</v>
      </c>
      <c r="G106" s="13">
        <v>1.7167289948778295</v>
      </c>
      <c r="I106" s="27">
        <f>AVERAGE(F105:F106)</f>
        <v>5.8369999999999997</v>
      </c>
      <c r="J106" s="27">
        <f>AVERAGE(G105:G106)</f>
        <v>1.700833639008114</v>
      </c>
      <c r="L106">
        <f>+J106/I106</f>
        <v>0.29138832259861469</v>
      </c>
      <c r="M106">
        <f>+(L106-$L$614)/$L$615</f>
        <v>0.47075181330689198</v>
      </c>
      <c r="N106">
        <f>+N104+M106</f>
        <v>-11.55296841266996</v>
      </c>
    </row>
    <row r="107" spans="1:14">
      <c r="A107" s="8">
        <v>9</v>
      </c>
      <c r="B107" s="70">
        <v>38026</v>
      </c>
      <c r="C107" s="12">
        <v>2004</v>
      </c>
      <c r="D107" s="11" t="s">
        <v>19</v>
      </c>
      <c r="E107" s="12">
        <v>2</v>
      </c>
      <c r="F107" s="13">
        <v>13.942399999999999</v>
      </c>
      <c r="G107" s="13">
        <v>4.0355978152652936</v>
      </c>
    </row>
    <row r="108" spans="1:14">
      <c r="A108" s="8">
        <v>10</v>
      </c>
      <c r="B108" s="70">
        <v>38026</v>
      </c>
      <c r="C108" s="12">
        <v>2004</v>
      </c>
      <c r="D108" s="11" t="s">
        <v>19</v>
      </c>
      <c r="E108" s="12">
        <v>2</v>
      </c>
      <c r="F108" s="13">
        <v>27.691099999999999</v>
      </c>
      <c r="G108" s="13">
        <v>7.4831906949446898</v>
      </c>
      <c r="I108" s="27">
        <f>AVERAGE(F107:F108)</f>
        <v>20.816749999999999</v>
      </c>
      <c r="J108" s="27">
        <f>AVERAGE(G107:G108)</f>
        <v>5.7593942551049917</v>
      </c>
      <c r="L108">
        <f>+J108/I108</f>
        <v>0.27667115448400886</v>
      </c>
      <c r="M108">
        <f>+(L108-$L$614)/$L$615</f>
        <v>0.31871794615358168</v>
      </c>
      <c r="N108">
        <f>+N106+M108</f>
        <v>-11.234250466516379</v>
      </c>
    </row>
    <row r="109" spans="1:14">
      <c r="A109" s="8">
        <v>9</v>
      </c>
      <c r="B109" s="70">
        <v>38061</v>
      </c>
      <c r="C109" s="12">
        <v>2004</v>
      </c>
      <c r="D109" s="11" t="s">
        <v>20</v>
      </c>
      <c r="E109" s="12">
        <v>3</v>
      </c>
      <c r="F109" s="13">
        <v>10.276</v>
      </c>
      <c r="G109" s="13">
        <v>4.6035466157951683</v>
      </c>
    </row>
    <row r="110" spans="1:14">
      <c r="A110" s="8">
        <v>10</v>
      </c>
      <c r="B110" s="70">
        <v>38061</v>
      </c>
      <c r="C110" s="12">
        <v>2004</v>
      </c>
      <c r="D110" s="11" t="s">
        <v>20</v>
      </c>
      <c r="E110" s="12">
        <v>3</v>
      </c>
      <c r="F110" s="13">
        <v>9.8984000000000005</v>
      </c>
      <c r="G110" s="13">
        <v>4.2670753004649598</v>
      </c>
      <c r="I110" s="27">
        <f>AVERAGE(F109:F110)</f>
        <v>10.087199999999999</v>
      </c>
      <c r="J110" s="27">
        <f>AVERAGE(G109:G110)</f>
        <v>4.4353109581300636</v>
      </c>
      <c r="L110">
        <f>+J110/I110</f>
        <v>0.4396969385092061</v>
      </c>
      <c r="M110">
        <f>+(L110-$L$614)/$L$615</f>
        <v>2.0028354474310972</v>
      </c>
      <c r="N110">
        <f>+N108+M110</f>
        <v>-9.2314150190852811</v>
      </c>
    </row>
    <row r="111" spans="1:14">
      <c r="A111" s="8">
        <v>9</v>
      </c>
      <c r="B111" s="70">
        <v>38093</v>
      </c>
      <c r="C111" s="12">
        <v>2004</v>
      </c>
      <c r="D111" s="11" t="s">
        <v>21</v>
      </c>
      <c r="E111" s="12">
        <v>4</v>
      </c>
      <c r="F111" s="13">
        <v>1.6172</v>
      </c>
      <c r="G111" s="20">
        <v>0.35943314923909303</v>
      </c>
    </row>
    <row r="112" spans="1:14">
      <c r="A112" s="8">
        <v>10</v>
      </c>
      <c r="B112" s="70">
        <v>38093</v>
      </c>
      <c r="C112" s="12">
        <v>2004</v>
      </c>
      <c r="D112" s="11" t="s">
        <v>21</v>
      </c>
      <c r="E112" s="12">
        <v>4</v>
      </c>
      <c r="F112" s="13">
        <v>1.2706999999999999</v>
      </c>
      <c r="G112" s="20">
        <v>0.26871623775691356</v>
      </c>
      <c r="I112" s="27">
        <f>AVERAGE(F111:F112)</f>
        <v>1.4439500000000001</v>
      </c>
      <c r="J112" s="27">
        <f>AVERAGE(G111:G112)</f>
        <v>0.31407469349800332</v>
      </c>
      <c r="L112">
        <f>+J112/I112</f>
        <v>0.21751078188164638</v>
      </c>
      <c r="M112">
        <f>+(L112-$L$614)/$L$615</f>
        <v>-0.29243089436564706</v>
      </c>
      <c r="N112">
        <f>+N110+M112</f>
        <v>-9.5238459134509288</v>
      </c>
    </row>
    <row r="113" spans="1:14">
      <c r="A113" s="8">
        <v>9</v>
      </c>
      <c r="B113" s="70">
        <v>38117</v>
      </c>
      <c r="C113" s="12">
        <v>2004</v>
      </c>
      <c r="D113" s="11" t="s">
        <v>22</v>
      </c>
      <c r="E113" s="12">
        <v>5</v>
      </c>
      <c r="F113" s="13">
        <v>2.1907000000000001</v>
      </c>
      <c r="G113" s="20">
        <v>0.68361484968712094</v>
      </c>
    </row>
    <row r="114" spans="1:14">
      <c r="A114" s="8">
        <v>10</v>
      </c>
      <c r="B114" s="70">
        <v>38117</v>
      </c>
      <c r="C114" s="12">
        <v>2004</v>
      </c>
      <c r="D114" s="11" t="s">
        <v>22</v>
      </c>
      <c r="E114" s="12">
        <v>5</v>
      </c>
      <c r="F114" s="13">
        <v>2.0653000000000001</v>
      </c>
      <c r="G114" s="20">
        <v>0.42293627566683517</v>
      </c>
      <c r="I114" s="27">
        <f>AVERAGE(F113:F114)</f>
        <v>2.1280000000000001</v>
      </c>
      <c r="J114" s="27">
        <f>AVERAGE(G113:G114)</f>
        <v>0.55327556267697808</v>
      </c>
      <c r="L114">
        <f>+J114/I114</f>
        <v>0.259997914791813</v>
      </c>
      <c r="M114">
        <f>+(L114-$L$614)/$L$615</f>
        <v>0.14647712586541184</v>
      </c>
      <c r="N114">
        <f>+N112+M114</f>
        <v>-9.3773687875855174</v>
      </c>
    </row>
    <row r="115" spans="1:14">
      <c r="A115" s="8">
        <v>9</v>
      </c>
      <c r="B115" s="70">
        <v>38160</v>
      </c>
      <c r="C115" s="12">
        <v>2004</v>
      </c>
      <c r="D115" s="11" t="s">
        <v>23</v>
      </c>
      <c r="E115" s="12">
        <v>6</v>
      </c>
      <c r="F115" s="13">
        <v>26.334599999999998</v>
      </c>
      <c r="G115" s="20">
        <v>6.9889656781480136</v>
      </c>
    </row>
    <row r="116" spans="1:14">
      <c r="A116" s="8">
        <v>10</v>
      </c>
      <c r="B116" s="70">
        <v>38160</v>
      </c>
      <c r="C116" s="12">
        <v>2004</v>
      </c>
      <c r="D116" s="11" t="s">
        <v>23</v>
      </c>
      <c r="E116" s="12">
        <v>6</v>
      </c>
      <c r="F116" s="13">
        <v>21.081700000000001</v>
      </c>
      <c r="G116" s="20">
        <v>8.8286223790994978</v>
      </c>
      <c r="I116" s="27">
        <f>AVERAGE(F115:F116)</f>
        <v>23.70815</v>
      </c>
      <c r="J116" s="27">
        <f>AVERAGE(G115:G116)</f>
        <v>7.9087940286237561</v>
      </c>
      <c r="L116">
        <f>+J116/I116</f>
        <v>0.33358967395700451</v>
      </c>
      <c r="M116">
        <f>+(L116-$L$614)/$L$615</f>
        <v>0.90670760290911256</v>
      </c>
      <c r="N116">
        <f>+N114+M116</f>
        <v>-8.4706611846764055</v>
      </c>
    </row>
    <row r="117" spans="1:14">
      <c r="A117" s="8">
        <v>9</v>
      </c>
      <c r="B117" s="70">
        <v>38182</v>
      </c>
      <c r="C117" s="12">
        <v>2004</v>
      </c>
      <c r="D117" s="15" t="s">
        <v>24</v>
      </c>
      <c r="E117" s="12">
        <v>7</v>
      </c>
      <c r="F117" s="13">
        <v>14.373200000000001</v>
      </c>
      <c r="G117" s="20">
        <v>2.8380220283951529</v>
      </c>
    </row>
    <row r="118" spans="1:14">
      <c r="A118" s="8">
        <v>10</v>
      </c>
      <c r="B118" s="70">
        <v>38183</v>
      </c>
      <c r="C118" s="12">
        <v>2004</v>
      </c>
      <c r="D118" s="15" t="s">
        <v>24</v>
      </c>
      <c r="E118" s="12">
        <v>7</v>
      </c>
      <c r="F118" s="13">
        <v>11.0466</v>
      </c>
      <c r="G118" s="20">
        <v>2.1664427328323703</v>
      </c>
      <c r="I118" s="27">
        <f>AVERAGE(F117:F118)</f>
        <v>12.709900000000001</v>
      </c>
      <c r="J118" s="27">
        <f>AVERAGE(G117:G118)</f>
        <v>2.5022323806137616</v>
      </c>
      <c r="L118">
        <f>+J118/I118</f>
        <v>0.19687270400347456</v>
      </c>
      <c r="M118">
        <f>+(L118-$L$614)/$L$615</f>
        <v>-0.505629980357992</v>
      </c>
      <c r="N118">
        <f>+N116+M118</f>
        <v>-8.9762911650343966</v>
      </c>
    </row>
    <row r="119" spans="1:14">
      <c r="A119" s="8">
        <v>9</v>
      </c>
      <c r="B119" s="70">
        <v>38218</v>
      </c>
      <c r="C119" s="12">
        <v>2004</v>
      </c>
      <c r="D119" s="15" t="s">
        <v>25</v>
      </c>
      <c r="E119" s="12">
        <v>8</v>
      </c>
      <c r="F119" s="13">
        <v>20.988299999999999</v>
      </c>
      <c r="G119" s="20">
        <v>7.0399304810656416</v>
      </c>
    </row>
    <row r="120" spans="1:14">
      <c r="A120" s="8">
        <v>10</v>
      </c>
      <c r="B120" s="70">
        <v>38218</v>
      </c>
      <c r="C120" s="12">
        <v>2004</v>
      </c>
      <c r="D120" s="15" t="s">
        <v>25</v>
      </c>
      <c r="E120" s="12">
        <v>8</v>
      </c>
      <c r="F120" s="13">
        <v>21.952300000000001</v>
      </c>
      <c r="G120" s="20">
        <v>5.1062949967024265</v>
      </c>
      <c r="I120" s="27">
        <f>AVERAGE(F119:F120)</f>
        <v>21.470300000000002</v>
      </c>
      <c r="J120" s="27">
        <f>AVERAGE(G119:G120)</f>
        <v>6.073112738884034</v>
      </c>
      <c r="L120">
        <f>+J120/I120</f>
        <v>0.28286110296009059</v>
      </c>
      <c r="M120">
        <f>+(L120-$L$614)/$L$615</f>
        <v>0.38266243581151277</v>
      </c>
      <c r="N120">
        <f>+N118+M120</f>
        <v>-8.5936287292228837</v>
      </c>
    </row>
    <row r="121" spans="1:14">
      <c r="A121" s="8">
        <v>9</v>
      </c>
      <c r="B121" s="70">
        <v>38246</v>
      </c>
      <c r="C121" s="12">
        <v>2004</v>
      </c>
      <c r="D121" s="15" t="s">
        <v>26</v>
      </c>
      <c r="E121" s="12">
        <v>9</v>
      </c>
      <c r="F121" s="13">
        <v>3.903</v>
      </c>
      <c r="G121" s="20">
        <v>1.2969792186079121</v>
      </c>
    </row>
    <row r="122" spans="1:14">
      <c r="A122" s="8">
        <v>10</v>
      </c>
      <c r="B122" s="70">
        <v>38246</v>
      </c>
      <c r="C122" s="12">
        <v>2004</v>
      </c>
      <c r="D122" s="15" t="s">
        <v>26</v>
      </c>
      <c r="E122" s="12">
        <v>9</v>
      </c>
      <c r="F122" s="13">
        <v>3.9117999999999999</v>
      </c>
      <c r="G122" s="20">
        <v>0.87897330315792699</v>
      </c>
      <c r="I122" s="27">
        <f>AVERAGE(F121:F122)</f>
        <v>3.9074</v>
      </c>
      <c r="J122" s="27">
        <f>AVERAGE(G121:G122)</f>
        <v>1.0879762608829195</v>
      </c>
      <c r="L122">
        <f>+J122/I122</f>
        <v>0.27843995006472833</v>
      </c>
      <c r="M122">
        <f>+(L122-$L$614)/$L$615</f>
        <v>0.33699026799201898</v>
      </c>
      <c r="N122">
        <f>+N120+M122</f>
        <v>-8.2566384612308639</v>
      </c>
    </row>
    <row r="123" spans="1:14">
      <c r="A123" s="8">
        <v>9</v>
      </c>
      <c r="B123" s="70">
        <v>38274</v>
      </c>
      <c r="C123" s="12">
        <v>2004</v>
      </c>
      <c r="D123" s="15" t="s">
        <v>14</v>
      </c>
      <c r="E123" s="12">
        <v>10</v>
      </c>
      <c r="F123" s="14">
        <v>1.80636</v>
      </c>
      <c r="G123" s="14">
        <v>0.16821037004560616</v>
      </c>
    </row>
    <row r="124" spans="1:14">
      <c r="A124" s="8">
        <v>10</v>
      </c>
      <c r="B124" s="70">
        <v>38274</v>
      </c>
      <c r="C124" s="12">
        <v>2004</v>
      </c>
      <c r="D124" s="15" t="s">
        <v>14</v>
      </c>
      <c r="E124" s="12">
        <v>10</v>
      </c>
      <c r="F124" s="14">
        <v>1.2798799999999999</v>
      </c>
      <c r="G124" s="14">
        <v>0.17669382885736795</v>
      </c>
      <c r="I124" s="27">
        <f>AVERAGE(F123:F124)</f>
        <v>1.54312</v>
      </c>
      <c r="J124" s="27">
        <f>AVERAGE(G123:G124)</f>
        <v>0.17245209945148704</v>
      </c>
      <c r="L124">
        <f>+J124/I124</f>
        <v>0.11175546908308299</v>
      </c>
      <c r="M124">
        <f>+(L124-$L$614)/$L$615</f>
        <v>-1.3849229452525844</v>
      </c>
      <c r="N124">
        <f>+N122+M124</f>
        <v>-9.6415614064834489</v>
      </c>
    </row>
    <row r="125" spans="1:14">
      <c r="A125" s="8">
        <v>9</v>
      </c>
      <c r="B125" s="70">
        <v>38309</v>
      </c>
      <c r="C125" s="12">
        <v>2004</v>
      </c>
      <c r="D125" s="15" t="s">
        <v>16</v>
      </c>
      <c r="E125" s="12">
        <v>11</v>
      </c>
      <c r="F125" s="14">
        <v>1.70296</v>
      </c>
      <c r="G125" s="14">
        <v>0.30015940230597055</v>
      </c>
    </row>
    <row r="126" spans="1:14">
      <c r="A126" s="8">
        <v>10</v>
      </c>
      <c r="B126" s="70">
        <v>38309</v>
      </c>
      <c r="C126" s="12">
        <v>2004</v>
      </c>
      <c r="D126" s="15" t="s">
        <v>16</v>
      </c>
      <c r="E126" s="12">
        <v>11</v>
      </c>
      <c r="F126" s="14">
        <v>1.3072299999999999</v>
      </c>
      <c r="G126" s="14">
        <v>0.29558067497291995</v>
      </c>
      <c r="I126" s="27">
        <f>AVERAGE(F125:F126)</f>
        <v>1.5050949999999998</v>
      </c>
      <c r="J126" s="27">
        <f>AVERAGE(G125:G126)</f>
        <v>0.29787003863944528</v>
      </c>
      <c r="L126">
        <f>+J126/I126</f>
        <v>0.19790779893591123</v>
      </c>
      <c r="M126">
        <f>+(L126-$L$614)/$L$615</f>
        <v>-0.49493706143339528</v>
      </c>
      <c r="N126">
        <f>+N124+M126</f>
        <v>-10.136498467916844</v>
      </c>
    </row>
    <row r="127" spans="1:14">
      <c r="A127" s="8">
        <v>9</v>
      </c>
      <c r="B127" s="70">
        <v>38337</v>
      </c>
      <c r="C127" s="12">
        <v>2004</v>
      </c>
      <c r="D127" s="15" t="s">
        <v>17</v>
      </c>
      <c r="E127" s="12">
        <v>12</v>
      </c>
      <c r="F127" s="14">
        <v>3.14832</v>
      </c>
      <c r="G127" s="14">
        <v>0.65562197959029778</v>
      </c>
    </row>
    <row r="128" spans="1:14">
      <c r="A128" s="8">
        <v>10</v>
      </c>
      <c r="B128" s="70">
        <v>38337</v>
      </c>
      <c r="C128" s="12">
        <v>2004</v>
      </c>
      <c r="D128" s="15" t="s">
        <v>17</v>
      </c>
      <c r="E128" s="12">
        <v>12</v>
      </c>
      <c r="F128" s="14">
        <v>2.37168</v>
      </c>
      <c r="G128" s="14">
        <v>0.42690942105959789</v>
      </c>
      <c r="I128" s="27">
        <f>AVERAGE(F127:F128)</f>
        <v>2.76</v>
      </c>
      <c r="J128" s="27">
        <f>AVERAGE(G127:G128)</f>
        <v>0.54126570032494781</v>
      </c>
      <c r="L128">
        <f>+J128/I128</f>
        <v>0.19611076098729996</v>
      </c>
      <c r="M128">
        <f>+(L128-$L$614)/$L$615</f>
        <v>-0.51350113752609683</v>
      </c>
      <c r="N128">
        <f>+N126+M128</f>
        <v>-10.649999605442941</v>
      </c>
    </row>
    <row r="129" spans="1:14">
      <c r="A129" s="8">
        <v>9</v>
      </c>
      <c r="B129" s="75">
        <v>38364</v>
      </c>
      <c r="C129" s="12">
        <v>2005</v>
      </c>
      <c r="D129" s="15" t="s">
        <v>18</v>
      </c>
      <c r="E129" s="12">
        <v>1</v>
      </c>
      <c r="F129" s="14">
        <v>4.34213</v>
      </c>
      <c r="G129" s="14">
        <v>1.3990121872852339</v>
      </c>
    </row>
    <row r="130" spans="1:14">
      <c r="A130" s="8">
        <v>10</v>
      </c>
      <c r="B130" s="75">
        <v>38364</v>
      </c>
      <c r="C130" s="12">
        <v>2005</v>
      </c>
      <c r="D130" s="15" t="s">
        <v>18</v>
      </c>
      <c r="E130" s="12">
        <v>1</v>
      </c>
      <c r="F130" s="14">
        <v>2.0388500000000001</v>
      </c>
      <c r="G130" s="14">
        <v>0.62782031884753375</v>
      </c>
      <c r="I130" s="27">
        <f>AVERAGE(F129:F130)</f>
        <v>3.19049</v>
      </c>
      <c r="J130" s="27">
        <f>AVERAGE(G129:G130)</f>
        <v>1.0134162530663837</v>
      </c>
      <c r="L130">
        <f>+J130/I130</f>
        <v>0.31763655522079171</v>
      </c>
      <c r="M130">
        <f>+(L130-$L$614)/$L$615</f>
        <v>0.74190590221947406</v>
      </c>
      <c r="N130">
        <f>+N128+M130</f>
        <v>-9.9080937032234679</v>
      </c>
    </row>
    <row r="131" spans="1:14">
      <c r="A131" s="8">
        <v>9</v>
      </c>
      <c r="B131" s="75">
        <v>38398</v>
      </c>
      <c r="C131" s="12">
        <v>2005</v>
      </c>
      <c r="D131" s="11" t="s">
        <v>19</v>
      </c>
      <c r="E131" s="12">
        <v>2</v>
      </c>
      <c r="F131" s="14">
        <v>4.7915900000000002</v>
      </c>
      <c r="G131" s="14">
        <v>1.1058875972156617</v>
      </c>
    </row>
    <row r="132" spans="1:14">
      <c r="A132" s="8">
        <v>10</v>
      </c>
      <c r="B132" s="75">
        <v>38398</v>
      </c>
      <c r="C132" s="12">
        <v>2005</v>
      </c>
      <c r="D132" s="11" t="s">
        <v>19</v>
      </c>
      <c r="E132" s="12">
        <v>2</v>
      </c>
      <c r="F132" s="14">
        <v>5.6125600000000002</v>
      </c>
      <c r="G132" s="14">
        <v>1.1539832603063029</v>
      </c>
      <c r="I132" s="27">
        <f>AVERAGE(F131:F132)</f>
        <v>5.2020750000000007</v>
      </c>
      <c r="J132" s="27">
        <f>AVERAGE(G131:G132)</f>
        <v>1.1299354287609824</v>
      </c>
      <c r="L132">
        <f>+J132/I132</f>
        <v>0.21720860017608018</v>
      </c>
      <c r="M132">
        <f>+(L132-$L$614)/$L$615</f>
        <v>-0.29555254473496084</v>
      </c>
      <c r="N132">
        <f>+N130+M132</f>
        <v>-10.203646247958428</v>
      </c>
    </row>
    <row r="133" spans="1:14">
      <c r="A133" s="8">
        <v>9</v>
      </c>
      <c r="B133" s="75">
        <v>38427</v>
      </c>
      <c r="C133" s="12">
        <v>2005</v>
      </c>
      <c r="D133" s="11" t="s">
        <v>20</v>
      </c>
      <c r="E133" s="12">
        <v>3</v>
      </c>
      <c r="F133" s="14">
        <v>3.0385599999999999</v>
      </c>
      <c r="G133" s="14">
        <v>0.92770999727336934</v>
      </c>
    </row>
    <row r="134" spans="1:14">
      <c r="A134" s="8">
        <v>10</v>
      </c>
      <c r="B134" s="75">
        <v>38427</v>
      </c>
      <c r="C134" s="12">
        <v>2005</v>
      </c>
      <c r="D134" s="11" t="s">
        <v>20</v>
      </c>
      <c r="E134" s="12">
        <v>3</v>
      </c>
      <c r="F134" s="14">
        <v>2.036</v>
      </c>
      <c r="G134" s="14">
        <v>0.38562158863341417</v>
      </c>
      <c r="I134" s="27">
        <f>AVERAGE(F133:F134)</f>
        <v>2.53728</v>
      </c>
      <c r="J134" s="27">
        <f>AVERAGE(G133:G134)</f>
        <v>0.65666579295339178</v>
      </c>
      <c r="L134">
        <f>+J134/I134</f>
        <v>0.25880698738546465</v>
      </c>
      <c r="M134">
        <f>+(L134-$L$614)/$L$615</f>
        <v>0.13417439903127926</v>
      </c>
      <c r="N134">
        <f>+N132+M134</f>
        <v>-10.069471848927149</v>
      </c>
    </row>
    <row r="135" spans="1:14">
      <c r="A135" s="8">
        <v>9</v>
      </c>
      <c r="B135" s="75">
        <v>38470</v>
      </c>
      <c r="C135" s="12">
        <v>2005</v>
      </c>
      <c r="D135" s="11" t="s">
        <v>21</v>
      </c>
      <c r="E135" s="12">
        <v>4</v>
      </c>
      <c r="F135" s="14">
        <v>3.6966299999999999</v>
      </c>
      <c r="G135" s="14">
        <v>1.4991214896970464</v>
      </c>
    </row>
    <row r="136" spans="1:14">
      <c r="A136" s="8">
        <v>10</v>
      </c>
      <c r="B136" s="75">
        <v>38470</v>
      </c>
      <c r="C136" s="12">
        <v>2005</v>
      </c>
      <c r="D136" s="11" t="s">
        <v>21</v>
      </c>
      <c r="E136" s="12">
        <v>4</v>
      </c>
      <c r="F136" s="14">
        <v>3.004</v>
      </c>
      <c r="G136" s="14">
        <v>0.88806486164737652</v>
      </c>
      <c r="I136" s="27">
        <f>AVERAGE(F135:F136)</f>
        <v>3.3503150000000002</v>
      </c>
      <c r="J136" s="27">
        <f>AVERAGE(G135:G136)</f>
        <v>1.1935931756722113</v>
      </c>
      <c r="L136">
        <f>+J136/I136</f>
        <v>0.35626297099592463</v>
      </c>
      <c r="M136">
        <f>+(L136-$L$614)/$L$615</f>
        <v>1.1409312662592441</v>
      </c>
      <c r="N136">
        <f>+N134+M136</f>
        <v>-8.928540582667905</v>
      </c>
    </row>
    <row r="137" spans="1:14">
      <c r="A137" s="8">
        <v>9</v>
      </c>
      <c r="B137" s="75">
        <v>38488</v>
      </c>
      <c r="C137" s="12">
        <v>2005</v>
      </c>
      <c r="D137" s="11" t="s">
        <v>22</v>
      </c>
      <c r="E137" s="12">
        <v>5</v>
      </c>
      <c r="F137" s="14">
        <v>6.0048199999999996</v>
      </c>
      <c r="G137" s="14">
        <v>1.9673076945107064</v>
      </c>
    </row>
    <row r="138" spans="1:14">
      <c r="A138" s="8">
        <v>10</v>
      </c>
      <c r="B138" s="75">
        <v>38488</v>
      </c>
      <c r="C138" s="12">
        <v>2005</v>
      </c>
      <c r="D138" s="11" t="s">
        <v>22</v>
      </c>
      <c r="E138" s="12">
        <v>5</v>
      </c>
      <c r="F138" s="14">
        <v>4.00244</v>
      </c>
      <c r="G138" s="14">
        <v>0.7911180050489377</v>
      </c>
      <c r="I138" s="27">
        <f>AVERAGE(F137:F138)</f>
        <v>5.0036299999999994</v>
      </c>
      <c r="J138" s="27">
        <f>AVERAGE(G137:G138)</f>
        <v>1.3792128497798219</v>
      </c>
      <c r="L138">
        <f>+J138/I138</f>
        <v>0.27564245353469824</v>
      </c>
      <c r="M138">
        <f>+(L138-$L$614)/$L$615</f>
        <v>0.30809107947311204</v>
      </c>
      <c r="N138">
        <f>+N136+M138</f>
        <v>-8.6204495031947932</v>
      </c>
    </row>
    <row r="139" spans="1:14">
      <c r="A139" s="8">
        <v>9</v>
      </c>
      <c r="B139" s="75">
        <v>38525</v>
      </c>
      <c r="C139" s="12">
        <v>2005</v>
      </c>
      <c r="D139" s="11" t="s">
        <v>23</v>
      </c>
      <c r="E139" s="12">
        <v>6</v>
      </c>
      <c r="F139" s="14">
        <v>15.88509</v>
      </c>
      <c r="G139" s="14">
        <v>4.3056150079629614</v>
      </c>
    </row>
    <row r="140" spans="1:14">
      <c r="A140" s="8">
        <v>10</v>
      </c>
      <c r="B140" s="75">
        <v>38525</v>
      </c>
      <c r="C140" s="12">
        <v>2005</v>
      </c>
      <c r="D140" s="11" t="s">
        <v>23</v>
      </c>
      <c r="E140" s="12">
        <v>6</v>
      </c>
      <c r="F140" s="14">
        <v>6.5588699999999998</v>
      </c>
      <c r="G140" s="14">
        <v>0.88193550179543012</v>
      </c>
      <c r="I140" s="27">
        <f>AVERAGE(F139:F140)</f>
        <v>11.22198</v>
      </c>
      <c r="J140" s="27">
        <f>AVERAGE(G139:G140)</f>
        <v>2.5937752548791959</v>
      </c>
      <c r="L140">
        <f>+J140/I140</f>
        <v>0.2311334768801224</v>
      </c>
      <c r="M140">
        <f>+(L140-$L$614)/$L$615</f>
        <v>-0.15170334504772326</v>
      </c>
      <c r="N140">
        <f>+N138+M140</f>
        <v>-8.7721528482425164</v>
      </c>
    </row>
    <row r="141" spans="1:14">
      <c r="A141" s="8">
        <v>9</v>
      </c>
      <c r="B141" s="75">
        <v>38546</v>
      </c>
      <c r="C141" s="12">
        <v>2005</v>
      </c>
      <c r="D141" s="15" t="s">
        <v>24</v>
      </c>
      <c r="E141" s="12">
        <v>7</v>
      </c>
      <c r="F141" s="14">
        <v>15.474449999999999</v>
      </c>
      <c r="G141" s="14">
        <v>3.431563906564016</v>
      </c>
    </row>
    <row r="142" spans="1:14">
      <c r="A142" s="8">
        <v>10</v>
      </c>
      <c r="B142" s="75">
        <v>38546</v>
      </c>
      <c r="C142" s="12">
        <v>2005</v>
      </c>
      <c r="D142" s="15" t="s">
        <v>24</v>
      </c>
      <c r="E142" s="12">
        <v>7</v>
      </c>
      <c r="F142" s="14">
        <v>17.4208</v>
      </c>
      <c r="G142" s="14">
        <v>2.5507945878322356</v>
      </c>
      <c r="I142" s="27">
        <f>AVERAGE(F141:F142)</f>
        <v>16.447624999999999</v>
      </c>
      <c r="J142" s="27">
        <f>AVERAGE(G141:G142)</f>
        <v>2.9911792471981258</v>
      </c>
      <c r="L142">
        <f>+J142/I142</f>
        <v>0.18186086120021133</v>
      </c>
      <c r="M142">
        <f>+(L142-$L$614)/$L$615</f>
        <v>-0.66070794758000517</v>
      </c>
      <c r="N142">
        <f>+N140+M142</f>
        <v>-9.4328607958225223</v>
      </c>
    </row>
    <row r="143" spans="1:14">
      <c r="A143" s="8">
        <v>9</v>
      </c>
      <c r="B143" s="75">
        <v>38594</v>
      </c>
      <c r="C143" s="12">
        <v>2005</v>
      </c>
      <c r="D143" s="15" t="s">
        <v>25</v>
      </c>
      <c r="E143" s="12">
        <v>8</v>
      </c>
      <c r="F143" s="14">
        <v>23.904499999999999</v>
      </c>
      <c r="G143" s="14">
        <v>6.1733425407666616</v>
      </c>
    </row>
    <row r="144" spans="1:14">
      <c r="A144" s="8">
        <v>10</v>
      </c>
      <c r="B144" s="75">
        <v>38594</v>
      </c>
      <c r="C144" s="12">
        <v>2005</v>
      </c>
      <c r="D144" s="15" t="s">
        <v>25</v>
      </c>
      <c r="E144" s="12">
        <v>8</v>
      </c>
      <c r="F144" s="14">
        <v>39.264499999999998</v>
      </c>
      <c r="G144" s="14">
        <v>9.5205768788256933</v>
      </c>
      <c r="I144" s="27">
        <f>AVERAGE(F143:F144)</f>
        <v>31.584499999999998</v>
      </c>
      <c r="J144" s="27">
        <f>AVERAGE(G143:G144)</f>
        <v>7.8469597097961774</v>
      </c>
      <c r="L144">
        <f>+J144/I144</f>
        <v>0.24844337285048609</v>
      </c>
      <c r="M144">
        <f>+(L144-$L$614)/$L$615</f>
        <v>2.7114373408867229E-2</v>
      </c>
      <c r="N144">
        <f>+N142+M144</f>
        <v>-9.4057464224136549</v>
      </c>
    </row>
    <row r="145" spans="1:14">
      <c r="A145" s="8">
        <v>9</v>
      </c>
      <c r="B145" s="75">
        <v>38609</v>
      </c>
      <c r="C145" s="12">
        <v>2005</v>
      </c>
      <c r="D145" s="15" t="s">
        <v>26</v>
      </c>
      <c r="E145" s="12">
        <v>9</v>
      </c>
      <c r="F145" s="14">
        <v>20.782630000000001</v>
      </c>
      <c r="G145" s="14">
        <v>7.6550069615443261</v>
      </c>
    </row>
    <row r="146" spans="1:14">
      <c r="A146" s="8">
        <v>10</v>
      </c>
      <c r="B146" s="75">
        <v>38609</v>
      </c>
      <c r="C146" s="12">
        <v>2005</v>
      </c>
      <c r="D146" s="15" t="s">
        <v>26</v>
      </c>
      <c r="E146" s="12">
        <v>9</v>
      </c>
      <c r="F146" s="14">
        <v>17.379480000000001</v>
      </c>
      <c r="G146" s="14">
        <v>5.4068797278114813</v>
      </c>
      <c r="I146" s="27">
        <f>AVERAGE(F145:F146)</f>
        <v>19.081054999999999</v>
      </c>
      <c r="J146" s="27">
        <f>AVERAGE(G145:G146)</f>
        <v>6.5309433446779037</v>
      </c>
      <c r="L146">
        <f>+J146/I146</f>
        <v>0.34227370261643836</v>
      </c>
      <c r="M146">
        <f>+(L146-$L$614)/$L$615</f>
        <v>0.99641687641082843</v>
      </c>
      <c r="N146">
        <f>+N144+M146</f>
        <v>-8.4093295460028266</v>
      </c>
    </row>
    <row r="147" spans="1:14">
      <c r="A147" s="8">
        <v>9</v>
      </c>
      <c r="B147" s="75">
        <v>38643</v>
      </c>
      <c r="C147" s="12">
        <v>2005</v>
      </c>
      <c r="D147" s="15" t="s">
        <v>14</v>
      </c>
      <c r="E147" s="12">
        <v>10</v>
      </c>
      <c r="F147" s="14">
        <v>3.8508</v>
      </c>
      <c r="G147" s="14">
        <v>0.86570000000000003</v>
      </c>
    </row>
    <row r="148" spans="1:14">
      <c r="A148" s="8">
        <v>10</v>
      </c>
      <c r="B148" s="75">
        <v>38643</v>
      </c>
      <c r="C148" s="12">
        <v>2005</v>
      </c>
      <c r="D148" s="15" t="s">
        <v>14</v>
      </c>
      <c r="E148" s="12">
        <v>10</v>
      </c>
      <c r="F148" s="14">
        <v>3.9016000000000002</v>
      </c>
      <c r="G148" s="14">
        <v>0.4834</v>
      </c>
      <c r="I148" s="27">
        <f>AVERAGE(F147:F148)</f>
        <v>3.8761999999999999</v>
      </c>
      <c r="J148" s="27">
        <f>AVERAGE(G147:G148)</f>
        <v>0.67454999999999998</v>
      </c>
      <c r="L148">
        <f>+J148/I148</f>
        <v>0.17402352819771941</v>
      </c>
      <c r="M148">
        <f>+(L148-$L$614)/$L$615</f>
        <v>-0.74167053734308508</v>
      </c>
      <c r="N148">
        <f>+N146+M148</f>
        <v>-9.1510000833459113</v>
      </c>
    </row>
    <row r="149" spans="1:14">
      <c r="A149" s="8">
        <v>9</v>
      </c>
      <c r="B149" s="75">
        <v>38670</v>
      </c>
      <c r="C149" s="12">
        <v>2005</v>
      </c>
      <c r="D149" s="15" t="s">
        <v>16</v>
      </c>
      <c r="E149" s="12">
        <v>11</v>
      </c>
      <c r="F149" s="14">
        <v>0.92330000000000001</v>
      </c>
      <c r="G149" s="14">
        <v>9.6699999999999994E-2</v>
      </c>
    </row>
    <row r="150" spans="1:14">
      <c r="A150" s="8">
        <v>10</v>
      </c>
      <c r="B150" s="75">
        <v>38670</v>
      </c>
      <c r="C150" s="12">
        <v>2005</v>
      </c>
      <c r="D150" s="15" t="s">
        <v>16</v>
      </c>
      <c r="E150" s="12">
        <v>11</v>
      </c>
      <c r="F150" s="14">
        <v>1.599</v>
      </c>
      <c r="G150" s="14">
        <v>0.1285</v>
      </c>
      <c r="I150" s="27">
        <f>AVERAGE(F149:F150)</f>
        <v>1.26115</v>
      </c>
      <c r="J150" s="27">
        <f>AVERAGE(G149:G150)</f>
        <v>0.11260000000000001</v>
      </c>
      <c r="L150">
        <f>+J150/I150</f>
        <v>8.9283590373865129E-2</v>
      </c>
      <c r="M150">
        <f>+(L150-$L$614)/$L$615</f>
        <v>-1.6170658817032384</v>
      </c>
      <c r="N150">
        <f>+N148+M150</f>
        <v>-10.76806596504915</v>
      </c>
    </row>
    <row r="151" spans="1:14">
      <c r="A151" s="8">
        <v>9</v>
      </c>
      <c r="B151" s="75">
        <v>38706</v>
      </c>
      <c r="C151" s="12">
        <v>2005</v>
      </c>
      <c r="D151" s="15" t="s">
        <v>17</v>
      </c>
      <c r="E151" s="12">
        <v>12</v>
      </c>
      <c r="F151" s="14">
        <v>1.6493</v>
      </c>
      <c r="G151" s="14">
        <v>0.41199999999999998</v>
      </c>
    </row>
    <row r="152" spans="1:14">
      <c r="A152" s="8">
        <v>10</v>
      </c>
      <c r="B152" s="75">
        <v>38706</v>
      </c>
      <c r="C152" s="12">
        <v>2005</v>
      </c>
      <c r="D152" s="15" t="s">
        <v>17</v>
      </c>
      <c r="E152" s="12">
        <v>12</v>
      </c>
      <c r="F152" s="14">
        <v>2.7669999999999999</v>
      </c>
      <c r="G152" s="14">
        <v>0.61680000000000001</v>
      </c>
      <c r="I152" s="27">
        <f>AVERAGE(F151:F152)</f>
        <v>2.2081499999999998</v>
      </c>
      <c r="J152" s="27">
        <f>AVERAGE(G151:G152)</f>
        <v>0.51439999999999997</v>
      </c>
      <c r="L152">
        <f>+J152/I152</f>
        <v>0.2329551887326495</v>
      </c>
      <c r="M152">
        <f>+(L152-$L$614)/$L$615</f>
        <v>-0.13288437827218916</v>
      </c>
      <c r="N152">
        <f>+N150+M152</f>
        <v>-10.900950343321339</v>
      </c>
    </row>
    <row r="153" spans="1:14">
      <c r="A153" s="12">
        <v>9</v>
      </c>
      <c r="B153" s="75">
        <v>38737</v>
      </c>
      <c r="C153" s="12">
        <v>2006</v>
      </c>
      <c r="D153" s="11" t="s">
        <v>18</v>
      </c>
      <c r="E153" s="12">
        <v>1</v>
      </c>
      <c r="F153" s="14">
        <v>4.6208</v>
      </c>
      <c r="G153" s="14">
        <v>1.5771999999999999</v>
      </c>
    </row>
    <row r="154" spans="1:14">
      <c r="A154" s="12">
        <v>10</v>
      </c>
      <c r="B154" s="75">
        <v>38737</v>
      </c>
      <c r="C154" s="12">
        <v>2006</v>
      </c>
      <c r="D154" s="11" t="s">
        <v>18</v>
      </c>
      <c r="E154" s="12">
        <v>1</v>
      </c>
      <c r="F154" s="14">
        <v>3.3401000000000001</v>
      </c>
      <c r="G154" s="14">
        <v>0.73070000000000002</v>
      </c>
      <c r="I154" s="27">
        <f>AVERAGE(F153:F154)</f>
        <v>3.9804500000000003</v>
      </c>
      <c r="J154" s="27">
        <f>AVERAGE(G153:G154)</f>
        <v>1.15395</v>
      </c>
      <c r="L154">
        <f>+J154/I154</f>
        <v>0.28990440779308874</v>
      </c>
      <c r="M154">
        <f>+(L154-$L$614)/$L$615</f>
        <v>0.45542241673729889</v>
      </c>
      <c r="N154">
        <f>+N152+M154</f>
        <v>-10.44552792658404</v>
      </c>
    </row>
    <row r="155" spans="1:14">
      <c r="A155" s="12">
        <v>9</v>
      </c>
      <c r="B155" s="75">
        <v>38763</v>
      </c>
      <c r="C155" s="15">
        <v>2006</v>
      </c>
      <c r="D155" s="11" t="s">
        <v>28</v>
      </c>
      <c r="E155" s="15">
        <v>2</v>
      </c>
      <c r="F155" s="14">
        <v>2.9337</v>
      </c>
      <c r="G155" s="14">
        <v>0.94389999999999996</v>
      </c>
    </row>
    <row r="156" spans="1:14">
      <c r="A156" s="12">
        <v>10</v>
      </c>
      <c r="B156" s="75">
        <v>38763</v>
      </c>
      <c r="C156" s="15">
        <v>2006</v>
      </c>
      <c r="D156" s="11" t="s">
        <v>28</v>
      </c>
      <c r="E156" s="15">
        <v>2</v>
      </c>
      <c r="F156" s="14">
        <v>6.0673000000000004</v>
      </c>
      <c r="G156" s="14">
        <v>1.6879</v>
      </c>
      <c r="I156" s="27">
        <f>AVERAGE(F155:F156)</f>
        <v>4.5005000000000006</v>
      </c>
      <c r="J156" s="27">
        <f>AVERAGE(G155:G156)</f>
        <v>1.3159000000000001</v>
      </c>
      <c r="L156">
        <f>+J156/I156</f>
        <v>0.29238973447394734</v>
      </c>
      <c r="M156">
        <f>+(L156-$L$614)/$L$615</f>
        <v>0.48109677361681563</v>
      </c>
      <c r="N156">
        <f>+N154+M156</f>
        <v>-9.964431152967224</v>
      </c>
    </row>
    <row r="157" spans="1:14">
      <c r="A157" s="12">
        <v>9</v>
      </c>
      <c r="B157" s="75">
        <v>38792</v>
      </c>
      <c r="C157" s="12">
        <v>2006</v>
      </c>
      <c r="D157" s="11" t="s">
        <v>29</v>
      </c>
      <c r="E157" s="15">
        <v>3</v>
      </c>
      <c r="F157" s="14">
        <v>0.81259999999999999</v>
      </c>
      <c r="G157" s="14">
        <v>0.23150000000000001</v>
      </c>
    </row>
    <row r="158" spans="1:14">
      <c r="A158" s="12">
        <v>10</v>
      </c>
      <c r="B158" s="75">
        <v>38792</v>
      </c>
      <c r="C158" s="12">
        <v>2006</v>
      </c>
      <c r="D158" s="11" t="s">
        <v>29</v>
      </c>
      <c r="E158" s="15">
        <v>3</v>
      </c>
      <c r="F158" s="14">
        <v>1.3021</v>
      </c>
      <c r="G158" s="14">
        <v>0.34649999999999997</v>
      </c>
      <c r="I158" s="27">
        <f>AVERAGE(F157:F158)</f>
        <v>1.05735</v>
      </c>
      <c r="J158" s="27">
        <f>AVERAGE(G157:G158)</f>
        <v>0.28899999999999998</v>
      </c>
      <c r="L158">
        <f>+J158/I158</f>
        <v>0.27332482148768145</v>
      </c>
      <c r="M158">
        <f>+(L158-$L$614)/$L$615</f>
        <v>0.28414907106480192</v>
      </c>
      <c r="N158">
        <f>+N156+M158</f>
        <v>-9.6802820819024227</v>
      </c>
    </row>
    <row r="159" spans="1:14">
      <c r="A159" s="12">
        <v>9</v>
      </c>
      <c r="B159" s="74">
        <v>38826</v>
      </c>
      <c r="C159" s="12">
        <v>2006</v>
      </c>
      <c r="D159" s="11" t="s">
        <v>30</v>
      </c>
      <c r="E159" s="12">
        <v>4</v>
      </c>
      <c r="F159" s="14">
        <v>1.1544000000000001</v>
      </c>
      <c r="G159" s="14">
        <v>9.2399999999999996E-2</v>
      </c>
    </row>
    <row r="160" spans="1:14">
      <c r="A160" s="12">
        <v>10</v>
      </c>
      <c r="B160" s="74">
        <v>38826</v>
      </c>
      <c r="C160" s="12">
        <v>2006</v>
      </c>
      <c r="D160" s="11" t="s">
        <v>30</v>
      </c>
      <c r="E160" s="12">
        <v>4</v>
      </c>
      <c r="F160" s="14">
        <v>0.94199999999999995</v>
      </c>
      <c r="G160" s="14">
        <v>5.4800000000000001E-2</v>
      </c>
      <c r="I160" s="27">
        <f>AVERAGE(F159:F160)</f>
        <v>1.0482</v>
      </c>
      <c r="J160" s="27">
        <f>AVERAGE(G159:G160)</f>
        <v>7.3599999999999999E-2</v>
      </c>
      <c r="L160">
        <f>+J160/I160</f>
        <v>7.0215607708452588E-2</v>
      </c>
      <c r="M160">
        <f>+(L160-$L$614)/$L$615</f>
        <v>-1.8140452951922985</v>
      </c>
      <c r="N160">
        <f>+N158+M160</f>
        <v>-11.494327377094722</v>
      </c>
    </row>
    <row r="161" spans="1:14">
      <c r="A161" s="12">
        <v>9</v>
      </c>
      <c r="B161" s="74">
        <v>38853</v>
      </c>
      <c r="C161" s="12">
        <v>2006</v>
      </c>
      <c r="D161" s="11" t="s">
        <v>31</v>
      </c>
      <c r="E161" s="12">
        <v>5</v>
      </c>
      <c r="F161" s="14">
        <v>1.7291000000000001</v>
      </c>
      <c r="G161" s="14">
        <v>0.252</v>
      </c>
    </row>
    <row r="162" spans="1:14">
      <c r="A162" s="12">
        <v>10</v>
      </c>
      <c r="B162" s="74">
        <v>38853</v>
      </c>
      <c r="C162" s="12">
        <v>2006</v>
      </c>
      <c r="D162" s="11" t="s">
        <v>31</v>
      </c>
      <c r="E162" s="12">
        <v>5</v>
      </c>
      <c r="F162" s="14">
        <v>4.9337999999999997</v>
      </c>
      <c r="G162" s="14">
        <v>1.0455000000000001</v>
      </c>
      <c r="I162" s="27">
        <f>AVERAGE(F161:F162)</f>
        <v>3.3314499999999998</v>
      </c>
      <c r="J162" s="27">
        <f>AVERAGE(G161:G162)</f>
        <v>0.64875000000000005</v>
      </c>
      <c r="L162">
        <f>+J162/I162</f>
        <v>0.19473502528928849</v>
      </c>
      <c r="M162">
        <f>+(L162-$L$614)/$L$615</f>
        <v>-0.52771300333620241</v>
      </c>
      <c r="N162">
        <f>+N160+M162</f>
        <v>-12.022040380430925</v>
      </c>
    </row>
    <row r="163" spans="1:14">
      <c r="A163" s="12">
        <v>9</v>
      </c>
      <c r="B163" s="74">
        <v>38884</v>
      </c>
      <c r="C163" s="12">
        <v>2006</v>
      </c>
      <c r="D163" s="11" t="s">
        <v>32</v>
      </c>
      <c r="E163" s="12">
        <v>6</v>
      </c>
      <c r="F163" s="14">
        <v>14.875500000000001</v>
      </c>
      <c r="G163" s="14">
        <v>5.4286000000000003</v>
      </c>
    </row>
    <row r="164" spans="1:14">
      <c r="A164" s="12">
        <v>10</v>
      </c>
      <c r="B164" s="74">
        <v>38884</v>
      </c>
      <c r="C164" s="12">
        <v>2006</v>
      </c>
      <c r="D164" s="11" t="s">
        <v>32</v>
      </c>
      <c r="E164" s="12">
        <v>6</v>
      </c>
      <c r="F164" s="14">
        <v>18.331600000000002</v>
      </c>
      <c r="G164" s="14">
        <v>6.8891</v>
      </c>
      <c r="I164" s="27">
        <f>AVERAGE(F163:F164)</f>
        <v>16.603550000000002</v>
      </c>
      <c r="J164" s="27">
        <f>AVERAGE(G163:G164)</f>
        <v>6.1588500000000002</v>
      </c>
      <c r="L164">
        <f>+J164/I164</f>
        <v>0.37093573362323112</v>
      </c>
      <c r="M164">
        <f>+(L164-$L$614)/$L$615</f>
        <v>1.2925064080718929</v>
      </c>
      <c r="N164">
        <f>+N162+M164</f>
        <v>-10.729533972359032</v>
      </c>
    </row>
    <row r="165" spans="1:14">
      <c r="A165" s="12">
        <v>9</v>
      </c>
      <c r="B165" s="74">
        <v>38915</v>
      </c>
      <c r="C165" s="12">
        <v>2006</v>
      </c>
      <c r="D165" s="11" t="s">
        <v>33</v>
      </c>
      <c r="E165" s="12">
        <v>7</v>
      </c>
      <c r="F165" s="14">
        <v>15.460800000000001</v>
      </c>
      <c r="G165" s="14">
        <v>4.1523000000000003</v>
      </c>
    </row>
    <row r="166" spans="1:14">
      <c r="A166" s="12">
        <v>10</v>
      </c>
      <c r="B166" s="74">
        <v>38915</v>
      </c>
      <c r="C166" s="12">
        <v>2006</v>
      </c>
      <c r="D166" s="11" t="s">
        <v>33</v>
      </c>
      <c r="E166" s="12">
        <v>7</v>
      </c>
      <c r="F166" s="14">
        <v>15.3445</v>
      </c>
      <c r="G166" s="14">
        <v>4.3220000000000001</v>
      </c>
      <c r="I166" s="27">
        <f>AVERAGE(F165:F166)</f>
        <v>15.402650000000001</v>
      </c>
      <c r="J166" s="27">
        <f>AVERAGE(G165:G166)</f>
        <v>4.2371499999999997</v>
      </c>
      <c r="L166">
        <f>+J166/I166</f>
        <v>0.27509227308287854</v>
      </c>
      <c r="M166">
        <f>+(L166-$L$614)/$L$615</f>
        <v>0.30240750902865321</v>
      </c>
      <c r="N166">
        <f>+N164+M166</f>
        <v>-10.42712646333038</v>
      </c>
    </row>
    <row r="167" spans="1:14">
      <c r="A167" s="12">
        <v>9</v>
      </c>
      <c r="B167" s="74">
        <v>38952</v>
      </c>
      <c r="C167" s="12">
        <v>2006</v>
      </c>
      <c r="D167" s="11" t="s">
        <v>34</v>
      </c>
      <c r="E167" s="12">
        <v>8</v>
      </c>
      <c r="F167" s="14">
        <v>15.3225</v>
      </c>
      <c r="G167" s="14">
        <v>4.8970000000000002</v>
      </c>
    </row>
    <row r="168" spans="1:14">
      <c r="A168" s="12">
        <v>10</v>
      </c>
      <c r="B168" s="74">
        <v>38952</v>
      </c>
      <c r="C168" s="12">
        <v>2006</v>
      </c>
      <c r="D168" s="11" t="s">
        <v>34</v>
      </c>
      <c r="E168" s="12">
        <v>8</v>
      </c>
      <c r="F168" s="14">
        <v>10.6037</v>
      </c>
      <c r="G168" s="14">
        <v>2.7477999999999998</v>
      </c>
      <c r="I168" s="27">
        <f>AVERAGE(F167:F168)</f>
        <v>12.963100000000001</v>
      </c>
      <c r="J168" s="27">
        <f>AVERAGE(G167:G168)</f>
        <v>3.8224</v>
      </c>
      <c r="L168">
        <f>+J168/I168</f>
        <v>0.29486773996960602</v>
      </c>
      <c r="M168">
        <f>+(L168-$L$614)/$L$615</f>
        <v>0.50669549990698115</v>
      </c>
      <c r="N168">
        <f>+N166+M168</f>
        <v>-9.9204309634233994</v>
      </c>
    </row>
    <row r="169" spans="1:14">
      <c r="A169" s="12">
        <v>9</v>
      </c>
      <c r="B169" s="74">
        <v>38975</v>
      </c>
      <c r="C169" s="12">
        <v>2006</v>
      </c>
      <c r="D169" s="11" t="s">
        <v>35</v>
      </c>
      <c r="E169" s="12">
        <v>9</v>
      </c>
      <c r="F169" s="14">
        <v>9.8229000000000006</v>
      </c>
      <c r="G169" s="14">
        <v>2.6187</v>
      </c>
    </row>
    <row r="170" spans="1:14">
      <c r="A170" s="12">
        <v>10</v>
      </c>
      <c r="B170" s="74">
        <v>38975</v>
      </c>
      <c r="C170" s="12">
        <v>2006</v>
      </c>
      <c r="D170" s="11" t="s">
        <v>35</v>
      </c>
      <c r="E170" s="12">
        <v>9</v>
      </c>
      <c r="F170" s="14">
        <v>5.9092000000000002</v>
      </c>
      <c r="G170" s="14">
        <v>1.5679000000000001</v>
      </c>
      <c r="I170" s="27">
        <f>AVERAGE(F169:F170)</f>
        <v>7.8660500000000004</v>
      </c>
      <c r="J170" s="27">
        <f>AVERAGE(G169:G170)</f>
        <v>2.0933000000000002</v>
      </c>
      <c r="L170">
        <f>+J170/I170</f>
        <v>0.26611831859700869</v>
      </c>
      <c r="M170">
        <f>+(L170-$L$614)/$L$615</f>
        <v>0.20970319298631851</v>
      </c>
      <c r="N170">
        <f>+N168+M170</f>
        <v>-9.7107277704370816</v>
      </c>
    </row>
    <row r="171" spans="1:14">
      <c r="A171" s="12">
        <v>9</v>
      </c>
      <c r="B171" s="74">
        <v>39006</v>
      </c>
      <c r="C171" s="12">
        <v>2006</v>
      </c>
      <c r="D171" s="11" t="s">
        <v>36</v>
      </c>
      <c r="E171" s="12">
        <v>10</v>
      </c>
      <c r="F171" s="14">
        <v>1.724</v>
      </c>
      <c r="G171" s="14">
        <v>0.17899999999999999</v>
      </c>
    </row>
    <row r="172" spans="1:14">
      <c r="A172" s="12">
        <v>10</v>
      </c>
      <c r="B172" s="74">
        <v>39006</v>
      </c>
      <c r="C172" s="12">
        <v>2006</v>
      </c>
      <c r="D172" s="11" t="s">
        <v>36</v>
      </c>
      <c r="E172" s="12">
        <v>10</v>
      </c>
      <c r="F172" s="14">
        <v>1.37</v>
      </c>
      <c r="G172" s="14">
        <v>0.11600000000000001</v>
      </c>
      <c r="I172" s="27">
        <f>AVERAGE(F171:F172)</f>
        <v>1.5470000000000002</v>
      </c>
      <c r="J172" s="27">
        <f>AVERAGE(G171:G172)</f>
        <v>0.14749999999999999</v>
      </c>
      <c r="L172">
        <f>+J172/I172</f>
        <v>9.5345830639948267E-2</v>
      </c>
      <c r="M172">
        <f>+(L172-$L$614)/$L$615</f>
        <v>-1.5544406657589807</v>
      </c>
      <c r="N172">
        <f>+N170+M172</f>
        <v>-11.265168436196062</v>
      </c>
    </row>
    <row r="173" spans="1:14">
      <c r="A173" s="12">
        <v>9</v>
      </c>
      <c r="B173" s="74">
        <v>39041</v>
      </c>
      <c r="C173" s="12">
        <v>2006</v>
      </c>
      <c r="D173" s="11" t="s">
        <v>37</v>
      </c>
      <c r="E173" s="12">
        <v>11</v>
      </c>
      <c r="F173" s="14">
        <v>1.1399999999999999</v>
      </c>
      <c r="G173" s="14">
        <v>0.14000000000000001</v>
      </c>
    </row>
    <row r="174" spans="1:14">
      <c r="A174" s="12">
        <v>10</v>
      </c>
      <c r="B174" s="74">
        <v>39041</v>
      </c>
      <c r="C174" s="12">
        <v>2006</v>
      </c>
      <c r="D174" s="11" t="s">
        <v>37</v>
      </c>
      <c r="E174" s="12">
        <v>11</v>
      </c>
      <c r="F174" s="14">
        <v>0.89600000000000002</v>
      </c>
      <c r="G174" s="14">
        <v>0.11799999999999999</v>
      </c>
      <c r="I174" s="27">
        <f>AVERAGE(F173:F174)</f>
        <v>1.018</v>
      </c>
      <c r="J174" s="27">
        <f>AVERAGE(G173:G174)</f>
        <v>0.129</v>
      </c>
      <c r="L174">
        <f>+J174/I174</f>
        <v>0.12671905697445973</v>
      </c>
      <c r="M174">
        <f>+(L174-$L$614)/$L$615</f>
        <v>-1.2303434693711686</v>
      </c>
      <c r="N174">
        <f>+N172+M174</f>
        <v>-12.495511905567231</v>
      </c>
    </row>
    <row r="175" spans="1:14">
      <c r="A175" s="12">
        <v>9</v>
      </c>
      <c r="B175" s="75">
        <v>39062</v>
      </c>
      <c r="C175" s="15">
        <v>2006</v>
      </c>
      <c r="D175" s="11" t="s">
        <v>38</v>
      </c>
      <c r="E175" s="15">
        <v>12</v>
      </c>
      <c r="F175" s="14">
        <v>2.0030000000000001</v>
      </c>
      <c r="G175" s="14">
        <v>0.41699999999999998</v>
      </c>
    </row>
    <row r="176" spans="1:14">
      <c r="A176" s="12">
        <v>10</v>
      </c>
      <c r="B176" s="75">
        <v>39062</v>
      </c>
      <c r="C176" s="15">
        <v>2006</v>
      </c>
      <c r="D176" s="11" t="s">
        <v>38</v>
      </c>
      <c r="E176" s="15">
        <v>12</v>
      </c>
      <c r="F176" s="14">
        <v>0.76300000000000001</v>
      </c>
      <c r="G176" s="14">
        <v>0.16900000000000001</v>
      </c>
      <c r="I176" s="27">
        <f>AVERAGE(F175:F176)</f>
        <v>1.383</v>
      </c>
      <c r="J176" s="27">
        <f>AVERAGE(G175:G176)</f>
        <v>0.29299999999999998</v>
      </c>
      <c r="L176">
        <f>+J176/I176</f>
        <v>0.21185827910339838</v>
      </c>
      <c r="M176">
        <f>+(L176-$L$614)/$L$615</f>
        <v>-0.35082336836470418</v>
      </c>
      <c r="N176">
        <f>+N174+M176</f>
        <v>-12.846335273931935</v>
      </c>
    </row>
    <row r="177" spans="1:14">
      <c r="A177" s="15">
        <v>9</v>
      </c>
      <c r="B177" s="75">
        <v>39100</v>
      </c>
      <c r="C177" s="15">
        <v>2007</v>
      </c>
      <c r="D177" s="11" t="s">
        <v>39</v>
      </c>
      <c r="E177" s="15">
        <v>1</v>
      </c>
      <c r="F177" s="14">
        <v>0.98499999999999999</v>
      </c>
      <c r="G177" s="14">
        <v>0.221</v>
      </c>
    </row>
    <row r="178" spans="1:14">
      <c r="A178" s="15">
        <v>10</v>
      </c>
      <c r="B178" s="75">
        <v>39100</v>
      </c>
      <c r="C178" s="15">
        <v>2007</v>
      </c>
      <c r="D178" s="11" t="s">
        <v>39</v>
      </c>
      <c r="E178" s="15">
        <v>1</v>
      </c>
      <c r="F178" s="14">
        <v>2.0190000000000001</v>
      </c>
      <c r="G178" s="14">
        <v>0.39600000000000002</v>
      </c>
      <c r="I178" s="27">
        <f>AVERAGE(F177:F178)</f>
        <v>1.502</v>
      </c>
      <c r="J178" s="27">
        <f>AVERAGE(G177:G178)</f>
        <v>0.3085</v>
      </c>
      <c r="L178">
        <f>+J178/I178</f>
        <v>0.20539280958721703</v>
      </c>
      <c r="M178">
        <f>+(L178-$L$614)/$L$615</f>
        <v>-0.41761409371704683</v>
      </c>
      <c r="N178">
        <f>+N176+M178</f>
        <v>-13.263949367648982</v>
      </c>
    </row>
    <row r="179" spans="1:14">
      <c r="A179" s="15">
        <v>9</v>
      </c>
      <c r="B179" s="75">
        <v>39135</v>
      </c>
      <c r="C179" s="15">
        <v>2007</v>
      </c>
      <c r="D179" s="11" t="s">
        <v>28</v>
      </c>
      <c r="E179" s="15">
        <v>2</v>
      </c>
      <c r="F179" s="14">
        <v>6.2530000000000001</v>
      </c>
      <c r="G179" s="14">
        <v>1.9450000000000001</v>
      </c>
    </row>
    <row r="180" spans="1:14">
      <c r="A180" s="15">
        <v>10</v>
      </c>
      <c r="B180" s="75">
        <v>39135</v>
      </c>
      <c r="C180" s="15">
        <v>2007</v>
      </c>
      <c r="D180" s="11" t="s">
        <v>28</v>
      </c>
      <c r="E180" s="15">
        <v>2</v>
      </c>
      <c r="F180" s="14">
        <v>5.2530000000000001</v>
      </c>
      <c r="G180" s="14">
        <v>1.6040000000000001</v>
      </c>
      <c r="I180" s="27">
        <f>AVERAGE(F179:F180)</f>
        <v>5.7530000000000001</v>
      </c>
      <c r="J180" s="27">
        <f>AVERAGE(G179:G180)</f>
        <v>1.7745000000000002</v>
      </c>
      <c r="L180">
        <f>+J180/I180</f>
        <v>0.30844776638275684</v>
      </c>
      <c r="M180">
        <f>+(L180-$L$614)/$L$615</f>
        <v>0.64698226673316228</v>
      </c>
      <c r="N180">
        <f>+N178+M180</f>
        <v>-12.616967100915819</v>
      </c>
    </row>
    <row r="181" spans="1:14">
      <c r="A181" s="15">
        <v>9</v>
      </c>
      <c r="B181" s="75">
        <v>39153</v>
      </c>
      <c r="C181" s="15">
        <v>2007</v>
      </c>
      <c r="D181" s="11" t="s">
        <v>29</v>
      </c>
      <c r="E181" s="15">
        <v>3</v>
      </c>
      <c r="F181" s="14">
        <v>1.6619999999999999</v>
      </c>
      <c r="G181" s="14">
        <v>0.63600000000000001</v>
      </c>
    </row>
    <row r="182" spans="1:14">
      <c r="A182" s="15">
        <v>10</v>
      </c>
      <c r="B182" s="75">
        <v>39153</v>
      </c>
      <c r="C182" s="15">
        <v>2007</v>
      </c>
      <c r="D182" s="11" t="s">
        <v>29</v>
      </c>
      <c r="E182" s="15">
        <v>3</v>
      </c>
      <c r="F182" s="14">
        <v>3.25</v>
      </c>
      <c r="G182" s="14">
        <v>0.86599999999999999</v>
      </c>
      <c r="I182" s="27">
        <f>AVERAGE(F181:F182)</f>
        <v>2.456</v>
      </c>
      <c r="J182" s="27">
        <f>AVERAGE(G181:G182)</f>
        <v>0.751</v>
      </c>
      <c r="L182">
        <f>+J182/I182</f>
        <v>0.30578175895765475</v>
      </c>
      <c r="M182">
        <f>+(L182-$L$614)/$L$615</f>
        <v>0.61944140999079389</v>
      </c>
      <c r="N182">
        <f>+N180+M182</f>
        <v>-11.997525690925025</v>
      </c>
    </row>
    <row r="183" spans="1:14">
      <c r="A183" s="15">
        <v>9</v>
      </c>
      <c r="B183" s="75">
        <v>39191</v>
      </c>
      <c r="C183" s="15">
        <v>2007</v>
      </c>
      <c r="D183" s="11" t="s">
        <v>30</v>
      </c>
      <c r="E183" s="15">
        <v>4</v>
      </c>
      <c r="F183" s="14">
        <v>1.63</v>
      </c>
      <c r="G183" s="14">
        <v>0.497</v>
      </c>
    </row>
    <row r="184" spans="1:14">
      <c r="A184" s="15">
        <v>10</v>
      </c>
      <c r="B184" s="75">
        <v>39191</v>
      </c>
      <c r="C184" s="15">
        <v>2007</v>
      </c>
      <c r="D184" s="11" t="s">
        <v>30</v>
      </c>
      <c r="E184" s="15">
        <v>4</v>
      </c>
      <c r="F184" s="14">
        <v>1.3720000000000001</v>
      </c>
      <c r="G184" s="14">
        <v>0.435</v>
      </c>
      <c r="I184" s="27">
        <f>AVERAGE(F183:F184)</f>
        <v>1.5009999999999999</v>
      </c>
      <c r="J184" s="27">
        <f>AVERAGE(G183:G184)</f>
        <v>0.46599999999999997</v>
      </c>
      <c r="L184">
        <f>+J184/I184</f>
        <v>0.31045969353764158</v>
      </c>
      <c r="M184">
        <f>+(L184-$L$614)/$L$615</f>
        <v>0.66776622893335735</v>
      </c>
      <c r="N184">
        <f>+N182+M184</f>
        <v>-11.329759461991667</v>
      </c>
    </row>
    <row r="185" spans="1:14">
      <c r="A185" s="15">
        <v>9</v>
      </c>
      <c r="B185" s="75">
        <v>39216</v>
      </c>
      <c r="C185" s="15">
        <v>2007</v>
      </c>
      <c r="D185" s="11" t="s">
        <v>31</v>
      </c>
      <c r="E185" s="15">
        <v>5</v>
      </c>
      <c r="F185" s="14">
        <v>10.595000000000001</v>
      </c>
      <c r="G185" s="14">
        <v>5.4539999999999997</v>
      </c>
    </row>
    <row r="186" spans="1:14">
      <c r="A186" s="15">
        <v>10</v>
      </c>
      <c r="B186" s="75">
        <v>39216</v>
      </c>
      <c r="C186" s="15">
        <v>2007</v>
      </c>
      <c r="D186" s="11" t="s">
        <v>31</v>
      </c>
      <c r="E186" s="15">
        <v>5</v>
      </c>
      <c r="F186" s="14">
        <v>10.763999999999999</v>
      </c>
      <c r="G186" s="14">
        <v>5.3319999999999999</v>
      </c>
      <c r="I186" s="27">
        <f>AVERAGE(F185:F186)</f>
        <v>10.679500000000001</v>
      </c>
      <c r="J186" s="27">
        <f>AVERAGE(G185:G186)</f>
        <v>5.3929999999999998</v>
      </c>
      <c r="L186">
        <f>+J186/I186</f>
        <v>0.50498618849197052</v>
      </c>
      <c r="M186">
        <f>+(L186-$L$614)/$L$615</f>
        <v>2.6772978902816202</v>
      </c>
      <c r="N186">
        <f>+N184+M186</f>
        <v>-8.652461571710047</v>
      </c>
    </row>
    <row r="187" spans="1:14">
      <c r="A187" s="15">
        <v>9</v>
      </c>
      <c r="B187" s="75">
        <v>39248</v>
      </c>
      <c r="C187" s="15">
        <v>2007</v>
      </c>
      <c r="D187" s="11" t="s">
        <v>32</v>
      </c>
      <c r="E187" s="15">
        <v>6</v>
      </c>
      <c r="F187" s="14">
        <v>25.084</v>
      </c>
      <c r="G187" s="14">
        <v>11.398999999999999</v>
      </c>
    </row>
    <row r="188" spans="1:14">
      <c r="A188" s="15">
        <v>10</v>
      </c>
      <c r="B188" s="75">
        <v>39248</v>
      </c>
      <c r="C188" s="15">
        <v>2007</v>
      </c>
      <c r="D188" s="11" t="s">
        <v>32</v>
      </c>
      <c r="E188" s="15">
        <v>6</v>
      </c>
      <c r="F188" s="14">
        <v>17.117000000000001</v>
      </c>
      <c r="G188" s="14">
        <v>6.7910000000000004</v>
      </c>
      <c r="I188" s="27">
        <f>AVERAGE(F187:F188)</f>
        <v>21.1005</v>
      </c>
      <c r="J188" s="27">
        <f>AVERAGE(G187:G188)</f>
        <v>9.0949999999999989</v>
      </c>
      <c r="L188">
        <f>+J188/I188</f>
        <v>0.43103243998957363</v>
      </c>
      <c r="M188">
        <f>+(L188-$L$614)/$L$615</f>
        <v>1.9133279275994441</v>
      </c>
      <c r="N188">
        <f>+N186+M188</f>
        <v>-6.7391336441106029</v>
      </c>
    </row>
    <row r="189" spans="1:14">
      <c r="A189" s="15">
        <v>9</v>
      </c>
      <c r="B189" s="75">
        <v>39279</v>
      </c>
      <c r="C189" s="15">
        <v>2007</v>
      </c>
      <c r="D189" s="11" t="s">
        <v>33</v>
      </c>
      <c r="E189" s="15">
        <v>7</v>
      </c>
      <c r="F189" s="14">
        <v>18.765999999999998</v>
      </c>
      <c r="G189" s="14">
        <v>4.5190000000000001</v>
      </c>
    </row>
    <row r="190" spans="1:14">
      <c r="A190" s="15">
        <v>10</v>
      </c>
      <c r="B190" s="75">
        <v>39279</v>
      </c>
      <c r="C190" s="15">
        <v>2007</v>
      </c>
      <c r="D190" s="11" t="s">
        <v>33</v>
      </c>
      <c r="E190" s="15">
        <v>7</v>
      </c>
      <c r="F190" s="14">
        <v>18.003</v>
      </c>
      <c r="G190" s="14">
        <v>3.371</v>
      </c>
      <c r="I190" s="27">
        <f>AVERAGE(F189:F190)</f>
        <v>18.384499999999999</v>
      </c>
      <c r="J190" s="27">
        <f>AVERAGE(G189:G190)</f>
        <v>3.9450000000000003</v>
      </c>
      <c r="L190">
        <f>+J190/I190</f>
        <v>0.21458293671299195</v>
      </c>
      <c r="M190">
        <f>+(L190-$L$614)/$L$615</f>
        <v>-0.32267663321637785</v>
      </c>
      <c r="N190">
        <f>+N188+M190</f>
        <v>-7.0618102773269804</v>
      </c>
    </row>
    <row r="191" spans="1:14">
      <c r="A191" s="15">
        <v>9</v>
      </c>
      <c r="B191" s="75">
        <v>39308</v>
      </c>
      <c r="C191" s="15">
        <v>2007</v>
      </c>
      <c r="D191" s="11" t="s">
        <v>34</v>
      </c>
      <c r="E191" s="15">
        <v>8</v>
      </c>
      <c r="F191" s="14">
        <v>10.6</v>
      </c>
      <c r="G191" s="14">
        <v>3.6139999999999999</v>
      </c>
    </row>
    <row r="192" spans="1:14">
      <c r="A192" s="15">
        <v>10</v>
      </c>
      <c r="B192" s="75">
        <v>39308</v>
      </c>
      <c r="C192" s="15">
        <v>2007</v>
      </c>
      <c r="D192" s="11" t="s">
        <v>34</v>
      </c>
      <c r="E192" s="15">
        <v>8</v>
      </c>
      <c r="F192" s="14">
        <v>11.553000000000001</v>
      </c>
      <c r="G192" s="14">
        <v>4.0579999999999998</v>
      </c>
      <c r="I192" s="27">
        <f>AVERAGE(F191:F192)</f>
        <v>11.076499999999999</v>
      </c>
      <c r="J192" s="27">
        <f>AVERAGE(G191:G192)</f>
        <v>3.8359999999999999</v>
      </c>
      <c r="L192">
        <f>+J192/I192</f>
        <v>0.34631878300907326</v>
      </c>
      <c r="M192">
        <f>+(L192-$L$614)/$L$615</f>
        <v>1.0382040742092946</v>
      </c>
      <c r="N192">
        <f>+N190+M192</f>
        <v>-6.0236062031176854</v>
      </c>
    </row>
    <row r="193" spans="1:14">
      <c r="A193" s="15">
        <v>9</v>
      </c>
      <c r="B193" s="75">
        <v>39335</v>
      </c>
      <c r="C193" s="15">
        <v>2007</v>
      </c>
      <c r="D193" s="11" t="s">
        <v>40</v>
      </c>
      <c r="E193" s="15">
        <v>9</v>
      </c>
      <c r="F193" s="14">
        <v>13.128</v>
      </c>
      <c r="G193" s="14">
        <v>4.3070000000000004</v>
      </c>
    </row>
    <row r="194" spans="1:14">
      <c r="A194" s="15">
        <v>10</v>
      </c>
      <c r="B194" s="75">
        <v>39335</v>
      </c>
      <c r="C194" s="15">
        <v>2007</v>
      </c>
      <c r="D194" s="11" t="s">
        <v>40</v>
      </c>
      <c r="E194" s="15">
        <v>9</v>
      </c>
      <c r="F194" s="14">
        <v>8.6809999999999992</v>
      </c>
      <c r="G194" s="14">
        <v>1.387</v>
      </c>
      <c r="I194" s="27">
        <f>AVERAGE(F193:F194)</f>
        <v>10.904499999999999</v>
      </c>
      <c r="J194" s="27">
        <f>AVERAGE(G193:G194)</f>
        <v>2.8470000000000004</v>
      </c>
      <c r="L194">
        <f>+J194/I194</f>
        <v>0.26108487321747909</v>
      </c>
      <c r="M194">
        <f>+(L194-$L$614)/$L$615</f>
        <v>0.15770581412948656</v>
      </c>
      <c r="N194">
        <f>+N192+M194</f>
        <v>-5.8659003889881989</v>
      </c>
    </row>
    <row r="195" spans="1:14">
      <c r="A195" s="15">
        <v>9</v>
      </c>
      <c r="B195" s="75">
        <v>39370</v>
      </c>
      <c r="C195" s="15">
        <v>2007</v>
      </c>
      <c r="D195" s="11" t="s">
        <v>36</v>
      </c>
      <c r="E195" s="15">
        <v>10</v>
      </c>
      <c r="F195" s="14">
        <v>1.5980000000000001</v>
      </c>
      <c r="G195" s="14">
        <v>0.158</v>
      </c>
    </row>
    <row r="196" spans="1:14">
      <c r="A196" s="15">
        <v>10</v>
      </c>
      <c r="B196" s="75">
        <v>39370</v>
      </c>
      <c r="C196" s="15">
        <v>2007</v>
      </c>
      <c r="D196" s="11" t="s">
        <v>36</v>
      </c>
      <c r="E196" s="15">
        <v>10</v>
      </c>
      <c r="F196" s="14">
        <v>1.01</v>
      </c>
      <c r="G196" s="14">
        <v>0.13600000000000001</v>
      </c>
      <c r="I196" s="27">
        <f>AVERAGE(F195:F196)</f>
        <v>1.304</v>
      </c>
      <c r="J196" s="27">
        <f>AVERAGE(G195:G196)</f>
        <v>0.14700000000000002</v>
      </c>
      <c r="L196">
        <f>+J196/I196</f>
        <v>0.11273006134969327</v>
      </c>
      <c r="M196">
        <f>+(L196-$L$614)/$L$615</f>
        <v>-1.3748550415610161</v>
      </c>
      <c r="N196">
        <f>+N194+M196</f>
        <v>-7.240755430549215</v>
      </c>
    </row>
    <row r="197" spans="1:14">
      <c r="A197" s="15">
        <v>9</v>
      </c>
      <c r="B197" s="75">
        <v>39400</v>
      </c>
      <c r="C197" s="15">
        <v>2007</v>
      </c>
      <c r="D197" s="11" t="s">
        <v>37</v>
      </c>
      <c r="E197" s="15">
        <v>11</v>
      </c>
      <c r="F197" s="14">
        <v>1.105</v>
      </c>
      <c r="G197" s="14">
        <v>0.15</v>
      </c>
    </row>
    <row r="198" spans="1:14">
      <c r="A198" s="15">
        <v>10</v>
      </c>
      <c r="B198" s="75">
        <v>39400</v>
      </c>
      <c r="C198" s="15">
        <v>2007</v>
      </c>
      <c r="D198" s="11" t="s">
        <v>37</v>
      </c>
      <c r="E198" s="15">
        <v>11</v>
      </c>
      <c r="F198" s="14">
        <v>1.29</v>
      </c>
      <c r="G198" s="14">
        <v>0.09</v>
      </c>
      <c r="I198" s="27">
        <f>AVERAGE(F197:F198)</f>
        <v>1.1975</v>
      </c>
      <c r="J198" s="27">
        <f>AVERAGE(G197:G198)</f>
        <v>0.12</v>
      </c>
      <c r="L198">
        <f>+J198/I198</f>
        <v>0.10020876826722337</v>
      </c>
      <c r="M198">
        <f>+(L198-$L$614)/$L$615</f>
        <v>-1.5042046959417821</v>
      </c>
      <c r="N198">
        <f>+N196+M198</f>
        <v>-8.744960126490998</v>
      </c>
    </row>
    <row r="199" spans="1:14">
      <c r="A199" s="15">
        <v>9</v>
      </c>
      <c r="B199" s="75">
        <v>39434</v>
      </c>
      <c r="C199" s="15">
        <v>2007</v>
      </c>
      <c r="D199" s="11" t="s">
        <v>38</v>
      </c>
      <c r="E199" s="15">
        <v>12</v>
      </c>
      <c r="F199" s="14">
        <v>2.456</v>
      </c>
      <c r="G199" s="14">
        <v>0.49199999999999999</v>
      </c>
    </row>
    <row r="200" spans="1:14">
      <c r="A200" s="15">
        <v>10</v>
      </c>
      <c r="B200" s="75">
        <v>39434</v>
      </c>
      <c r="C200" s="15">
        <v>2007</v>
      </c>
      <c r="D200" s="11" t="s">
        <v>38</v>
      </c>
      <c r="E200" s="15">
        <v>12</v>
      </c>
      <c r="F200" s="14">
        <v>2.827</v>
      </c>
      <c r="G200" s="14">
        <v>0.51300000000000001</v>
      </c>
      <c r="I200" s="27">
        <f>AVERAGE(F199:F200)</f>
        <v>2.6414999999999997</v>
      </c>
      <c r="J200" s="27">
        <f>AVERAGE(G199:G200)</f>
        <v>0.50249999999999995</v>
      </c>
      <c r="L200">
        <f>+J200/I200</f>
        <v>0.19023282226007951</v>
      </c>
      <c r="M200">
        <f>+(L200-$L$614)/$L$615</f>
        <v>-0.57422244944089695</v>
      </c>
      <c r="N200">
        <f>+N198+M200</f>
        <v>-9.3191825759318956</v>
      </c>
    </row>
    <row r="201" spans="1:14">
      <c r="A201" s="15">
        <v>9</v>
      </c>
      <c r="B201" s="75">
        <v>39463</v>
      </c>
      <c r="C201" s="15">
        <v>2008</v>
      </c>
      <c r="D201" s="11" t="s">
        <v>39</v>
      </c>
      <c r="E201" s="15">
        <v>1</v>
      </c>
      <c r="F201" s="23">
        <v>1.5149999999999999</v>
      </c>
      <c r="G201" s="23">
        <v>0.28399999999999997</v>
      </c>
    </row>
    <row r="202" spans="1:14">
      <c r="A202" s="15">
        <v>10</v>
      </c>
      <c r="B202" s="75">
        <v>39463</v>
      </c>
      <c r="C202" s="15">
        <v>2008</v>
      </c>
      <c r="D202" s="11" t="s">
        <v>39</v>
      </c>
      <c r="E202" s="15">
        <v>1</v>
      </c>
      <c r="F202" s="23">
        <v>1.718</v>
      </c>
      <c r="G202" s="23">
        <v>0.40500000000000003</v>
      </c>
      <c r="I202" s="27">
        <f>AVERAGE(F201:F202)</f>
        <v>1.6164999999999998</v>
      </c>
      <c r="J202" s="27">
        <f>AVERAGE(G201:G202)</f>
        <v>0.34450000000000003</v>
      </c>
      <c r="L202">
        <f>+J202/I202</f>
        <v>0.2131147540983607</v>
      </c>
      <c r="M202">
        <f>+(L202-$L$614)/$L$615</f>
        <v>-0.33784351035275584</v>
      </c>
      <c r="N202">
        <f>+N200+M202</f>
        <v>-9.6570260862846506</v>
      </c>
    </row>
    <row r="203" spans="1:14">
      <c r="A203" s="15">
        <v>9</v>
      </c>
      <c r="B203" s="75">
        <v>39493</v>
      </c>
      <c r="C203" s="15">
        <v>2008</v>
      </c>
      <c r="D203" s="11" t="s">
        <v>28</v>
      </c>
      <c r="E203" s="15">
        <v>2</v>
      </c>
      <c r="F203" s="23">
        <v>1.8859999999999999</v>
      </c>
      <c r="G203" s="23">
        <v>0.503</v>
      </c>
    </row>
    <row r="204" spans="1:14">
      <c r="A204" s="15">
        <v>10</v>
      </c>
      <c r="B204" s="75">
        <v>39493</v>
      </c>
      <c r="C204" s="15">
        <v>2008</v>
      </c>
      <c r="D204" s="11" t="s">
        <v>28</v>
      </c>
      <c r="E204" s="15">
        <v>2</v>
      </c>
      <c r="F204" s="23">
        <v>1.6619999999999999</v>
      </c>
      <c r="G204" s="23">
        <v>0.443</v>
      </c>
      <c r="I204" s="27">
        <f>AVERAGE(F203:F204)</f>
        <v>1.774</v>
      </c>
      <c r="J204" s="27">
        <f>AVERAGE(G203:G204)</f>
        <v>0.47299999999999998</v>
      </c>
      <c r="L204">
        <f>+J204/I204</f>
        <v>0.26662908680947012</v>
      </c>
      <c r="M204">
        <f>+(L204-$L$614)/$L$615</f>
        <v>0.21497962021435491</v>
      </c>
      <c r="N204">
        <f>+N202+M204</f>
        <v>-9.4420464660702965</v>
      </c>
    </row>
    <row r="205" spans="1:14">
      <c r="A205" s="15">
        <v>9</v>
      </c>
      <c r="B205" s="75">
        <v>39517</v>
      </c>
      <c r="C205" s="15">
        <v>2008</v>
      </c>
      <c r="D205" s="11" t="s">
        <v>29</v>
      </c>
      <c r="E205" s="15">
        <v>3</v>
      </c>
      <c r="F205" s="24">
        <v>1.875</v>
      </c>
      <c r="G205" s="23">
        <v>0.34399999999999997</v>
      </c>
    </row>
    <row r="206" spans="1:14">
      <c r="A206" s="15">
        <v>10</v>
      </c>
      <c r="B206" s="75">
        <v>39517</v>
      </c>
      <c r="C206" s="15">
        <v>2008</v>
      </c>
      <c r="D206" s="11" t="s">
        <v>29</v>
      </c>
      <c r="E206" s="15">
        <v>3</v>
      </c>
      <c r="F206" s="24">
        <v>1.5249999999999999</v>
      </c>
      <c r="G206" s="23">
        <v>0.254</v>
      </c>
      <c r="I206" s="27">
        <f>AVERAGE(F205:F206)</f>
        <v>1.7</v>
      </c>
      <c r="J206" s="27">
        <f>AVERAGE(G205:G206)</f>
        <v>0.29899999999999999</v>
      </c>
      <c r="L206">
        <f>+J206/I206</f>
        <v>0.17588235294117646</v>
      </c>
      <c r="M206">
        <f>+(L206-$L$614)/$L$615</f>
        <v>-0.7224681804828974</v>
      </c>
      <c r="N206">
        <f>+N204+M206</f>
        <v>-10.164514646553194</v>
      </c>
    </row>
    <row r="207" spans="1:14">
      <c r="A207" s="15">
        <v>9</v>
      </c>
      <c r="B207" s="75">
        <v>39552</v>
      </c>
      <c r="C207" s="15">
        <v>2008</v>
      </c>
      <c r="D207" s="11" t="s">
        <v>30</v>
      </c>
      <c r="E207" s="15">
        <v>4</v>
      </c>
      <c r="F207" s="24">
        <v>1.222</v>
      </c>
      <c r="G207" s="23">
        <v>0.13400000000000001</v>
      </c>
    </row>
    <row r="208" spans="1:14">
      <c r="A208" s="15">
        <v>10</v>
      </c>
      <c r="B208" s="75">
        <v>39552</v>
      </c>
      <c r="C208" s="15">
        <v>2008</v>
      </c>
      <c r="D208" s="11" t="s">
        <v>30</v>
      </c>
      <c r="E208" s="15">
        <v>4</v>
      </c>
      <c r="F208" s="24">
        <v>1.135</v>
      </c>
      <c r="G208" s="23">
        <v>6.7000000000000004E-2</v>
      </c>
      <c r="I208" s="27">
        <f>AVERAGE(F207:F208)</f>
        <v>1.1785000000000001</v>
      </c>
      <c r="J208" s="27">
        <f>AVERAGE(G207:G208)</f>
        <v>0.10050000000000001</v>
      </c>
      <c r="L208">
        <f>+J208/I208</f>
        <v>8.5277895630038181E-2</v>
      </c>
      <c r="M208">
        <f>+(L208-$L$614)/$L$615</f>
        <v>-1.6584462109756413</v>
      </c>
      <c r="N208">
        <f>+N206+M208</f>
        <v>-11.822960857528836</v>
      </c>
    </row>
    <row r="209" spans="1:14">
      <c r="A209" s="15">
        <v>9</v>
      </c>
      <c r="B209" s="75">
        <v>39583</v>
      </c>
      <c r="C209" s="15">
        <v>2008</v>
      </c>
      <c r="D209" s="11" t="s">
        <v>31</v>
      </c>
      <c r="E209" s="15">
        <v>5</v>
      </c>
      <c r="F209" s="24">
        <v>3.5169999999999999</v>
      </c>
      <c r="G209" s="23">
        <v>1.113</v>
      </c>
    </row>
    <row r="210" spans="1:14">
      <c r="A210" s="15">
        <v>10</v>
      </c>
      <c r="B210" s="75">
        <v>39583</v>
      </c>
      <c r="C210" s="15">
        <v>2008</v>
      </c>
      <c r="D210" s="11" t="s">
        <v>31</v>
      </c>
      <c r="E210" s="15">
        <v>5</v>
      </c>
      <c r="F210" s="24">
        <v>3.0009999999999999</v>
      </c>
      <c r="G210" s="23">
        <v>0.48299999999999998</v>
      </c>
      <c r="I210" s="27">
        <f>AVERAGE(F209:F210)</f>
        <v>3.2589999999999999</v>
      </c>
      <c r="J210" s="27">
        <f>AVERAGE(G209:G210)</f>
        <v>0.79800000000000004</v>
      </c>
      <c r="L210">
        <f>+J210/I210</f>
        <v>0.2448603866216631</v>
      </c>
      <c r="M210">
        <f>+(L210-$L$614)/$L$615</f>
        <v>-9.8992183421437452E-3</v>
      </c>
      <c r="N210">
        <f>+N208+M210</f>
        <v>-11.832860075870979</v>
      </c>
    </row>
    <row r="211" spans="1:14">
      <c r="A211" s="15">
        <v>9</v>
      </c>
      <c r="B211" s="75">
        <v>39617</v>
      </c>
      <c r="C211" s="15">
        <v>2008</v>
      </c>
      <c r="D211" s="11" t="s">
        <v>32</v>
      </c>
      <c r="E211" s="15">
        <v>6</v>
      </c>
      <c r="F211" s="24">
        <v>10.605</v>
      </c>
      <c r="G211" s="23">
        <v>2.4159999999999999</v>
      </c>
    </row>
    <row r="212" spans="1:14">
      <c r="A212" s="15">
        <v>10</v>
      </c>
      <c r="B212" s="75">
        <v>39617</v>
      </c>
      <c r="C212" s="15">
        <v>2008</v>
      </c>
      <c r="D212" s="11" t="s">
        <v>32</v>
      </c>
      <c r="E212" s="15">
        <v>6</v>
      </c>
      <c r="F212" s="24">
        <v>4.0430000000000001</v>
      </c>
      <c r="G212" s="23">
        <v>0.50800000000000001</v>
      </c>
      <c r="I212" s="27">
        <f>AVERAGE(F211:F212)</f>
        <v>7.3239999999999998</v>
      </c>
      <c r="J212" s="27">
        <f>AVERAGE(G211:G212)</f>
        <v>1.462</v>
      </c>
      <c r="L212">
        <f>+J212/I212</f>
        <v>0.19961769524849809</v>
      </c>
      <c r="M212">
        <f>+(L212-$L$614)/$L$615</f>
        <v>-0.47727319112836214</v>
      </c>
      <c r="N212">
        <f>+N210+M212</f>
        <v>-12.31013326699934</v>
      </c>
    </row>
    <row r="213" spans="1:14">
      <c r="A213" s="15">
        <v>9</v>
      </c>
      <c r="B213" s="75">
        <v>39645</v>
      </c>
      <c r="C213" s="15">
        <v>2008</v>
      </c>
      <c r="D213" s="11" t="s">
        <v>33</v>
      </c>
      <c r="E213" s="15">
        <v>7</v>
      </c>
      <c r="F213" s="24">
        <v>10.544</v>
      </c>
      <c r="G213" s="23">
        <v>3.0920000000000001</v>
      </c>
    </row>
    <row r="214" spans="1:14">
      <c r="A214" s="15">
        <v>10</v>
      </c>
      <c r="B214" s="75">
        <v>39645</v>
      </c>
      <c r="C214" s="15">
        <v>2008</v>
      </c>
      <c r="D214" s="11" t="s">
        <v>33</v>
      </c>
      <c r="E214" s="15">
        <v>7</v>
      </c>
      <c r="F214" s="24">
        <v>4.6070000000000002</v>
      </c>
      <c r="G214" s="23">
        <v>0.247</v>
      </c>
      <c r="I214" s="27">
        <f>AVERAGE(F213:F214)</f>
        <v>7.5754999999999999</v>
      </c>
      <c r="J214" s="27">
        <f>AVERAGE(G213:G214)</f>
        <v>1.6695</v>
      </c>
      <c r="L214">
        <f>+J214/I214</f>
        <v>0.22038149297076101</v>
      </c>
      <c r="M214">
        <f>+(L214-$L$614)/$L$615</f>
        <v>-0.26277537198802026</v>
      </c>
      <c r="N214">
        <f>+N212+M214</f>
        <v>-12.572908638987361</v>
      </c>
    </row>
    <row r="215" spans="1:14">
      <c r="A215" s="15">
        <v>9</v>
      </c>
      <c r="B215" s="75">
        <v>39672</v>
      </c>
      <c r="C215" s="15">
        <v>2008</v>
      </c>
      <c r="D215" s="11" t="s">
        <v>34</v>
      </c>
      <c r="E215" s="15">
        <v>8</v>
      </c>
      <c r="F215" s="24">
        <v>10.702999999999999</v>
      </c>
      <c r="G215" s="23">
        <v>3.2829999999999999</v>
      </c>
    </row>
    <row r="216" spans="1:14">
      <c r="A216" s="15">
        <v>10</v>
      </c>
      <c r="B216" s="75">
        <v>39672</v>
      </c>
      <c r="C216" s="15">
        <v>2008</v>
      </c>
      <c r="D216" s="11" t="s">
        <v>34</v>
      </c>
      <c r="E216" s="15">
        <v>8</v>
      </c>
      <c r="F216" s="24">
        <v>8.69</v>
      </c>
      <c r="G216" s="23">
        <v>1.8580000000000001</v>
      </c>
      <c r="I216" s="27">
        <f>AVERAGE(F215:F216)</f>
        <v>9.6965000000000003</v>
      </c>
      <c r="J216" s="27">
        <f>AVERAGE(G215:G216)</f>
        <v>2.5705</v>
      </c>
      <c r="L216">
        <f>+J216/I216</f>
        <v>0.2650956530706956</v>
      </c>
      <c r="M216">
        <f>+(L216-$L$614)/$L$615</f>
        <v>0.19913867448934969</v>
      </c>
      <c r="N216">
        <f>+N214+M216</f>
        <v>-12.373769964498011</v>
      </c>
    </row>
    <row r="217" spans="1:14">
      <c r="A217" s="15">
        <v>9</v>
      </c>
      <c r="B217" s="75">
        <v>39709</v>
      </c>
      <c r="C217" s="15">
        <v>2008</v>
      </c>
      <c r="D217" s="11" t="s">
        <v>40</v>
      </c>
      <c r="E217" s="15">
        <v>9</v>
      </c>
      <c r="F217" s="23">
        <v>1.73</v>
      </c>
      <c r="G217" s="23">
        <v>0.315</v>
      </c>
    </row>
    <row r="218" spans="1:14">
      <c r="A218" s="15">
        <v>10</v>
      </c>
      <c r="B218" s="75">
        <v>39709</v>
      </c>
      <c r="C218" s="15">
        <v>2008</v>
      </c>
      <c r="D218" s="11" t="s">
        <v>40</v>
      </c>
      <c r="E218" s="15">
        <v>9</v>
      </c>
      <c r="F218" s="23">
        <v>1.7969999999999999</v>
      </c>
      <c r="G218" s="23">
        <v>0.313</v>
      </c>
      <c r="I218" s="27">
        <f>AVERAGE(F217:F218)</f>
        <v>1.7635000000000001</v>
      </c>
      <c r="J218" s="27">
        <f>AVERAGE(G217:G218)</f>
        <v>0.314</v>
      </c>
      <c r="L218">
        <f>+J218/I218</f>
        <v>0.17805500425290616</v>
      </c>
      <c r="M218">
        <f>+(L218-$L$614)/$L$615</f>
        <v>-0.70002387745355577</v>
      </c>
      <c r="N218">
        <f>+N216+M218</f>
        <v>-13.073793841951566</v>
      </c>
    </row>
    <row r="219" spans="1:14">
      <c r="A219" s="15">
        <v>9</v>
      </c>
      <c r="B219" s="75">
        <v>39735</v>
      </c>
      <c r="C219" s="15">
        <v>2008</v>
      </c>
      <c r="D219" s="11" t="s">
        <v>36</v>
      </c>
      <c r="E219" s="15">
        <v>10</v>
      </c>
      <c r="F219" s="23">
        <v>3.992</v>
      </c>
      <c r="G219" s="23">
        <v>1.718</v>
      </c>
    </row>
    <row r="220" spans="1:14">
      <c r="A220" s="15">
        <v>10</v>
      </c>
      <c r="B220" s="75">
        <v>39735</v>
      </c>
      <c r="C220" s="15">
        <v>2008</v>
      </c>
      <c r="D220" s="11" t="s">
        <v>36</v>
      </c>
      <c r="E220" s="15">
        <v>10</v>
      </c>
      <c r="F220" s="23">
        <v>1.3120000000000001</v>
      </c>
      <c r="G220" s="23">
        <v>0.17100000000000001</v>
      </c>
      <c r="I220" s="27">
        <f>AVERAGE(F219:F220)</f>
        <v>2.6520000000000001</v>
      </c>
      <c r="J220" s="27">
        <f>AVERAGE(G219:G220)</f>
        <v>0.94450000000000001</v>
      </c>
      <c r="L220">
        <f>+J220/I220</f>
        <v>0.35614630467571645</v>
      </c>
      <c r="M220">
        <f>+(L220-$L$614)/$L$615</f>
        <v>1.1397260594090084</v>
      </c>
      <c r="N220">
        <f>+N218+M220</f>
        <v>-11.934067782542558</v>
      </c>
    </row>
    <row r="221" spans="1:14">
      <c r="A221" s="15">
        <v>9</v>
      </c>
      <c r="B221" s="75">
        <v>39769</v>
      </c>
      <c r="C221" s="15">
        <v>2008</v>
      </c>
      <c r="D221" s="11" t="s">
        <v>37</v>
      </c>
      <c r="E221" s="15">
        <v>11</v>
      </c>
      <c r="F221" s="23">
        <v>0.627</v>
      </c>
      <c r="G221" s="23">
        <v>0.10299999999999999</v>
      </c>
    </row>
    <row r="222" spans="1:14">
      <c r="A222" s="15">
        <v>10</v>
      </c>
      <c r="B222" s="75">
        <v>39769</v>
      </c>
      <c r="C222" s="15">
        <v>2008</v>
      </c>
      <c r="D222" s="11" t="s">
        <v>37</v>
      </c>
      <c r="E222" s="15">
        <v>11</v>
      </c>
      <c r="F222" s="23">
        <v>0.77200000000000002</v>
      </c>
      <c r="G222" s="23">
        <v>9.5000000000000001E-2</v>
      </c>
      <c r="I222" s="27">
        <f>AVERAGE(F221:F222)</f>
        <v>0.69950000000000001</v>
      </c>
      <c r="J222" s="27">
        <f>AVERAGE(G221:G222)</f>
        <v>9.9000000000000005E-2</v>
      </c>
      <c r="L222">
        <f>+J222/I222</f>
        <v>0.14152966404574696</v>
      </c>
      <c r="M222">
        <f>+(L222-$L$614)/$L$615</f>
        <v>-1.0773443427456268</v>
      </c>
      <c r="N222">
        <f>+N220+M222</f>
        <v>-13.011412125288185</v>
      </c>
    </row>
    <row r="223" spans="1:14">
      <c r="A223" s="15">
        <v>9</v>
      </c>
      <c r="B223" s="75">
        <v>39797</v>
      </c>
      <c r="C223" s="15">
        <v>2008</v>
      </c>
      <c r="D223" s="11" t="s">
        <v>38</v>
      </c>
      <c r="E223" s="15">
        <v>12</v>
      </c>
      <c r="F223" s="23">
        <v>1.2150000000000001</v>
      </c>
      <c r="G223" s="23">
        <v>0.34100000000000003</v>
      </c>
    </row>
    <row r="224" spans="1:14">
      <c r="A224" s="15">
        <v>10</v>
      </c>
      <c r="B224" s="75">
        <v>39797</v>
      </c>
      <c r="C224" s="15">
        <v>2008</v>
      </c>
      <c r="D224" s="11" t="s">
        <v>38</v>
      </c>
      <c r="E224" s="15">
        <v>12</v>
      </c>
      <c r="F224" s="23">
        <v>4.3120000000000003</v>
      </c>
      <c r="G224" s="23">
        <v>0.96599999999999997</v>
      </c>
      <c r="I224" s="27">
        <f>AVERAGE(F223:F224)</f>
        <v>2.7635000000000001</v>
      </c>
      <c r="J224" s="27">
        <f>AVERAGE(G223:G224)</f>
        <v>0.65349999999999997</v>
      </c>
      <c r="L224">
        <f>+J224/I224</f>
        <v>0.23647548398769674</v>
      </c>
      <c r="M224">
        <f>+(L224-$L$614)/$L$615</f>
        <v>-9.6518407796175792E-2</v>
      </c>
      <c r="N224">
        <f>+N222+M224</f>
        <v>-13.10793053308436</v>
      </c>
    </row>
    <row r="225" spans="1:14">
      <c r="A225" s="15">
        <v>9</v>
      </c>
      <c r="B225" s="75">
        <v>39826</v>
      </c>
      <c r="C225" s="15">
        <v>2009</v>
      </c>
      <c r="D225" s="11" t="s">
        <v>39</v>
      </c>
      <c r="E225" s="12">
        <v>1</v>
      </c>
      <c r="F225" s="23">
        <v>2.718</v>
      </c>
      <c r="G225" s="23">
        <v>0.73</v>
      </c>
    </row>
    <row r="226" spans="1:14">
      <c r="A226" s="15">
        <v>10</v>
      </c>
      <c r="B226" s="75">
        <v>39826</v>
      </c>
      <c r="C226" s="15">
        <v>2009</v>
      </c>
      <c r="D226" s="11" t="s">
        <v>39</v>
      </c>
      <c r="E226" s="12">
        <v>1</v>
      </c>
      <c r="F226" s="23">
        <v>2.0840000000000001</v>
      </c>
      <c r="G226" s="23">
        <v>0.58699999999999997</v>
      </c>
      <c r="I226" s="27">
        <f>AVERAGE(F225:F226)</f>
        <v>2.4009999999999998</v>
      </c>
      <c r="J226" s="27">
        <f>AVERAGE(G225:G226)</f>
        <v>0.65849999999999997</v>
      </c>
      <c r="L226">
        <f>+J226/I226</f>
        <v>0.27426072469804247</v>
      </c>
      <c r="M226">
        <f>+(L226-$L$614)/$L$615</f>
        <v>0.29381730229273578</v>
      </c>
      <c r="N226">
        <f>+N224+M226</f>
        <v>-12.814113230791625</v>
      </c>
    </row>
    <row r="227" spans="1:14">
      <c r="A227" s="12">
        <v>9</v>
      </c>
      <c r="B227" s="75">
        <v>39861</v>
      </c>
      <c r="C227" s="15">
        <v>2009</v>
      </c>
      <c r="D227" s="11" t="s">
        <v>28</v>
      </c>
      <c r="E227" s="12">
        <v>2</v>
      </c>
      <c r="F227" s="23">
        <v>2.077</v>
      </c>
      <c r="G227" s="23">
        <v>0.76200000000000001</v>
      </c>
    </row>
    <row r="228" spans="1:14">
      <c r="A228" s="12">
        <v>10</v>
      </c>
      <c r="B228" s="75">
        <v>39861</v>
      </c>
      <c r="C228" s="15">
        <v>2009</v>
      </c>
      <c r="D228" s="11" t="s">
        <v>28</v>
      </c>
      <c r="E228" s="12">
        <v>2</v>
      </c>
      <c r="F228" s="23">
        <v>1.7310000000000001</v>
      </c>
      <c r="G228" s="23">
        <v>0.60599999999999998</v>
      </c>
      <c r="I228" s="27">
        <f>AVERAGE(F227:F228)</f>
        <v>1.9039999999999999</v>
      </c>
      <c r="J228" s="27">
        <f>AVERAGE(G227:G228)</f>
        <v>0.68399999999999994</v>
      </c>
      <c r="L228">
        <f>+J228/I228</f>
        <v>0.3592436974789916</v>
      </c>
      <c r="M228">
        <f>+(L228-$L$614)/$L$615</f>
        <v>1.1717232889240674</v>
      </c>
      <c r="N228">
        <f>+N226+M228</f>
        <v>-11.642389941867558</v>
      </c>
    </row>
    <row r="229" spans="1:14">
      <c r="A229" s="12">
        <v>9</v>
      </c>
      <c r="B229" s="75">
        <v>39888</v>
      </c>
      <c r="C229" s="15">
        <v>2009</v>
      </c>
      <c r="D229" s="11" t="s">
        <v>29</v>
      </c>
      <c r="E229" s="12">
        <v>3</v>
      </c>
      <c r="F229" s="23">
        <v>3.859</v>
      </c>
      <c r="G229" s="25">
        <v>1.4139999999999999</v>
      </c>
    </row>
    <row r="230" spans="1:14">
      <c r="A230" s="12">
        <v>10</v>
      </c>
      <c r="B230" s="75">
        <v>39888</v>
      </c>
      <c r="C230" s="15">
        <v>2009</v>
      </c>
      <c r="D230" s="11" t="s">
        <v>29</v>
      </c>
      <c r="E230" s="12">
        <v>3</v>
      </c>
      <c r="F230" s="23">
        <v>3.5259999999999998</v>
      </c>
      <c r="G230" s="25">
        <v>1.1839999999999999</v>
      </c>
      <c r="I230" s="27">
        <f>AVERAGE(F229:F230)</f>
        <v>3.6924999999999999</v>
      </c>
      <c r="J230" s="27">
        <f>AVERAGE(G229:G230)</f>
        <v>1.2989999999999999</v>
      </c>
      <c r="L230">
        <f>+J230/I230</f>
        <v>0.35179417738659446</v>
      </c>
      <c r="M230">
        <f>+(L230-$L$614)/$L$615</f>
        <v>1.0947669519940428</v>
      </c>
      <c r="N230">
        <f>+N228+M230</f>
        <v>-10.547622989873515</v>
      </c>
    </row>
    <row r="231" spans="1:14">
      <c r="A231" s="12">
        <v>9</v>
      </c>
      <c r="B231" s="75">
        <v>39916</v>
      </c>
      <c r="C231" s="15">
        <v>2009</v>
      </c>
      <c r="D231" s="11" t="s">
        <v>30</v>
      </c>
      <c r="E231" s="12">
        <v>4</v>
      </c>
      <c r="F231" s="23">
        <v>0.66500000000000004</v>
      </c>
      <c r="G231" s="25">
        <v>9.8000000000000004E-2</v>
      </c>
    </row>
    <row r="232" spans="1:14">
      <c r="A232" s="12">
        <v>10</v>
      </c>
      <c r="B232" s="75">
        <v>39916</v>
      </c>
      <c r="C232" s="15">
        <v>2009</v>
      </c>
      <c r="D232" s="11" t="s">
        <v>30</v>
      </c>
      <c r="E232" s="12">
        <v>4</v>
      </c>
      <c r="F232" s="23">
        <v>0.52800000000000002</v>
      </c>
      <c r="G232" s="25">
        <v>0.06</v>
      </c>
      <c r="I232" s="27">
        <f>AVERAGE(F231:F232)</f>
        <v>0.59650000000000003</v>
      </c>
      <c r="J232" s="27">
        <f>AVERAGE(G231:G232)</f>
        <v>7.9000000000000001E-2</v>
      </c>
      <c r="L232">
        <f>+J232/I232</f>
        <v>0.13243922883487008</v>
      </c>
      <c r="M232">
        <f>+(L232-$L$614)/$L$615</f>
        <v>-1.1712519483701513</v>
      </c>
      <c r="N232">
        <f>+N230+M232</f>
        <v>-11.718874938243667</v>
      </c>
    </row>
    <row r="233" spans="1:14">
      <c r="A233" s="12">
        <v>9</v>
      </c>
      <c r="B233" s="75">
        <v>39946</v>
      </c>
      <c r="C233" s="15">
        <v>2009</v>
      </c>
      <c r="D233" s="11" t="s">
        <v>31</v>
      </c>
      <c r="E233" s="12">
        <v>5</v>
      </c>
      <c r="F233" s="23">
        <v>0.59599999999999997</v>
      </c>
      <c r="G233" s="25">
        <v>7.2999999999999995E-2</v>
      </c>
    </row>
    <row r="234" spans="1:14">
      <c r="A234" s="12">
        <v>10</v>
      </c>
      <c r="B234" s="75">
        <v>39946</v>
      </c>
      <c r="C234" s="15">
        <v>2009</v>
      </c>
      <c r="D234" s="11" t="s">
        <v>31</v>
      </c>
      <c r="E234" s="12">
        <v>5</v>
      </c>
      <c r="F234" s="23">
        <v>0.85199999999999998</v>
      </c>
      <c r="G234" s="25">
        <v>0.10100000000000001</v>
      </c>
      <c r="I234" s="27">
        <f>AVERAGE(F233:F234)</f>
        <v>0.72399999999999998</v>
      </c>
      <c r="J234" s="27">
        <f>AVERAGE(G233:G234)</f>
        <v>8.6999999999999994E-2</v>
      </c>
      <c r="L234">
        <f>+J234/I234</f>
        <v>0.12016574585635359</v>
      </c>
      <c r="M234">
        <f>+(L234-$L$614)/$L$615</f>
        <v>-1.2980416314214935</v>
      </c>
      <c r="N234">
        <f>+N232+M234</f>
        <v>-13.016916569665161</v>
      </c>
    </row>
    <row r="235" spans="1:14">
      <c r="A235" s="15">
        <v>9</v>
      </c>
      <c r="B235" s="75">
        <v>39983</v>
      </c>
      <c r="C235" s="15">
        <v>2009</v>
      </c>
      <c r="D235" s="11" t="s">
        <v>32</v>
      </c>
      <c r="E235" s="12">
        <v>6</v>
      </c>
      <c r="F235" s="23">
        <v>3.1190000000000002</v>
      </c>
      <c r="G235" s="25">
        <v>1.042</v>
      </c>
    </row>
    <row r="236" spans="1:14">
      <c r="A236" s="15">
        <v>10</v>
      </c>
      <c r="B236" s="75">
        <v>39983</v>
      </c>
      <c r="C236" s="15">
        <v>2009</v>
      </c>
      <c r="D236" s="11" t="s">
        <v>32</v>
      </c>
      <c r="E236" s="12">
        <v>6</v>
      </c>
      <c r="F236" s="23">
        <v>2.516</v>
      </c>
      <c r="G236" s="25">
        <v>0.64</v>
      </c>
      <c r="I236" s="27">
        <f>AVERAGE(F235:F236)</f>
        <v>2.8174999999999999</v>
      </c>
      <c r="J236" s="27">
        <f>AVERAGE(G235:G236)</f>
        <v>0.84099999999999997</v>
      </c>
      <c r="L236">
        <f>+J236/I236</f>
        <v>0.29849157054125997</v>
      </c>
      <c r="M236">
        <f>+(L236-$L$614)/$L$615</f>
        <v>0.54413102904048083</v>
      </c>
      <c r="N236">
        <f>+N234+M236</f>
        <v>-12.472785540624681</v>
      </c>
    </row>
    <row r="237" spans="1:14">
      <c r="A237" s="15">
        <v>9</v>
      </c>
      <c r="B237" s="75">
        <v>40007</v>
      </c>
      <c r="C237" s="15">
        <v>2009</v>
      </c>
      <c r="D237" s="11" t="s">
        <v>33</v>
      </c>
      <c r="E237" s="12">
        <v>7</v>
      </c>
      <c r="F237" s="23">
        <v>4.57</v>
      </c>
      <c r="G237" s="25">
        <v>0.95699999999999996</v>
      </c>
    </row>
    <row r="238" spans="1:14">
      <c r="A238" s="15">
        <v>10</v>
      </c>
      <c r="B238" s="75">
        <v>40007</v>
      </c>
      <c r="C238" s="15">
        <v>2009</v>
      </c>
      <c r="D238" s="11" t="s">
        <v>33</v>
      </c>
      <c r="E238" s="12">
        <v>7</v>
      </c>
      <c r="F238" s="23">
        <v>3.2389999999999999</v>
      </c>
      <c r="G238" s="25">
        <v>0.45300000000000001</v>
      </c>
      <c r="I238" s="27">
        <f>AVERAGE(F237:F238)</f>
        <v>3.9045000000000001</v>
      </c>
      <c r="J238" s="27">
        <f>AVERAGE(G237:G238)</f>
        <v>0.70499999999999996</v>
      </c>
      <c r="L238">
        <f>+J238/I238</f>
        <v>0.18056089127929312</v>
      </c>
      <c r="M238">
        <f>+(L238-$L$614)/$L$615</f>
        <v>-0.67413712449237839</v>
      </c>
      <c r="N238">
        <f>+N236+M238</f>
        <v>-13.14692266511706</v>
      </c>
    </row>
    <row r="239" spans="1:14">
      <c r="A239" s="15">
        <v>9</v>
      </c>
      <c r="B239" s="75">
        <v>40042</v>
      </c>
      <c r="C239" s="15">
        <v>2009</v>
      </c>
      <c r="D239" s="11" t="s">
        <v>34</v>
      </c>
      <c r="E239" s="12">
        <v>8</v>
      </c>
      <c r="F239" s="23">
        <v>5.7190000000000003</v>
      </c>
      <c r="G239" s="25">
        <v>1.538</v>
      </c>
    </row>
    <row r="240" spans="1:14">
      <c r="A240" s="15">
        <v>10</v>
      </c>
      <c r="B240" s="75">
        <v>40042</v>
      </c>
      <c r="C240" s="15">
        <v>2009</v>
      </c>
      <c r="D240" s="11" t="s">
        <v>34</v>
      </c>
      <c r="E240" s="12">
        <v>8</v>
      </c>
      <c r="F240" s="23">
        <v>13.336</v>
      </c>
      <c r="G240" s="25">
        <v>2.9180000000000001</v>
      </c>
      <c r="I240" s="27">
        <f>AVERAGE(F239:F240)</f>
        <v>9.5274999999999999</v>
      </c>
      <c r="J240" s="27">
        <f>AVERAGE(G239:G240)</f>
        <v>2.2280000000000002</v>
      </c>
      <c r="L240">
        <f>+J240/I240</f>
        <v>0.23384938336394651</v>
      </c>
      <c r="M240">
        <f>+(L240-$L$614)/$L$615</f>
        <v>-0.12364701231121379</v>
      </c>
      <c r="N240">
        <f>+N238+M240</f>
        <v>-13.270569677428274</v>
      </c>
    </row>
    <row r="241" spans="1:14">
      <c r="A241" s="15">
        <v>9</v>
      </c>
      <c r="B241" s="75">
        <v>40071</v>
      </c>
      <c r="C241" s="15">
        <v>2009</v>
      </c>
      <c r="D241" s="11" t="s">
        <v>40</v>
      </c>
      <c r="E241" s="12">
        <v>9</v>
      </c>
      <c r="F241" s="23">
        <v>3.0950000000000002</v>
      </c>
      <c r="G241" s="25">
        <v>0.45600000000000002</v>
      </c>
    </row>
    <row r="242" spans="1:14">
      <c r="A242" s="15">
        <v>10</v>
      </c>
      <c r="B242" s="75">
        <v>40071</v>
      </c>
      <c r="C242" s="15">
        <v>2009</v>
      </c>
      <c r="D242" s="11" t="s">
        <v>40</v>
      </c>
      <c r="E242" s="12">
        <v>9</v>
      </c>
      <c r="F242" s="23">
        <v>3.5539999999999998</v>
      </c>
      <c r="G242" s="25">
        <v>0.42699999999999999</v>
      </c>
      <c r="I242" s="27">
        <f>AVERAGE(F241:F242)</f>
        <v>3.3245</v>
      </c>
      <c r="J242" s="27">
        <f>AVERAGE(G241:G242)</f>
        <v>0.4415</v>
      </c>
      <c r="L242">
        <f>+J242/I242</f>
        <v>0.13280192510151903</v>
      </c>
      <c r="M242">
        <f>+(L242-$L$614)/$L$615</f>
        <v>-1.1675051598853488</v>
      </c>
      <c r="N242">
        <f>+N240+M242</f>
        <v>-14.438074837313621</v>
      </c>
    </row>
    <row r="243" spans="1:14">
      <c r="A243" s="15">
        <v>9</v>
      </c>
      <c r="B243" s="75">
        <v>40100</v>
      </c>
      <c r="C243" s="15">
        <v>2009</v>
      </c>
      <c r="D243" s="11" t="s">
        <v>36</v>
      </c>
      <c r="E243" s="12">
        <v>10</v>
      </c>
      <c r="F243" s="23">
        <v>0.78600000000000003</v>
      </c>
      <c r="G243" s="25">
        <v>0.19600000000000001</v>
      </c>
    </row>
    <row r="244" spans="1:14">
      <c r="A244" s="15">
        <v>10</v>
      </c>
      <c r="B244" s="75">
        <v>40100</v>
      </c>
      <c r="C244" s="15">
        <v>2009</v>
      </c>
      <c r="D244" s="11" t="s">
        <v>36</v>
      </c>
      <c r="E244" s="12">
        <v>10</v>
      </c>
      <c r="F244" s="23">
        <v>1.147</v>
      </c>
      <c r="G244" s="25">
        <v>0.214</v>
      </c>
      <c r="I244" s="27">
        <f>AVERAGE(F243:F244)</f>
        <v>0.96650000000000003</v>
      </c>
      <c r="J244" s="27">
        <f>AVERAGE(G243:G244)</f>
        <v>0.20500000000000002</v>
      </c>
      <c r="L244">
        <f>+J244/I244</f>
        <v>0.21210553543714433</v>
      </c>
      <c r="M244">
        <f>+(L244-$L$614)/$L$615</f>
        <v>-0.34826911768924718</v>
      </c>
      <c r="N244">
        <f>+N242+M244</f>
        <v>-14.786343955002868</v>
      </c>
    </row>
    <row r="245" spans="1:14">
      <c r="A245" s="15">
        <v>9</v>
      </c>
      <c r="B245" s="75">
        <v>40133</v>
      </c>
      <c r="C245" s="15">
        <v>2009</v>
      </c>
      <c r="D245" s="11" t="s">
        <v>37</v>
      </c>
      <c r="E245" s="12">
        <v>11</v>
      </c>
      <c r="F245" s="23">
        <v>1.613</v>
      </c>
      <c r="G245" s="25">
        <v>0.47599999999999998</v>
      </c>
    </row>
    <row r="246" spans="1:14">
      <c r="A246" s="15">
        <v>10</v>
      </c>
      <c r="B246" s="75">
        <v>40133</v>
      </c>
      <c r="C246" s="15">
        <v>2009</v>
      </c>
      <c r="D246" s="11" t="s">
        <v>37</v>
      </c>
      <c r="E246" s="12">
        <v>11</v>
      </c>
      <c r="F246" s="23">
        <v>1.095</v>
      </c>
      <c r="G246" s="25">
        <v>0.33500000000000002</v>
      </c>
      <c r="I246" s="27">
        <f>AVERAGE(F245:F246)</f>
        <v>1.3540000000000001</v>
      </c>
      <c r="J246" s="27">
        <f>AVERAGE(G245:G246)</f>
        <v>0.40549999999999997</v>
      </c>
      <c r="L246">
        <f>+J246/I246</f>
        <v>0.29948301329394383</v>
      </c>
      <c r="M246">
        <f>+(L246-$L$614)/$L$615</f>
        <v>0.55437300457394367</v>
      </c>
      <c r="N246">
        <f>+N244+M246</f>
        <v>-14.231970950428925</v>
      </c>
    </row>
    <row r="247" spans="1:14">
      <c r="A247" s="15">
        <v>9</v>
      </c>
      <c r="B247" s="75">
        <v>40161</v>
      </c>
      <c r="C247" s="15">
        <v>2009</v>
      </c>
      <c r="D247" s="11" t="s">
        <v>38</v>
      </c>
      <c r="E247" s="12">
        <v>12</v>
      </c>
      <c r="F247" s="23">
        <v>1.8680000000000001</v>
      </c>
      <c r="G247" s="25">
        <v>0.46100000000000002</v>
      </c>
    </row>
    <row r="248" spans="1:14">
      <c r="A248" s="15">
        <v>10</v>
      </c>
      <c r="B248" s="75">
        <v>40161</v>
      </c>
      <c r="C248" s="15">
        <v>2009</v>
      </c>
      <c r="D248" s="11" t="s">
        <v>38</v>
      </c>
      <c r="E248" s="12">
        <v>12</v>
      </c>
      <c r="F248" s="23">
        <v>1.395</v>
      </c>
      <c r="G248" s="25">
        <v>0.33700000000000002</v>
      </c>
      <c r="I248" s="27">
        <f>AVERAGE(F247:F248)</f>
        <v>1.6315</v>
      </c>
      <c r="J248" s="27">
        <f>AVERAGE(G247:G248)</f>
        <v>0.39900000000000002</v>
      </c>
      <c r="L248">
        <f>+J248/I248</f>
        <v>0.24456022065583821</v>
      </c>
      <c r="M248">
        <f>+(L248-$L$614)/$L$615</f>
        <v>-1.3000045363809365E-2</v>
      </c>
      <c r="N248">
        <f>+N246+M248</f>
        <v>-14.244970995792734</v>
      </c>
    </row>
    <row r="249" spans="1:14">
      <c r="A249" s="15">
        <v>9</v>
      </c>
      <c r="B249" s="70">
        <v>40197</v>
      </c>
      <c r="C249" s="15">
        <v>2010</v>
      </c>
      <c r="D249" s="11" t="s">
        <v>39</v>
      </c>
      <c r="E249" s="15">
        <v>1</v>
      </c>
      <c r="F249" s="26">
        <v>9.4469999999999992</v>
      </c>
      <c r="G249" s="27">
        <v>3.7957485000000002</v>
      </c>
    </row>
    <row r="250" spans="1:14">
      <c r="A250" s="15">
        <v>10</v>
      </c>
      <c r="B250" s="70">
        <v>40197</v>
      </c>
      <c r="C250" s="15">
        <v>2010</v>
      </c>
      <c r="D250" s="11" t="s">
        <v>39</v>
      </c>
      <c r="E250" s="15">
        <v>1</v>
      </c>
      <c r="F250" s="26">
        <v>7.7149999999999999</v>
      </c>
      <c r="G250" s="27">
        <v>3.3926626249999994</v>
      </c>
      <c r="I250" s="27">
        <f>AVERAGE(F249:F250)</f>
        <v>8.5809999999999995</v>
      </c>
      <c r="J250" s="27">
        <f>AVERAGE(G249:G250)</f>
        <v>3.5942055625</v>
      </c>
      <c r="L250">
        <f>+J250/I250</f>
        <v>0.41885625946859345</v>
      </c>
      <c r="M250">
        <f>+(L250-$L$614)/$L$615</f>
        <v>1.7875434154333949</v>
      </c>
      <c r="N250">
        <f>+N248+M250</f>
        <v>-12.457427580359338</v>
      </c>
    </row>
    <row r="251" spans="1:14">
      <c r="A251" s="15">
        <v>9</v>
      </c>
      <c r="B251" s="70">
        <v>40225</v>
      </c>
      <c r="C251" s="15">
        <v>2010</v>
      </c>
      <c r="D251" s="11" t="s">
        <v>28</v>
      </c>
      <c r="E251" s="15">
        <v>2</v>
      </c>
      <c r="F251" s="26">
        <v>5.3949999999999996</v>
      </c>
      <c r="G251" s="27">
        <v>1.3329726249999998</v>
      </c>
    </row>
    <row r="252" spans="1:14">
      <c r="A252" s="15">
        <v>10</v>
      </c>
      <c r="B252" s="70">
        <v>40225</v>
      </c>
      <c r="C252" s="15">
        <v>2010</v>
      </c>
      <c r="D252" s="11" t="s">
        <v>28</v>
      </c>
      <c r="E252" s="15">
        <v>2</v>
      </c>
      <c r="F252" s="26">
        <v>3.2669999999999999</v>
      </c>
      <c r="G252" s="27">
        <v>0.82336724999999999</v>
      </c>
      <c r="I252" s="27">
        <f>AVERAGE(F251:F252)</f>
        <v>4.3309999999999995</v>
      </c>
      <c r="J252" s="27">
        <f>AVERAGE(G251:G252)</f>
        <v>1.0781699374999998</v>
      </c>
      <c r="L252">
        <f>+J252/I252</f>
        <v>0.24894249307319324</v>
      </c>
      <c r="M252">
        <f>+(L252-$L$614)/$L$615</f>
        <v>3.2270472533486208E-2</v>
      </c>
      <c r="N252">
        <f>+N250+M252</f>
        <v>-12.425157107825852</v>
      </c>
    </row>
    <row r="253" spans="1:14">
      <c r="A253" s="15">
        <v>9</v>
      </c>
      <c r="B253" s="70">
        <v>40255</v>
      </c>
      <c r="C253" s="15">
        <v>2010</v>
      </c>
      <c r="D253" s="11" t="s">
        <v>29</v>
      </c>
      <c r="E253" s="15">
        <v>3</v>
      </c>
      <c r="F253" s="26">
        <v>9.5939999999999994</v>
      </c>
      <c r="G253" s="27">
        <v>4.6470500000000001</v>
      </c>
    </row>
    <row r="254" spans="1:14">
      <c r="A254" s="15">
        <v>10</v>
      </c>
      <c r="B254" s="70">
        <v>40255</v>
      </c>
      <c r="C254" s="15">
        <v>2010</v>
      </c>
      <c r="D254" s="11" t="s">
        <v>29</v>
      </c>
      <c r="E254" s="15">
        <v>3</v>
      </c>
      <c r="F254" s="26">
        <v>8.5579999999999998</v>
      </c>
      <c r="G254" s="27">
        <v>4.1966479999999997</v>
      </c>
      <c r="I254" s="27">
        <f>AVERAGE(F253:F254)</f>
        <v>9.0760000000000005</v>
      </c>
      <c r="J254" s="27">
        <f>AVERAGE(G253:G254)</f>
        <v>4.4218489999999999</v>
      </c>
      <c r="L254">
        <f>+J254/I254</f>
        <v>0.48720240193918024</v>
      </c>
      <c r="M254">
        <f>+(L254-$L$614)/$L$615</f>
        <v>2.4935847043483523</v>
      </c>
      <c r="N254">
        <f>+N252+M254</f>
        <v>-9.9315724034774995</v>
      </c>
    </row>
    <row r="255" spans="1:14">
      <c r="A255" s="15">
        <v>9</v>
      </c>
      <c r="B255" s="70">
        <v>40281</v>
      </c>
      <c r="C255" s="15">
        <v>2010</v>
      </c>
      <c r="D255" s="11" t="s">
        <v>30</v>
      </c>
      <c r="E255" s="15">
        <v>4</v>
      </c>
      <c r="F255" s="26">
        <v>2.2589999999999999</v>
      </c>
      <c r="G255" s="27">
        <v>0.91311675000000003</v>
      </c>
    </row>
    <row r="256" spans="1:14">
      <c r="A256" s="15">
        <v>10</v>
      </c>
      <c r="B256" s="70">
        <v>40281</v>
      </c>
      <c r="C256" s="15">
        <v>2010</v>
      </c>
      <c r="D256" s="11" t="s">
        <v>30</v>
      </c>
      <c r="E256" s="15">
        <v>4</v>
      </c>
      <c r="F256" s="26">
        <v>2.4209999999999998</v>
      </c>
      <c r="G256" s="27">
        <v>0.65076350000000005</v>
      </c>
      <c r="I256" s="27">
        <f>AVERAGE(F255:F256)</f>
        <v>2.34</v>
      </c>
      <c r="J256" s="27">
        <f>AVERAGE(G255:G256)</f>
        <v>0.78194012499999999</v>
      </c>
      <c r="L256">
        <f>+J256/I256</f>
        <v>0.33416244658119659</v>
      </c>
      <c r="M256">
        <f>+(L256-$L$614)/$L$615</f>
        <v>0.91262455896868566</v>
      </c>
      <c r="N256">
        <f>+N254+M256</f>
        <v>-9.0189478445088138</v>
      </c>
    </row>
    <row r="257" spans="1:14">
      <c r="A257" s="15">
        <v>9</v>
      </c>
      <c r="B257" s="75">
        <v>40317</v>
      </c>
      <c r="C257" s="15">
        <v>2010</v>
      </c>
      <c r="D257" s="11" t="s">
        <v>31</v>
      </c>
      <c r="E257" s="15">
        <v>5</v>
      </c>
      <c r="F257" s="28">
        <v>2.9220000000000002</v>
      </c>
      <c r="G257" s="27">
        <v>1.3873073749999998</v>
      </c>
    </row>
    <row r="258" spans="1:14">
      <c r="A258" s="15">
        <v>10</v>
      </c>
      <c r="B258" s="75">
        <v>40317</v>
      </c>
      <c r="C258" s="15">
        <v>2010</v>
      </c>
      <c r="D258" s="11" t="s">
        <v>31</v>
      </c>
      <c r="E258" s="15">
        <v>5</v>
      </c>
      <c r="F258" s="28">
        <v>3.617</v>
      </c>
      <c r="G258" s="27">
        <v>1.01806475</v>
      </c>
      <c r="I258" s="27">
        <f>AVERAGE(F257:F258)</f>
        <v>3.2694999999999999</v>
      </c>
      <c r="J258" s="27">
        <f>AVERAGE(G257:G258)</f>
        <v>1.2026860624999998</v>
      </c>
      <c r="L258">
        <f>+J258/I258</f>
        <v>0.36785014910536773</v>
      </c>
      <c r="M258">
        <f>+(L258-$L$614)/$L$615</f>
        <v>1.260631162574521</v>
      </c>
      <c r="N258">
        <f>+N256+M258</f>
        <v>-7.7583166819342928</v>
      </c>
    </row>
    <row r="259" spans="1:14">
      <c r="A259" s="15">
        <v>9</v>
      </c>
      <c r="B259" s="75">
        <v>40345</v>
      </c>
      <c r="C259" s="15">
        <v>2010</v>
      </c>
      <c r="D259" s="11" t="s">
        <v>32</v>
      </c>
      <c r="E259" s="15">
        <v>6</v>
      </c>
      <c r="F259" s="28">
        <v>7.1379999999999999</v>
      </c>
      <c r="G259" s="27">
        <v>3.0713063749999989</v>
      </c>
    </row>
    <row r="260" spans="1:14">
      <c r="A260" s="15">
        <v>10</v>
      </c>
      <c r="B260" s="75">
        <v>40345</v>
      </c>
      <c r="C260" s="15">
        <v>2010</v>
      </c>
      <c r="D260" s="11" t="s">
        <v>32</v>
      </c>
      <c r="E260" s="15">
        <v>6</v>
      </c>
      <c r="F260" s="28">
        <v>9.1150000000000002</v>
      </c>
      <c r="G260" s="27">
        <v>3.6285796249999991</v>
      </c>
      <c r="I260" s="27">
        <f>AVERAGE(F259:F260)</f>
        <v>8.1265000000000001</v>
      </c>
      <c r="J260" s="27">
        <f>AVERAGE(G259:G260)</f>
        <v>3.3499429999999988</v>
      </c>
      <c r="L260">
        <f>+J260/I260</f>
        <v>0.41222457392481371</v>
      </c>
      <c r="M260">
        <f>+(L260-$L$614)/$L$615</f>
        <v>1.7190356161669773</v>
      </c>
      <c r="N260">
        <f>+N258+M260</f>
        <v>-6.0392810657673159</v>
      </c>
    </row>
    <row r="261" spans="1:14">
      <c r="A261" s="15">
        <v>9</v>
      </c>
      <c r="B261" s="75">
        <v>40373</v>
      </c>
      <c r="C261" s="15">
        <v>2010</v>
      </c>
      <c r="D261" s="11" t="s">
        <v>33</v>
      </c>
      <c r="E261" s="15">
        <v>7</v>
      </c>
      <c r="F261" s="28">
        <v>6.0940000000000003</v>
      </c>
      <c r="G261" s="27">
        <v>2.4686213750000001</v>
      </c>
    </row>
    <row r="262" spans="1:14">
      <c r="A262" s="15">
        <v>10</v>
      </c>
      <c r="B262" s="75">
        <v>40373</v>
      </c>
      <c r="C262" s="15">
        <v>2010</v>
      </c>
      <c r="D262" s="11" t="s">
        <v>33</v>
      </c>
      <c r="E262" s="15">
        <v>7</v>
      </c>
      <c r="F262" s="28">
        <v>12.361000000000001</v>
      </c>
      <c r="G262" s="27">
        <v>4.9820033749999997</v>
      </c>
      <c r="I262" s="27">
        <f>AVERAGE(F261:F262)</f>
        <v>9.2275000000000009</v>
      </c>
      <c r="J262" s="27">
        <f>AVERAGE(G261:G262)</f>
        <v>3.7253123749999997</v>
      </c>
      <c r="L262">
        <f>+J262/I262</f>
        <v>0.4037184909238688</v>
      </c>
      <c r="M262">
        <f>+(L262-$L$614)/$L$615</f>
        <v>1.6311645880663159</v>
      </c>
      <c r="N262">
        <f>+N260+M262</f>
        <v>-4.4081164777010002</v>
      </c>
    </row>
    <row r="263" spans="1:14">
      <c r="A263" s="15">
        <v>9</v>
      </c>
      <c r="B263" s="75">
        <v>40409</v>
      </c>
      <c r="C263" s="15">
        <v>2010</v>
      </c>
      <c r="D263" s="11" t="s">
        <v>34</v>
      </c>
      <c r="E263" s="15">
        <v>8</v>
      </c>
      <c r="F263" s="28">
        <v>4.22</v>
      </c>
      <c r="G263" s="27">
        <v>1.6029732499999998</v>
      </c>
    </row>
    <row r="264" spans="1:14">
      <c r="A264" s="15">
        <v>10</v>
      </c>
      <c r="B264" s="75">
        <v>40409</v>
      </c>
      <c r="C264" s="15">
        <v>2010</v>
      </c>
      <c r="D264" s="11" t="s">
        <v>34</v>
      </c>
      <c r="E264" s="15">
        <v>8</v>
      </c>
      <c r="F264" s="28">
        <v>8.1379999999999999</v>
      </c>
      <c r="G264" s="27">
        <v>2.8840490000000001</v>
      </c>
      <c r="I264" s="27">
        <f>AVERAGE(F263:F264)</f>
        <v>6.1790000000000003</v>
      </c>
      <c r="J264" s="27">
        <f>AVERAGE(G263:G264)</f>
        <v>2.2435111249999999</v>
      </c>
      <c r="L264">
        <f>+J264/I264</f>
        <v>0.36308644198090301</v>
      </c>
      <c r="M264">
        <f>+(L264-$L$614)/$L$615</f>
        <v>1.2114202810735222</v>
      </c>
      <c r="N264">
        <f>+N262+M264</f>
        <v>-3.1966961966274781</v>
      </c>
    </row>
    <row r="265" spans="1:14">
      <c r="A265" s="15">
        <v>9</v>
      </c>
      <c r="B265" s="75">
        <v>40434</v>
      </c>
      <c r="C265" s="15">
        <v>2010</v>
      </c>
      <c r="D265" s="11" t="s">
        <v>40</v>
      </c>
      <c r="E265" s="15">
        <v>9</v>
      </c>
      <c r="F265" s="28">
        <v>2.3079999999999998</v>
      </c>
      <c r="G265" s="27">
        <v>0.94557862499999978</v>
      </c>
    </row>
    <row r="266" spans="1:14">
      <c r="A266" s="15">
        <v>10</v>
      </c>
      <c r="B266" s="75">
        <v>40434</v>
      </c>
      <c r="C266" s="15">
        <v>2010</v>
      </c>
      <c r="D266" s="11" t="s">
        <v>40</v>
      </c>
      <c r="E266" s="15">
        <v>9</v>
      </c>
      <c r="F266" s="28">
        <v>1.877</v>
      </c>
      <c r="G266" s="27">
        <v>0.44329337499999999</v>
      </c>
      <c r="I266" s="27">
        <f>AVERAGE(F265:F266)</f>
        <v>2.0924999999999998</v>
      </c>
      <c r="J266" s="27">
        <f>AVERAGE(G265:G266)</f>
        <v>0.69443599999999983</v>
      </c>
      <c r="L266">
        <f>+J266/I266</f>
        <v>0.33186905615292706</v>
      </c>
      <c r="M266">
        <f>+(L266-$L$614)/$L$615</f>
        <v>0.88893297557526307</v>
      </c>
      <c r="N266">
        <f>+N264+M266</f>
        <v>-2.3077632210522152</v>
      </c>
    </row>
    <row r="267" spans="1:14">
      <c r="A267" s="15">
        <v>9</v>
      </c>
      <c r="B267" s="75">
        <v>40463</v>
      </c>
      <c r="C267" s="15">
        <v>2010</v>
      </c>
      <c r="D267" s="11" t="s">
        <v>36</v>
      </c>
      <c r="E267" s="15">
        <v>10</v>
      </c>
      <c r="F267" s="26">
        <v>1.004</v>
      </c>
      <c r="G267" s="27">
        <v>0.11304487499999999</v>
      </c>
    </row>
    <row r="268" spans="1:14">
      <c r="A268" s="15">
        <v>10</v>
      </c>
      <c r="B268" s="75">
        <v>40463</v>
      </c>
      <c r="C268" s="15">
        <v>2010</v>
      </c>
      <c r="D268" s="11" t="s">
        <v>36</v>
      </c>
      <c r="E268" s="15">
        <v>10</v>
      </c>
      <c r="F268" s="26">
        <v>0.58599999999999997</v>
      </c>
      <c r="G268" s="27">
        <v>8.8015999999999983E-2</v>
      </c>
      <c r="I268" s="27">
        <f>AVERAGE(F267:F268)</f>
        <v>0.79499999999999993</v>
      </c>
      <c r="J268" s="27">
        <f>AVERAGE(G267:G268)</f>
        <v>0.10053043749999999</v>
      </c>
      <c r="L268">
        <f>+J268/I268</f>
        <v>0.12645338050314464</v>
      </c>
      <c r="M268">
        <f>+(L268-$L$614)/$L$615</f>
        <v>-1.2330880069772583</v>
      </c>
      <c r="N268">
        <f>+N266+M268</f>
        <v>-3.5408512280294735</v>
      </c>
    </row>
    <row r="269" spans="1:14">
      <c r="A269" s="15">
        <v>9</v>
      </c>
      <c r="B269" s="75">
        <v>40500</v>
      </c>
      <c r="C269" s="15">
        <v>2010</v>
      </c>
      <c r="D269" s="11" t="s">
        <v>37</v>
      </c>
      <c r="E269" s="15">
        <v>11</v>
      </c>
      <c r="F269" s="26">
        <v>0.45400000000000001</v>
      </c>
      <c r="G269" s="27">
        <v>7.1603874999999984E-2</v>
      </c>
    </row>
    <row r="270" spans="1:14">
      <c r="A270" s="15">
        <v>10</v>
      </c>
      <c r="B270" s="75">
        <v>40500</v>
      </c>
      <c r="C270" s="15">
        <v>2010</v>
      </c>
      <c r="D270" s="11" t="s">
        <v>37</v>
      </c>
      <c r="E270" s="15">
        <v>11</v>
      </c>
      <c r="F270" s="26">
        <v>1.268</v>
      </c>
      <c r="G270" s="27">
        <v>9.2491374999999987E-2</v>
      </c>
      <c r="I270" s="27">
        <f>AVERAGE(F269:F270)</f>
        <v>0.86099999999999999</v>
      </c>
      <c r="J270" s="27">
        <f>AVERAGE(G269:G270)</f>
        <v>8.2047624999999985E-2</v>
      </c>
      <c r="L270">
        <f>+J270/I270</f>
        <v>9.5293408826945397E-2</v>
      </c>
      <c r="M270">
        <f>+(L270-$L$614)/$L$615</f>
        <v>-1.5549822027511486</v>
      </c>
      <c r="N270">
        <f>+N268+M270</f>
        <v>-5.0958334307806226</v>
      </c>
    </row>
    <row r="271" spans="1:14">
      <c r="A271" s="15">
        <v>9</v>
      </c>
      <c r="B271" s="75">
        <v>40521</v>
      </c>
      <c r="C271" s="15">
        <v>2010</v>
      </c>
      <c r="D271" s="11" t="s">
        <v>38</v>
      </c>
      <c r="E271" s="15">
        <v>12</v>
      </c>
      <c r="F271" s="26">
        <v>4.319</v>
      </c>
      <c r="G271" s="27">
        <v>2.3249399999999998</v>
      </c>
    </row>
    <row r="272" spans="1:14">
      <c r="A272" s="15">
        <v>10</v>
      </c>
      <c r="B272" s="75">
        <v>40521</v>
      </c>
      <c r="C272" s="15">
        <v>2010</v>
      </c>
      <c r="D272" s="11" t="s">
        <v>38</v>
      </c>
      <c r="E272" s="15">
        <v>12</v>
      </c>
      <c r="F272" s="26">
        <v>0.81299999999999994</v>
      </c>
      <c r="G272" s="27">
        <v>0.138599</v>
      </c>
      <c r="I272" s="27">
        <f>AVERAGE(F271:F272)</f>
        <v>2.5659999999999998</v>
      </c>
      <c r="J272" s="27">
        <f>AVERAGE(G271:G272)</f>
        <v>1.2317695</v>
      </c>
      <c r="L272">
        <f>+J272/I272</f>
        <v>0.48003487918939985</v>
      </c>
      <c r="M272">
        <f>+(L272-$L$614)/$L$615</f>
        <v>2.4195415057470551</v>
      </c>
      <c r="N272">
        <f>+N270+M272</f>
        <v>-2.6762919250335675</v>
      </c>
    </row>
    <row r="273" spans="1:14">
      <c r="A273" s="15">
        <v>9</v>
      </c>
      <c r="B273" s="75">
        <v>40563</v>
      </c>
      <c r="C273" s="15">
        <v>2011</v>
      </c>
      <c r="D273" s="11" t="s">
        <v>39</v>
      </c>
      <c r="E273" s="15">
        <v>1</v>
      </c>
      <c r="F273" s="26">
        <v>4.4939999999999998</v>
      </c>
      <c r="G273" s="27">
        <v>1.58578525</v>
      </c>
    </row>
    <row r="274" spans="1:14">
      <c r="A274" s="15">
        <v>10</v>
      </c>
      <c r="B274" s="75">
        <v>40563</v>
      </c>
      <c r="C274" s="15">
        <v>2011</v>
      </c>
      <c r="D274" s="11" t="s">
        <v>39</v>
      </c>
      <c r="E274" s="15">
        <v>1</v>
      </c>
      <c r="F274" s="26">
        <v>5.173</v>
      </c>
      <c r="G274" s="27">
        <v>1.9368928749999998</v>
      </c>
      <c r="I274" s="27">
        <f>AVERAGE(F273:F274)</f>
        <v>4.8334999999999999</v>
      </c>
      <c r="J274" s="27">
        <f>AVERAGE(G273:G274)</f>
        <v>1.7613390624999998</v>
      </c>
      <c r="L274">
        <f>+J274/I274</f>
        <v>0.36440241284783281</v>
      </c>
      <c r="M274">
        <f>+(L274-$L$614)/$L$615</f>
        <v>1.22501475376028</v>
      </c>
      <c r="N274">
        <f>+N272+M274</f>
        <v>-1.4512771712732875</v>
      </c>
    </row>
    <row r="275" spans="1:14">
      <c r="A275" s="15">
        <v>9</v>
      </c>
      <c r="B275" s="75">
        <v>40598</v>
      </c>
      <c r="C275" s="15">
        <v>2011</v>
      </c>
      <c r="D275" s="11" t="s">
        <v>28</v>
      </c>
      <c r="E275" s="15">
        <v>2</v>
      </c>
      <c r="F275" s="26">
        <v>5.968</v>
      </c>
      <c r="G275" s="27">
        <v>2.3403397500000001</v>
      </c>
    </row>
    <row r="276" spans="1:14">
      <c r="A276" s="15">
        <v>10</v>
      </c>
      <c r="B276" s="75">
        <v>40598</v>
      </c>
      <c r="C276" s="15">
        <v>2011</v>
      </c>
      <c r="D276" s="11" t="s">
        <v>28</v>
      </c>
      <c r="E276" s="15">
        <v>2</v>
      </c>
      <c r="F276" s="26">
        <v>7.6689999999999996</v>
      </c>
      <c r="G276" s="27">
        <v>2.945148375</v>
      </c>
      <c r="I276" s="27">
        <f>AVERAGE(F275:F276)</f>
        <v>6.8185000000000002</v>
      </c>
      <c r="J276" s="27">
        <f>AVERAGE(G275:G276)</f>
        <v>2.6427440625000003</v>
      </c>
      <c r="L276">
        <f>+J276/I276</f>
        <v>0.38758437522915601</v>
      </c>
      <c r="M276">
        <f>+(L276-$L$614)/$L$615</f>
        <v>1.4644931209019414</v>
      </c>
      <c r="N276">
        <f>+N274+M276</f>
        <v>1.3215949628653911E-2</v>
      </c>
    </row>
    <row r="277" spans="1:14">
      <c r="A277" s="15">
        <v>9</v>
      </c>
      <c r="B277" s="75">
        <v>40617</v>
      </c>
      <c r="C277" s="15">
        <v>2011</v>
      </c>
      <c r="D277" s="11" t="s">
        <v>29</v>
      </c>
      <c r="E277" s="15">
        <v>3</v>
      </c>
      <c r="F277" s="26">
        <v>3.0249999999999999</v>
      </c>
      <c r="G277" s="27">
        <v>1.30086675</v>
      </c>
    </row>
    <row r="278" spans="1:14">
      <c r="A278" s="15">
        <v>10</v>
      </c>
      <c r="B278" s="75">
        <v>40617</v>
      </c>
      <c r="C278" s="15">
        <v>2011</v>
      </c>
      <c r="D278" s="11" t="s">
        <v>29</v>
      </c>
      <c r="E278" s="15">
        <v>3</v>
      </c>
      <c r="F278" s="26">
        <v>6.4660000000000002</v>
      </c>
      <c r="G278" s="27">
        <v>2.330419375</v>
      </c>
      <c r="I278" s="27">
        <f>AVERAGE(F277:F278)</f>
        <v>4.7454999999999998</v>
      </c>
      <c r="J278" s="27">
        <f>AVERAGE(G277:G278)</f>
        <v>1.8156430625</v>
      </c>
      <c r="L278">
        <f>+J278/I278</f>
        <v>0.38260311084185017</v>
      </c>
      <c r="M278">
        <f>+(L278-$L$614)/$L$615</f>
        <v>1.4130347912682955</v>
      </c>
      <c r="N278">
        <f>+N276+M278</f>
        <v>1.4262507408969494</v>
      </c>
    </row>
    <row r="279" spans="1:14">
      <c r="A279" s="15">
        <v>9</v>
      </c>
      <c r="B279" s="75">
        <v>40647</v>
      </c>
      <c r="C279" s="15">
        <v>2011</v>
      </c>
      <c r="D279" s="11" t="s">
        <v>30</v>
      </c>
      <c r="E279" s="15">
        <v>4</v>
      </c>
      <c r="F279" s="26">
        <v>0.82199999999999995</v>
      </c>
      <c r="G279" s="27">
        <v>0.10765237499999999</v>
      </c>
    </row>
    <row r="280" spans="1:14">
      <c r="A280" s="15">
        <v>10</v>
      </c>
      <c r="B280" s="75">
        <v>40647</v>
      </c>
      <c r="C280" s="15">
        <v>2011</v>
      </c>
      <c r="D280" s="11" t="s">
        <v>30</v>
      </c>
      <c r="E280" s="15">
        <v>4</v>
      </c>
      <c r="F280" s="26">
        <v>1.1830000000000001</v>
      </c>
      <c r="G280" s="27">
        <v>0.29365837500000003</v>
      </c>
      <c r="I280" s="27">
        <f>AVERAGE(F279:F280)</f>
        <v>1.0024999999999999</v>
      </c>
      <c r="J280" s="27">
        <f>AVERAGE(G279:G280)</f>
        <v>0.20065537500000002</v>
      </c>
      <c r="L280">
        <f>+J280/I280</f>
        <v>0.20015498753117211</v>
      </c>
      <c r="M280">
        <f>+(L280-$L$614)/$L$615</f>
        <v>-0.47172276030563531</v>
      </c>
      <c r="N280">
        <f>+N278+M280</f>
        <v>0.95452798059131405</v>
      </c>
    </row>
    <row r="281" spans="1:14">
      <c r="A281" s="15">
        <v>9</v>
      </c>
      <c r="B281" s="75">
        <v>40682</v>
      </c>
      <c r="C281" s="15">
        <v>2011</v>
      </c>
      <c r="D281" s="11" t="s">
        <v>31</v>
      </c>
      <c r="E281" s="15">
        <v>5</v>
      </c>
      <c r="F281" s="26">
        <v>4.0890000000000004</v>
      </c>
      <c r="G281" s="27">
        <v>1.5232528749999998</v>
      </c>
    </row>
    <row r="282" spans="1:14">
      <c r="A282" s="15">
        <v>10</v>
      </c>
      <c r="B282" s="75">
        <v>40682</v>
      </c>
      <c r="C282" s="15">
        <v>2011</v>
      </c>
      <c r="D282" s="11" t="s">
        <v>31</v>
      </c>
      <c r="E282" s="15">
        <v>5</v>
      </c>
      <c r="F282" s="26">
        <v>2.3570000000000002</v>
      </c>
      <c r="G282" s="27">
        <v>0.55446287500000002</v>
      </c>
      <c r="I282" s="27">
        <f>AVERAGE(F281:F282)</f>
        <v>3.2230000000000003</v>
      </c>
      <c r="J282" s="27">
        <f>AVERAGE(G281:G282)</f>
        <v>1.0388578749999999</v>
      </c>
      <c r="L282">
        <f>+J282/I282</f>
        <v>0.32232636518771324</v>
      </c>
      <c r="M282">
        <f>+(L282-$L$614)/$L$615</f>
        <v>0.79035339836362706</v>
      </c>
      <c r="N282">
        <f>+N280+M282</f>
        <v>1.7448813789549411</v>
      </c>
    </row>
    <row r="283" spans="1:14">
      <c r="A283" s="15">
        <v>9</v>
      </c>
      <c r="B283" s="75">
        <v>40709</v>
      </c>
      <c r="C283" s="15">
        <v>2011</v>
      </c>
      <c r="D283" s="11" t="s">
        <v>32</v>
      </c>
      <c r="E283" s="15">
        <v>6</v>
      </c>
      <c r="F283" s="26">
        <v>2.9489999999999998</v>
      </c>
      <c r="G283" s="27">
        <v>0.64987112499999999</v>
      </c>
    </row>
    <row r="284" spans="1:14">
      <c r="A284" s="15">
        <v>10</v>
      </c>
      <c r="B284" s="75">
        <v>40709</v>
      </c>
      <c r="C284" s="15">
        <v>2011</v>
      </c>
      <c r="D284" s="11" t="s">
        <v>32</v>
      </c>
      <c r="E284" s="15">
        <v>6</v>
      </c>
      <c r="F284" s="26">
        <v>3.8260000000000001</v>
      </c>
      <c r="G284" s="27">
        <v>0.87934849999999987</v>
      </c>
      <c r="I284" s="27">
        <f>AVERAGE(F283:F284)</f>
        <v>3.3875000000000002</v>
      </c>
      <c r="J284" s="27">
        <f>AVERAGE(G283:G284)</f>
        <v>0.76460981249999993</v>
      </c>
      <c r="L284">
        <f>+J284/I284</f>
        <v>0.22571507380073796</v>
      </c>
      <c r="M284">
        <f>+(L284-$L$614)/$L$615</f>
        <v>-0.20767748134481914</v>
      </c>
      <c r="N284">
        <f>+N282+M284</f>
        <v>1.5372038976101219</v>
      </c>
    </row>
    <row r="285" spans="1:14">
      <c r="A285" s="15">
        <v>9</v>
      </c>
      <c r="B285" s="75">
        <v>40736</v>
      </c>
      <c r="C285" s="15">
        <v>2011</v>
      </c>
      <c r="D285" s="11" t="s">
        <v>33</v>
      </c>
      <c r="E285" s="15">
        <v>7</v>
      </c>
      <c r="F285" s="26">
        <v>12.976000000000001</v>
      </c>
      <c r="G285" s="27">
        <v>3.6394336249999997</v>
      </c>
    </row>
    <row r="286" spans="1:14">
      <c r="A286" s="15">
        <v>10</v>
      </c>
      <c r="B286" s="75">
        <v>40736</v>
      </c>
      <c r="C286" s="15">
        <v>2011</v>
      </c>
      <c r="D286" s="11" t="s">
        <v>33</v>
      </c>
      <c r="E286" s="15">
        <v>7</v>
      </c>
      <c r="F286" s="26">
        <v>10.025</v>
      </c>
      <c r="G286" s="27">
        <v>2.047682</v>
      </c>
      <c r="I286" s="27">
        <f>AVERAGE(F285:F286)</f>
        <v>11.500500000000001</v>
      </c>
      <c r="J286" s="27">
        <f>AVERAGE(G285:G286)</f>
        <v>2.8435578124999998</v>
      </c>
      <c r="L286">
        <f>+J286/I286</f>
        <v>0.24725514651536887</v>
      </c>
      <c r="M286">
        <f>+(L286-$L$614)/$L$615</f>
        <v>1.4839549653745945E-2</v>
      </c>
      <c r="N286">
        <f>+N284+M286</f>
        <v>1.5520434472638678</v>
      </c>
    </row>
    <row r="287" spans="1:14">
      <c r="A287" s="15">
        <v>9</v>
      </c>
      <c r="B287" s="75">
        <v>40772</v>
      </c>
      <c r="C287" s="15">
        <v>2011</v>
      </c>
      <c r="D287" s="11" t="s">
        <v>34</v>
      </c>
      <c r="E287" s="15">
        <v>8</v>
      </c>
      <c r="F287" s="26">
        <v>4.3159999999999998</v>
      </c>
      <c r="G287" s="27">
        <v>1.1726419999999997</v>
      </c>
    </row>
    <row r="288" spans="1:14">
      <c r="A288" s="15">
        <v>10</v>
      </c>
      <c r="B288" s="75">
        <v>40772</v>
      </c>
      <c r="C288" s="15">
        <v>2011</v>
      </c>
      <c r="D288" s="11" t="s">
        <v>34</v>
      </c>
      <c r="E288" s="15">
        <v>8</v>
      </c>
      <c r="F288" s="26">
        <v>6.4589999999999996</v>
      </c>
      <c r="G288" s="27">
        <v>1.832049875</v>
      </c>
      <c r="I288" s="27">
        <f>AVERAGE(F287:F288)</f>
        <v>5.3874999999999993</v>
      </c>
      <c r="J288" s="27">
        <f>AVERAGE(G287:G288)</f>
        <v>1.5023459374999999</v>
      </c>
      <c r="L288">
        <f>+J288/I288</f>
        <v>0.27885771461716941</v>
      </c>
      <c r="M288">
        <f>+(L288-$L$614)/$L$615</f>
        <v>0.34130593252561603</v>
      </c>
      <c r="N288">
        <f>+N286+M288</f>
        <v>1.8933493797894838</v>
      </c>
    </row>
    <row r="289" spans="1:14">
      <c r="A289" s="15">
        <v>9</v>
      </c>
      <c r="B289" s="75">
        <v>40798</v>
      </c>
      <c r="C289" s="15">
        <v>2011</v>
      </c>
      <c r="D289" s="11" t="s">
        <v>40</v>
      </c>
      <c r="E289" s="15">
        <v>9</v>
      </c>
      <c r="F289" s="26">
        <v>1.679</v>
      </c>
      <c r="G289" s="27">
        <v>0.49355962499999995</v>
      </c>
    </row>
    <row r="290" spans="1:14">
      <c r="A290" s="15">
        <v>10</v>
      </c>
      <c r="B290" s="75">
        <v>40798</v>
      </c>
      <c r="C290" s="15">
        <v>2011</v>
      </c>
      <c r="D290" s="11" t="s">
        <v>40</v>
      </c>
      <c r="E290" s="15">
        <v>9</v>
      </c>
      <c r="F290" s="26">
        <v>2.7109999999999999</v>
      </c>
      <c r="G290" s="27">
        <v>0.76533099999999998</v>
      </c>
      <c r="I290" s="27">
        <f>AVERAGE(F289:F290)</f>
        <v>2.1949999999999998</v>
      </c>
      <c r="J290" s="27">
        <f>AVERAGE(G289:G290)</f>
        <v>0.62944531249999991</v>
      </c>
      <c r="L290">
        <f>+J290/I290</f>
        <v>0.2867632403189066</v>
      </c>
      <c r="M290">
        <f>+(L290-$L$614)/$L$615</f>
        <v>0.42297297845153553</v>
      </c>
      <c r="N290">
        <f>+N288+M290</f>
        <v>2.3163223582410195</v>
      </c>
    </row>
    <row r="291" spans="1:14">
      <c r="A291" s="15">
        <v>9</v>
      </c>
      <c r="B291" s="75">
        <v>40829</v>
      </c>
      <c r="C291" s="15">
        <v>2011</v>
      </c>
      <c r="D291" s="11" t="s">
        <v>36</v>
      </c>
      <c r="E291" s="15">
        <v>10</v>
      </c>
      <c r="F291" s="28">
        <v>1.6930000000000001</v>
      </c>
      <c r="G291" s="27">
        <v>0.57383262499999999</v>
      </c>
    </row>
    <row r="292" spans="1:14">
      <c r="A292" s="15">
        <v>10</v>
      </c>
      <c r="B292" s="75">
        <v>40829</v>
      </c>
      <c r="C292" s="15">
        <v>2011</v>
      </c>
      <c r="D292" s="11" t="s">
        <v>36</v>
      </c>
      <c r="E292" s="15">
        <v>10</v>
      </c>
      <c r="F292" s="28">
        <v>1.528</v>
      </c>
      <c r="G292" s="27">
        <v>0.44474887499999999</v>
      </c>
      <c r="I292" s="27">
        <f>AVERAGE(F291:F292)</f>
        <v>1.6105</v>
      </c>
      <c r="J292" s="27">
        <f>AVERAGE(G291:G292)</f>
        <v>0.50929075000000001</v>
      </c>
      <c r="L292">
        <f>+J292/I292</f>
        <v>0.31623144986029184</v>
      </c>
      <c r="M292">
        <f>+(L292-$L$614)/$L$615</f>
        <v>0.72739063677906401</v>
      </c>
      <c r="N292">
        <f>+N290+M292</f>
        <v>3.0437129950200834</v>
      </c>
    </row>
    <row r="293" spans="1:14">
      <c r="A293" s="15">
        <v>9</v>
      </c>
      <c r="B293" s="76">
        <v>40877</v>
      </c>
      <c r="C293" s="15">
        <v>2011</v>
      </c>
      <c r="D293" s="11" t="s">
        <v>37</v>
      </c>
      <c r="E293" s="15">
        <v>11</v>
      </c>
      <c r="F293" s="28">
        <v>0.92700000000000005</v>
      </c>
      <c r="G293" s="27">
        <v>0.261216375</v>
      </c>
    </row>
    <row r="294" spans="1:14">
      <c r="A294" s="15">
        <v>10</v>
      </c>
      <c r="B294" s="76">
        <v>40877</v>
      </c>
      <c r="C294" s="15">
        <v>2011</v>
      </c>
      <c r="D294" s="11" t="s">
        <v>37</v>
      </c>
      <c r="E294" s="15">
        <v>11</v>
      </c>
      <c r="F294" s="28">
        <v>0.66600000000000004</v>
      </c>
      <c r="G294" s="27">
        <v>0.152389</v>
      </c>
      <c r="I294" s="27">
        <f>AVERAGE(F293:F294)</f>
        <v>0.79649999999999999</v>
      </c>
      <c r="J294" s="27">
        <f>AVERAGE(G293:G294)</f>
        <v>0.2068026875</v>
      </c>
      <c r="L294">
        <f>+J294/I294</f>
        <v>0.25963928123038293</v>
      </c>
      <c r="M294">
        <f>+(L294-$L$614)/$L$615</f>
        <v>0.14277230664947416</v>
      </c>
      <c r="N294">
        <f>+N292+M294</f>
        <v>3.1864853016695576</v>
      </c>
    </row>
    <row r="295" spans="1:14">
      <c r="A295" s="15">
        <v>9</v>
      </c>
      <c r="B295" s="76">
        <v>40891</v>
      </c>
      <c r="C295" s="15">
        <v>2011</v>
      </c>
      <c r="D295" s="11" t="s">
        <v>38</v>
      </c>
      <c r="E295" s="15">
        <v>12</v>
      </c>
      <c r="F295" s="28">
        <v>0.36799999999999999</v>
      </c>
      <c r="G295" s="27">
        <v>6.3031749999999998E-2</v>
      </c>
    </row>
    <row r="296" spans="1:14">
      <c r="A296" s="15">
        <v>10</v>
      </c>
      <c r="B296" s="76">
        <v>40891</v>
      </c>
      <c r="C296" s="15">
        <v>2011</v>
      </c>
      <c r="D296" s="11" t="s">
        <v>38</v>
      </c>
      <c r="E296" s="15">
        <v>12</v>
      </c>
      <c r="F296" s="28">
        <v>0.41299999999999998</v>
      </c>
      <c r="G296" s="27">
        <v>0.10032387499999998</v>
      </c>
      <c r="I296" s="27">
        <f>AVERAGE(F295:F296)</f>
        <v>0.39049999999999996</v>
      </c>
      <c r="J296" s="27">
        <f>AVERAGE(G295:G296)</f>
        <v>8.1677812499999988E-2</v>
      </c>
      <c r="L296">
        <f>+J296/I296</f>
        <v>0.20916213188220228</v>
      </c>
      <c r="M296">
        <f>+(L296-$L$614)/$L$615</f>
        <v>-0.37867558050640621</v>
      </c>
      <c r="N296">
        <f>+N294+M296</f>
        <v>2.8078097211631512</v>
      </c>
    </row>
    <row r="297" spans="1:14">
      <c r="A297" s="15">
        <v>9</v>
      </c>
      <c r="B297" s="75">
        <v>40919</v>
      </c>
      <c r="C297" s="15">
        <v>2012</v>
      </c>
      <c r="D297" s="11" t="s">
        <v>39</v>
      </c>
      <c r="E297" s="15">
        <v>1</v>
      </c>
      <c r="F297" s="30">
        <v>1.2430000000000001</v>
      </c>
      <c r="G297" s="27">
        <v>0.36483262500000002</v>
      </c>
    </row>
    <row r="298" spans="1:14">
      <c r="A298" s="15">
        <v>10</v>
      </c>
      <c r="B298" s="75">
        <v>40919</v>
      </c>
      <c r="C298" s="15">
        <v>2012</v>
      </c>
      <c r="D298" s="11" t="s">
        <v>39</v>
      </c>
      <c r="E298" s="15">
        <v>1</v>
      </c>
      <c r="F298" s="30">
        <v>1.21</v>
      </c>
      <c r="G298" s="27">
        <v>0.37111662499999992</v>
      </c>
      <c r="I298" s="27">
        <f>AVERAGE(F297:F298)</f>
        <v>1.2265000000000001</v>
      </c>
      <c r="J298" s="27">
        <f>AVERAGE(G297:G298)</f>
        <v>0.367974625</v>
      </c>
      <c r="L298">
        <f>+J298/I298</f>
        <v>0.30002007745617609</v>
      </c>
      <c r="M298">
        <f>+(L298-$L$614)/$L$615</f>
        <v>0.5599210788269372</v>
      </c>
      <c r="N298">
        <f>+N296+M298</f>
        <v>3.3677307999900883</v>
      </c>
    </row>
    <row r="299" spans="1:14">
      <c r="A299" s="15">
        <v>9</v>
      </c>
      <c r="B299" s="75">
        <v>40960</v>
      </c>
      <c r="C299" s="15">
        <v>2012</v>
      </c>
      <c r="D299" s="11" t="s">
        <v>28</v>
      </c>
      <c r="E299" s="15">
        <v>2</v>
      </c>
      <c r="F299" s="30">
        <v>1.022</v>
      </c>
      <c r="G299" s="27">
        <v>0.35902124999999996</v>
      </c>
    </row>
    <row r="300" spans="1:14">
      <c r="A300" s="15">
        <v>10</v>
      </c>
      <c r="B300" s="75">
        <v>40960</v>
      </c>
      <c r="C300" s="15">
        <v>2012</v>
      </c>
      <c r="D300" s="11" t="s">
        <v>28</v>
      </c>
      <c r="E300" s="15">
        <v>2</v>
      </c>
      <c r="F300" s="30">
        <v>2.6539999999999999</v>
      </c>
      <c r="G300" s="27">
        <v>0.93769099999999994</v>
      </c>
      <c r="I300" s="27">
        <f>AVERAGE(F299:F300)</f>
        <v>1.8380000000000001</v>
      </c>
      <c r="J300" s="27">
        <f>AVERAGE(G299:G300)</f>
        <v>0.64835612499999995</v>
      </c>
      <c r="L300">
        <f>+J300/I300</f>
        <v>0.35275088411316646</v>
      </c>
      <c r="M300">
        <f>+(L300-$L$614)/$L$615</f>
        <v>1.1046500913480042</v>
      </c>
      <c r="N300">
        <f>+N298+M300</f>
        <v>4.4723808913380925</v>
      </c>
    </row>
    <row r="301" spans="1:14">
      <c r="A301" s="15">
        <v>9</v>
      </c>
      <c r="B301" s="75">
        <v>40982</v>
      </c>
      <c r="C301" s="15">
        <v>2012</v>
      </c>
      <c r="D301" s="11" t="s">
        <v>29</v>
      </c>
      <c r="E301" s="15">
        <v>3</v>
      </c>
      <c r="F301" s="30">
        <v>0.80700000000000005</v>
      </c>
      <c r="G301" s="27">
        <v>0.18131012499999996</v>
      </c>
    </row>
    <row r="302" spans="1:14">
      <c r="A302" s="15">
        <v>10</v>
      </c>
      <c r="B302" s="75">
        <v>40982</v>
      </c>
      <c r="C302" s="15">
        <v>2012</v>
      </c>
      <c r="D302" s="11" t="s">
        <v>29</v>
      </c>
      <c r="E302" s="15">
        <v>3</v>
      </c>
      <c r="F302" s="30">
        <v>1.095</v>
      </c>
      <c r="G302" s="27">
        <v>0.19362162499999999</v>
      </c>
      <c r="I302" s="27">
        <f>AVERAGE(F301:F302)</f>
        <v>0.95100000000000007</v>
      </c>
      <c r="J302" s="27">
        <f>AVERAGE(G301:G302)</f>
        <v>0.18746587499999998</v>
      </c>
      <c r="L302">
        <f>+J302/I302</f>
        <v>0.19712499999999997</v>
      </c>
      <c r="M302">
        <f>+(L302-$L$614)/$L$615</f>
        <v>-0.50302366807560484</v>
      </c>
      <c r="N302">
        <f>+N300+M302</f>
        <v>3.9693572232624876</v>
      </c>
    </row>
    <row r="303" spans="1:14">
      <c r="A303" s="15">
        <v>9</v>
      </c>
      <c r="B303" s="75">
        <v>41016</v>
      </c>
      <c r="C303" s="15">
        <v>2012</v>
      </c>
      <c r="D303" s="11" t="s">
        <v>30</v>
      </c>
      <c r="E303" s="15">
        <v>4</v>
      </c>
      <c r="F303" s="26">
        <v>1.5580000000000001</v>
      </c>
      <c r="G303" s="27">
        <v>0.43511324999999995</v>
      </c>
    </row>
    <row r="304" spans="1:14">
      <c r="A304" s="15">
        <v>10</v>
      </c>
      <c r="B304" s="75">
        <v>41016</v>
      </c>
      <c r="C304" s="15">
        <v>2012</v>
      </c>
      <c r="D304" s="11" t="s">
        <v>30</v>
      </c>
      <c r="E304" s="15">
        <v>4</v>
      </c>
      <c r="F304" s="26">
        <v>0.84899999999999998</v>
      </c>
      <c r="G304" s="27">
        <v>0.20103325</v>
      </c>
      <c r="I304" s="27">
        <f>AVERAGE(F303:F304)</f>
        <v>1.2035</v>
      </c>
      <c r="J304" s="27">
        <f>AVERAGE(G303:G304)</f>
        <v>0.31807324999999997</v>
      </c>
      <c r="L304">
        <f>+J304/I304</f>
        <v>0.26429019526381387</v>
      </c>
      <c r="M304">
        <f>+(L304-$L$614)/$L$615</f>
        <v>0.1908179932104884</v>
      </c>
      <c r="N304">
        <f>+N302+M304</f>
        <v>4.1601752164729762</v>
      </c>
    </row>
    <row r="305" spans="1:14">
      <c r="A305" s="15">
        <v>9</v>
      </c>
      <c r="B305" s="75">
        <v>41051</v>
      </c>
      <c r="C305" s="15">
        <v>2012</v>
      </c>
      <c r="D305" s="11" t="s">
        <v>31</v>
      </c>
      <c r="E305" s="15">
        <v>5</v>
      </c>
      <c r="F305" s="26">
        <v>3.21</v>
      </c>
      <c r="G305" s="27">
        <v>0.99816862500000014</v>
      </c>
    </row>
    <row r="306" spans="1:14">
      <c r="A306" s="15">
        <v>10</v>
      </c>
      <c r="B306" s="75">
        <v>41051</v>
      </c>
      <c r="C306" s="15">
        <v>2012</v>
      </c>
      <c r="D306" s="11" t="s">
        <v>31</v>
      </c>
      <c r="E306" s="15">
        <v>5</v>
      </c>
      <c r="F306" s="26">
        <v>3.669</v>
      </c>
      <c r="G306" s="27">
        <v>0.7123426249999999</v>
      </c>
      <c r="I306" s="27">
        <f>AVERAGE(F305:F306)</f>
        <v>3.4394999999999998</v>
      </c>
      <c r="J306" s="27">
        <f>AVERAGE(G305:G306)</f>
        <v>0.85525562500000007</v>
      </c>
      <c r="L306">
        <f>+J306/I306</f>
        <v>0.24865696322139849</v>
      </c>
      <c r="M306">
        <f>+(L306-$L$614)/$L$615</f>
        <v>2.9320842059877231E-2</v>
      </c>
      <c r="N306">
        <f>+N304+M306</f>
        <v>4.1894960585328533</v>
      </c>
    </row>
    <row r="307" spans="1:14">
      <c r="A307" s="15">
        <v>9</v>
      </c>
      <c r="B307" s="75">
        <v>41080</v>
      </c>
      <c r="C307" s="15">
        <v>2012</v>
      </c>
      <c r="D307" s="11" t="s">
        <v>32</v>
      </c>
      <c r="E307" s="15">
        <v>6</v>
      </c>
      <c r="F307" s="26">
        <v>5.1959999999999997</v>
      </c>
      <c r="G307" s="27">
        <v>1.7098007500000001</v>
      </c>
    </row>
    <row r="308" spans="1:14">
      <c r="A308" s="15">
        <v>10</v>
      </c>
      <c r="B308" s="75">
        <v>41080</v>
      </c>
      <c r="C308" s="15">
        <v>2012</v>
      </c>
      <c r="D308" s="11" t="s">
        <v>32</v>
      </c>
      <c r="E308" s="15">
        <v>6</v>
      </c>
      <c r="F308" s="26">
        <v>3.335</v>
      </c>
      <c r="G308" s="27">
        <v>0.39559775000000008</v>
      </c>
      <c r="I308" s="27">
        <f>AVERAGE(F307:F308)</f>
        <v>4.2654999999999994</v>
      </c>
      <c r="J308" s="27">
        <f>AVERAGE(G307:G308)</f>
        <v>1.0526992500000001</v>
      </c>
      <c r="L308">
        <f>+J308/I308</f>
        <v>0.24679386941741888</v>
      </c>
      <c r="M308">
        <f>+(L308-$L$614)/$L$615</f>
        <v>1.0074384203132229E-2</v>
      </c>
      <c r="N308">
        <f>+N306+M308</f>
        <v>4.1995704427359852</v>
      </c>
    </row>
    <row r="309" spans="1:14">
      <c r="A309" s="15">
        <v>9</v>
      </c>
      <c r="B309" s="75">
        <v>41106</v>
      </c>
      <c r="C309" s="15">
        <v>2012</v>
      </c>
      <c r="D309" s="11" t="s">
        <v>33</v>
      </c>
      <c r="E309" s="15">
        <v>7</v>
      </c>
      <c r="F309" s="26">
        <v>8.5009999999999994</v>
      </c>
      <c r="G309" s="27">
        <v>3.4850270000000001</v>
      </c>
    </row>
    <row r="310" spans="1:14">
      <c r="A310" s="15">
        <v>10</v>
      </c>
      <c r="B310" s="75">
        <v>41106</v>
      </c>
      <c r="C310" s="15">
        <v>2012</v>
      </c>
      <c r="D310" s="11" t="s">
        <v>33</v>
      </c>
      <c r="E310" s="15">
        <v>7</v>
      </c>
      <c r="F310" s="26">
        <v>4.3010000000000002</v>
      </c>
      <c r="G310" s="27">
        <v>1.3677557499999999</v>
      </c>
      <c r="I310" s="27">
        <f>AVERAGE(F309:F310)</f>
        <v>6.4009999999999998</v>
      </c>
      <c r="J310" s="27">
        <f>AVERAGE(G309:G310)</f>
        <v>2.4263913750000001</v>
      </c>
      <c r="L310">
        <f>+J310/I310</f>
        <v>0.37906442352757386</v>
      </c>
      <c r="M310">
        <f>+(L310-$L$614)/$L$615</f>
        <v>1.3764788239214347</v>
      </c>
      <c r="N310">
        <f>+N308+M310</f>
        <v>5.57604926665742</v>
      </c>
    </row>
    <row r="311" spans="1:14">
      <c r="A311" s="15">
        <v>9</v>
      </c>
      <c r="B311" s="75">
        <v>41137</v>
      </c>
      <c r="C311" s="15">
        <v>2012</v>
      </c>
      <c r="D311" s="11" t="s">
        <v>34</v>
      </c>
      <c r="E311" s="15">
        <v>8</v>
      </c>
      <c r="F311" s="26">
        <v>4.9180000000000001</v>
      </c>
      <c r="G311" s="27">
        <v>2.0796511249999994</v>
      </c>
    </row>
    <row r="312" spans="1:14">
      <c r="A312" s="15">
        <v>10</v>
      </c>
      <c r="B312" s="75">
        <v>41137</v>
      </c>
      <c r="C312" s="15">
        <v>2012</v>
      </c>
      <c r="D312" s="11" t="s">
        <v>34</v>
      </c>
      <c r="E312" s="15">
        <v>8</v>
      </c>
      <c r="F312" s="26">
        <v>2.9590000000000001</v>
      </c>
      <c r="G312" s="27">
        <v>1.0017266249999999</v>
      </c>
      <c r="I312" s="27">
        <f>AVERAGE(F311:F312)</f>
        <v>3.9385000000000003</v>
      </c>
      <c r="J312" s="27">
        <f>AVERAGE(G311:G312)</f>
        <v>1.5406888749999996</v>
      </c>
      <c r="L312">
        <f>+J312/I312</f>
        <v>0.39118671448520997</v>
      </c>
      <c r="M312">
        <f>+(L312-$L$614)/$L$615</f>
        <v>1.5017066366837262</v>
      </c>
      <c r="N312">
        <f>+N310+M312</f>
        <v>7.0777559033411457</v>
      </c>
    </row>
    <row r="313" spans="1:14">
      <c r="A313" s="15">
        <v>9</v>
      </c>
      <c r="B313" s="75">
        <v>41163</v>
      </c>
      <c r="C313" s="15">
        <v>2012</v>
      </c>
      <c r="D313" s="11" t="s">
        <v>40</v>
      </c>
      <c r="E313" s="15">
        <v>9</v>
      </c>
      <c r="F313" s="26">
        <v>5.3540000000000001</v>
      </c>
      <c r="G313" s="27">
        <v>1.4551315</v>
      </c>
    </row>
    <row r="314" spans="1:14">
      <c r="A314" s="15">
        <v>10</v>
      </c>
      <c r="B314" s="75">
        <v>41163</v>
      </c>
      <c r="C314" s="15">
        <v>2012</v>
      </c>
      <c r="D314" s="11" t="s">
        <v>40</v>
      </c>
      <c r="E314" s="15">
        <v>9</v>
      </c>
      <c r="F314" s="26">
        <v>2.87</v>
      </c>
      <c r="G314" s="27">
        <v>0.87318324999999986</v>
      </c>
      <c r="I314" s="27">
        <f>AVERAGE(F313:F314)</f>
        <v>4.1120000000000001</v>
      </c>
      <c r="J314" s="27">
        <f>AVERAGE(G313:G314)</f>
        <v>1.1641573749999998</v>
      </c>
      <c r="L314">
        <f>+J314/I314</f>
        <v>0.28311220209143961</v>
      </c>
      <c r="M314">
        <f>+(L314-$L$614)/$L$615</f>
        <v>0.38525638402767415</v>
      </c>
      <c r="N314">
        <f>+N312+M314</f>
        <v>7.4630122873688194</v>
      </c>
    </row>
    <row r="315" spans="1:14">
      <c r="A315" s="15">
        <v>9</v>
      </c>
      <c r="B315" s="75">
        <v>41199</v>
      </c>
      <c r="C315" s="15">
        <v>2012</v>
      </c>
      <c r="D315" s="11" t="s">
        <v>36</v>
      </c>
      <c r="E315" s="15">
        <v>10</v>
      </c>
      <c r="F315" s="26">
        <v>0.81899999999999995</v>
      </c>
      <c r="G315" s="27">
        <v>0.27374549999999992</v>
      </c>
    </row>
    <row r="316" spans="1:14">
      <c r="A316" s="15">
        <v>10</v>
      </c>
      <c r="B316" s="75">
        <v>41199</v>
      </c>
      <c r="C316" s="15">
        <v>2012</v>
      </c>
      <c r="D316" s="11" t="s">
        <v>36</v>
      </c>
      <c r="E316" s="15">
        <v>10</v>
      </c>
      <c r="F316" s="26">
        <v>0.44900000000000001</v>
      </c>
      <c r="G316" s="27">
        <v>0.11627849999999998</v>
      </c>
      <c r="I316" s="27">
        <f>AVERAGE(F315:F316)</f>
        <v>0.63400000000000001</v>
      </c>
      <c r="J316" s="27">
        <f>AVERAGE(G315:G316)</f>
        <v>0.19501199999999996</v>
      </c>
      <c r="L316">
        <f>+J316/I316</f>
        <v>0.30758990536277597</v>
      </c>
      <c r="M316">
        <f>+(L316-$L$614)/$L$615</f>
        <v>0.63812024060611561</v>
      </c>
      <c r="N316">
        <f>+N314+M316</f>
        <v>8.1011325279749347</v>
      </c>
    </row>
    <row r="317" spans="1:14">
      <c r="A317" s="15">
        <v>9</v>
      </c>
      <c r="B317" s="75">
        <v>41225</v>
      </c>
      <c r="C317" s="15">
        <v>2012</v>
      </c>
      <c r="D317" s="11" t="s">
        <v>37</v>
      </c>
      <c r="E317" s="15">
        <v>11</v>
      </c>
      <c r="F317" s="26">
        <v>0.96099999999999997</v>
      </c>
      <c r="G317" s="27">
        <v>0.18161925000000001</v>
      </c>
    </row>
    <row r="318" spans="1:14">
      <c r="A318" s="15">
        <v>10</v>
      </c>
      <c r="B318" s="75">
        <v>41225</v>
      </c>
      <c r="C318" s="15">
        <v>2012</v>
      </c>
      <c r="D318" s="11" t="s">
        <v>37</v>
      </c>
      <c r="E318" s="15">
        <v>11</v>
      </c>
      <c r="F318" s="26">
        <v>1.843</v>
      </c>
      <c r="G318" s="27">
        <v>0.29811887500000001</v>
      </c>
      <c r="I318" s="27">
        <f>AVERAGE(F317:F318)</f>
        <v>1.4019999999999999</v>
      </c>
      <c r="J318" s="27">
        <f>AVERAGE(G317:G318)</f>
        <v>0.23986906250000001</v>
      </c>
      <c r="L318">
        <f>+J318/I318</f>
        <v>0.17109062945791728</v>
      </c>
      <c r="M318">
        <f>+(L318-$L$614)/$L$615</f>
        <v>-0.77196848147940711</v>
      </c>
      <c r="N318">
        <f>+N316+M318</f>
        <v>7.3291640464955279</v>
      </c>
    </row>
    <row r="319" spans="1:14">
      <c r="A319" s="15">
        <v>9</v>
      </c>
      <c r="B319" s="75">
        <v>41255</v>
      </c>
      <c r="C319" s="15">
        <v>2012</v>
      </c>
      <c r="D319" s="11" t="s">
        <v>38</v>
      </c>
      <c r="E319" s="15">
        <v>12</v>
      </c>
      <c r="F319" s="26">
        <v>0.89900000000000002</v>
      </c>
      <c r="G319" s="27">
        <v>0.35662712499999999</v>
      </c>
    </row>
    <row r="320" spans="1:14">
      <c r="A320" s="15">
        <v>10</v>
      </c>
      <c r="B320" s="75">
        <v>41255</v>
      </c>
      <c r="C320" s="15">
        <v>2012</v>
      </c>
      <c r="D320" s="11" t="s">
        <v>38</v>
      </c>
      <c r="E320" s="15">
        <v>12</v>
      </c>
      <c r="F320" s="26">
        <v>1.2509999999999999</v>
      </c>
      <c r="G320" s="27">
        <v>0.321115875</v>
      </c>
      <c r="I320" s="27">
        <f>AVERAGE(F319:F320)</f>
        <v>1.075</v>
      </c>
      <c r="J320" s="27">
        <f>AVERAGE(G319:G320)</f>
        <v>0.33887149999999999</v>
      </c>
      <c r="L320">
        <f>+J320/I320</f>
        <v>0.31522930232558138</v>
      </c>
      <c r="M320">
        <f>+(L320-$L$614)/$L$615</f>
        <v>0.71703807683181586</v>
      </c>
      <c r="N320">
        <f>+N318+M320</f>
        <v>8.046202123327344</v>
      </c>
    </row>
    <row r="321" spans="1:14">
      <c r="A321" s="15">
        <v>9</v>
      </c>
      <c r="B321" s="75">
        <v>41297</v>
      </c>
      <c r="C321" s="15">
        <v>2013</v>
      </c>
      <c r="D321" s="11" t="s">
        <v>39</v>
      </c>
      <c r="E321" s="15">
        <v>1</v>
      </c>
      <c r="F321" s="26">
        <v>1.665</v>
      </c>
      <c r="G321" s="27">
        <v>0.43227937500000002</v>
      </c>
    </row>
    <row r="322" spans="1:14">
      <c r="A322" s="15">
        <v>10</v>
      </c>
      <c r="B322" s="75">
        <v>41297</v>
      </c>
      <c r="C322" s="15">
        <v>2013</v>
      </c>
      <c r="D322" s="11" t="s">
        <v>39</v>
      </c>
      <c r="E322" s="15">
        <v>1</v>
      </c>
      <c r="F322" s="26">
        <v>1.169</v>
      </c>
      <c r="G322" s="27">
        <v>0.29257512499999994</v>
      </c>
      <c r="I322" s="27">
        <f>AVERAGE(F321:F322)</f>
        <v>1.417</v>
      </c>
      <c r="J322" s="27">
        <f>AVERAGE(G321:G322)</f>
        <v>0.36242724999999998</v>
      </c>
      <c r="L322">
        <f>+J322/I322</f>
        <v>0.25577081863091033</v>
      </c>
      <c r="M322">
        <f>+(L322-$L$614)/$L$615</f>
        <v>0.10280963690514483</v>
      </c>
      <c r="N322">
        <f>+N320+M322</f>
        <v>8.1490117602324883</v>
      </c>
    </row>
    <row r="323" spans="1:14">
      <c r="A323" s="15">
        <v>9</v>
      </c>
      <c r="B323" s="75">
        <v>41319</v>
      </c>
      <c r="C323" s="15">
        <v>2013</v>
      </c>
      <c r="D323" s="11" t="s">
        <v>28</v>
      </c>
      <c r="E323" s="15">
        <v>2</v>
      </c>
      <c r="F323" s="31">
        <v>2.944</v>
      </c>
      <c r="G323" s="27">
        <v>1.2439344999999999</v>
      </c>
    </row>
    <row r="324" spans="1:14">
      <c r="A324" s="15">
        <v>10</v>
      </c>
      <c r="B324" s="75">
        <v>41319</v>
      </c>
      <c r="C324" s="15">
        <v>2013</v>
      </c>
      <c r="D324" s="11" t="s">
        <v>28</v>
      </c>
      <c r="E324" s="15">
        <v>2</v>
      </c>
      <c r="F324" s="31">
        <v>2.371</v>
      </c>
      <c r="G324" s="27">
        <v>0.99689749999999999</v>
      </c>
      <c r="I324" s="27">
        <f>AVERAGE(F323:F324)</f>
        <v>2.6574999999999998</v>
      </c>
      <c r="J324" s="27">
        <f>AVERAGE(G323:G324)</f>
        <v>1.1204160000000001</v>
      </c>
      <c r="L324">
        <f>+J324/I324</f>
        <v>0.42160526810912519</v>
      </c>
      <c r="M324">
        <f>+(L324-$L$614)/$L$615</f>
        <v>1.8159417058655825</v>
      </c>
      <c r="N324">
        <f>+N322+M324</f>
        <v>9.9649534660980699</v>
      </c>
    </row>
    <row r="325" spans="1:14">
      <c r="A325" s="15">
        <v>9</v>
      </c>
      <c r="B325" s="75">
        <v>41346</v>
      </c>
      <c r="C325" s="15">
        <v>2013</v>
      </c>
      <c r="D325" s="11" t="s">
        <v>29</v>
      </c>
      <c r="E325" s="15">
        <v>3</v>
      </c>
      <c r="F325" s="31">
        <v>8.3840000000000003</v>
      </c>
      <c r="G325" s="27">
        <v>5.4693857499999998</v>
      </c>
    </row>
    <row r="326" spans="1:14">
      <c r="A326" s="15">
        <v>10</v>
      </c>
      <c r="B326" s="75">
        <v>41346</v>
      </c>
      <c r="C326" s="15">
        <v>2013</v>
      </c>
      <c r="D326" s="11" t="s">
        <v>29</v>
      </c>
      <c r="E326" s="15">
        <v>3</v>
      </c>
      <c r="F326" s="31">
        <v>8.6709999999999994</v>
      </c>
      <c r="G326" s="27">
        <v>5.441261374999999</v>
      </c>
      <c r="I326" s="27">
        <f>AVERAGE(F325:F326)</f>
        <v>8.5274999999999999</v>
      </c>
      <c r="J326" s="27">
        <f>AVERAGE(G325:G326)</f>
        <v>5.4553235624999994</v>
      </c>
      <c r="L326">
        <f>+J326/I326</f>
        <v>0.63973304749340365</v>
      </c>
      <c r="M326">
        <f>+(L326-$L$614)/$L$615</f>
        <v>4.0692834884089271</v>
      </c>
      <c r="N326">
        <f>+N324+M326</f>
        <v>14.034236954506998</v>
      </c>
    </row>
    <row r="327" spans="1:14">
      <c r="A327" s="15">
        <v>9</v>
      </c>
      <c r="B327" s="75">
        <v>41380</v>
      </c>
      <c r="C327" s="15">
        <v>2013</v>
      </c>
      <c r="D327" s="11" t="s">
        <v>30</v>
      </c>
      <c r="E327" s="15">
        <v>4</v>
      </c>
      <c r="F327" s="32">
        <v>0.495</v>
      </c>
      <c r="G327" s="27">
        <v>0.12992349999999997</v>
      </c>
    </row>
    <row r="328" spans="1:14">
      <c r="A328" s="15">
        <v>10</v>
      </c>
      <c r="B328" s="75">
        <v>41380</v>
      </c>
      <c r="C328" s="15">
        <v>2013</v>
      </c>
      <c r="D328" s="11" t="s">
        <v>30</v>
      </c>
      <c r="E328" s="15">
        <v>4</v>
      </c>
      <c r="F328" s="32">
        <v>0.755</v>
      </c>
      <c r="G328" s="27">
        <v>0.158333</v>
      </c>
      <c r="I328" s="27"/>
      <c r="J328" s="27"/>
    </row>
    <row r="329" spans="1:14">
      <c r="A329" s="15">
        <v>10</v>
      </c>
      <c r="B329" s="75">
        <v>41380</v>
      </c>
      <c r="C329" s="15">
        <v>2013</v>
      </c>
      <c r="D329" s="11" t="s">
        <v>30</v>
      </c>
      <c r="E329" s="15">
        <v>4</v>
      </c>
      <c r="F329" s="32">
        <v>0.755</v>
      </c>
      <c r="G329" s="27">
        <v>0.15867087499999996</v>
      </c>
      <c r="I329" s="27">
        <f>AVERAGE(F327:F329)</f>
        <v>0.66833333333333333</v>
      </c>
      <c r="J329" s="27">
        <f>AVERAGE(G327:G329)</f>
        <v>0.14897579166666663</v>
      </c>
      <c r="L329">
        <f>+J329/I329</f>
        <v>0.22290642144638398</v>
      </c>
      <c r="M329">
        <f>+(L329-$L$614)/$L$615</f>
        <v>-0.23669191371363241</v>
      </c>
      <c r="N329">
        <f>+N326+M329</f>
        <v>13.797545040793365</v>
      </c>
    </row>
    <row r="330" spans="1:14">
      <c r="A330" s="15">
        <v>9</v>
      </c>
      <c r="B330" s="75">
        <v>41407</v>
      </c>
      <c r="C330" s="15">
        <v>2013</v>
      </c>
      <c r="D330" s="11" t="s">
        <v>31</v>
      </c>
      <c r="E330" s="15">
        <v>5</v>
      </c>
      <c r="F330" s="32">
        <v>0.65900000000000003</v>
      </c>
      <c r="G330" s="27">
        <v>0.100426375</v>
      </c>
      <c r="I330" s="27"/>
      <c r="J330" s="27"/>
    </row>
    <row r="331" spans="1:14">
      <c r="A331" s="15">
        <v>10</v>
      </c>
      <c r="B331" s="75">
        <v>41407</v>
      </c>
      <c r="C331" s="15">
        <v>2013</v>
      </c>
      <c r="D331" s="11" t="s">
        <v>31</v>
      </c>
      <c r="E331" s="15">
        <v>5</v>
      </c>
      <c r="F331" s="32">
        <v>2.657</v>
      </c>
      <c r="G331" s="27">
        <v>0.51168612499999999</v>
      </c>
      <c r="I331" s="27">
        <f>AVERAGE(F330:F331)</f>
        <v>1.6579999999999999</v>
      </c>
      <c r="J331" s="27">
        <f>AVERAGE(G330:G331)</f>
        <v>0.30605624999999997</v>
      </c>
      <c r="L331">
        <f>+J331/I331</f>
        <v>0.18459363691194208</v>
      </c>
      <c r="M331">
        <f>+(L331-$L$614)/$L$615</f>
        <v>-0.63247734939143552</v>
      </c>
      <c r="N331">
        <f>+N329+M331</f>
        <v>13.16506769140193</v>
      </c>
    </row>
    <row r="332" spans="1:14">
      <c r="A332" s="15">
        <v>9</v>
      </c>
      <c r="B332" s="75">
        <v>41437</v>
      </c>
      <c r="C332" s="15">
        <v>2013</v>
      </c>
      <c r="D332" s="11" t="s">
        <v>32</v>
      </c>
      <c r="E332" s="15">
        <v>6</v>
      </c>
      <c r="F332" s="32">
        <v>4.7809999999999997</v>
      </c>
      <c r="G332" s="27">
        <v>2.2065641249999999</v>
      </c>
    </row>
    <row r="333" spans="1:14">
      <c r="A333" s="15">
        <v>10</v>
      </c>
      <c r="B333" s="75">
        <v>41437</v>
      </c>
      <c r="C333" s="15">
        <v>2013</v>
      </c>
      <c r="D333" s="11" t="s">
        <v>32</v>
      </c>
      <c r="E333" s="15">
        <v>6</v>
      </c>
      <c r="F333" s="32">
        <v>3.68</v>
      </c>
      <c r="G333" s="27">
        <v>1.194240875</v>
      </c>
      <c r="I333" s="27">
        <f>AVERAGE(F332:F333)</f>
        <v>4.2305000000000001</v>
      </c>
      <c r="J333" s="27">
        <f>AVERAGE(G332:G333)</f>
        <v>1.7004025</v>
      </c>
      <c r="L333">
        <f>+J333/I333</f>
        <v>0.40193889611157074</v>
      </c>
      <c r="M333">
        <f>+(L333-$L$614)/$L$615</f>
        <v>1.6127807061147921</v>
      </c>
      <c r="N333">
        <f>+N331+M333</f>
        <v>14.777848397516722</v>
      </c>
    </row>
    <row r="334" spans="1:14">
      <c r="A334" s="15">
        <v>9</v>
      </c>
      <c r="B334" s="75">
        <v>41470</v>
      </c>
      <c r="C334" s="15">
        <v>2013</v>
      </c>
      <c r="D334" s="11" t="s">
        <v>33</v>
      </c>
      <c r="E334" s="15">
        <v>7</v>
      </c>
      <c r="F334" s="32">
        <v>7.8250000000000002</v>
      </c>
      <c r="G334" s="27">
        <v>2.728973125</v>
      </c>
    </row>
    <row r="335" spans="1:14">
      <c r="A335" s="15">
        <v>10</v>
      </c>
      <c r="B335" s="75">
        <v>41470</v>
      </c>
      <c r="C335" s="15">
        <v>2013</v>
      </c>
      <c r="D335" s="11" t="s">
        <v>33</v>
      </c>
      <c r="E335" s="15">
        <v>7</v>
      </c>
      <c r="F335" s="32">
        <v>10.163</v>
      </c>
      <c r="G335" s="27">
        <v>1.8482620000000001</v>
      </c>
      <c r="I335" s="27">
        <f>AVERAGE(F334:F335)</f>
        <v>8.9939999999999998</v>
      </c>
      <c r="J335" s="27">
        <f>AVERAGE(G334:G335)</f>
        <v>2.2886175624999998</v>
      </c>
      <c r="L335">
        <f>+J335/I335</f>
        <v>0.25446048059817655</v>
      </c>
      <c r="M335">
        <f>+(L335-$L$614)/$L$615</f>
        <v>8.9273353508553796E-2</v>
      </c>
      <c r="N335">
        <f>+N333+M335</f>
        <v>14.867121751025277</v>
      </c>
    </row>
    <row r="336" spans="1:14">
      <c r="A336" s="15">
        <v>9</v>
      </c>
      <c r="B336" s="75">
        <v>41498</v>
      </c>
      <c r="C336" s="15">
        <v>2013</v>
      </c>
      <c r="D336" s="11" t="s">
        <v>34</v>
      </c>
      <c r="E336" s="15">
        <v>8</v>
      </c>
      <c r="F336" s="32">
        <v>3.544</v>
      </c>
      <c r="G336" s="27">
        <v>1.3128916249999998</v>
      </c>
    </row>
    <row r="337" spans="1:14">
      <c r="A337" s="15">
        <v>10</v>
      </c>
      <c r="B337" s="75">
        <v>41498</v>
      </c>
      <c r="C337" s="15">
        <v>2013</v>
      </c>
      <c r="D337" s="11" t="s">
        <v>34</v>
      </c>
      <c r="E337" s="15">
        <v>8</v>
      </c>
      <c r="F337" s="32">
        <v>3.4510000000000001</v>
      </c>
      <c r="G337" s="27">
        <v>0.76320624999999986</v>
      </c>
      <c r="I337" s="27">
        <f>AVERAGE(F336:F337)</f>
        <v>3.4975000000000001</v>
      </c>
      <c r="J337" s="27">
        <f>AVERAGE(G336:G337)</f>
        <v>1.0380489374999997</v>
      </c>
      <c r="L337">
        <f>+J337/I337</f>
        <v>0.29679740886347383</v>
      </c>
      <c r="M337">
        <f>+(L337-$L$614)/$L$615</f>
        <v>0.52662970341512871</v>
      </c>
      <c r="N337">
        <f>+N335+M337</f>
        <v>15.393751454440405</v>
      </c>
    </row>
    <row r="338" spans="1:14">
      <c r="A338" s="15">
        <v>9</v>
      </c>
      <c r="B338" s="75">
        <v>41535</v>
      </c>
      <c r="C338" s="15">
        <v>2013</v>
      </c>
      <c r="D338" s="11" t="s">
        <v>40</v>
      </c>
      <c r="E338" s="15">
        <v>9</v>
      </c>
      <c r="F338" s="32">
        <v>1.6279999999999999</v>
      </c>
      <c r="G338" s="27">
        <v>0.65804099999999999</v>
      </c>
    </row>
    <row r="339" spans="1:14">
      <c r="A339" s="15">
        <v>10</v>
      </c>
      <c r="B339" s="75">
        <v>41535</v>
      </c>
      <c r="C339" s="15">
        <v>2013</v>
      </c>
      <c r="D339" s="11" t="s">
        <v>40</v>
      </c>
      <c r="E339" s="15">
        <v>9</v>
      </c>
      <c r="F339" s="32">
        <v>1.2649999999999999</v>
      </c>
      <c r="G339" s="27">
        <v>0.4926371249999999</v>
      </c>
      <c r="I339" s="27">
        <f>AVERAGE(F338:F339)</f>
        <v>1.4464999999999999</v>
      </c>
      <c r="J339" s="27">
        <f>AVERAGE(G338:G339)</f>
        <v>0.57533906249999989</v>
      </c>
      <c r="L339">
        <f>+J339/I339</f>
        <v>0.39774563601797436</v>
      </c>
      <c r="M339">
        <f>+(L339-$L$614)/$L$615</f>
        <v>1.569462756421983</v>
      </c>
      <c r="N339">
        <f>+N337+M339</f>
        <v>16.96321421086239</v>
      </c>
    </row>
    <row r="340" spans="1:14">
      <c r="A340" s="15">
        <v>9</v>
      </c>
      <c r="B340" s="75">
        <v>406810</v>
      </c>
      <c r="C340" s="15">
        <v>2013</v>
      </c>
      <c r="D340" s="11" t="s">
        <v>36</v>
      </c>
      <c r="E340" s="15">
        <v>10</v>
      </c>
      <c r="F340" s="26">
        <v>0.60099999999999998</v>
      </c>
      <c r="G340" s="27">
        <v>5.4357249999999996E-2</v>
      </c>
    </row>
    <row r="341" spans="1:14">
      <c r="A341" s="15">
        <v>10</v>
      </c>
      <c r="B341" s="75">
        <v>406810</v>
      </c>
      <c r="C341" s="15">
        <v>2013</v>
      </c>
      <c r="D341" s="11" t="s">
        <v>36</v>
      </c>
      <c r="E341" s="15">
        <v>10</v>
      </c>
      <c r="F341" s="26">
        <v>0.93</v>
      </c>
      <c r="G341" s="27">
        <v>0.12325575</v>
      </c>
      <c r="I341" s="27">
        <f>AVERAGE(F340:F341)</f>
        <v>0.76550000000000007</v>
      </c>
      <c r="J341" s="27">
        <f>AVERAGE(G340:G341)</f>
        <v>8.8806499999999997E-2</v>
      </c>
      <c r="L341">
        <f>+J341/I341</f>
        <v>0.11601110385369039</v>
      </c>
      <c r="M341">
        <f>+(L341-$L$614)/$L$615</f>
        <v>-1.3409606417490028</v>
      </c>
      <c r="N341">
        <f>+N339+M341</f>
        <v>15.622253569113386</v>
      </c>
    </row>
    <row r="342" spans="1:14">
      <c r="A342" s="15">
        <v>9</v>
      </c>
      <c r="B342" s="75">
        <v>41599</v>
      </c>
      <c r="C342" s="15">
        <v>2013</v>
      </c>
      <c r="D342" s="11" t="s">
        <v>37</v>
      </c>
      <c r="E342" s="15">
        <v>11</v>
      </c>
      <c r="F342" s="26">
        <v>0.249</v>
      </c>
      <c r="G342" s="27">
        <v>7.1526124999999996E-2</v>
      </c>
    </row>
    <row r="343" spans="1:14">
      <c r="A343" s="15">
        <v>10</v>
      </c>
      <c r="B343" s="75">
        <v>41599</v>
      </c>
      <c r="C343" s="15">
        <v>2013</v>
      </c>
      <c r="D343" s="11" t="s">
        <v>37</v>
      </c>
      <c r="E343" s="15">
        <v>11</v>
      </c>
      <c r="F343" s="26">
        <v>0.36599999999999999</v>
      </c>
      <c r="G343" s="27">
        <v>0.12170925000000002</v>
      </c>
      <c r="I343" s="27">
        <f>AVERAGE(F342:F343)</f>
        <v>0.3075</v>
      </c>
      <c r="J343" s="27">
        <f>AVERAGE(G342:G343)</f>
        <v>9.6617687500000007E-2</v>
      </c>
      <c r="L343">
        <f>+J343/I343</f>
        <v>0.31420386178861792</v>
      </c>
      <c r="M343">
        <f>+(L343-$L$614)/$L$615</f>
        <v>0.70644489143389955</v>
      </c>
      <c r="N343">
        <f>+N341+M343</f>
        <v>16.328698460547287</v>
      </c>
    </row>
    <row r="344" spans="1:14">
      <c r="A344" s="15">
        <v>9</v>
      </c>
      <c r="B344" s="75">
        <v>41627</v>
      </c>
      <c r="C344" s="15">
        <v>2013</v>
      </c>
      <c r="D344" s="11" t="s">
        <v>38</v>
      </c>
      <c r="E344" s="15">
        <v>12</v>
      </c>
      <c r="F344" s="26">
        <v>0.96</v>
      </c>
      <c r="G344" s="27">
        <v>0.30925549999999996</v>
      </c>
    </row>
    <row r="345" spans="1:14">
      <c r="A345" s="15">
        <v>10</v>
      </c>
      <c r="B345" s="75">
        <v>41627</v>
      </c>
      <c r="C345" s="15">
        <v>2013</v>
      </c>
      <c r="D345" s="11" t="s">
        <v>38</v>
      </c>
      <c r="E345" s="15">
        <v>12</v>
      </c>
      <c r="F345" s="26">
        <v>1.0349999999999999</v>
      </c>
      <c r="G345" s="27">
        <v>0.32358849999999995</v>
      </c>
      <c r="I345" s="27">
        <f>AVERAGE(F344:F345)</f>
        <v>0.99749999999999994</v>
      </c>
      <c r="J345" s="27">
        <f>AVERAGE(G344:G345)</f>
        <v>0.31642199999999998</v>
      </c>
      <c r="L345">
        <f>+J345/I345</f>
        <v>0.31721503759398495</v>
      </c>
      <c r="M345">
        <f>+(L345-$L$614)/$L$615</f>
        <v>0.73755146701987084</v>
      </c>
      <c r="N345">
        <f>+N343+M345</f>
        <v>17.066249927567156</v>
      </c>
    </row>
    <row r="346" spans="1:14">
      <c r="A346" s="15">
        <v>9</v>
      </c>
      <c r="B346" s="75">
        <v>41655</v>
      </c>
      <c r="C346" s="15">
        <v>2014</v>
      </c>
      <c r="D346" s="11" t="s">
        <v>39</v>
      </c>
      <c r="E346" s="15">
        <v>1</v>
      </c>
      <c r="F346" s="26">
        <v>1.9850000000000001</v>
      </c>
      <c r="G346" s="27">
        <v>0.7155897499999998</v>
      </c>
    </row>
    <row r="347" spans="1:14">
      <c r="A347" s="15">
        <v>10</v>
      </c>
      <c r="B347" s="75">
        <v>41655</v>
      </c>
      <c r="C347" s="15">
        <v>2014</v>
      </c>
      <c r="D347" s="11" t="s">
        <v>39</v>
      </c>
      <c r="E347" s="15">
        <v>1</v>
      </c>
      <c r="F347" s="26">
        <v>1.8129999999999999</v>
      </c>
      <c r="G347" s="27">
        <v>0.60328387500000002</v>
      </c>
      <c r="I347" s="27">
        <f>AVERAGE(F346:F347)</f>
        <v>1.899</v>
      </c>
      <c r="J347" s="27">
        <f>AVERAGE(G346:G347)</f>
        <v>0.65943681249999986</v>
      </c>
      <c r="L347">
        <f>+J347/I347</f>
        <v>0.34725477224855178</v>
      </c>
      <c r="M347">
        <f>+(L347-$L$614)/$L$615</f>
        <v>1.0478731941502826</v>
      </c>
      <c r="N347">
        <f>+N345+M347</f>
        <v>18.114123121717441</v>
      </c>
    </row>
    <row r="348" spans="1:14">
      <c r="A348" s="15">
        <v>9</v>
      </c>
      <c r="B348" s="75">
        <v>41690</v>
      </c>
      <c r="C348" s="15">
        <v>2014</v>
      </c>
      <c r="D348" s="11" t="s">
        <v>28</v>
      </c>
      <c r="E348" s="15">
        <v>2</v>
      </c>
      <c r="F348" s="26">
        <v>3.0960000000000001</v>
      </c>
      <c r="G348" s="27">
        <v>1.2233618749999999</v>
      </c>
    </row>
    <row r="349" spans="1:14">
      <c r="A349" s="15">
        <v>10</v>
      </c>
      <c r="B349" s="75">
        <v>41690</v>
      </c>
      <c r="C349" s="15">
        <v>2014</v>
      </c>
      <c r="D349" s="11" t="s">
        <v>28</v>
      </c>
      <c r="E349" s="15">
        <v>2</v>
      </c>
      <c r="F349" s="26">
        <v>4.5090000000000003</v>
      </c>
      <c r="G349" s="27">
        <v>1.7310584999999996</v>
      </c>
      <c r="I349" s="27">
        <f>AVERAGE(F348:F349)</f>
        <v>3.8025000000000002</v>
      </c>
      <c r="J349" s="27">
        <f>AVERAGE(G348:G349)</f>
        <v>1.4772101874999999</v>
      </c>
      <c r="L349">
        <f>+J349/I349</f>
        <v>0.38848394148586451</v>
      </c>
      <c r="M349">
        <f>+(L349-$L$614)/$L$615</f>
        <v>1.473785977768358</v>
      </c>
      <c r="N349">
        <f>+N347+M349</f>
        <v>19.587909099485799</v>
      </c>
    </row>
    <row r="350" spans="1:14">
      <c r="A350" s="15">
        <v>9</v>
      </c>
      <c r="B350" s="75">
        <v>41718</v>
      </c>
      <c r="C350" s="15">
        <v>2014</v>
      </c>
      <c r="D350" s="11" t="s">
        <v>29</v>
      </c>
      <c r="E350" s="15">
        <v>3</v>
      </c>
      <c r="F350" s="26">
        <v>6.6929999999999996</v>
      </c>
      <c r="G350" s="27">
        <v>3.2065438749999995</v>
      </c>
    </row>
    <row r="351" spans="1:14">
      <c r="A351" s="15">
        <v>10</v>
      </c>
      <c r="B351" s="75">
        <v>41718</v>
      </c>
      <c r="C351" s="15">
        <v>2014</v>
      </c>
      <c r="D351" s="11" t="s">
        <v>29</v>
      </c>
      <c r="E351" s="15">
        <v>3</v>
      </c>
      <c r="F351" s="26">
        <v>4.5419999999999998</v>
      </c>
      <c r="G351" s="27">
        <v>2.0590714999999999</v>
      </c>
      <c r="I351" s="27">
        <f>AVERAGE(F350:F351)</f>
        <v>5.6174999999999997</v>
      </c>
      <c r="J351" s="27">
        <f>AVERAGE(G350:G351)</f>
        <v>2.6328076874999997</v>
      </c>
      <c r="L351">
        <f>+J351/I351</f>
        <v>0.46867960614152199</v>
      </c>
      <c r="M351">
        <f>+(L351-$L$614)/$L$615</f>
        <v>2.3022372757072214</v>
      </c>
      <c r="N351">
        <f>+N349+M351</f>
        <v>21.890146375193019</v>
      </c>
    </row>
    <row r="352" spans="1:14">
      <c r="A352" s="15">
        <v>9</v>
      </c>
      <c r="B352" s="75">
        <v>41750</v>
      </c>
      <c r="C352" s="15">
        <v>2014</v>
      </c>
      <c r="D352" s="11" t="s">
        <v>30</v>
      </c>
      <c r="E352" s="15">
        <v>4</v>
      </c>
      <c r="F352" s="33">
        <v>2.2000000000000002</v>
      </c>
      <c r="G352" s="27">
        <v>0.50230862499999995</v>
      </c>
    </row>
    <row r="353" spans="1:14">
      <c r="A353" s="15">
        <v>10</v>
      </c>
      <c r="B353" s="75">
        <v>41750</v>
      </c>
      <c r="C353" s="15">
        <v>2014</v>
      </c>
      <c r="D353" s="11" t="s">
        <v>30</v>
      </c>
      <c r="E353" s="15">
        <v>4</v>
      </c>
      <c r="F353" s="33">
        <v>1.27</v>
      </c>
      <c r="G353" s="27">
        <v>0.44457325000000003</v>
      </c>
      <c r="I353" s="27">
        <f>AVERAGE(F352:F353)</f>
        <v>1.7350000000000001</v>
      </c>
      <c r="J353" s="27">
        <f>AVERAGE(G352:G353)</f>
        <v>0.47344093749999999</v>
      </c>
      <c r="L353">
        <f>+J353/I353</f>
        <v>0.27287662103746396</v>
      </c>
      <c r="M353">
        <f>+(L353-$L$614)/$L$615</f>
        <v>0.27951899229042193</v>
      </c>
      <c r="N353">
        <f>+N351+M353</f>
        <v>22.169665367483443</v>
      </c>
    </row>
    <row r="354" spans="1:14">
      <c r="A354" s="15">
        <v>9</v>
      </c>
      <c r="B354" s="75">
        <v>41406</v>
      </c>
      <c r="C354" s="15">
        <v>2014</v>
      </c>
      <c r="D354" s="11" t="s">
        <v>31</v>
      </c>
      <c r="E354" s="15">
        <v>5</v>
      </c>
      <c r="F354" s="33">
        <v>0.90700000000000003</v>
      </c>
      <c r="G354" s="27">
        <v>0.10242124999999999</v>
      </c>
    </row>
    <row r="355" spans="1:14">
      <c r="A355" s="15">
        <v>10</v>
      </c>
      <c r="B355" s="75">
        <v>41406</v>
      </c>
      <c r="C355" s="15">
        <v>2014</v>
      </c>
      <c r="D355" s="11" t="s">
        <v>31</v>
      </c>
      <c r="E355" s="15">
        <v>5</v>
      </c>
      <c r="F355" s="33">
        <v>3.2</v>
      </c>
      <c r="G355" s="27">
        <v>0.71002425000000002</v>
      </c>
      <c r="I355" s="27">
        <f>AVERAGE(F354:F355)</f>
        <v>2.0535000000000001</v>
      </c>
      <c r="J355" s="27">
        <f>AVERAGE(G354:G355)</f>
        <v>0.40622275000000002</v>
      </c>
      <c r="L355">
        <f>+J355/I355</f>
        <v>0.19781969807645483</v>
      </c>
      <c r="M355">
        <f>+(L355-$L$614)/$L$615</f>
        <v>-0.49584717635892867</v>
      </c>
      <c r="N355">
        <f>+N353+M355</f>
        <v>21.673818191124514</v>
      </c>
    </row>
    <row r="356" spans="1:14">
      <c r="A356" s="15">
        <v>9</v>
      </c>
      <c r="B356" s="75">
        <v>41807</v>
      </c>
      <c r="C356" s="15">
        <v>2014</v>
      </c>
      <c r="D356" s="11" t="s">
        <v>32</v>
      </c>
      <c r="E356" s="15">
        <v>6</v>
      </c>
      <c r="F356" s="33">
        <v>3.6440000000000001</v>
      </c>
      <c r="G356" s="27">
        <v>1.6596043749999996</v>
      </c>
    </row>
    <row r="357" spans="1:14">
      <c r="A357" s="15">
        <v>10</v>
      </c>
      <c r="B357" s="75">
        <v>41807</v>
      </c>
      <c r="C357" s="15">
        <v>2014</v>
      </c>
      <c r="D357" s="11" t="s">
        <v>32</v>
      </c>
      <c r="E357" s="15">
        <v>6</v>
      </c>
      <c r="F357" s="33">
        <v>5.5940000000000003</v>
      </c>
      <c r="G357" s="27">
        <v>2.7114461250000002</v>
      </c>
      <c r="I357" s="27">
        <f>AVERAGE(F356:F357)</f>
        <v>4.6189999999999998</v>
      </c>
      <c r="J357" s="27">
        <f>AVERAGE(G356:G357)</f>
        <v>2.18552525</v>
      </c>
      <c r="L357">
        <f>+J357/I357</f>
        <v>0.47315982896730896</v>
      </c>
      <c r="M357">
        <f>+(L357-$L$614)/$L$615</f>
        <v>2.3485196580656131</v>
      </c>
      <c r="N357">
        <f>+N355+M357</f>
        <v>24.022337849190126</v>
      </c>
    </row>
    <row r="358" spans="1:14">
      <c r="A358" s="15">
        <v>9</v>
      </c>
      <c r="B358" s="75">
        <v>41837</v>
      </c>
      <c r="C358" s="15">
        <v>2014</v>
      </c>
      <c r="D358" s="11" t="s">
        <v>33</v>
      </c>
      <c r="E358" s="15">
        <v>7</v>
      </c>
      <c r="F358" s="33">
        <v>5.2190000000000003</v>
      </c>
      <c r="G358" s="27">
        <v>2.1525809999999996</v>
      </c>
    </row>
    <row r="359" spans="1:14">
      <c r="A359" s="15">
        <v>10</v>
      </c>
      <c r="B359" s="75">
        <v>41837</v>
      </c>
      <c r="C359" s="15">
        <v>2014</v>
      </c>
      <c r="D359" s="11" t="s">
        <v>33</v>
      </c>
      <c r="E359" s="15">
        <v>7</v>
      </c>
      <c r="F359" s="33">
        <v>6.8840000000000003</v>
      </c>
      <c r="G359" s="27">
        <v>2.8825774999999996</v>
      </c>
      <c r="I359" s="27">
        <f>AVERAGE(F358:F359)</f>
        <v>6.0515000000000008</v>
      </c>
      <c r="J359" s="27">
        <f>AVERAGE(G358:G359)</f>
        <v>2.5175792499999998</v>
      </c>
      <c r="L359">
        <f>+J359/I359</f>
        <v>0.41602565479633141</v>
      </c>
      <c r="M359">
        <f>+(L359-$L$614)/$L$615</f>
        <v>1.7583022073860985</v>
      </c>
      <c r="N359">
        <f>+N357+M359</f>
        <v>25.780640056576225</v>
      </c>
    </row>
    <row r="360" spans="1:14">
      <c r="A360" s="15">
        <v>9</v>
      </c>
      <c r="B360" s="75">
        <v>41862</v>
      </c>
      <c r="C360" s="15">
        <v>2014</v>
      </c>
      <c r="D360" s="11" t="s">
        <v>34</v>
      </c>
      <c r="E360" s="15">
        <v>8</v>
      </c>
      <c r="F360" s="33">
        <v>9.9480000000000004</v>
      </c>
      <c r="G360" s="27">
        <v>3.8472354999999996</v>
      </c>
    </row>
    <row r="361" spans="1:14">
      <c r="A361" s="15">
        <v>10</v>
      </c>
      <c r="B361" s="75">
        <v>41862</v>
      </c>
      <c r="C361" s="15">
        <v>2014</v>
      </c>
      <c r="D361" s="11" t="s">
        <v>34</v>
      </c>
      <c r="E361" s="15">
        <v>8</v>
      </c>
      <c r="F361" s="33">
        <v>6.9889999999999999</v>
      </c>
      <c r="G361" s="27">
        <v>2.4611800000000001</v>
      </c>
      <c r="I361" s="27">
        <f>AVERAGE(F360:F361)</f>
        <v>8.4685000000000006</v>
      </c>
      <c r="J361" s="27">
        <f>AVERAGE(G360:G361)</f>
        <v>3.1542077499999999</v>
      </c>
      <c r="L361">
        <f>+J361/I361</f>
        <v>0.37246357088032117</v>
      </c>
      <c r="M361">
        <f>+(L361-$L$614)/$L$615</f>
        <v>1.3082895400418117</v>
      </c>
      <c r="N361">
        <f>+N359+M361</f>
        <v>27.088929596618037</v>
      </c>
    </row>
    <row r="362" spans="1:14">
      <c r="A362" s="15">
        <v>9</v>
      </c>
      <c r="B362" s="75">
        <v>41897</v>
      </c>
      <c r="C362" s="15">
        <v>2014</v>
      </c>
      <c r="D362" s="11" t="s">
        <v>40</v>
      </c>
      <c r="E362" s="15">
        <v>9</v>
      </c>
      <c r="F362" s="33">
        <v>1.9710000000000001</v>
      </c>
      <c r="G362" s="27">
        <v>0.46316999999999997</v>
      </c>
    </row>
    <row r="363" spans="1:14">
      <c r="A363" s="15">
        <v>10</v>
      </c>
      <c r="B363" s="75">
        <v>41897</v>
      </c>
      <c r="C363" s="15">
        <v>2014</v>
      </c>
      <c r="D363" s="11" t="s">
        <v>40</v>
      </c>
      <c r="E363" s="15">
        <v>9</v>
      </c>
      <c r="F363" s="33">
        <v>2.0739999999999998</v>
      </c>
      <c r="G363" s="27">
        <v>0.527969625</v>
      </c>
      <c r="I363" s="27">
        <f>AVERAGE(F362:F363)</f>
        <v>2.0225</v>
      </c>
      <c r="J363" s="27">
        <f>AVERAGE(G362:G363)</f>
        <v>0.49556981249999998</v>
      </c>
      <c r="L363">
        <f>+J363/I363</f>
        <v>0.24502833745364647</v>
      </c>
      <c r="M363">
        <f>+(L363-$L$614)/$L$615</f>
        <v>-8.1642232480327575E-3</v>
      </c>
      <c r="N363">
        <f>+N361+M363</f>
        <v>27.080765373370003</v>
      </c>
    </row>
    <row r="364" spans="1:14">
      <c r="A364" s="15">
        <v>9</v>
      </c>
      <c r="B364" s="75">
        <v>41928</v>
      </c>
      <c r="C364" s="15">
        <v>2014</v>
      </c>
      <c r="D364" s="11" t="s">
        <v>36</v>
      </c>
      <c r="E364" s="15">
        <v>10</v>
      </c>
      <c r="F364" s="26">
        <v>1.5629999999999999</v>
      </c>
      <c r="G364" s="27">
        <v>0.58754949999999984</v>
      </c>
    </row>
    <row r="365" spans="1:14">
      <c r="A365" s="15">
        <v>10</v>
      </c>
      <c r="B365" s="75">
        <v>41928</v>
      </c>
      <c r="C365" s="15">
        <v>2014</v>
      </c>
      <c r="D365" s="11" t="s">
        <v>36</v>
      </c>
      <c r="E365" s="15">
        <v>10</v>
      </c>
      <c r="F365" s="26">
        <v>1.704</v>
      </c>
      <c r="G365" s="27">
        <v>0.38177850000000002</v>
      </c>
      <c r="I365" s="27">
        <f>AVERAGE(F364:F365)</f>
        <v>1.6335</v>
      </c>
      <c r="J365" s="27">
        <f>AVERAGE(G364:G365)</f>
        <v>0.48466399999999993</v>
      </c>
      <c r="L365">
        <f>+J365/I365</f>
        <v>0.29670278543005812</v>
      </c>
      <c r="M365">
        <f>+(L365-$L$614)/$L$615</f>
        <v>0.52565220785392519</v>
      </c>
      <c r="N365">
        <f>+N363+M365</f>
        <v>27.60641758122393</v>
      </c>
    </row>
    <row r="366" spans="1:14">
      <c r="A366" s="15">
        <v>9</v>
      </c>
      <c r="B366" s="75">
        <v>41955</v>
      </c>
      <c r="C366" s="15">
        <v>2014</v>
      </c>
      <c r="D366" s="11" t="s">
        <v>37</v>
      </c>
      <c r="E366" s="15">
        <v>11</v>
      </c>
      <c r="F366" s="26">
        <v>0.51700000000000002</v>
      </c>
      <c r="G366" s="27">
        <v>0.13433074999999997</v>
      </c>
    </row>
    <row r="367" spans="1:14">
      <c r="A367" s="15">
        <v>10</v>
      </c>
      <c r="B367" s="75">
        <v>41955</v>
      </c>
      <c r="C367" s="15">
        <v>2014</v>
      </c>
      <c r="D367" s="11" t="s">
        <v>37</v>
      </c>
      <c r="E367" s="15">
        <v>11</v>
      </c>
      <c r="F367" s="26">
        <v>0.57899999999999996</v>
      </c>
      <c r="G367" s="27">
        <v>0.17754025000000004</v>
      </c>
      <c r="I367" s="27">
        <f>AVERAGE(F366:F367)</f>
        <v>0.54800000000000004</v>
      </c>
      <c r="J367" s="27">
        <f>AVERAGE(G366:G367)</f>
        <v>0.1559355</v>
      </c>
      <c r="L367">
        <f>+J367/I367</f>
        <v>0.28455383211678831</v>
      </c>
      <c r="M367">
        <f>+(L367-$L$614)/$L$615</f>
        <v>0.40014896295667124</v>
      </c>
      <c r="N367">
        <f>+N365+M367</f>
        <v>28.0065665441806</v>
      </c>
    </row>
    <row r="368" spans="1:14">
      <c r="A368" s="15">
        <v>9</v>
      </c>
      <c r="B368" s="75">
        <v>41992</v>
      </c>
      <c r="C368" s="15">
        <v>2014</v>
      </c>
      <c r="D368" s="11" t="s">
        <v>38</v>
      </c>
      <c r="E368" s="15">
        <v>12</v>
      </c>
      <c r="F368" s="26">
        <v>0.72499999999999998</v>
      </c>
      <c r="G368" s="27">
        <v>0.13081862499999999</v>
      </c>
    </row>
    <row r="369" spans="1:14">
      <c r="A369" s="15">
        <v>10</v>
      </c>
      <c r="B369" s="75">
        <v>41992</v>
      </c>
      <c r="C369" s="15">
        <v>2014</v>
      </c>
      <c r="D369" s="11" t="s">
        <v>38</v>
      </c>
      <c r="E369" s="15">
        <v>12</v>
      </c>
      <c r="F369" s="26">
        <v>1.506</v>
      </c>
      <c r="G369" s="27">
        <v>0.18640537500000001</v>
      </c>
      <c r="I369" s="27">
        <f>AVERAGE(F368:F369)</f>
        <v>1.1154999999999999</v>
      </c>
      <c r="J369" s="27">
        <f>AVERAGE(G368:G369)</f>
        <v>0.158612</v>
      </c>
      <c r="L369">
        <f>+J369/I369</f>
        <v>0.1421891528462573</v>
      </c>
      <c r="M369">
        <f>+(L369-$L$614)/$L$615</f>
        <v>-1.0705315760567435</v>
      </c>
      <c r="N369">
        <f>+N367+M369</f>
        <v>26.936034968123856</v>
      </c>
    </row>
    <row r="370" spans="1:14">
      <c r="A370" s="8">
        <v>9</v>
      </c>
      <c r="B370" s="70">
        <v>42014</v>
      </c>
      <c r="E370" s="15">
        <v>1</v>
      </c>
      <c r="F370" s="80">
        <v>3.976</v>
      </c>
      <c r="G370" s="80">
        <v>1.1990000000000001</v>
      </c>
    </row>
    <row r="371" spans="1:14">
      <c r="A371" s="8">
        <v>10</v>
      </c>
      <c r="B371" s="70">
        <v>42009</v>
      </c>
      <c r="E371" s="15">
        <v>1</v>
      </c>
      <c r="F371" s="80">
        <v>6.22</v>
      </c>
      <c r="G371" s="80">
        <v>1.76</v>
      </c>
      <c r="I371" s="27">
        <f>AVERAGE(F370:F371)</f>
        <v>5.0979999999999999</v>
      </c>
      <c r="J371" s="27">
        <f>AVERAGE(G370:G371)</f>
        <v>1.4795</v>
      </c>
      <c r="L371">
        <f>+J371/I371</f>
        <v>0.2902118477834445</v>
      </c>
      <c r="M371">
        <f>+(L371-$L$614)/$L$615</f>
        <v>0.45859838716091428</v>
      </c>
      <c r="N371">
        <f>+N369+M371</f>
        <v>27.394633355284771</v>
      </c>
    </row>
    <row r="372" spans="1:14">
      <c r="A372" s="8">
        <v>9</v>
      </c>
      <c r="B372" s="71">
        <v>42036</v>
      </c>
      <c r="E372" s="15">
        <v>2</v>
      </c>
    </row>
    <row r="373" spans="1:14">
      <c r="A373" s="8">
        <v>10</v>
      </c>
      <c r="B373" s="71">
        <v>42036</v>
      </c>
      <c r="E373" s="15">
        <v>2</v>
      </c>
      <c r="I373" s="27"/>
      <c r="J373" s="27"/>
    </row>
    <row r="374" spans="1:14">
      <c r="A374" s="8">
        <v>9</v>
      </c>
      <c r="B374" s="71">
        <v>42064</v>
      </c>
      <c r="E374" s="15">
        <v>3</v>
      </c>
      <c r="F374" s="80">
        <v>9.702</v>
      </c>
      <c r="G374" s="80">
        <v>3.5449999999999999</v>
      </c>
    </row>
    <row r="375" spans="1:14">
      <c r="A375" s="8">
        <v>10</v>
      </c>
      <c r="B375" s="71">
        <v>42064</v>
      </c>
      <c r="E375" s="15">
        <v>3</v>
      </c>
      <c r="F375" s="80">
        <v>9.532</v>
      </c>
      <c r="G375" s="80">
        <v>3.383</v>
      </c>
      <c r="I375" s="27">
        <f>AVERAGE(F374:F375)</f>
        <v>9.6170000000000009</v>
      </c>
      <c r="J375" s="27">
        <f>AVERAGE(G374:G375)</f>
        <v>3.464</v>
      </c>
      <c r="L375">
        <f>+J375/I375</f>
        <v>0.36019548715815741</v>
      </c>
      <c r="M375">
        <f>+(L375-$L$614)/$L$615</f>
        <v>1.1815556333338983</v>
      </c>
      <c r="N375">
        <f>+N371+M375</f>
        <v>28.576188988618668</v>
      </c>
    </row>
    <row r="376" spans="1:14">
      <c r="A376" s="8">
        <v>9</v>
      </c>
      <c r="B376" s="71">
        <v>42095</v>
      </c>
      <c r="E376" s="15">
        <v>4</v>
      </c>
      <c r="F376" s="80">
        <v>1.2410000000000001</v>
      </c>
      <c r="G376" s="80">
        <v>0.44500000000000001</v>
      </c>
    </row>
    <row r="377" spans="1:14">
      <c r="A377" s="8">
        <v>10</v>
      </c>
      <c r="B377" s="71">
        <v>42095</v>
      </c>
      <c r="E377" s="15">
        <v>4</v>
      </c>
      <c r="F377" s="80">
        <v>1.5940000000000001</v>
      </c>
      <c r="G377" s="80">
        <v>0.53400000000000003</v>
      </c>
      <c r="I377" s="27">
        <f>AVERAGE(F376:F377)</f>
        <v>1.4175</v>
      </c>
      <c r="J377" s="27">
        <f>AVERAGE(G376:G377)</f>
        <v>0.48950000000000005</v>
      </c>
      <c r="L377">
        <f>+J377/I377</f>
        <v>0.34532627865961202</v>
      </c>
      <c r="M377">
        <f>+(L377-$L$614)/$L$615</f>
        <v>1.027951131982908</v>
      </c>
      <c r="N377">
        <f>+N375+M377</f>
        <v>29.604140120601578</v>
      </c>
    </row>
    <row r="378" spans="1:14">
      <c r="A378" s="8">
        <v>9</v>
      </c>
      <c r="B378" s="71">
        <v>42125</v>
      </c>
      <c r="E378" s="15">
        <v>5</v>
      </c>
      <c r="F378" s="80">
        <v>2.585</v>
      </c>
      <c r="G378" s="80">
        <v>0.74299999999999999</v>
      </c>
    </row>
    <row r="379" spans="1:14">
      <c r="A379" s="8">
        <v>10</v>
      </c>
      <c r="B379" s="71">
        <v>42125</v>
      </c>
      <c r="E379" s="15">
        <v>5</v>
      </c>
      <c r="F379" s="80">
        <v>1.6220000000000001</v>
      </c>
      <c r="G379" s="80">
        <v>0.36699999999999999</v>
      </c>
      <c r="I379" s="27">
        <f>AVERAGE(F378:F379)</f>
        <v>2.1034999999999999</v>
      </c>
      <c r="J379" s="27">
        <f>AVERAGE(G378:G379)</f>
        <v>0.55499999999999994</v>
      </c>
      <c r="L379">
        <f>+J379/I379</f>
        <v>0.26384597100071305</v>
      </c>
      <c r="M379">
        <f>+(L379-$L$614)/$L$615</f>
        <v>0.18622898994052373</v>
      </c>
      <c r="N379">
        <f>+N377+M379</f>
        <v>29.790369110542102</v>
      </c>
    </row>
    <row r="380" spans="1:14">
      <c r="A380" s="8">
        <v>9</v>
      </c>
      <c r="B380" s="71">
        <v>42156</v>
      </c>
      <c r="E380" s="15">
        <v>6</v>
      </c>
      <c r="F380" s="80">
        <v>5.1520000000000001</v>
      </c>
      <c r="G380" s="80">
        <v>1.121</v>
      </c>
    </row>
    <row r="381" spans="1:14">
      <c r="A381" s="8">
        <v>10</v>
      </c>
      <c r="B381" s="71">
        <v>42156</v>
      </c>
      <c r="E381" s="15">
        <v>6</v>
      </c>
      <c r="F381" s="80">
        <v>4.38</v>
      </c>
      <c r="G381" s="80">
        <v>0.80900000000000005</v>
      </c>
      <c r="I381" s="27">
        <f>AVERAGE(F380:F381)</f>
        <v>4.766</v>
      </c>
      <c r="J381" s="27">
        <f>AVERAGE(G380:G381)</f>
        <v>0.96500000000000008</v>
      </c>
      <c r="L381">
        <f>+J381/I381</f>
        <v>0.20247587075115403</v>
      </c>
      <c r="M381">
        <f>+(L381-$L$614)/$L$615</f>
        <v>-0.44774716606105408</v>
      </c>
      <c r="N381">
        <f>+N379+M381</f>
        <v>29.342621944481049</v>
      </c>
    </row>
    <row r="382" spans="1:14">
      <c r="A382" s="8">
        <v>9</v>
      </c>
      <c r="B382" s="71">
        <v>42186</v>
      </c>
      <c r="E382" s="15">
        <v>7</v>
      </c>
      <c r="F382" s="80">
        <v>11.952999999999999</v>
      </c>
      <c r="G382" s="80">
        <v>2.754</v>
      </c>
    </row>
    <row r="383" spans="1:14">
      <c r="A383" s="8">
        <v>10</v>
      </c>
      <c r="B383" s="71">
        <v>42186</v>
      </c>
      <c r="E383" s="15">
        <v>7</v>
      </c>
      <c r="F383" s="80">
        <v>4.7160000000000002</v>
      </c>
      <c r="G383" s="80">
        <v>0.79</v>
      </c>
      <c r="I383" s="27">
        <f>AVERAGE(F382:F383)</f>
        <v>8.3345000000000002</v>
      </c>
      <c r="J383" s="27">
        <f>AVERAGE(G382:G383)</f>
        <v>1.772</v>
      </c>
      <c r="L383">
        <f>+J383/I383</f>
        <v>0.21261023456716061</v>
      </c>
      <c r="M383">
        <f>+(L383-$L$614)/$L$615</f>
        <v>-0.34305538635943145</v>
      </c>
      <c r="N383">
        <f>+N381+M383</f>
        <v>28.999566558121618</v>
      </c>
    </row>
    <row r="384" spans="1:14">
      <c r="A384" s="8">
        <v>9</v>
      </c>
      <c r="B384" s="71">
        <v>42217</v>
      </c>
      <c r="E384" s="15">
        <v>8</v>
      </c>
      <c r="F384" s="80">
        <v>7.1840000000000002</v>
      </c>
      <c r="G384" s="80">
        <v>2.2200000000000002</v>
      </c>
    </row>
    <row r="385" spans="1:14">
      <c r="A385" s="8">
        <v>10</v>
      </c>
      <c r="B385" s="71">
        <v>42217</v>
      </c>
      <c r="E385" s="15">
        <v>8</v>
      </c>
      <c r="F385" s="80">
        <v>3.6680000000000001</v>
      </c>
      <c r="G385" s="80">
        <v>1.0009999999999999</v>
      </c>
      <c r="I385" s="27">
        <f>AVERAGE(F384:F385)</f>
        <v>5.4260000000000002</v>
      </c>
      <c r="J385" s="27">
        <f>AVERAGE(G384:G385)</f>
        <v>1.6105</v>
      </c>
      <c r="L385">
        <f>+J385/I385</f>
        <v>0.29681164762255807</v>
      </c>
      <c r="M385">
        <f>+(L385-$L$614)/$L$615</f>
        <v>0.52677679513754327</v>
      </c>
      <c r="N385">
        <f>+N383+M385</f>
        <v>29.526343353259161</v>
      </c>
    </row>
    <row r="386" spans="1:14">
      <c r="A386" s="8">
        <v>9</v>
      </c>
      <c r="B386" s="71">
        <v>42248</v>
      </c>
      <c r="E386" s="15">
        <v>9</v>
      </c>
      <c r="F386" s="80">
        <v>3.6819999999999999</v>
      </c>
      <c r="G386" s="80">
        <v>1.032</v>
      </c>
    </row>
    <row r="387" spans="1:14">
      <c r="A387" s="8">
        <v>10</v>
      </c>
      <c r="B387" s="71">
        <v>42248</v>
      </c>
      <c r="E387" s="15">
        <v>9</v>
      </c>
      <c r="F387" s="80">
        <v>1.704</v>
      </c>
      <c r="G387" s="80">
        <v>0.3</v>
      </c>
      <c r="I387" s="27">
        <f>AVERAGE(F386:F387)</f>
        <v>2.6930000000000001</v>
      </c>
      <c r="J387" s="27">
        <f>AVERAGE(G386:G387)</f>
        <v>0.66600000000000004</v>
      </c>
      <c r="L387">
        <f>+J387/I387</f>
        <v>0.24730783512810992</v>
      </c>
      <c r="M387">
        <f>+(L387-$L$614)/$L$615</f>
        <v>1.538384278728804E-2</v>
      </c>
      <c r="N387">
        <f>+N385+M387</f>
        <v>29.541727196046448</v>
      </c>
    </row>
    <row r="388" spans="1:14">
      <c r="A388" s="8">
        <v>9</v>
      </c>
      <c r="B388" s="71">
        <v>42278</v>
      </c>
      <c r="E388" s="15">
        <v>10</v>
      </c>
      <c r="F388" s="80">
        <v>1.911</v>
      </c>
      <c r="G388" s="80">
        <v>0.16900000000000001</v>
      </c>
    </row>
    <row r="389" spans="1:14">
      <c r="A389" s="8">
        <v>10</v>
      </c>
      <c r="B389" s="71">
        <v>42278</v>
      </c>
      <c r="E389" s="15">
        <v>10</v>
      </c>
      <c r="F389" s="80">
        <v>1.5549999999999999</v>
      </c>
      <c r="G389" s="80">
        <v>0.22800000000000001</v>
      </c>
      <c r="I389" s="27">
        <f>AVERAGE(F388:F389)</f>
        <v>1.7330000000000001</v>
      </c>
      <c r="J389" s="27">
        <f>AVERAGE(G388:G389)</f>
        <v>0.19850000000000001</v>
      </c>
      <c r="L389">
        <f>+J389/I389</f>
        <v>0.11454125793421811</v>
      </c>
      <c r="M389">
        <f>+(L389-$L$614)/$L$615</f>
        <v>-1.3561447014483081</v>
      </c>
      <c r="N389">
        <f>+N387+M389</f>
        <v>28.18558249459814</v>
      </c>
    </row>
    <row r="390" spans="1:14">
      <c r="A390" s="8">
        <v>9</v>
      </c>
      <c r="B390" s="71">
        <v>42309</v>
      </c>
      <c r="E390" s="15">
        <v>11</v>
      </c>
      <c r="F390" s="80">
        <v>0.35599999999999998</v>
      </c>
      <c r="G390" s="80">
        <v>5.3999999999999999E-2</v>
      </c>
    </row>
    <row r="391" spans="1:14">
      <c r="A391" s="8">
        <v>10</v>
      </c>
      <c r="B391" s="71">
        <v>42309</v>
      </c>
      <c r="E391" s="15">
        <v>11</v>
      </c>
      <c r="F391" s="80">
        <v>0.47799999999999998</v>
      </c>
      <c r="G391" s="80">
        <v>3.6999999999999998E-2</v>
      </c>
      <c r="I391" s="27">
        <f>AVERAGE(F390:F391)</f>
        <v>0.41699999999999998</v>
      </c>
      <c r="J391" s="27">
        <f>AVERAGE(G390:G391)</f>
        <v>4.5499999999999999E-2</v>
      </c>
      <c r="L391">
        <f>+J391/I391</f>
        <v>0.10911270983213429</v>
      </c>
      <c r="M391">
        <f>+(L391-$L$614)/$L$615</f>
        <v>-1.4122236396353691</v>
      </c>
      <c r="N391">
        <f>+N389+M391</f>
        <v>26.773358854962773</v>
      </c>
    </row>
    <row r="392" spans="1:14">
      <c r="A392" s="8">
        <v>9</v>
      </c>
      <c r="B392" s="72">
        <v>42339</v>
      </c>
      <c r="E392" s="15">
        <v>12</v>
      </c>
      <c r="F392" s="80">
        <v>1.258</v>
      </c>
      <c r="G392" s="80">
        <v>0.2</v>
      </c>
    </row>
    <row r="393" spans="1:14">
      <c r="A393" s="8">
        <v>10</v>
      </c>
      <c r="B393" s="71">
        <v>42339</v>
      </c>
      <c r="E393" s="15">
        <v>12</v>
      </c>
      <c r="F393" s="80">
        <v>2.3940000000000001</v>
      </c>
      <c r="G393" s="80">
        <v>0.311</v>
      </c>
      <c r="I393" s="27">
        <f>AVERAGE(F392:F393)</f>
        <v>1.8260000000000001</v>
      </c>
      <c r="J393" s="27">
        <f>AVERAGE(G392:G393)</f>
        <v>0.2555</v>
      </c>
      <c r="L393">
        <f>+J393/I393</f>
        <v>0.13992332968236582</v>
      </c>
      <c r="M393">
        <f>+(L393-$L$614)/$L$615</f>
        <v>-1.0939383792684358</v>
      </c>
      <c r="N393">
        <f>+N391+M393</f>
        <v>25.679420475694336</v>
      </c>
    </row>
    <row r="394" spans="1:14">
      <c r="A394" s="8">
        <v>9</v>
      </c>
      <c r="B394" s="70">
        <v>42379</v>
      </c>
      <c r="E394" s="15">
        <v>1</v>
      </c>
      <c r="F394" s="79">
        <v>1.8260000000000001</v>
      </c>
      <c r="G394" s="79">
        <v>0.49299999999999999</v>
      </c>
    </row>
    <row r="395" spans="1:14">
      <c r="A395" s="8">
        <v>10</v>
      </c>
      <c r="B395" s="70">
        <v>42374</v>
      </c>
      <c r="E395" s="15">
        <v>1</v>
      </c>
      <c r="F395" s="79">
        <v>3.1139999999999999</v>
      </c>
      <c r="G395" s="79">
        <v>0.871</v>
      </c>
      <c r="I395" s="27">
        <f>AVERAGE(F394:F395)</f>
        <v>2.4699999999999998</v>
      </c>
      <c r="J395" s="27">
        <f>AVERAGE(G394:G395)</f>
        <v>0.68199999999999994</v>
      </c>
      <c r="L395">
        <f>+J395/I395</f>
        <v>0.27611336032388667</v>
      </c>
      <c r="M395">
        <f>+(L395-$L$614)/$L$615</f>
        <v>0.31295572324639431</v>
      </c>
      <c r="N395">
        <f>+N393+M395</f>
        <v>25.992376198940729</v>
      </c>
    </row>
    <row r="396" spans="1:14">
      <c r="A396" s="8">
        <v>9</v>
      </c>
      <c r="B396" s="71">
        <v>42401</v>
      </c>
      <c r="E396" s="15">
        <v>2</v>
      </c>
      <c r="F396" s="79">
        <v>6.7649999999999997</v>
      </c>
      <c r="G396" s="79">
        <v>1.794</v>
      </c>
    </row>
    <row r="397" spans="1:14">
      <c r="A397" s="8">
        <v>10</v>
      </c>
      <c r="B397" s="71">
        <v>42401</v>
      </c>
      <c r="E397" s="15">
        <v>2</v>
      </c>
      <c r="F397" s="79">
        <v>4.335</v>
      </c>
      <c r="G397" s="79">
        <v>1.0469999999999999</v>
      </c>
      <c r="I397" s="27">
        <f>AVERAGE(F396:F397)</f>
        <v>5.55</v>
      </c>
      <c r="J397" s="27">
        <f>AVERAGE(G396:G397)</f>
        <v>1.4205000000000001</v>
      </c>
      <c r="L397">
        <f>+J397/I397</f>
        <v>0.255945945945946</v>
      </c>
      <c r="M397">
        <f>+(L397-$L$614)/$L$615</f>
        <v>0.10461876776114312</v>
      </c>
      <c r="N397">
        <f>+N395+M397</f>
        <v>26.096994966701871</v>
      </c>
    </row>
    <row r="398" spans="1:14">
      <c r="A398" s="8">
        <v>9</v>
      </c>
      <c r="B398" s="71">
        <v>42430</v>
      </c>
      <c r="E398" s="15">
        <v>3</v>
      </c>
      <c r="F398" s="79">
        <v>2.052</v>
      </c>
      <c r="G398" s="79">
        <v>0.61</v>
      </c>
    </row>
    <row r="399" spans="1:14">
      <c r="A399" s="8">
        <v>10</v>
      </c>
      <c r="B399" s="71">
        <v>42430</v>
      </c>
      <c r="E399" s="15">
        <v>3</v>
      </c>
      <c r="F399" s="79">
        <v>1.5209999999999999</v>
      </c>
      <c r="G399" s="79">
        <v>0.49299999999999999</v>
      </c>
      <c r="I399" s="27">
        <f>AVERAGE(F398:F399)</f>
        <v>1.7865</v>
      </c>
      <c r="J399" s="27">
        <f>AVERAGE(G398:G399)</f>
        <v>0.55149999999999999</v>
      </c>
      <c r="L399">
        <f>+J399/I399</f>
        <v>0.30870417016512736</v>
      </c>
      <c r="M399">
        <f>+(L399-$L$614)/$L$615</f>
        <v>0.64963101398419343</v>
      </c>
      <c r="N399">
        <f>+N397+M399</f>
        <v>26.746625980686066</v>
      </c>
    </row>
    <row r="400" spans="1:14">
      <c r="A400" s="8">
        <v>9</v>
      </c>
      <c r="B400" s="71">
        <v>42461</v>
      </c>
      <c r="E400" s="15">
        <v>4</v>
      </c>
      <c r="F400" s="79">
        <v>1.613</v>
      </c>
      <c r="G400" s="79">
        <v>0.44600000000000001</v>
      </c>
    </row>
    <row r="401" spans="1:14">
      <c r="A401" s="8">
        <v>10</v>
      </c>
      <c r="B401" s="71">
        <v>42461</v>
      </c>
      <c r="E401" s="15">
        <v>4</v>
      </c>
      <c r="F401" s="79">
        <v>1.4419999999999999</v>
      </c>
      <c r="G401" s="79">
        <v>0.39300000000000002</v>
      </c>
      <c r="I401" s="27">
        <f>AVERAGE(F400:F401)</f>
        <v>1.5274999999999999</v>
      </c>
      <c r="J401" s="27">
        <f>AVERAGE(G400:G401)</f>
        <v>0.41949999999999998</v>
      </c>
      <c r="L401">
        <f>+J401/I401</f>
        <v>0.27463175122749595</v>
      </c>
      <c r="M401">
        <f>+(L401-$L$614)/$L$615</f>
        <v>0.29765014551705837</v>
      </c>
      <c r="N401">
        <f>+N399+M401</f>
        <v>27.044276126203123</v>
      </c>
    </row>
    <row r="402" spans="1:14">
      <c r="A402" s="12">
        <v>9</v>
      </c>
      <c r="B402" s="71">
        <v>42491</v>
      </c>
      <c r="E402" s="15">
        <v>5</v>
      </c>
      <c r="F402" s="79">
        <v>1.478</v>
      </c>
      <c r="G402" s="79">
        <v>0.46500000000000002</v>
      </c>
    </row>
    <row r="403" spans="1:14">
      <c r="A403" s="12">
        <v>10</v>
      </c>
      <c r="B403" s="71">
        <v>42491</v>
      </c>
      <c r="E403" s="15">
        <v>5</v>
      </c>
      <c r="F403" s="79">
        <v>1.6819999999999999</v>
      </c>
      <c r="G403" s="79">
        <v>0.47899999999999998</v>
      </c>
      <c r="I403" s="27">
        <f>AVERAGE(F402:F403)</f>
        <v>1.58</v>
      </c>
      <c r="J403" s="27">
        <f>AVERAGE(G402:G403)</f>
        <v>0.47199999999999998</v>
      </c>
      <c r="L403">
        <f>+J403/I403</f>
        <v>0.29873417721518986</v>
      </c>
      <c r="M403">
        <f>+(L403-$L$614)/$L$615</f>
        <v>0.54663724698591276</v>
      </c>
      <c r="N403">
        <f>+N401+M403</f>
        <v>27.590913373189036</v>
      </c>
    </row>
    <row r="404" spans="1:14">
      <c r="A404" s="8">
        <v>9</v>
      </c>
      <c r="B404" s="71">
        <v>42522</v>
      </c>
      <c r="E404" s="15">
        <v>6</v>
      </c>
      <c r="F404" s="79">
        <v>1.738</v>
      </c>
      <c r="G404" s="79">
        <v>0.311</v>
      </c>
    </row>
    <row r="405" spans="1:14">
      <c r="A405" s="8">
        <v>10</v>
      </c>
      <c r="B405" s="71">
        <v>42522</v>
      </c>
      <c r="E405" s="15">
        <v>6</v>
      </c>
      <c r="F405" s="79">
        <v>1.972</v>
      </c>
      <c r="G405" s="79">
        <v>0.24399999999999999</v>
      </c>
      <c r="I405" s="27">
        <f>AVERAGE(F404:F405)</f>
        <v>1.855</v>
      </c>
      <c r="J405" s="27">
        <f>AVERAGE(G404:G405)</f>
        <v>0.27749999999999997</v>
      </c>
      <c r="L405">
        <f>+J405/I405</f>
        <v>0.14959568733153639</v>
      </c>
      <c r="M405">
        <f>+(L405-$L$614)/$L$615</f>
        <v>-0.99401929657249899</v>
      </c>
      <c r="N405">
        <f>+N403+M405</f>
        <v>26.596894076616536</v>
      </c>
    </row>
    <row r="406" spans="1:14">
      <c r="A406" s="8">
        <v>9</v>
      </c>
      <c r="B406" s="71">
        <v>42552</v>
      </c>
      <c r="E406" s="15">
        <v>7</v>
      </c>
      <c r="F406" s="79">
        <v>7.6849999999999996</v>
      </c>
      <c r="G406" s="79">
        <v>1.921</v>
      </c>
    </row>
    <row r="407" spans="1:14">
      <c r="A407" s="8">
        <v>10</v>
      </c>
      <c r="B407" s="71">
        <v>42552</v>
      </c>
      <c r="E407" s="15">
        <v>7</v>
      </c>
      <c r="F407" s="79">
        <v>8.9510000000000005</v>
      </c>
      <c r="G407" s="79">
        <v>2.6150000000000002</v>
      </c>
      <c r="I407" s="27">
        <f>AVERAGE(F406:F407)</f>
        <v>8.3179999999999996</v>
      </c>
      <c r="J407" s="27">
        <f>AVERAGE(G406:G407)</f>
        <v>2.2680000000000002</v>
      </c>
      <c r="L407">
        <f>+J407/I407</f>
        <v>0.27266169752344316</v>
      </c>
      <c r="M407">
        <f>+(L407-$L$614)/$L$615</f>
        <v>0.27729875177102925</v>
      </c>
      <c r="N407">
        <f>+N405+M407</f>
        <v>26.874192828387564</v>
      </c>
    </row>
    <row r="408" spans="1:14">
      <c r="A408" s="8">
        <v>9</v>
      </c>
      <c r="B408" s="71">
        <v>42583</v>
      </c>
      <c r="E408" s="15">
        <v>8</v>
      </c>
      <c r="F408" s="79">
        <v>4.2569999999999997</v>
      </c>
      <c r="G408" s="79">
        <v>1.304</v>
      </c>
    </row>
    <row r="409" spans="1:14">
      <c r="A409" s="8">
        <v>10</v>
      </c>
      <c r="B409" s="71">
        <v>42583</v>
      </c>
      <c r="E409" s="15">
        <v>8</v>
      </c>
      <c r="F409" s="79">
        <v>3.7749999999999999</v>
      </c>
      <c r="G409" s="79">
        <v>0.88600000000000001</v>
      </c>
      <c r="I409" s="27">
        <f>AVERAGE(F408:F409)</f>
        <v>4.016</v>
      </c>
      <c r="J409" s="27">
        <f>AVERAGE(G408:G409)</f>
        <v>1.095</v>
      </c>
      <c r="L409">
        <f>+J409/I409</f>
        <v>0.27265936254980078</v>
      </c>
      <c r="M409">
        <f>+(L409-$L$614)/$L$615</f>
        <v>0.27727463061743585</v>
      </c>
      <c r="N409">
        <f>+N407+M409</f>
        <v>27.151467459004998</v>
      </c>
    </row>
    <row r="410" spans="1:14">
      <c r="A410" s="8">
        <v>9</v>
      </c>
      <c r="B410" s="71">
        <v>42614</v>
      </c>
      <c r="E410" s="15">
        <v>9</v>
      </c>
      <c r="F410" s="79">
        <v>1.1890000000000001</v>
      </c>
      <c r="G410" s="79">
        <v>0.33900000000000002</v>
      </c>
    </row>
    <row r="411" spans="1:14">
      <c r="A411" s="8">
        <v>10</v>
      </c>
      <c r="B411" s="71">
        <v>42614</v>
      </c>
      <c r="E411" s="15">
        <v>9</v>
      </c>
      <c r="F411" s="79">
        <v>3.073</v>
      </c>
      <c r="G411" s="79">
        <v>0.67900000000000005</v>
      </c>
      <c r="I411" s="27">
        <f>AVERAGE(F410:F411)</f>
        <v>2.1310000000000002</v>
      </c>
      <c r="J411" s="27">
        <f>AVERAGE(G410:G411)</f>
        <v>0.50900000000000001</v>
      </c>
      <c r="L411">
        <f>+J411/I411</f>
        <v>0.2388549976536837</v>
      </c>
      <c r="M411">
        <f>+(L411-$L$614)/$L$615</f>
        <v>-7.1937139051605425E-2</v>
      </c>
      <c r="N411">
        <f>+N409+M411</f>
        <v>27.079530319953392</v>
      </c>
    </row>
    <row r="412" spans="1:14">
      <c r="A412" s="8">
        <v>9</v>
      </c>
      <c r="B412" s="71">
        <v>42644</v>
      </c>
      <c r="E412" s="15">
        <v>10</v>
      </c>
      <c r="F412" s="79">
        <v>0.74099999999999999</v>
      </c>
      <c r="G412" s="79">
        <v>0.157</v>
      </c>
    </row>
    <row r="413" spans="1:14">
      <c r="A413" s="8">
        <v>10</v>
      </c>
      <c r="B413" s="71">
        <v>42644</v>
      </c>
      <c r="E413" s="15">
        <v>10</v>
      </c>
      <c r="F413" s="79">
        <v>0.85899999999999999</v>
      </c>
      <c r="G413" s="79">
        <v>0.16800000000000001</v>
      </c>
      <c r="I413" s="27">
        <f>AVERAGE(F412:F413)</f>
        <v>0.8</v>
      </c>
      <c r="J413" s="27">
        <f>AVERAGE(G412:G413)</f>
        <v>0.16250000000000001</v>
      </c>
      <c r="L413">
        <f>+J413/I413</f>
        <v>0.203125</v>
      </c>
      <c r="M413">
        <f>+(L413-$L$614)/$L$615</f>
        <v>-0.44104141742681563</v>
      </c>
      <c r="N413">
        <f>+N411+M413</f>
        <v>26.638488902526575</v>
      </c>
    </row>
    <row r="414" spans="1:14">
      <c r="A414" s="8">
        <v>9</v>
      </c>
      <c r="B414" s="71">
        <v>42675</v>
      </c>
      <c r="E414" s="15">
        <v>11</v>
      </c>
      <c r="F414" s="79">
        <v>0.249</v>
      </c>
      <c r="G414" s="79">
        <v>5.6000000000000001E-2</v>
      </c>
    </row>
    <row r="415" spans="1:14">
      <c r="A415" s="8">
        <v>10</v>
      </c>
      <c r="B415" s="71">
        <v>42675</v>
      </c>
      <c r="E415" s="15">
        <v>11</v>
      </c>
      <c r="F415" s="79">
        <v>0.19600000000000001</v>
      </c>
      <c r="G415" s="79">
        <v>5.0999999999999997E-2</v>
      </c>
      <c r="I415" s="27">
        <f>AVERAGE(F414:F415)</f>
        <v>0.2225</v>
      </c>
      <c r="J415" s="27">
        <f>AVERAGE(G414:G415)</f>
        <v>5.3499999999999999E-2</v>
      </c>
      <c r="L415">
        <f>+J415/I415</f>
        <v>0.24044943820224718</v>
      </c>
      <c r="M415">
        <f>+(L415-$L$614)/$L$615</f>
        <v>-5.5465970097329807E-2</v>
      </c>
      <c r="N415">
        <f>+N413+M415</f>
        <v>26.583022932429245</v>
      </c>
    </row>
    <row r="416" spans="1:14">
      <c r="A416" s="8">
        <v>9</v>
      </c>
      <c r="B416" s="72">
        <v>42705</v>
      </c>
      <c r="E416" s="15">
        <v>12</v>
      </c>
      <c r="F416" s="79">
        <v>0.745</v>
      </c>
      <c r="G416" s="79">
        <v>0.214</v>
      </c>
    </row>
    <row r="417" spans="1:14">
      <c r="A417" s="8">
        <v>10</v>
      </c>
      <c r="B417" s="71">
        <v>42705</v>
      </c>
      <c r="E417" s="15">
        <v>12</v>
      </c>
      <c r="F417" s="79">
        <v>1.111</v>
      </c>
      <c r="G417" s="79">
        <v>0.19500000000000001</v>
      </c>
      <c r="I417" s="27">
        <f>AVERAGE(F416:F417)</f>
        <v>0.92799999999999994</v>
      </c>
      <c r="J417" s="27">
        <f>AVERAGE(G416:G417)</f>
        <v>0.20450000000000002</v>
      </c>
      <c r="L417">
        <f>+J417/I417</f>
        <v>0.22036637931034486</v>
      </c>
      <c r="M417">
        <f>+(L417-$L$614)/$L$615</f>
        <v>-0.26293150176937602</v>
      </c>
      <c r="N417">
        <f>+N415+M417</f>
        <v>26.320091430659868</v>
      </c>
    </row>
    <row r="418" spans="1:14">
      <c r="A418" s="8">
        <v>9</v>
      </c>
      <c r="B418" s="70">
        <v>42745</v>
      </c>
      <c r="E418" s="15">
        <v>1</v>
      </c>
    </row>
    <row r="419" spans="1:14">
      <c r="A419" s="8">
        <v>10</v>
      </c>
      <c r="B419" s="70">
        <v>42740</v>
      </c>
      <c r="E419" s="15">
        <v>1</v>
      </c>
    </row>
    <row r="420" spans="1:14">
      <c r="A420" s="8">
        <v>9</v>
      </c>
      <c r="B420" s="71">
        <v>42767</v>
      </c>
      <c r="E420" s="15">
        <v>2</v>
      </c>
    </row>
    <row r="421" spans="1:14">
      <c r="A421" s="8">
        <v>10</v>
      </c>
      <c r="B421" s="71">
        <v>42767</v>
      </c>
      <c r="E421" s="15">
        <v>2</v>
      </c>
    </row>
    <row r="422" spans="1:14">
      <c r="A422" s="8">
        <v>9</v>
      </c>
      <c r="B422" s="71">
        <v>42795</v>
      </c>
      <c r="E422" s="15">
        <v>3</v>
      </c>
      <c r="F422" s="79">
        <v>0.53100000000000003</v>
      </c>
      <c r="G422" s="79">
        <v>0.20200000000000001</v>
      </c>
    </row>
    <row r="423" spans="1:14">
      <c r="A423" s="8">
        <v>10</v>
      </c>
      <c r="B423" s="71">
        <v>42795</v>
      </c>
      <c r="E423" s="15">
        <v>3</v>
      </c>
      <c r="F423" s="79">
        <v>0.54</v>
      </c>
      <c r="G423" s="79">
        <v>0.19700000000000001</v>
      </c>
      <c r="I423" s="27">
        <f>AVERAGE(F422:F423)</f>
        <v>0.53550000000000009</v>
      </c>
      <c r="J423" s="27">
        <f>AVERAGE(G422:G423)</f>
        <v>0.19950000000000001</v>
      </c>
      <c r="L423">
        <f>+J423/I423</f>
        <v>0.37254901960784309</v>
      </c>
      <c r="M423">
        <f>+(L423-$L$614)/$L$615</f>
        <v>1.3091722574496258</v>
      </c>
      <c r="N423">
        <f>+N417+M423</f>
        <v>27.629263688109493</v>
      </c>
    </row>
    <row r="424" spans="1:14">
      <c r="A424" s="8">
        <v>9</v>
      </c>
      <c r="B424" s="71">
        <v>42826</v>
      </c>
      <c r="E424" s="15">
        <v>4</v>
      </c>
      <c r="F424" s="79">
        <v>0.71599999999999997</v>
      </c>
      <c r="G424" s="79">
        <v>0.125</v>
      </c>
    </row>
    <row r="425" spans="1:14">
      <c r="A425" s="8">
        <v>10</v>
      </c>
      <c r="B425" s="71">
        <v>42826</v>
      </c>
      <c r="E425" s="15">
        <v>4</v>
      </c>
      <c r="F425" s="79">
        <v>0.83</v>
      </c>
      <c r="G425" s="79">
        <v>0.10199999999999999</v>
      </c>
      <c r="I425" s="27">
        <f>AVERAGE(F424:F425)</f>
        <v>0.77299999999999991</v>
      </c>
      <c r="J425" s="27">
        <f>AVERAGE(G424:G425)</f>
        <v>0.11349999999999999</v>
      </c>
      <c r="L425">
        <f>+J425/I425</f>
        <v>0.14683053040103494</v>
      </c>
      <c r="M425">
        <f>+(L425-$L$614)/$L$615</f>
        <v>-1.0225844048974284</v>
      </c>
      <c r="N425">
        <f>+N423+M425</f>
        <v>26.606679283212063</v>
      </c>
    </row>
    <row r="426" spans="1:14">
      <c r="A426" s="8">
        <v>9</v>
      </c>
      <c r="B426" s="71">
        <v>42856</v>
      </c>
      <c r="E426" s="15">
        <v>5</v>
      </c>
      <c r="F426" s="79">
        <v>0.94099999999999995</v>
      </c>
      <c r="G426" s="79">
        <v>7.8E-2</v>
      </c>
    </row>
    <row r="427" spans="1:14">
      <c r="A427" s="8">
        <v>10</v>
      </c>
      <c r="B427" s="71">
        <v>42856</v>
      </c>
      <c r="E427" s="15">
        <v>5</v>
      </c>
      <c r="F427" s="79">
        <v>2.5449999999999999</v>
      </c>
      <c r="G427" s="79">
        <v>0.223</v>
      </c>
      <c r="I427" s="27">
        <f>AVERAGE(F426:F427)</f>
        <v>1.7429999999999999</v>
      </c>
      <c r="J427" s="27">
        <f>AVERAGE(G426:G427)</f>
        <v>0.15049999999999999</v>
      </c>
      <c r="L427">
        <f>+J427/I427</f>
        <v>8.6345381526104423E-2</v>
      </c>
      <c r="M427">
        <f>+(L427-$L$614)/$L$615</f>
        <v>-1.6474186812466369</v>
      </c>
      <c r="N427">
        <f>+N425+M427</f>
        <v>24.959260601965426</v>
      </c>
    </row>
    <row r="428" spans="1:14">
      <c r="A428" s="8">
        <v>9</v>
      </c>
      <c r="B428" s="71">
        <v>42887</v>
      </c>
      <c r="E428" s="15">
        <v>6</v>
      </c>
      <c r="F428" s="79">
        <v>2.71</v>
      </c>
      <c r="G428" s="79">
        <v>0.19900000000000001</v>
      </c>
    </row>
    <row r="429" spans="1:14">
      <c r="A429" s="8">
        <v>10</v>
      </c>
      <c r="B429" s="71">
        <v>42887</v>
      </c>
      <c r="E429" s="15">
        <v>6</v>
      </c>
      <c r="F429" s="79">
        <v>2.5990000000000002</v>
      </c>
      <c r="G429" s="79">
        <v>0.25900000000000001</v>
      </c>
      <c r="I429" s="27">
        <f>AVERAGE(F428:F429)</f>
        <v>2.6545000000000001</v>
      </c>
      <c r="J429" s="27">
        <f>AVERAGE(G428:G429)</f>
        <v>0.22900000000000001</v>
      </c>
      <c r="L429">
        <f>+J429/I429</f>
        <v>8.6268600489734421E-2</v>
      </c>
      <c r="M429">
        <f>+(L429-$L$614)/$L$615</f>
        <v>-1.6482118581535303</v>
      </c>
      <c r="N429">
        <f>+N427+M429</f>
        <v>23.311048743811895</v>
      </c>
    </row>
    <row r="430" spans="1:14">
      <c r="A430" s="8">
        <v>9</v>
      </c>
      <c r="B430" s="71">
        <v>42917</v>
      </c>
      <c r="E430" s="15">
        <v>7</v>
      </c>
      <c r="F430" s="79">
        <v>1.377</v>
      </c>
      <c r="G430" s="79">
        <v>0.22600000000000001</v>
      </c>
    </row>
    <row r="431" spans="1:14">
      <c r="A431" s="8">
        <v>10</v>
      </c>
      <c r="B431" s="71">
        <v>42917</v>
      </c>
      <c r="E431" s="15">
        <v>7</v>
      </c>
      <c r="F431" s="79">
        <v>1.393</v>
      </c>
      <c r="G431" s="79">
        <v>0.224</v>
      </c>
      <c r="I431" s="27">
        <f>AVERAGE(F430:F431)</f>
        <v>1.385</v>
      </c>
      <c r="J431" s="27">
        <f>AVERAGE(G430:G431)</f>
        <v>0.22500000000000001</v>
      </c>
      <c r="L431">
        <f>+J431/I431</f>
        <v>0.16245487364620939</v>
      </c>
      <c r="M431">
        <f>+(L431-$L$614)/$L$615</f>
        <v>-0.86117907835657603</v>
      </c>
      <c r="N431">
        <f>+N429+M431</f>
        <v>22.449869665455321</v>
      </c>
    </row>
    <row r="432" spans="1:14">
      <c r="A432" s="8">
        <v>9</v>
      </c>
      <c r="B432" s="71">
        <v>42948</v>
      </c>
      <c r="E432" s="15">
        <v>8</v>
      </c>
    </row>
    <row r="433" spans="1:14">
      <c r="A433" s="8">
        <v>10</v>
      </c>
      <c r="B433" s="71">
        <v>42948</v>
      </c>
      <c r="E433" s="15">
        <v>8</v>
      </c>
      <c r="I433" s="27"/>
      <c r="J433" s="27"/>
    </row>
    <row r="434" spans="1:14">
      <c r="A434" s="8">
        <v>9</v>
      </c>
      <c r="B434" s="71">
        <v>42979</v>
      </c>
      <c r="E434" s="15">
        <v>9</v>
      </c>
      <c r="F434" s="79">
        <v>0.41599999999999998</v>
      </c>
      <c r="G434" s="79">
        <v>0.1</v>
      </c>
    </row>
    <row r="435" spans="1:14">
      <c r="A435" s="8">
        <v>10</v>
      </c>
      <c r="B435" s="71">
        <v>42979</v>
      </c>
      <c r="E435" s="15">
        <v>9</v>
      </c>
      <c r="F435" s="79">
        <v>0.78500000000000003</v>
      </c>
      <c r="G435" s="79">
        <v>0.13400000000000001</v>
      </c>
      <c r="I435" s="27">
        <f>AVERAGE(F434:F435)</f>
        <v>0.60050000000000003</v>
      </c>
      <c r="J435" s="27">
        <f>AVERAGE(G434:G435)</f>
        <v>0.11700000000000001</v>
      </c>
      <c r="L435">
        <f>+J435/I435</f>
        <v>0.1948376353039134</v>
      </c>
      <c r="M435">
        <f>+(L435-$L$614)/$L$615</f>
        <v>-0.52665300339527621</v>
      </c>
      <c r="N435">
        <f>+N431+M435</f>
        <v>21.923216662060046</v>
      </c>
    </row>
    <row r="436" spans="1:14">
      <c r="A436" s="8">
        <v>9</v>
      </c>
      <c r="B436" s="71">
        <v>43009</v>
      </c>
      <c r="E436" s="15">
        <v>10</v>
      </c>
    </row>
    <row r="437" spans="1:14">
      <c r="A437" s="8">
        <v>10</v>
      </c>
      <c r="B437" s="71">
        <v>43009</v>
      </c>
      <c r="E437" s="15">
        <v>10</v>
      </c>
      <c r="I437" s="27"/>
      <c r="J437" s="27"/>
    </row>
    <row r="438" spans="1:14">
      <c r="A438" s="8">
        <v>9</v>
      </c>
      <c r="B438" s="71">
        <v>43040</v>
      </c>
      <c r="E438" s="15">
        <v>11</v>
      </c>
      <c r="F438" s="79">
        <v>0.19800000000000001</v>
      </c>
      <c r="G438" s="79">
        <v>4.5999999999999999E-2</v>
      </c>
    </row>
    <row r="439" spans="1:14">
      <c r="A439" s="8">
        <v>10</v>
      </c>
      <c r="B439" s="71">
        <v>43040</v>
      </c>
      <c r="E439" s="15">
        <v>11</v>
      </c>
      <c r="F439" s="79">
        <v>0.17799999999999999</v>
      </c>
      <c r="G439" s="79">
        <v>3.3000000000000002E-2</v>
      </c>
      <c r="I439" s="27">
        <f>AVERAGE(F438:F439)</f>
        <v>0.188</v>
      </c>
      <c r="J439" s="27">
        <f>AVERAGE(G438:G439)</f>
        <v>3.95E-2</v>
      </c>
      <c r="L439">
        <f>+J439/I439</f>
        <v>0.21010638297872342</v>
      </c>
      <c r="M439">
        <f>+(L439-$L$614)/$L$615</f>
        <v>-0.36892111248307846</v>
      </c>
      <c r="N439">
        <f>+N435+M439</f>
        <v>21.554295549576967</v>
      </c>
    </row>
    <row r="440" spans="1:14">
      <c r="A440" s="8">
        <v>9</v>
      </c>
      <c r="B440" s="72">
        <v>43070</v>
      </c>
      <c r="E440" s="15">
        <v>12</v>
      </c>
      <c r="F440" s="79">
        <v>0.89300000000000002</v>
      </c>
      <c r="G440" s="79">
        <v>0.11600000000000001</v>
      </c>
    </row>
    <row r="441" spans="1:14">
      <c r="A441" s="8">
        <v>10</v>
      </c>
      <c r="B441" s="71">
        <v>43070</v>
      </c>
      <c r="E441" s="15">
        <v>12</v>
      </c>
      <c r="F441" s="79">
        <v>1.59</v>
      </c>
      <c r="G441" s="79">
        <v>0.18</v>
      </c>
      <c r="I441" s="27">
        <f>AVERAGE(F440:F441)</f>
        <v>1.2415</v>
      </c>
      <c r="J441" s="27">
        <f>AVERAGE(G440:G441)</f>
        <v>0.14799999999999999</v>
      </c>
      <c r="L441">
        <f>+J441/I441</f>
        <v>0.11921063229963752</v>
      </c>
      <c r="M441">
        <f>+(L441-$L$614)/$L$615</f>
        <v>-1.307908312733232</v>
      </c>
      <c r="N441">
        <f>+N439+M441</f>
        <v>20.246387236843734</v>
      </c>
    </row>
    <row r="442" spans="1:14">
      <c r="A442" s="8">
        <v>9</v>
      </c>
      <c r="B442" s="70">
        <v>43110</v>
      </c>
      <c r="E442" s="15">
        <v>1</v>
      </c>
      <c r="F442" s="77">
        <v>7.3230000000000004</v>
      </c>
      <c r="G442" s="77">
        <v>2.367</v>
      </c>
    </row>
    <row r="443" spans="1:14">
      <c r="A443" s="8">
        <v>10</v>
      </c>
      <c r="B443" s="70">
        <v>43105</v>
      </c>
      <c r="E443" s="15">
        <v>1</v>
      </c>
      <c r="F443" s="77">
        <v>8.65</v>
      </c>
      <c r="G443" s="77">
        <v>2.6850000000000001</v>
      </c>
      <c r="I443">
        <v>7.9865000000000004</v>
      </c>
      <c r="J443">
        <v>2.5259999999999998</v>
      </c>
      <c r="L443">
        <v>0.31628372879233702</v>
      </c>
      <c r="M443">
        <f>+(L443-$L$614)/$L$615</f>
        <v>0.72793069775734331</v>
      </c>
      <c r="N443">
        <f>+N441+M443</f>
        <v>20.974317934601078</v>
      </c>
    </row>
    <row r="444" spans="1:14">
      <c r="A444" s="8">
        <v>9</v>
      </c>
      <c r="B444" s="71">
        <v>43132</v>
      </c>
      <c r="E444" s="15">
        <v>2</v>
      </c>
      <c r="F444" s="77">
        <v>1.143</v>
      </c>
      <c r="G444" s="77">
        <v>0.35099999999999998</v>
      </c>
    </row>
    <row r="445" spans="1:14">
      <c r="A445" s="8">
        <v>10</v>
      </c>
      <c r="B445" s="71">
        <v>43132</v>
      </c>
      <c r="E445" s="15">
        <v>2</v>
      </c>
      <c r="F445" s="77">
        <v>1.004</v>
      </c>
      <c r="G445" s="77">
        <v>0.315</v>
      </c>
      <c r="I445">
        <v>1.0735000000000001</v>
      </c>
      <c r="J445">
        <v>0.33299999999999996</v>
      </c>
      <c r="L445">
        <v>0.31020027945971118</v>
      </c>
      <c r="M445">
        <f>+(L445-$L$614)/$L$615</f>
        <v>0.66508638420000632</v>
      </c>
      <c r="N445">
        <f>+N443+M445</f>
        <v>21.639404318801084</v>
      </c>
    </row>
    <row r="446" spans="1:14">
      <c r="A446" s="8">
        <v>9</v>
      </c>
      <c r="B446" s="71">
        <v>43160</v>
      </c>
      <c r="E446" s="15">
        <v>3</v>
      </c>
      <c r="F446" s="77">
        <v>3.3940000000000001</v>
      </c>
      <c r="G446" s="77">
        <v>1.341</v>
      </c>
    </row>
    <row r="447" spans="1:14">
      <c r="A447" s="8">
        <v>10</v>
      </c>
      <c r="B447" s="71">
        <v>43160</v>
      </c>
      <c r="E447" s="15">
        <v>3</v>
      </c>
      <c r="F447" s="77">
        <v>3.2530000000000001</v>
      </c>
      <c r="G447" s="77">
        <v>1.24</v>
      </c>
      <c r="I447">
        <v>3.3235000000000001</v>
      </c>
      <c r="J447">
        <v>1.2905</v>
      </c>
      <c r="L447">
        <v>0.38829547164134193</v>
      </c>
      <c r="M447">
        <f>+(L447-$L$614)/$L$615</f>
        <v>1.4718390135778685</v>
      </c>
      <c r="N447">
        <f>+N445+M447</f>
        <v>23.111243332378951</v>
      </c>
    </row>
    <row r="448" spans="1:14">
      <c r="A448" s="8">
        <v>9</v>
      </c>
      <c r="B448" s="71">
        <v>43191</v>
      </c>
      <c r="E448" s="15">
        <v>4</v>
      </c>
      <c r="F448" s="77">
        <v>0.54100000000000004</v>
      </c>
      <c r="G448" s="77">
        <v>5.1999999999999998E-2</v>
      </c>
    </row>
    <row r="449" spans="1:14">
      <c r="A449" s="8">
        <v>10</v>
      </c>
      <c r="B449" s="71">
        <v>43191</v>
      </c>
      <c r="E449" s="15">
        <v>4</v>
      </c>
      <c r="F449" s="77">
        <v>1.1479999999999999</v>
      </c>
      <c r="G449" s="77">
        <v>9.7000000000000003E-2</v>
      </c>
      <c r="I449">
        <v>0.84450000000000003</v>
      </c>
      <c r="J449">
        <v>7.4499999999999997E-2</v>
      </c>
      <c r="L449">
        <v>8.8217880402605087E-2</v>
      </c>
      <c r="M449">
        <f>+(L449-$L$614)/$L$615</f>
        <v>-1.6280750654628307</v>
      </c>
      <c r="N449">
        <f>+N447+M449</f>
        <v>21.48316826691612</v>
      </c>
    </row>
    <row r="450" spans="1:14">
      <c r="A450" s="8">
        <v>9</v>
      </c>
      <c r="B450" s="71">
        <v>43221</v>
      </c>
      <c r="E450" s="15">
        <v>5</v>
      </c>
      <c r="F450" s="78">
        <v>1.667</v>
      </c>
      <c r="G450" s="78">
        <v>0.127</v>
      </c>
    </row>
    <row r="451" spans="1:14">
      <c r="A451" s="8">
        <v>10</v>
      </c>
      <c r="B451" s="71">
        <v>43221</v>
      </c>
      <c r="E451" s="15">
        <v>5</v>
      </c>
      <c r="F451" s="78">
        <v>2.024</v>
      </c>
      <c r="G451" s="78">
        <v>8.5000000000000006E-2</v>
      </c>
      <c r="I451">
        <v>1.8454999999999999</v>
      </c>
      <c r="J451">
        <v>0.10600000000000001</v>
      </c>
      <c r="L451">
        <v>5.7437008940666494E-2</v>
      </c>
      <c r="M451">
        <f>+(L451-$L$614)/$L$615</f>
        <v>-1.9460530138198355</v>
      </c>
      <c r="N451">
        <f>+N449+M451</f>
        <v>19.537115253096285</v>
      </c>
    </row>
    <row r="452" spans="1:14">
      <c r="A452" s="12">
        <v>9</v>
      </c>
      <c r="B452" s="71">
        <v>43252</v>
      </c>
      <c r="E452" s="15">
        <v>6</v>
      </c>
      <c r="F452" s="78">
        <v>3.161</v>
      </c>
      <c r="G452" s="78">
        <v>0.35799999999999998</v>
      </c>
    </row>
    <row r="453" spans="1:14">
      <c r="A453" s="12">
        <v>10</v>
      </c>
      <c r="B453" s="71">
        <v>43252</v>
      </c>
      <c r="E453" s="15">
        <v>6</v>
      </c>
      <c r="F453" s="78">
        <v>2.0110000000000001</v>
      </c>
      <c r="G453" s="78">
        <v>0.14599999999999999</v>
      </c>
      <c r="I453">
        <v>2.5860000000000003</v>
      </c>
      <c r="J453">
        <v>0.252</v>
      </c>
      <c r="L453">
        <v>9.7447795823665889E-2</v>
      </c>
      <c r="M453">
        <f>+(L453-$L$614)/$L$615</f>
        <v>-1.5327265769469451</v>
      </c>
      <c r="N453">
        <f>+N451+M453</f>
        <v>18.00438867614934</v>
      </c>
    </row>
    <row r="454" spans="1:14">
      <c r="A454" s="8">
        <v>9</v>
      </c>
      <c r="B454" s="71">
        <v>43282</v>
      </c>
      <c r="E454" s="15">
        <v>7</v>
      </c>
      <c r="F454" s="78">
        <v>6.1909999999999998</v>
      </c>
      <c r="G454" s="78">
        <v>1.554</v>
      </c>
    </row>
    <row r="455" spans="1:14">
      <c r="A455" s="8">
        <v>10</v>
      </c>
      <c r="B455" s="71">
        <v>43282</v>
      </c>
      <c r="E455" s="15">
        <v>7</v>
      </c>
      <c r="F455" s="78">
        <v>8.5850000000000009</v>
      </c>
      <c r="G455" s="78">
        <v>1.9159999999999999</v>
      </c>
      <c r="I455">
        <v>7.3879999999999999</v>
      </c>
      <c r="J455">
        <v>1.7349999999999999</v>
      </c>
      <c r="L455">
        <v>0.23484028153762856</v>
      </c>
      <c r="M455">
        <f>+(L455-$L$614)/$L$615</f>
        <v>-0.11341066248311571</v>
      </c>
      <c r="N455">
        <f>+N453+M455</f>
        <v>17.890978013666224</v>
      </c>
    </row>
    <row r="456" spans="1:14">
      <c r="A456" s="8">
        <v>9</v>
      </c>
      <c r="B456" s="71">
        <v>43313</v>
      </c>
      <c r="E456" s="15">
        <v>8</v>
      </c>
      <c r="F456" s="78">
        <v>1.9279999999999999</v>
      </c>
      <c r="G456" s="78">
        <v>0.29699999999999999</v>
      </c>
    </row>
    <row r="457" spans="1:14">
      <c r="A457" s="8">
        <v>10</v>
      </c>
      <c r="B457" s="71">
        <v>43313</v>
      </c>
      <c r="E457" s="15">
        <v>8</v>
      </c>
      <c r="F457" s="78">
        <v>3.03</v>
      </c>
      <c r="G457" s="78">
        <v>0.504</v>
      </c>
      <c r="I457">
        <v>2.4790000000000001</v>
      </c>
      <c r="J457">
        <v>0.40049999999999997</v>
      </c>
      <c r="L457">
        <v>0.1615570794675272</v>
      </c>
      <c r="M457">
        <f>+(L457-$L$614)/$L$615</f>
        <v>-0.87045362899225986</v>
      </c>
      <c r="N457">
        <f>+N455+M457</f>
        <v>17.020524384673966</v>
      </c>
    </row>
    <row r="458" spans="1:14">
      <c r="A458" s="8">
        <v>9</v>
      </c>
      <c r="B458" s="71">
        <v>43344</v>
      </c>
      <c r="E458" s="15">
        <v>9</v>
      </c>
      <c r="F458" s="78">
        <v>2.2989999999999999</v>
      </c>
      <c r="G458" s="78">
        <v>0.184</v>
      </c>
    </row>
    <row r="459" spans="1:14">
      <c r="A459" s="8">
        <v>10</v>
      </c>
      <c r="B459" s="71">
        <v>43344</v>
      </c>
      <c r="E459" s="15">
        <v>9</v>
      </c>
      <c r="F459" s="78">
        <v>2.4009999999999998</v>
      </c>
      <c r="G459" s="78">
        <v>0.189</v>
      </c>
      <c r="I459">
        <v>2.3499999999999996</v>
      </c>
      <c r="J459">
        <v>0.1865</v>
      </c>
      <c r="L459">
        <v>7.9361702127659584E-2</v>
      </c>
      <c r="M459">
        <f>+(L459-$L$614)/$L$615</f>
        <v>-1.7195627090675023</v>
      </c>
      <c r="N459">
        <f>+N457+M459</f>
        <v>15.300961675606462</v>
      </c>
    </row>
    <row r="460" spans="1:14">
      <c r="A460" s="8">
        <v>9</v>
      </c>
      <c r="B460" s="71">
        <v>43374</v>
      </c>
      <c r="E460" s="15">
        <v>10</v>
      </c>
      <c r="F460" s="78">
        <v>0.40799999999999997</v>
      </c>
      <c r="G460" s="78">
        <v>3.5000000000000003E-2</v>
      </c>
    </row>
    <row r="461" spans="1:14">
      <c r="A461" s="8">
        <v>10</v>
      </c>
      <c r="B461" s="71">
        <v>43374</v>
      </c>
      <c r="E461" s="15">
        <v>10</v>
      </c>
      <c r="F461" s="78">
        <v>0.91700000000000004</v>
      </c>
      <c r="G461" s="78">
        <v>0.112</v>
      </c>
      <c r="I461">
        <v>0.66249999999999998</v>
      </c>
      <c r="J461">
        <v>7.350000000000001E-2</v>
      </c>
      <c r="L461">
        <v>0.11094339622641511</v>
      </c>
      <c r="M461">
        <f>+(L461-$L$614)/$L$615</f>
        <v>-1.3933119624770955</v>
      </c>
      <c r="N461">
        <f>+N459+M461</f>
        <v>13.907649713129366</v>
      </c>
    </row>
    <row r="462" spans="1:14">
      <c r="A462" s="8">
        <v>9</v>
      </c>
      <c r="B462" s="71">
        <v>43405</v>
      </c>
      <c r="E462" s="15">
        <v>11</v>
      </c>
      <c r="F462" s="78"/>
      <c r="G462" s="78"/>
    </row>
    <row r="463" spans="1:14">
      <c r="A463" s="8">
        <v>10</v>
      </c>
      <c r="B463" s="71">
        <v>43405</v>
      </c>
      <c r="E463" s="15">
        <v>11</v>
      </c>
    </row>
    <row r="464" spans="1:14">
      <c r="A464" s="8">
        <v>9</v>
      </c>
      <c r="B464" s="72">
        <v>43435</v>
      </c>
      <c r="E464" s="15">
        <v>12</v>
      </c>
    </row>
    <row r="465" spans="1:14">
      <c r="A465" s="8">
        <v>10</v>
      </c>
      <c r="B465" s="71">
        <v>43435</v>
      </c>
      <c r="E465" s="15">
        <v>12</v>
      </c>
    </row>
    <row r="466" spans="1:14">
      <c r="A466" s="8">
        <v>9</v>
      </c>
      <c r="B466" s="70">
        <v>43475</v>
      </c>
      <c r="E466" s="15">
        <v>1</v>
      </c>
    </row>
    <row r="467" spans="1:14">
      <c r="A467" s="8">
        <v>10</v>
      </c>
      <c r="B467" s="70">
        <v>43470</v>
      </c>
      <c r="E467" s="15">
        <v>1</v>
      </c>
    </row>
    <row r="468" spans="1:14">
      <c r="A468" s="8">
        <v>9</v>
      </c>
      <c r="B468" s="71">
        <v>43497</v>
      </c>
      <c r="E468" s="15">
        <v>2</v>
      </c>
    </row>
    <row r="469" spans="1:14">
      <c r="A469" s="8">
        <v>10</v>
      </c>
      <c r="B469" s="71">
        <v>43497</v>
      </c>
      <c r="E469" s="15">
        <v>2</v>
      </c>
    </row>
    <row r="470" spans="1:14">
      <c r="A470" s="8">
        <v>9</v>
      </c>
      <c r="B470" s="71">
        <v>43525</v>
      </c>
      <c r="E470" s="15">
        <v>3</v>
      </c>
      <c r="F470" s="83">
        <v>0.44400000000000001</v>
      </c>
      <c r="G470" s="83">
        <v>6.0999999999999999E-2</v>
      </c>
    </row>
    <row r="471" spans="1:14">
      <c r="A471" s="8">
        <v>10</v>
      </c>
      <c r="B471" s="71">
        <v>43525</v>
      </c>
      <c r="E471" s="15">
        <v>3</v>
      </c>
      <c r="F471" s="83">
        <v>0.70199999999999996</v>
      </c>
      <c r="G471" s="83">
        <v>4.2999999999999997E-2</v>
      </c>
      <c r="I471" s="27">
        <f>AVERAGE(F470:F471)</f>
        <v>0.57299999999999995</v>
      </c>
      <c r="J471" s="27">
        <f>AVERAGE(G470:G471)</f>
        <v>5.1999999999999998E-2</v>
      </c>
      <c r="L471">
        <f>+J471/I471</f>
        <v>9.0750436300174528E-2</v>
      </c>
      <c r="M471">
        <f>+(L471-$L$614)/$L$615</f>
        <v>-1.6019128130586275</v>
      </c>
      <c r="N471">
        <f>+N461+M471</f>
        <v>12.305736900070739</v>
      </c>
    </row>
    <row r="472" spans="1:14">
      <c r="A472" s="8">
        <v>9</v>
      </c>
      <c r="B472" s="71">
        <v>43556</v>
      </c>
      <c r="E472" s="15">
        <v>4</v>
      </c>
      <c r="F472" s="77">
        <v>1.5860000000000001</v>
      </c>
      <c r="G472" s="83">
        <v>0.26600000000000001</v>
      </c>
    </row>
    <row r="473" spans="1:14">
      <c r="A473" s="8">
        <v>10</v>
      </c>
      <c r="B473" s="71">
        <v>43556</v>
      </c>
      <c r="E473" s="15">
        <v>4</v>
      </c>
      <c r="F473" s="77">
        <v>1.992</v>
      </c>
      <c r="G473" s="83">
        <v>0.27300000000000002</v>
      </c>
      <c r="I473" s="27">
        <f>AVERAGE(F472:F473)</f>
        <v>1.7890000000000001</v>
      </c>
      <c r="J473" s="27">
        <f>AVERAGE(G472:G473)</f>
        <v>0.26950000000000002</v>
      </c>
      <c r="L473">
        <f>+J473/I473</f>
        <v>0.15064281721632197</v>
      </c>
      <c r="M473">
        <f>+(L473-$L$614)/$L$615</f>
        <v>-0.98320205207572942</v>
      </c>
      <c r="N473">
        <f>+N471+M473</f>
        <v>11.32253484799501</v>
      </c>
    </row>
    <row r="474" spans="1:14">
      <c r="A474" s="8">
        <v>9</v>
      </c>
      <c r="B474" s="71">
        <v>43586</v>
      </c>
      <c r="E474" s="15">
        <v>5</v>
      </c>
      <c r="F474" s="77">
        <v>0.50700000000000001</v>
      </c>
      <c r="G474" s="83">
        <v>7.0999999999999994E-2</v>
      </c>
    </row>
    <row r="475" spans="1:14">
      <c r="A475" s="8">
        <v>10</v>
      </c>
      <c r="B475" s="71">
        <v>43586</v>
      </c>
      <c r="E475" s="15">
        <v>5</v>
      </c>
      <c r="F475" s="77">
        <v>0.747</v>
      </c>
      <c r="G475" s="83">
        <v>9.8000000000000004E-2</v>
      </c>
      <c r="I475" s="27">
        <f>AVERAGE(F474:F475)</f>
        <v>0.627</v>
      </c>
      <c r="J475" s="27">
        <f>AVERAGE(G474:G475)</f>
        <v>8.4499999999999992E-2</v>
      </c>
      <c r="L475">
        <f>+J475/I475</f>
        <v>0.13476874003189793</v>
      </c>
      <c r="M475">
        <f>+(L475-$L$614)/$L$615</f>
        <v>-1.1471872238862613</v>
      </c>
      <c r="N475">
        <f>+N473+M475</f>
        <v>10.175347624108749</v>
      </c>
    </row>
    <row r="476" spans="1:14">
      <c r="A476" s="8">
        <v>9</v>
      </c>
      <c r="B476" s="71">
        <v>43617</v>
      </c>
      <c r="E476" s="15">
        <v>6</v>
      </c>
      <c r="F476" s="78">
        <v>1.6539999999999999</v>
      </c>
      <c r="G476" s="78">
        <v>0.223</v>
      </c>
    </row>
    <row r="477" spans="1:14">
      <c r="A477" s="8">
        <v>10</v>
      </c>
      <c r="B477" s="71">
        <v>43617</v>
      </c>
      <c r="E477" s="15">
        <v>6</v>
      </c>
      <c r="F477" s="78">
        <v>2.0870000000000002</v>
      </c>
      <c r="G477" s="78">
        <v>0.157</v>
      </c>
      <c r="I477" s="27">
        <f>AVERAGE(F476:F477)</f>
        <v>1.8705000000000001</v>
      </c>
      <c r="J477" s="27">
        <f>AVERAGE(G476:G477)</f>
        <v>0.19</v>
      </c>
      <c r="L477">
        <f>+J477/I477</f>
        <v>0.10157711841753542</v>
      </c>
      <c r="M477">
        <f>+(L477-$L$614)/$L$615</f>
        <v>-1.4900691256097904</v>
      </c>
      <c r="N477">
        <f>+N475+M477</f>
        <v>8.6852784984989579</v>
      </c>
    </row>
    <row r="478" spans="1:14">
      <c r="A478" s="8">
        <v>9</v>
      </c>
      <c r="B478" s="71">
        <v>43647</v>
      </c>
      <c r="E478" s="15">
        <v>7</v>
      </c>
      <c r="F478" s="78">
        <v>6.5380000000000003</v>
      </c>
      <c r="G478" s="78">
        <v>1.179</v>
      </c>
    </row>
    <row r="479" spans="1:14">
      <c r="A479" s="8">
        <v>10</v>
      </c>
      <c r="B479" s="71">
        <v>43647</v>
      </c>
      <c r="E479" s="15">
        <v>7</v>
      </c>
      <c r="F479" s="78">
        <v>4.4180000000000001</v>
      </c>
      <c r="G479" s="78">
        <v>0.92</v>
      </c>
      <c r="I479" s="27">
        <f>AVERAGE(F478:F479)</f>
        <v>5.4779999999999998</v>
      </c>
      <c r="J479" s="27">
        <f>AVERAGE(G478:G479)</f>
        <v>1.0495000000000001</v>
      </c>
      <c r="L479">
        <f>+J479/I479</f>
        <v>0.19158451989777295</v>
      </c>
      <c r="M479">
        <f>+(L479-$L$614)/$L$615</f>
        <v>-0.56025890581074855</v>
      </c>
      <c r="N479">
        <f>+N477+M479</f>
        <v>8.1250195926882096</v>
      </c>
    </row>
    <row r="480" spans="1:14">
      <c r="A480" s="8">
        <v>9</v>
      </c>
      <c r="B480" s="71">
        <v>43678</v>
      </c>
      <c r="E480" s="15">
        <v>8</v>
      </c>
    </row>
    <row r="481" spans="1:14">
      <c r="A481" s="8">
        <v>10</v>
      </c>
      <c r="B481" s="71">
        <v>43678</v>
      </c>
      <c r="E481" s="15">
        <v>8</v>
      </c>
      <c r="I481" s="27"/>
      <c r="J481" s="27"/>
    </row>
    <row r="482" spans="1:14">
      <c r="A482" s="8">
        <v>9</v>
      </c>
      <c r="B482" s="71">
        <v>43709</v>
      </c>
      <c r="E482" s="15">
        <v>9</v>
      </c>
    </row>
    <row r="483" spans="1:14">
      <c r="A483" s="8">
        <v>10</v>
      </c>
      <c r="B483" s="71">
        <v>43709</v>
      </c>
      <c r="E483" s="15">
        <v>9</v>
      </c>
      <c r="I483" s="27"/>
      <c r="J483" s="27"/>
    </row>
    <row r="484" spans="1:14">
      <c r="A484" s="8">
        <v>9</v>
      </c>
      <c r="B484" s="71">
        <v>43739</v>
      </c>
      <c r="E484" s="15">
        <v>10</v>
      </c>
      <c r="F484" s="78">
        <v>3.4790000000000001</v>
      </c>
      <c r="G484" s="78">
        <v>1.2569999999999999</v>
      </c>
    </row>
    <row r="485" spans="1:14">
      <c r="A485" s="8">
        <v>10</v>
      </c>
      <c r="B485" s="71">
        <v>43739</v>
      </c>
      <c r="E485" s="15">
        <v>10</v>
      </c>
      <c r="F485" s="78">
        <v>1.141</v>
      </c>
      <c r="G485" s="78">
        <v>0.27900000000000003</v>
      </c>
      <c r="I485" s="27">
        <f>AVERAGE(F484:F485)</f>
        <v>2.31</v>
      </c>
      <c r="J485" s="27">
        <f>AVERAGE(G484:G485)</f>
        <v>0.76800000000000002</v>
      </c>
      <c r="L485">
        <f>+J485/I485</f>
        <v>0.33246753246753247</v>
      </c>
      <c r="M485">
        <f>+(L485-$L$614)/$L$615</f>
        <v>0.89511546039846912</v>
      </c>
      <c r="N485">
        <f>+N479+M485</f>
        <v>9.020135053086678</v>
      </c>
    </row>
    <row r="486" spans="1:14">
      <c r="A486" s="8">
        <v>9</v>
      </c>
      <c r="B486" s="71">
        <v>43770</v>
      </c>
      <c r="E486" s="15">
        <v>11</v>
      </c>
    </row>
    <row r="487" spans="1:14">
      <c r="A487" s="8">
        <v>10</v>
      </c>
      <c r="B487" s="71">
        <v>43770</v>
      </c>
      <c r="E487" s="15">
        <v>11</v>
      </c>
      <c r="I487" s="27"/>
      <c r="J487" s="27"/>
    </row>
    <row r="488" spans="1:14">
      <c r="A488" s="8">
        <v>9</v>
      </c>
      <c r="B488" s="72">
        <v>43800</v>
      </c>
      <c r="E488" s="15">
        <v>12</v>
      </c>
      <c r="F488" s="78">
        <v>2.3090000000000002</v>
      </c>
      <c r="G488" s="78">
        <v>0.68400000000000005</v>
      </c>
    </row>
    <row r="489" spans="1:14">
      <c r="A489" s="8">
        <v>10</v>
      </c>
      <c r="B489" s="71">
        <v>43800</v>
      </c>
      <c r="E489" s="15">
        <v>12</v>
      </c>
      <c r="F489" s="78">
        <v>2.286</v>
      </c>
      <c r="G489" s="78">
        <v>0.61699999999999999</v>
      </c>
      <c r="I489" s="27">
        <f>AVERAGE(F488:F489)</f>
        <v>2.2975000000000003</v>
      </c>
      <c r="J489" s="27">
        <f>AVERAGE(G488:G489)</f>
        <v>0.65050000000000008</v>
      </c>
      <c r="L489">
        <f>+J489/I489</f>
        <v>0.28313384113166484</v>
      </c>
      <c r="M489">
        <f>+(L489-$L$614)/$L$615</f>
        <v>0.38547992343018067</v>
      </c>
      <c r="N489">
        <f>+N485+M489</f>
        <v>9.4056149765168584</v>
      </c>
    </row>
    <row r="490" spans="1:14">
      <c r="A490" s="85">
        <v>9</v>
      </c>
      <c r="B490" s="88">
        <v>43831</v>
      </c>
      <c r="C490" s="89">
        <v>2020</v>
      </c>
      <c r="D490" s="90" t="s">
        <v>39</v>
      </c>
      <c r="E490" s="91">
        <v>1</v>
      </c>
    </row>
    <row r="491" spans="1:14">
      <c r="A491" s="8">
        <v>10</v>
      </c>
      <c r="B491" s="73">
        <v>43831</v>
      </c>
      <c r="C491">
        <v>2020</v>
      </c>
      <c r="D491" s="11" t="s">
        <v>39</v>
      </c>
      <c r="E491" s="15">
        <v>1</v>
      </c>
    </row>
    <row r="492" spans="1:14">
      <c r="A492" s="8">
        <v>9</v>
      </c>
      <c r="B492" s="71">
        <v>43862</v>
      </c>
      <c r="C492">
        <v>2020</v>
      </c>
      <c r="D492" s="11" t="s">
        <v>28</v>
      </c>
      <c r="E492" s="15">
        <v>2</v>
      </c>
      <c r="F492" s="95">
        <v>0.32100000000000001</v>
      </c>
      <c r="G492" s="95">
        <v>0.107</v>
      </c>
    </row>
    <row r="493" spans="1:14">
      <c r="A493" s="8">
        <v>10</v>
      </c>
      <c r="B493" s="71">
        <v>43862</v>
      </c>
      <c r="C493">
        <v>2020</v>
      </c>
      <c r="D493" s="11" t="s">
        <v>28</v>
      </c>
      <c r="E493" s="15">
        <v>2</v>
      </c>
      <c r="F493" s="95">
        <v>0.10100000000000001</v>
      </c>
      <c r="G493" s="95">
        <v>2.8000000000000001E-2</v>
      </c>
      <c r="I493" s="27">
        <f>AVERAGE(F492:F493)</f>
        <v>0.21100000000000002</v>
      </c>
      <c r="J493" s="27">
        <f>AVERAGE(G492:G493)</f>
        <v>6.7500000000000004E-2</v>
      </c>
      <c r="L493">
        <f>+J493/I493</f>
        <v>0.31990521327014215</v>
      </c>
      <c r="M493">
        <f>+(L493-$L$614)/$L$615</f>
        <v>0.76534199086134602</v>
      </c>
      <c r="N493">
        <f>+N489+M493</f>
        <v>10.170956967378205</v>
      </c>
    </row>
    <row r="494" spans="1:14">
      <c r="A494" s="8">
        <v>9</v>
      </c>
      <c r="B494" s="71">
        <v>43891</v>
      </c>
      <c r="C494">
        <v>2020</v>
      </c>
      <c r="D494" s="11" t="s">
        <v>29</v>
      </c>
      <c r="E494" s="15">
        <v>3</v>
      </c>
    </row>
    <row r="495" spans="1:14">
      <c r="A495" s="8">
        <v>10</v>
      </c>
      <c r="B495" s="71">
        <v>43891</v>
      </c>
      <c r="C495">
        <v>2020</v>
      </c>
      <c r="D495" s="11" t="s">
        <v>29</v>
      </c>
      <c r="E495" s="15">
        <v>3</v>
      </c>
    </row>
    <row r="496" spans="1:14">
      <c r="A496" s="8">
        <v>9</v>
      </c>
      <c r="B496" s="71">
        <v>43922</v>
      </c>
      <c r="C496">
        <v>2020</v>
      </c>
      <c r="D496" s="11" t="s">
        <v>30</v>
      </c>
      <c r="E496" s="15">
        <v>4</v>
      </c>
    </row>
    <row r="497" spans="1:14">
      <c r="A497" s="8">
        <v>10</v>
      </c>
      <c r="B497" s="71">
        <v>43922</v>
      </c>
      <c r="C497">
        <v>2020</v>
      </c>
      <c r="D497" s="11" t="s">
        <v>30</v>
      </c>
      <c r="E497" s="15">
        <v>4</v>
      </c>
    </row>
    <row r="498" spans="1:14">
      <c r="A498" s="8">
        <v>9</v>
      </c>
      <c r="B498" s="71">
        <v>43952</v>
      </c>
      <c r="C498">
        <v>2020</v>
      </c>
      <c r="D498" s="11" t="s">
        <v>31</v>
      </c>
      <c r="E498" s="15">
        <v>5</v>
      </c>
    </row>
    <row r="499" spans="1:14">
      <c r="A499" s="8">
        <v>10</v>
      </c>
      <c r="B499" s="71">
        <v>43952</v>
      </c>
      <c r="C499">
        <v>2020</v>
      </c>
      <c r="D499" s="11" t="s">
        <v>31</v>
      </c>
      <c r="E499" s="15">
        <v>5</v>
      </c>
    </row>
    <row r="500" spans="1:14">
      <c r="A500" s="8">
        <v>9</v>
      </c>
      <c r="B500" s="71">
        <v>43983</v>
      </c>
      <c r="C500">
        <v>2020</v>
      </c>
      <c r="D500" s="11" t="s">
        <v>32</v>
      </c>
      <c r="E500" s="15">
        <v>6</v>
      </c>
      <c r="F500" s="95">
        <v>2.2690000000000001</v>
      </c>
      <c r="G500" s="95">
        <v>0.33300000000000002</v>
      </c>
    </row>
    <row r="501" spans="1:14">
      <c r="A501" s="8">
        <v>10</v>
      </c>
      <c r="B501" s="71">
        <v>43983</v>
      </c>
      <c r="C501">
        <v>2020</v>
      </c>
      <c r="D501" s="11" t="s">
        <v>32</v>
      </c>
      <c r="E501" s="15">
        <v>6</v>
      </c>
      <c r="F501" s="95">
        <v>2.1589999999999998</v>
      </c>
      <c r="G501" s="95">
        <v>0.30299999999999999</v>
      </c>
      <c r="I501" s="27">
        <f>AVERAGE(F500:F501)</f>
        <v>2.214</v>
      </c>
      <c r="J501" s="27">
        <f>AVERAGE(G500:G501)</f>
        <v>0.318</v>
      </c>
      <c r="L501">
        <f>+J501/I501</f>
        <v>0.14363143631436315</v>
      </c>
      <c r="M501">
        <f>+(L501-$L$614)/$L$615</f>
        <v>-1.0556322468189532</v>
      </c>
      <c r="N501">
        <f>+N493+M501</f>
        <v>9.1153247205592507</v>
      </c>
    </row>
    <row r="502" spans="1:14">
      <c r="A502" s="8">
        <v>9</v>
      </c>
      <c r="B502" s="71">
        <v>44013</v>
      </c>
      <c r="C502">
        <v>2020</v>
      </c>
      <c r="D502" s="11" t="s">
        <v>33</v>
      </c>
      <c r="E502" s="15">
        <v>7</v>
      </c>
      <c r="F502" s="95">
        <v>7.3760000000000003</v>
      </c>
      <c r="G502" s="95">
        <v>2.2789999999999999</v>
      </c>
    </row>
    <row r="503" spans="1:14">
      <c r="A503" s="8">
        <v>10</v>
      </c>
      <c r="B503" s="71">
        <v>44013</v>
      </c>
      <c r="C503">
        <v>2020</v>
      </c>
      <c r="D503" s="11" t="s">
        <v>33</v>
      </c>
      <c r="E503" s="15">
        <v>7</v>
      </c>
      <c r="F503" s="95">
        <v>4.7709999999999999</v>
      </c>
      <c r="G503" s="95">
        <v>1.286</v>
      </c>
      <c r="I503" s="27">
        <f t="shared" ref="I503" si="0">AVERAGE(F502:F503)</f>
        <v>6.0735000000000001</v>
      </c>
      <c r="J503" s="27">
        <f t="shared" ref="J503" si="1">AVERAGE(G502:G503)</f>
        <v>1.7825</v>
      </c>
      <c r="L503">
        <f t="shared" ref="L503" si="2">+J503/I503</f>
        <v>0.29348810405861531</v>
      </c>
      <c r="M503">
        <f t="shared" ref="M503" si="3">+(L503-$L$614)/$L$615</f>
        <v>0.49244334343379831</v>
      </c>
      <c r="N503">
        <f>+N501+M503</f>
        <v>9.6077680639930492</v>
      </c>
    </row>
    <row r="504" spans="1:14">
      <c r="A504" s="8">
        <v>9</v>
      </c>
      <c r="B504" s="71">
        <v>44044</v>
      </c>
      <c r="C504">
        <v>2020</v>
      </c>
      <c r="D504" s="11" t="s">
        <v>34</v>
      </c>
      <c r="E504" s="15">
        <v>8</v>
      </c>
      <c r="F504" s="95">
        <v>2.9569999999999999</v>
      </c>
      <c r="G504" s="95">
        <v>0.77300000000000002</v>
      </c>
    </row>
    <row r="505" spans="1:14">
      <c r="A505" s="8">
        <v>10</v>
      </c>
      <c r="B505" s="71">
        <v>44044</v>
      </c>
      <c r="C505">
        <v>2020</v>
      </c>
      <c r="D505" s="11" t="s">
        <v>34</v>
      </c>
      <c r="E505" s="15">
        <v>8</v>
      </c>
      <c r="F505" s="95">
        <v>1.8169999999999999</v>
      </c>
      <c r="G505" s="95">
        <v>0.30499999999999999</v>
      </c>
      <c r="I505" s="27">
        <f t="shared" ref="I505" si="4">AVERAGE(F504:F505)</f>
        <v>2.387</v>
      </c>
      <c r="J505" s="27">
        <f t="shared" ref="J505" si="5">AVERAGE(G504:G505)</f>
        <v>0.53900000000000003</v>
      </c>
      <c r="L505">
        <f t="shared" ref="L505" si="6">+J505/I505</f>
        <v>0.22580645161290325</v>
      </c>
      <c r="M505">
        <f t="shared" ref="M505" si="7">+(L505-$L$614)/$L$615</f>
        <v>-0.20673351426859138</v>
      </c>
      <c r="N505">
        <f t="shared" ref="N505" si="8">+N503+M505</f>
        <v>9.4010345497244572</v>
      </c>
    </row>
    <row r="506" spans="1:14">
      <c r="A506" s="8">
        <v>9</v>
      </c>
      <c r="B506" s="71">
        <v>44075</v>
      </c>
      <c r="C506">
        <v>2020</v>
      </c>
      <c r="D506" s="11" t="s">
        <v>40</v>
      </c>
      <c r="E506" s="15">
        <v>9</v>
      </c>
      <c r="F506" s="95">
        <v>0.89900000000000002</v>
      </c>
      <c r="G506" s="95">
        <v>0.105</v>
      </c>
    </row>
    <row r="507" spans="1:14">
      <c r="A507" s="8">
        <v>10</v>
      </c>
      <c r="B507" s="71">
        <v>44075</v>
      </c>
      <c r="C507">
        <v>2020</v>
      </c>
      <c r="D507" s="11" t="s">
        <v>40</v>
      </c>
      <c r="E507" s="15">
        <v>9</v>
      </c>
      <c r="F507" s="95">
        <v>2.0430000000000001</v>
      </c>
      <c r="G507" s="95">
        <v>0.47599999999999998</v>
      </c>
      <c r="I507" s="27">
        <f t="shared" ref="I507" si="9">AVERAGE(F506:F507)</f>
        <v>1.4710000000000001</v>
      </c>
      <c r="J507" s="27">
        <f t="shared" ref="J507" si="10">AVERAGE(G506:G507)</f>
        <v>0.29049999999999998</v>
      </c>
      <c r="L507">
        <f t="shared" ref="L507" si="11">+J507/I507</f>
        <v>0.19748470428280079</v>
      </c>
      <c r="M507">
        <f t="shared" ref="M507" si="12">+(L507-$L$614)/$L$615</f>
        <v>-0.49930778790627084</v>
      </c>
      <c r="N507">
        <f t="shared" ref="N507" si="13">+N505+M507</f>
        <v>8.9017267618181855</v>
      </c>
    </row>
    <row r="508" spans="1:14">
      <c r="A508" s="8">
        <v>9</v>
      </c>
      <c r="B508" s="71">
        <v>44105</v>
      </c>
      <c r="C508">
        <v>2020</v>
      </c>
      <c r="D508" s="11" t="s">
        <v>36</v>
      </c>
      <c r="E508" s="15">
        <v>10</v>
      </c>
      <c r="F508" s="95">
        <v>0.85</v>
      </c>
      <c r="G508" s="95">
        <v>0.27</v>
      </c>
    </row>
    <row r="509" spans="1:14">
      <c r="A509" s="8">
        <v>10</v>
      </c>
      <c r="B509" s="71">
        <v>44105</v>
      </c>
      <c r="C509">
        <v>2020</v>
      </c>
      <c r="D509" s="11" t="s">
        <v>36</v>
      </c>
      <c r="E509" s="15">
        <v>10</v>
      </c>
      <c r="F509" s="95">
        <v>1.034</v>
      </c>
      <c r="G509" s="95">
        <v>0.114</v>
      </c>
      <c r="I509" s="27">
        <f t="shared" ref="I509" si="14">AVERAGE(F508:F509)</f>
        <v>0.94199999999999995</v>
      </c>
      <c r="J509" s="27">
        <f t="shared" ref="J509" si="15">AVERAGE(G508:G509)</f>
        <v>0.192</v>
      </c>
      <c r="L509">
        <f t="shared" ref="L509" si="16">+J509/I509</f>
        <v>0.20382165605095542</v>
      </c>
      <c r="M509">
        <f t="shared" ref="M509" si="17">+(L509-$L$614)/$L$615</f>
        <v>-0.43384469909909651</v>
      </c>
      <c r="N509">
        <f t="shared" ref="N509" si="18">+N507+M509</f>
        <v>8.4678820627190881</v>
      </c>
    </row>
    <row r="510" spans="1:14">
      <c r="A510" s="8">
        <v>9</v>
      </c>
      <c r="B510" s="71">
        <v>44136</v>
      </c>
      <c r="C510">
        <v>2020</v>
      </c>
      <c r="D510" s="11" t="s">
        <v>37</v>
      </c>
      <c r="E510" s="15">
        <v>11</v>
      </c>
      <c r="F510" s="87">
        <v>0.47699999999999998</v>
      </c>
      <c r="G510" s="87">
        <v>0.13650000000000001</v>
      </c>
      <c r="H510" s="93" t="s">
        <v>100</v>
      </c>
    </row>
    <row r="511" spans="1:14">
      <c r="A511" s="8">
        <v>10</v>
      </c>
      <c r="B511" s="71">
        <v>44136</v>
      </c>
      <c r="C511">
        <v>2020</v>
      </c>
      <c r="D511" s="11" t="s">
        <v>37</v>
      </c>
      <c r="E511" s="15">
        <v>11</v>
      </c>
      <c r="F511" s="87">
        <v>0.36699999999999999</v>
      </c>
      <c r="G511" s="87">
        <v>6.8500000000000005E-2</v>
      </c>
      <c r="H511" s="93" t="s">
        <v>100</v>
      </c>
      <c r="I511" s="27">
        <f t="shared" ref="I511" si="19">AVERAGE(F510:F511)</f>
        <v>0.42199999999999999</v>
      </c>
      <c r="J511" s="27">
        <f t="shared" ref="J511" si="20">AVERAGE(G510:G511)</f>
        <v>0.10250000000000001</v>
      </c>
      <c r="L511">
        <f t="shared" ref="L511" si="21">+J511/I511</f>
        <v>0.24289099526066354</v>
      </c>
      <c r="M511">
        <f t="shared" ref="M511" si="22">+(L511-$L$614)/$L$615</f>
        <v>-3.0243769835982672E-2</v>
      </c>
      <c r="N511">
        <f t="shared" ref="N511" si="23">+N509+M511</f>
        <v>8.437638292883106</v>
      </c>
    </row>
    <row r="512" spans="1:14">
      <c r="A512" s="8">
        <v>9</v>
      </c>
      <c r="B512" s="72">
        <v>44166</v>
      </c>
      <c r="C512">
        <v>2020</v>
      </c>
      <c r="D512" s="11" t="s">
        <v>38</v>
      </c>
      <c r="E512" s="15">
        <v>12</v>
      </c>
    </row>
    <row r="513" spans="1:14">
      <c r="A513" s="8">
        <v>10</v>
      </c>
      <c r="B513" s="71">
        <v>44166</v>
      </c>
      <c r="C513">
        <v>2020</v>
      </c>
      <c r="D513" s="11" t="s">
        <v>38</v>
      </c>
      <c r="E513" s="15">
        <v>12</v>
      </c>
      <c r="I513" s="27"/>
      <c r="J513" s="27"/>
    </row>
    <row r="514" spans="1:14">
      <c r="A514" s="85">
        <v>9</v>
      </c>
      <c r="B514" s="88">
        <v>44197</v>
      </c>
      <c r="C514" s="89">
        <v>2021</v>
      </c>
      <c r="D514" s="90" t="s">
        <v>39</v>
      </c>
      <c r="E514" s="91">
        <v>1</v>
      </c>
    </row>
    <row r="515" spans="1:14">
      <c r="A515" s="8">
        <v>10</v>
      </c>
      <c r="B515" s="73">
        <v>44197</v>
      </c>
      <c r="C515">
        <v>2021</v>
      </c>
      <c r="D515" s="11" t="s">
        <v>39</v>
      </c>
      <c r="E515" s="15">
        <v>1</v>
      </c>
      <c r="I515" s="27"/>
      <c r="J515" s="27"/>
    </row>
    <row r="516" spans="1:14">
      <c r="A516" s="8">
        <v>9</v>
      </c>
      <c r="B516" s="71">
        <v>44228</v>
      </c>
      <c r="C516">
        <v>2021</v>
      </c>
      <c r="D516" s="11" t="s">
        <v>28</v>
      </c>
      <c r="E516" s="15">
        <v>2</v>
      </c>
      <c r="F516" s="95">
        <v>1.8140000000000001</v>
      </c>
      <c r="G516" s="95">
        <v>0.43099999999999999</v>
      </c>
    </row>
    <row r="517" spans="1:14">
      <c r="A517" s="8">
        <v>10</v>
      </c>
      <c r="B517" s="71">
        <v>44228</v>
      </c>
      <c r="C517">
        <v>2021</v>
      </c>
      <c r="D517" s="11" t="s">
        <v>28</v>
      </c>
      <c r="E517" s="15">
        <v>2</v>
      </c>
      <c r="F517" s="95">
        <v>3.0790000000000002</v>
      </c>
      <c r="G517" s="95">
        <v>0.81699999999999995</v>
      </c>
      <c r="I517" s="27">
        <f t="shared" ref="I517" si="24">AVERAGE(F516:F517)</f>
        <v>2.4465000000000003</v>
      </c>
      <c r="J517" s="27">
        <f t="shared" ref="J517" si="25">AVERAGE(G516:G517)</f>
        <v>0.624</v>
      </c>
      <c r="L517">
        <f t="shared" ref="L517" si="26">+J517/I517</f>
        <v>0.25505824647455544</v>
      </c>
      <c r="M517">
        <f t="shared" ref="M517" si="27">+(L517-$L$614)/$L$615</f>
        <v>9.5448499238388634E-2</v>
      </c>
      <c r="N517">
        <f>+N511+M517</f>
        <v>8.5330867921214946</v>
      </c>
    </row>
    <row r="518" spans="1:14">
      <c r="A518" s="8">
        <v>9</v>
      </c>
      <c r="B518" s="71">
        <v>44256</v>
      </c>
      <c r="C518">
        <v>2021</v>
      </c>
      <c r="D518" s="11" t="s">
        <v>29</v>
      </c>
      <c r="E518" s="15">
        <v>3</v>
      </c>
      <c r="F518" s="95">
        <v>1.944</v>
      </c>
      <c r="G518" s="95">
        <v>0.55300000000000005</v>
      </c>
    </row>
    <row r="519" spans="1:14">
      <c r="A519" s="8">
        <v>10</v>
      </c>
      <c r="B519" s="71">
        <v>44256</v>
      </c>
      <c r="C519">
        <v>2021</v>
      </c>
      <c r="D519" s="11" t="s">
        <v>29</v>
      </c>
      <c r="E519" s="15">
        <v>3</v>
      </c>
      <c r="F519" s="95">
        <v>2.294</v>
      </c>
      <c r="G519" s="95">
        <v>0.61</v>
      </c>
      <c r="I519" s="27">
        <f t="shared" ref="I519" si="28">AVERAGE(F518:F519)</f>
        <v>2.1189999999999998</v>
      </c>
      <c r="J519" s="27">
        <f t="shared" ref="J519" si="29">AVERAGE(G518:G519)</f>
        <v>0.58150000000000002</v>
      </c>
      <c r="L519">
        <f t="shared" ref="L519" si="30">+J519/I519</f>
        <v>0.27442189712128368</v>
      </c>
      <c r="M519">
        <f t="shared" ref="M519" si="31">+(L519-$L$614)/$L$615</f>
        <v>0.29548227388190396</v>
      </c>
      <c r="N519">
        <f>+N517+M519</f>
        <v>8.8285690660033982</v>
      </c>
    </row>
    <row r="520" spans="1:14">
      <c r="A520" s="8">
        <v>9</v>
      </c>
      <c r="B520" s="71">
        <v>44287</v>
      </c>
      <c r="C520">
        <v>2021</v>
      </c>
      <c r="D520" s="11" t="s">
        <v>30</v>
      </c>
      <c r="E520" s="15">
        <v>4</v>
      </c>
      <c r="F520" s="95">
        <v>0.49099999999999999</v>
      </c>
      <c r="G520" s="95">
        <v>0.11799999999999999</v>
      </c>
    </row>
    <row r="521" spans="1:14">
      <c r="A521" s="8">
        <v>10</v>
      </c>
      <c r="B521" s="71">
        <v>44287</v>
      </c>
      <c r="C521">
        <v>2021</v>
      </c>
      <c r="D521" s="11" t="s">
        <v>30</v>
      </c>
      <c r="E521" s="15">
        <v>4</v>
      </c>
      <c r="F521" s="95">
        <v>0.92900000000000005</v>
      </c>
      <c r="G521" s="95">
        <v>0.161</v>
      </c>
      <c r="I521" s="27">
        <f t="shared" ref="I521" si="32">AVERAGE(F520:F521)</f>
        <v>0.71</v>
      </c>
      <c r="J521" s="27">
        <f t="shared" ref="J521" si="33">AVERAGE(G520:G521)</f>
        <v>0.13950000000000001</v>
      </c>
      <c r="L521">
        <f t="shared" ref="L521" si="34">+J521/I521</f>
        <v>0.19647887323943664</v>
      </c>
      <c r="M521">
        <f t="shared" ref="M521" si="35">+(L521-$L$614)/$L$615</f>
        <v>-0.50969839987962584</v>
      </c>
      <c r="N521">
        <f t="shared" ref="N521" si="36">+N519+M521</f>
        <v>8.3188706661237717</v>
      </c>
    </row>
    <row r="522" spans="1:14">
      <c r="A522" s="8">
        <v>9</v>
      </c>
      <c r="B522" s="71">
        <v>44317</v>
      </c>
      <c r="C522">
        <v>2021</v>
      </c>
      <c r="D522" s="11" t="s">
        <v>31</v>
      </c>
      <c r="E522" s="15">
        <v>5</v>
      </c>
      <c r="F522" s="95">
        <v>1.1020000000000001</v>
      </c>
      <c r="G522" s="95">
        <v>0.28599999999999998</v>
      </c>
    </row>
    <row r="523" spans="1:14">
      <c r="A523" s="8">
        <v>10</v>
      </c>
      <c r="B523" s="71">
        <v>44317</v>
      </c>
      <c r="C523">
        <v>2021</v>
      </c>
      <c r="D523" s="11" t="s">
        <v>31</v>
      </c>
      <c r="E523" s="15">
        <v>5</v>
      </c>
      <c r="F523" s="95">
        <v>1.2370000000000001</v>
      </c>
      <c r="G523" s="95">
        <v>0.192</v>
      </c>
      <c r="I523" s="27">
        <f t="shared" ref="I523" si="37">AVERAGE(F522:F523)</f>
        <v>1.1695000000000002</v>
      </c>
      <c r="J523" s="27">
        <f t="shared" ref="J523" si="38">AVERAGE(G522:G523)</f>
        <v>0.23899999999999999</v>
      </c>
      <c r="L523">
        <f t="shared" ref="L523" si="39">+J523/I523</f>
        <v>0.20436083796494223</v>
      </c>
      <c r="M523">
        <f t="shared" ref="M523" si="40">+(L523-$L$614)/$L$615</f>
        <v>-0.42827474767609258</v>
      </c>
      <c r="N523">
        <f t="shared" ref="N523" si="41">+N521+M523</f>
        <v>7.890595918447679</v>
      </c>
    </row>
    <row r="524" spans="1:14">
      <c r="A524" s="8">
        <v>9</v>
      </c>
      <c r="B524" s="71">
        <v>44348</v>
      </c>
      <c r="C524">
        <v>2021</v>
      </c>
      <c r="D524" s="11" t="s">
        <v>32</v>
      </c>
      <c r="E524" s="15">
        <v>6</v>
      </c>
      <c r="F524" s="95">
        <v>4.4279999999999999</v>
      </c>
      <c r="G524" s="95">
        <v>1.1759999999999999</v>
      </c>
    </row>
    <row r="525" spans="1:14">
      <c r="A525" s="8">
        <v>10</v>
      </c>
      <c r="B525" s="71">
        <v>44348</v>
      </c>
      <c r="C525">
        <v>2021</v>
      </c>
      <c r="D525" s="11" t="s">
        <v>32</v>
      </c>
      <c r="E525" s="15">
        <v>6</v>
      </c>
      <c r="F525" s="95">
        <v>7.2560000000000002</v>
      </c>
      <c r="G525" s="95">
        <v>1.8720000000000001</v>
      </c>
      <c r="I525" s="27">
        <f t="shared" ref="I525" si="42">AVERAGE(F524:F525)</f>
        <v>5.8420000000000005</v>
      </c>
      <c r="J525" s="27">
        <f t="shared" ref="J525" si="43">AVERAGE(G524:G525)</f>
        <v>1.524</v>
      </c>
      <c r="L525">
        <f t="shared" ref="L525" si="44">+J525/I525</f>
        <v>0.2608695652173913</v>
      </c>
      <c r="M525">
        <f t="shared" ref="M525" si="45">+(L525-$L$614)/$L$615</f>
        <v>0.15548160172479808</v>
      </c>
      <c r="N525">
        <f t="shared" ref="N525" si="46">+N523+M525</f>
        <v>8.0460775201724779</v>
      </c>
    </row>
    <row r="526" spans="1:14">
      <c r="A526" s="8">
        <v>9</v>
      </c>
      <c r="B526" s="71">
        <v>44378</v>
      </c>
      <c r="C526">
        <v>2021</v>
      </c>
      <c r="D526" s="11" t="s">
        <v>33</v>
      </c>
      <c r="E526" s="15">
        <v>7</v>
      </c>
      <c r="H526" s="93" t="s">
        <v>96</v>
      </c>
    </row>
    <row r="527" spans="1:14">
      <c r="A527" s="8">
        <v>10</v>
      </c>
      <c r="B527" s="71">
        <v>44378</v>
      </c>
      <c r="C527">
        <v>2021</v>
      </c>
      <c r="D527" s="11" t="s">
        <v>33</v>
      </c>
      <c r="E527" s="15">
        <v>7</v>
      </c>
      <c r="H527" s="93" t="s">
        <v>97</v>
      </c>
      <c r="I527" s="27"/>
      <c r="J527" s="27"/>
    </row>
    <row r="528" spans="1:14">
      <c r="A528" s="8">
        <v>9</v>
      </c>
      <c r="B528" s="71">
        <v>44409</v>
      </c>
      <c r="C528">
        <v>2021</v>
      </c>
      <c r="D528" s="11" t="s">
        <v>34</v>
      </c>
      <c r="E528" s="15">
        <v>8</v>
      </c>
      <c r="F528" s="95">
        <v>1.7909999999999999</v>
      </c>
      <c r="G528" s="95">
        <v>0.18</v>
      </c>
    </row>
    <row r="529" spans="1:14">
      <c r="A529" s="8">
        <v>10</v>
      </c>
      <c r="B529" s="71">
        <v>44409</v>
      </c>
      <c r="C529">
        <v>2021</v>
      </c>
      <c r="D529" s="11" t="s">
        <v>34</v>
      </c>
      <c r="E529" s="15">
        <v>8</v>
      </c>
      <c r="F529" s="95">
        <v>2.581</v>
      </c>
      <c r="G529" s="95">
        <v>0.42899999999999999</v>
      </c>
      <c r="I529" s="27">
        <f t="shared" ref="I529" si="47">AVERAGE(F528:F529)</f>
        <v>2.1859999999999999</v>
      </c>
      <c r="J529" s="27">
        <f t="shared" ref="J529" si="48">AVERAGE(G528:G529)</f>
        <v>0.30449999999999999</v>
      </c>
      <c r="L529">
        <f t="shared" ref="L529" si="49">+J529/I529</f>
        <v>0.13929551692589204</v>
      </c>
      <c r="M529">
        <f t="shared" ref="M529" si="50">+(L529-$L$614)/$L$615</f>
        <v>-1.1004239205404798</v>
      </c>
      <c r="N529">
        <f>+N525+M529</f>
        <v>6.9456535996319984</v>
      </c>
    </row>
    <row r="530" spans="1:14">
      <c r="A530" s="8">
        <v>9</v>
      </c>
      <c r="B530" s="71">
        <v>44440</v>
      </c>
      <c r="C530">
        <v>2021</v>
      </c>
      <c r="D530" s="11" t="s">
        <v>40</v>
      </c>
      <c r="E530" s="15">
        <v>9</v>
      </c>
      <c r="F530" s="95">
        <v>1.242</v>
      </c>
      <c r="G530" s="95">
        <v>0.252</v>
      </c>
    </row>
    <row r="531" spans="1:14">
      <c r="A531" s="8">
        <v>10</v>
      </c>
      <c r="B531" s="71">
        <v>44440</v>
      </c>
      <c r="C531">
        <v>2021</v>
      </c>
      <c r="D531" s="11" t="s">
        <v>40</v>
      </c>
      <c r="E531" s="15">
        <v>9</v>
      </c>
      <c r="F531" s="95">
        <v>1.141</v>
      </c>
      <c r="G531" s="95">
        <v>0.20200000000000001</v>
      </c>
      <c r="I531" s="27">
        <f t="shared" ref="I531" si="51">AVERAGE(F530:F531)</f>
        <v>1.1915</v>
      </c>
      <c r="J531" s="27">
        <f t="shared" ref="J531" si="52">AVERAGE(G530:G531)</f>
        <v>0.22700000000000001</v>
      </c>
      <c r="L531">
        <f t="shared" ref="L531" si="53">+J531/I531</f>
        <v>0.19051615610574907</v>
      </c>
      <c r="M531">
        <f t="shared" ref="M531" si="54">+(L531-$L$614)/$L$615</f>
        <v>-0.571295504534301</v>
      </c>
      <c r="N531">
        <f>+N529+M531</f>
        <v>6.3743580950976977</v>
      </c>
    </row>
    <row r="532" spans="1:14">
      <c r="A532" s="8">
        <v>9</v>
      </c>
      <c r="B532" s="71">
        <v>44470</v>
      </c>
      <c r="C532">
        <v>2021</v>
      </c>
      <c r="D532" s="11" t="s">
        <v>36</v>
      </c>
      <c r="E532" s="15">
        <v>10</v>
      </c>
      <c r="F532" s="95">
        <v>1.8680000000000001</v>
      </c>
      <c r="G532" s="95">
        <v>0.29899999999999999</v>
      </c>
    </row>
    <row r="533" spans="1:14">
      <c r="A533" s="8">
        <v>10</v>
      </c>
      <c r="B533" s="71">
        <v>44470</v>
      </c>
      <c r="C533">
        <v>2021</v>
      </c>
      <c r="D533" s="11" t="s">
        <v>36</v>
      </c>
      <c r="E533" s="15">
        <v>10</v>
      </c>
      <c r="F533" s="95">
        <v>1.8009999999999999</v>
      </c>
      <c r="G533" s="95">
        <v>0.26300000000000001</v>
      </c>
      <c r="I533" s="27">
        <f t="shared" ref="I533" si="55">AVERAGE(F532:F533)</f>
        <v>1.8345</v>
      </c>
      <c r="J533" s="27">
        <f t="shared" ref="J533" si="56">AVERAGE(G532:G533)</f>
        <v>0.28100000000000003</v>
      </c>
      <c r="L533">
        <f t="shared" ref="L533" si="57">+J533/I533</f>
        <v>0.15317525211229219</v>
      </c>
      <c r="M533">
        <f t="shared" ref="M533" si="58">+(L533-$L$614)/$L$615</f>
        <v>-0.95704104966343517</v>
      </c>
      <c r="N533">
        <f t="shared" ref="N533" si="59">+N531+M533</f>
        <v>5.4173170454342623</v>
      </c>
    </row>
    <row r="534" spans="1:14">
      <c r="A534" s="8">
        <v>9</v>
      </c>
      <c r="B534" s="71">
        <v>44501</v>
      </c>
      <c r="C534">
        <v>2021</v>
      </c>
      <c r="D534" s="11" t="s">
        <v>37</v>
      </c>
      <c r="E534" s="15">
        <v>11</v>
      </c>
      <c r="F534" s="95">
        <v>1.008</v>
      </c>
      <c r="G534" s="95">
        <v>0.2</v>
      </c>
    </row>
    <row r="535" spans="1:14">
      <c r="A535" s="8">
        <v>10</v>
      </c>
      <c r="B535" s="71">
        <v>44501</v>
      </c>
      <c r="C535">
        <v>2021</v>
      </c>
      <c r="D535" s="11" t="s">
        <v>37</v>
      </c>
      <c r="E535" s="15">
        <v>11</v>
      </c>
      <c r="F535" s="95">
        <v>1.512</v>
      </c>
      <c r="G535" s="95">
        <v>0.29299999999999998</v>
      </c>
      <c r="I535" s="27">
        <f t="shared" ref="I535" si="60">AVERAGE(F534:F535)</f>
        <v>1.26</v>
      </c>
      <c r="J535" s="27">
        <f t="shared" ref="J535" si="61">AVERAGE(G534:G535)</f>
        <v>0.2465</v>
      </c>
      <c r="L535">
        <f t="shared" ref="L535" si="62">+J535/I535</f>
        <v>0.19563492063492063</v>
      </c>
      <c r="M535">
        <f t="shared" ref="M535" si="63">+(L535-$L$614)/$L$615</f>
        <v>-0.51841674685776074</v>
      </c>
      <c r="N535">
        <f t="shared" ref="N535" si="64">+N533+M535</f>
        <v>4.8989002985765016</v>
      </c>
    </row>
    <row r="536" spans="1:14">
      <c r="A536" s="8">
        <v>9</v>
      </c>
      <c r="B536" s="72">
        <v>44531</v>
      </c>
      <c r="C536">
        <v>2021</v>
      </c>
      <c r="D536" s="11" t="s">
        <v>38</v>
      </c>
      <c r="E536" s="15">
        <v>12</v>
      </c>
      <c r="F536" s="95">
        <v>12.759</v>
      </c>
      <c r="G536" s="95">
        <v>3.7330000000000001</v>
      </c>
    </row>
    <row r="537" spans="1:14">
      <c r="A537" s="8">
        <v>10</v>
      </c>
      <c r="B537" s="71">
        <v>44531</v>
      </c>
      <c r="C537">
        <v>2021</v>
      </c>
      <c r="D537" s="11" t="s">
        <v>38</v>
      </c>
      <c r="E537" s="15">
        <v>12</v>
      </c>
      <c r="F537" s="95">
        <v>12.851000000000001</v>
      </c>
      <c r="G537" s="95">
        <v>3.722</v>
      </c>
      <c r="I537" s="27">
        <f t="shared" ref="I537:J537" si="65">AVERAGE(F536:F537)</f>
        <v>12.805</v>
      </c>
      <c r="J537" s="27">
        <f t="shared" si="65"/>
        <v>3.7275</v>
      </c>
      <c r="L537">
        <f t="shared" ref="L537" si="66">+J537/I537</f>
        <v>0.29109722764545098</v>
      </c>
      <c r="M537">
        <f t="shared" ref="M537" si="67">+(L537-$L$614)/$L$615</f>
        <v>0.46774469324862694</v>
      </c>
      <c r="N537">
        <f t="shared" ref="N537" si="68">+N535+M537</f>
        <v>5.3666449918251287</v>
      </c>
    </row>
    <row r="538" spans="1:14">
      <c r="A538" s="85">
        <v>9</v>
      </c>
      <c r="B538" s="88">
        <v>44562</v>
      </c>
      <c r="C538" s="89">
        <v>2022</v>
      </c>
      <c r="D538" s="90" t="s">
        <v>39</v>
      </c>
      <c r="E538" s="91">
        <v>1</v>
      </c>
      <c r="H538" s="93" t="s">
        <v>93</v>
      </c>
    </row>
    <row r="539" spans="1:14">
      <c r="A539" s="8">
        <v>10</v>
      </c>
      <c r="B539" s="73">
        <v>44562</v>
      </c>
      <c r="C539">
        <v>2022</v>
      </c>
      <c r="D539" s="11" t="s">
        <v>39</v>
      </c>
      <c r="E539" s="15">
        <v>1</v>
      </c>
      <c r="H539" s="93" t="s">
        <v>94</v>
      </c>
    </row>
    <row r="540" spans="1:14">
      <c r="A540" s="8">
        <v>9</v>
      </c>
      <c r="B540" s="71">
        <v>44593</v>
      </c>
      <c r="C540">
        <v>2022</v>
      </c>
      <c r="D540" s="11" t="s">
        <v>28</v>
      </c>
      <c r="E540" s="15">
        <v>2</v>
      </c>
      <c r="H540" s="93" t="s">
        <v>95</v>
      </c>
    </row>
    <row r="541" spans="1:14">
      <c r="A541" s="8">
        <v>10</v>
      </c>
      <c r="B541" s="71">
        <v>44593</v>
      </c>
      <c r="C541">
        <v>2022</v>
      </c>
      <c r="D541" s="11" t="s">
        <v>28</v>
      </c>
      <c r="E541" s="15">
        <v>2</v>
      </c>
    </row>
    <row r="542" spans="1:14">
      <c r="A542" s="8">
        <v>9</v>
      </c>
      <c r="B542" s="71">
        <v>44621</v>
      </c>
      <c r="C542">
        <v>2022</v>
      </c>
      <c r="D542" s="11" t="s">
        <v>29</v>
      </c>
      <c r="E542" s="15">
        <v>3</v>
      </c>
    </row>
    <row r="543" spans="1:14">
      <c r="A543" s="8">
        <v>10</v>
      </c>
      <c r="B543" s="71">
        <v>44621</v>
      </c>
      <c r="C543">
        <v>2022</v>
      </c>
      <c r="D543" s="11" t="s">
        <v>29</v>
      </c>
      <c r="E543" s="15">
        <v>3</v>
      </c>
    </row>
    <row r="544" spans="1:14">
      <c r="A544" s="8">
        <v>9</v>
      </c>
      <c r="B544" s="71">
        <v>44652</v>
      </c>
      <c r="C544">
        <v>2022</v>
      </c>
      <c r="D544" s="11" t="s">
        <v>30</v>
      </c>
      <c r="E544" s="15">
        <v>4</v>
      </c>
    </row>
    <row r="545" spans="1:5">
      <c r="A545" s="8">
        <v>10</v>
      </c>
      <c r="B545" s="71">
        <v>44652</v>
      </c>
      <c r="C545">
        <v>2022</v>
      </c>
      <c r="D545" s="11" t="s">
        <v>30</v>
      </c>
      <c r="E545" s="15">
        <v>4</v>
      </c>
    </row>
    <row r="546" spans="1:5">
      <c r="A546" s="8">
        <v>9</v>
      </c>
      <c r="B546" s="71">
        <v>44682</v>
      </c>
      <c r="C546">
        <v>2022</v>
      </c>
      <c r="D546" s="11" t="s">
        <v>31</v>
      </c>
      <c r="E546" s="15">
        <v>5</v>
      </c>
    </row>
    <row r="547" spans="1:5">
      <c r="A547" s="8">
        <v>10</v>
      </c>
      <c r="B547" s="71">
        <v>44682</v>
      </c>
      <c r="C547">
        <v>2022</v>
      </c>
      <c r="D547" s="11" t="s">
        <v>31</v>
      </c>
      <c r="E547" s="15">
        <v>5</v>
      </c>
    </row>
    <row r="548" spans="1:5">
      <c r="A548" s="8">
        <v>9</v>
      </c>
      <c r="B548" s="71">
        <v>44713</v>
      </c>
      <c r="C548">
        <v>2022</v>
      </c>
      <c r="D548" s="11" t="s">
        <v>32</v>
      </c>
      <c r="E548" s="15">
        <v>6</v>
      </c>
    </row>
    <row r="549" spans="1:5">
      <c r="A549" s="8">
        <v>10</v>
      </c>
      <c r="B549" s="71">
        <v>44713</v>
      </c>
      <c r="C549">
        <v>2022</v>
      </c>
      <c r="D549" s="11" t="s">
        <v>32</v>
      </c>
      <c r="E549" s="15">
        <v>6</v>
      </c>
    </row>
    <row r="550" spans="1:5">
      <c r="A550" s="8">
        <v>9</v>
      </c>
      <c r="B550" s="71">
        <v>44743</v>
      </c>
      <c r="C550">
        <v>2022</v>
      </c>
      <c r="D550" s="11" t="s">
        <v>33</v>
      </c>
      <c r="E550" s="15">
        <v>7</v>
      </c>
    </row>
    <row r="551" spans="1:5">
      <c r="A551" s="8">
        <v>10</v>
      </c>
      <c r="B551" s="71">
        <v>44743</v>
      </c>
      <c r="C551">
        <v>2022</v>
      </c>
      <c r="D551" s="11" t="s">
        <v>33</v>
      </c>
      <c r="E551" s="15">
        <v>7</v>
      </c>
    </row>
    <row r="552" spans="1:5">
      <c r="A552" s="8">
        <v>9</v>
      </c>
      <c r="B552" s="71">
        <v>44774</v>
      </c>
      <c r="C552">
        <v>2022</v>
      </c>
      <c r="D552" s="11" t="s">
        <v>34</v>
      </c>
      <c r="E552" s="15">
        <v>8</v>
      </c>
    </row>
    <row r="553" spans="1:5">
      <c r="A553" s="8">
        <v>10</v>
      </c>
      <c r="B553" s="71">
        <v>44774</v>
      </c>
      <c r="C553">
        <v>2022</v>
      </c>
      <c r="D553" s="11" t="s">
        <v>34</v>
      </c>
      <c r="E553" s="15">
        <v>8</v>
      </c>
    </row>
    <row r="554" spans="1:5">
      <c r="A554" s="8">
        <v>9</v>
      </c>
      <c r="B554" s="71">
        <v>44805</v>
      </c>
      <c r="C554">
        <v>2022</v>
      </c>
      <c r="D554" s="11" t="s">
        <v>40</v>
      </c>
      <c r="E554" s="15">
        <v>9</v>
      </c>
    </row>
    <row r="555" spans="1:5">
      <c r="A555" s="8">
        <v>10</v>
      </c>
      <c r="B555" s="71">
        <v>44805</v>
      </c>
      <c r="C555">
        <v>2022</v>
      </c>
      <c r="D555" s="11" t="s">
        <v>40</v>
      </c>
      <c r="E555" s="15">
        <v>9</v>
      </c>
    </row>
    <row r="556" spans="1:5">
      <c r="A556" s="8">
        <v>9</v>
      </c>
      <c r="B556" s="71">
        <v>44835</v>
      </c>
      <c r="C556">
        <v>2022</v>
      </c>
      <c r="D556" s="11" t="s">
        <v>36</v>
      </c>
      <c r="E556" s="15">
        <v>10</v>
      </c>
    </row>
    <row r="557" spans="1:5">
      <c r="A557" s="8">
        <v>10</v>
      </c>
      <c r="B557" s="71">
        <v>44835</v>
      </c>
      <c r="C557">
        <v>2022</v>
      </c>
      <c r="D557" s="11" t="s">
        <v>36</v>
      </c>
      <c r="E557" s="15">
        <v>10</v>
      </c>
    </row>
    <row r="558" spans="1:5">
      <c r="A558" s="8">
        <v>9</v>
      </c>
      <c r="B558" s="71">
        <v>44866</v>
      </c>
      <c r="C558">
        <v>2022</v>
      </c>
      <c r="D558" s="11" t="s">
        <v>37</v>
      </c>
      <c r="E558" s="15">
        <v>11</v>
      </c>
    </row>
    <row r="559" spans="1:5">
      <c r="A559" s="8">
        <v>10</v>
      </c>
      <c r="B559" s="71">
        <v>44866</v>
      </c>
      <c r="C559">
        <v>2022</v>
      </c>
      <c r="D559" s="11" t="s">
        <v>37</v>
      </c>
      <c r="E559" s="15">
        <v>11</v>
      </c>
    </row>
    <row r="560" spans="1:5">
      <c r="A560" s="8">
        <v>9</v>
      </c>
      <c r="B560" s="72">
        <v>44896</v>
      </c>
      <c r="C560">
        <v>2022</v>
      </c>
      <c r="D560" s="11" t="s">
        <v>38</v>
      </c>
      <c r="E560" s="15">
        <v>12</v>
      </c>
    </row>
    <row r="561" spans="1:14">
      <c r="A561" s="8">
        <v>10</v>
      </c>
      <c r="B561" s="71">
        <v>44896</v>
      </c>
      <c r="C561">
        <v>2022</v>
      </c>
      <c r="D561" s="11" t="s">
        <v>38</v>
      </c>
      <c r="E561" s="15">
        <v>12</v>
      </c>
    </row>
    <row r="562" spans="1:14">
      <c r="A562" s="85">
        <v>9</v>
      </c>
      <c r="B562" s="88">
        <v>44927</v>
      </c>
      <c r="C562" s="89">
        <v>2023</v>
      </c>
      <c r="D562" s="90" t="s">
        <v>39</v>
      </c>
      <c r="E562" s="91">
        <v>1</v>
      </c>
      <c r="F562" s="96">
        <v>1.141</v>
      </c>
      <c r="G562" s="95">
        <v>0.215</v>
      </c>
    </row>
    <row r="563" spans="1:14">
      <c r="A563" s="8">
        <v>10</v>
      </c>
      <c r="B563" s="73">
        <v>44927</v>
      </c>
      <c r="C563">
        <v>2023</v>
      </c>
      <c r="D563" s="11" t="s">
        <v>39</v>
      </c>
      <c r="E563" s="15">
        <v>1</v>
      </c>
      <c r="F563" s="96">
        <v>3.2789999999999999</v>
      </c>
      <c r="G563" s="95">
        <v>0.32200000000000001</v>
      </c>
      <c r="I563" s="27">
        <f>AVERAGE(F562:F563)</f>
        <v>2.21</v>
      </c>
      <c r="J563" s="27">
        <f>AVERAGE(G562:G563)</f>
        <v>0.26850000000000002</v>
      </c>
      <c r="L563">
        <f>+J563/I563</f>
        <v>0.12149321266968327</v>
      </c>
      <c r="M563">
        <f>+(L563-$L$614)/$L$615</f>
        <v>-1.284328401296202</v>
      </c>
      <c r="N563">
        <f>+N537+M563</f>
        <v>4.0823165905289267</v>
      </c>
    </row>
    <row r="564" spans="1:14">
      <c r="A564" s="8">
        <v>9</v>
      </c>
      <c r="B564" s="71">
        <v>44958</v>
      </c>
      <c r="C564">
        <v>2023</v>
      </c>
      <c r="D564" s="11" t="s">
        <v>28</v>
      </c>
      <c r="E564" s="15">
        <v>2</v>
      </c>
      <c r="F564" s="78">
        <v>8.7460000000000004</v>
      </c>
      <c r="G564" s="78">
        <v>2.2599999999999998</v>
      </c>
    </row>
    <row r="565" spans="1:14">
      <c r="A565" s="8">
        <v>10</v>
      </c>
      <c r="B565" s="71">
        <v>44958</v>
      </c>
      <c r="C565">
        <v>2023</v>
      </c>
      <c r="D565" s="11" t="s">
        <v>28</v>
      </c>
      <c r="E565" s="15">
        <v>2</v>
      </c>
      <c r="F565" s="78">
        <v>1.1359999999999999</v>
      </c>
      <c r="G565" s="78">
        <v>0.35899999999999999</v>
      </c>
      <c r="I565" s="27">
        <f t="shared" ref="I565" si="69">AVERAGE(F564:F565)</f>
        <v>4.9409999999999998</v>
      </c>
      <c r="J565" s="27">
        <f t="shared" ref="J565" si="70">AVERAGE(G564:G565)</f>
        <v>1.3094999999999999</v>
      </c>
      <c r="L565">
        <f t="shared" ref="L565" si="71">+J565/I565</f>
        <v>0.26502732240437155</v>
      </c>
      <c r="M565">
        <f t="shared" ref="M565" si="72">+(L565-$L$614)/$L$615</f>
        <v>0.19843279307483361</v>
      </c>
      <c r="N565">
        <f>+N563+M565</f>
        <v>4.2807493836037604</v>
      </c>
    </row>
    <row r="566" spans="1:14">
      <c r="A566" s="8">
        <v>9</v>
      </c>
      <c r="B566" s="71">
        <v>44986</v>
      </c>
      <c r="C566">
        <v>2023</v>
      </c>
      <c r="D566" s="11" t="s">
        <v>29</v>
      </c>
      <c r="E566" s="15">
        <v>3</v>
      </c>
      <c r="F566" s="78">
        <v>3.0510000000000002</v>
      </c>
      <c r="G566" s="78">
        <v>0.90700000000000003</v>
      </c>
    </row>
    <row r="567" spans="1:14">
      <c r="A567" s="8">
        <v>10</v>
      </c>
      <c r="B567" s="71">
        <v>44986</v>
      </c>
      <c r="C567">
        <v>2023</v>
      </c>
      <c r="D567" s="11" t="s">
        <v>29</v>
      </c>
      <c r="E567" s="15">
        <v>3</v>
      </c>
      <c r="F567" s="78">
        <v>2.5550000000000002</v>
      </c>
      <c r="G567" s="78">
        <v>0.69299999999999995</v>
      </c>
      <c r="I567" s="27">
        <f t="shared" ref="I567" si="73">AVERAGE(F566:F567)</f>
        <v>2.8029999999999999</v>
      </c>
      <c r="J567" s="27">
        <f t="shared" ref="J567" si="74">AVERAGE(G566:G567)</f>
        <v>0.8</v>
      </c>
      <c r="L567">
        <f t="shared" ref="L567" si="75">+J567/I567</f>
        <v>0.28540849090260439</v>
      </c>
      <c r="M567">
        <f t="shared" ref="M567" si="76">+(L567-$L$614)/$L$615</f>
        <v>0.40897790880361162</v>
      </c>
      <c r="N567">
        <f t="shared" ref="N567" si="77">+N565+M567</f>
        <v>4.6897272924073725</v>
      </c>
    </row>
    <row r="568" spans="1:14">
      <c r="A568" s="8">
        <v>9</v>
      </c>
      <c r="B568" s="71">
        <v>45017</v>
      </c>
      <c r="C568">
        <v>2023</v>
      </c>
      <c r="D568" s="11" t="s">
        <v>30</v>
      </c>
      <c r="E568" s="15">
        <v>4</v>
      </c>
      <c r="F568" s="78">
        <v>2.9</v>
      </c>
      <c r="G568" s="78">
        <v>0.92100000000000004</v>
      </c>
    </row>
    <row r="569" spans="1:14">
      <c r="A569" s="8">
        <v>10</v>
      </c>
      <c r="B569" s="71">
        <v>45017</v>
      </c>
      <c r="C569">
        <v>2023</v>
      </c>
      <c r="D569" s="11" t="s">
        <v>30</v>
      </c>
      <c r="E569" s="15">
        <v>4</v>
      </c>
      <c r="F569" s="78">
        <v>2.5289999999999999</v>
      </c>
      <c r="G569" s="78">
        <v>0.67400000000000004</v>
      </c>
      <c r="I569" s="27">
        <f t="shared" ref="I569" si="78">AVERAGE(F568:F569)</f>
        <v>2.7145000000000001</v>
      </c>
      <c r="J569" s="27">
        <f t="shared" ref="J569" si="79">AVERAGE(G568:G569)</f>
        <v>0.7975000000000001</v>
      </c>
      <c r="L569">
        <f t="shared" ref="L569" si="80">+J569/I569</f>
        <v>0.29379259532142199</v>
      </c>
      <c r="M569">
        <f t="shared" ref="M569" si="81">+(L569-$L$614)/$L$615</f>
        <v>0.49558885239574002</v>
      </c>
      <c r="N569">
        <f t="shared" ref="N569" si="82">+N567+M569</f>
        <v>5.1853161448031129</v>
      </c>
    </row>
    <row r="570" spans="1:14">
      <c r="A570" s="8">
        <v>9</v>
      </c>
      <c r="B570" s="71">
        <v>45047</v>
      </c>
      <c r="C570">
        <v>2023</v>
      </c>
      <c r="D570" s="11" t="s">
        <v>31</v>
      </c>
      <c r="E570" s="15">
        <v>5</v>
      </c>
      <c r="F570" s="78">
        <v>5.0890000000000004</v>
      </c>
      <c r="G570" s="78">
        <v>1.849</v>
      </c>
    </row>
    <row r="571" spans="1:14">
      <c r="A571" s="8">
        <v>10</v>
      </c>
      <c r="B571" s="71">
        <v>45047</v>
      </c>
      <c r="C571">
        <v>2023</v>
      </c>
      <c r="D571" s="11" t="s">
        <v>31</v>
      </c>
      <c r="E571" s="15">
        <v>5</v>
      </c>
      <c r="F571" s="78">
        <v>5.17</v>
      </c>
      <c r="G571" s="78">
        <v>1.5009999999999999</v>
      </c>
      <c r="I571" s="27">
        <f t="shared" ref="I571" si="83">AVERAGE(F570:F571)</f>
        <v>5.1295000000000002</v>
      </c>
      <c r="J571" s="27">
        <f t="shared" ref="J571" si="84">AVERAGE(G570:G571)</f>
        <v>1.6749999999999998</v>
      </c>
      <c r="L571">
        <f t="shared" ref="L571" si="85">+J571/I571</f>
        <v>0.3265425480066283</v>
      </c>
      <c r="M571">
        <f t="shared" ref="M571" si="86">+(L571-$L$614)/$L$615</f>
        <v>0.83390814840747884</v>
      </c>
      <c r="N571">
        <f t="shared" ref="N571" si="87">+N569+M571</f>
        <v>6.0192242932105913</v>
      </c>
    </row>
    <row r="572" spans="1:14">
      <c r="A572" s="8">
        <v>9</v>
      </c>
      <c r="B572" s="71">
        <v>45078</v>
      </c>
      <c r="C572">
        <v>2023</v>
      </c>
      <c r="D572" s="11" t="s">
        <v>32</v>
      </c>
      <c r="E572" s="15">
        <v>6</v>
      </c>
      <c r="F572" s="78">
        <v>4.7069999999999999</v>
      </c>
      <c r="G572" s="78">
        <v>0.91400000000000003</v>
      </c>
    </row>
    <row r="573" spans="1:14">
      <c r="A573" s="8">
        <v>10</v>
      </c>
      <c r="B573" s="71">
        <v>45078</v>
      </c>
      <c r="C573">
        <v>2023</v>
      </c>
      <c r="D573" s="11" t="s">
        <v>32</v>
      </c>
      <c r="E573" s="15">
        <v>6</v>
      </c>
      <c r="F573" s="78">
        <v>4.9379999999999997</v>
      </c>
      <c r="G573" s="78">
        <v>0.64</v>
      </c>
      <c r="I573" s="27">
        <f t="shared" ref="I573" si="88">AVERAGE(F572:F573)</f>
        <v>4.8224999999999998</v>
      </c>
      <c r="J573" s="27">
        <f t="shared" ref="J573" si="89">AVERAGE(G572:G573)</f>
        <v>0.77700000000000002</v>
      </c>
      <c r="L573">
        <f t="shared" ref="L573" si="90">+J573/I573</f>
        <v>0.16111975116640748</v>
      </c>
      <c r="M573">
        <f t="shared" ref="M573" si="91">+(L573-$L$614)/$L$615</f>
        <v>-0.87497139438822857</v>
      </c>
      <c r="N573">
        <f t="shared" ref="N573" si="92">+N571+M573</f>
        <v>5.144252898822363</v>
      </c>
    </row>
    <row r="574" spans="1:14">
      <c r="A574" s="8">
        <v>9</v>
      </c>
      <c r="B574" s="71">
        <v>45108</v>
      </c>
      <c r="C574">
        <v>2023</v>
      </c>
      <c r="D574" s="11" t="s">
        <v>33</v>
      </c>
      <c r="E574" s="15">
        <v>7</v>
      </c>
      <c r="F574" s="78">
        <v>6.7670000000000003</v>
      </c>
      <c r="G574" s="78">
        <v>1.873</v>
      </c>
    </row>
    <row r="575" spans="1:14">
      <c r="A575" s="8">
        <v>10</v>
      </c>
      <c r="B575" s="71">
        <v>45108</v>
      </c>
      <c r="C575">
        <v>2023</v>
      </c>
      <c r="D575" s="11" t="s">
        <v>33</v>
      </c>
      <c r="E575" s="15">
        <v>7</v>
      </c>
      <c r="F575" s="78">
        <v>7.2809999999999997</v>
      </c>
      <c r="G575" s="78">
        <v>1.643</v>
      </c>
      <c r="I575" s="27">
        <f t="shared" ref="I575" si="93">AVERAGE(F574:F575)</f>
        <v>7.024</v>
      </c>
      <c r="J575" s="27">
        <f t="shared" ref="J575" si="94">AVERAGE(G574:G575)</f>
        <v>1.758</v>
      </c>
      <c r="L575">
        <f t="shared" ref="L575" si="95">+J575/I575</f>
        <v>0.25028473804100226</v>
      </c>
      <c r="M575">
        <f t="shared" ref="M575" si="96">+(L575-$L$614)/$L$615</f>
        <v>4.6136366537955241E-2</v>
      </c>
      <c r="N575">
        <f t="shared" ref="N575" si="97">+N573+M575</f>
        <v>5.1903892653603183</v>
      </c>
    </row>
    <row r="576" spans="1:14">
      <c r="A576" s="8">
        <v>9</v>
      </c>
      <c r="B576" s="71">
        <v>45139</v>
      </c>
      <c r="C576">
        <v>2023</v>
      </c>
      <c r="D576" s="11" t="s">
        <v>34</v>
      </c>
      <c r="E576" s="15">
        <v>8</v>
      </c>
      <c r="F576" s="78">
        <v>4.7409999999999997</v>
      </c>
      <c r="G576" s="78">
        <v>1.2709999999999999</v>
      </c>
    </row>
    <row r="577" spans="1:14">
      <c r="A577" s="8">
        <v>10</v>
      </c>
      <c r="B577" s="71">
        <v>45139</v>
      </c>
      <c r="C577">
        <v>2023</v>
      </c>
      <c r="D577" s="11" t="s">
        <v>34</v>
      </c>
      <c r="E577" s="15">
        <v>8</v>
      </c>
      <c r="F577" s="78">
        <v>4.601</v>
      </c>
      <c r="G577" s="78">
        <v>1.248</v>
      </c>
      <c r="I577" s="27">
        <f t="shared" ref="I577" si="98">AVERAGE(F576:F577)</f>
        <v>4.6709999999999994</v>
      </c>
      <c r="J577" s="27">
        <f t="shared" ref="J577" si="99">AVERAGE(G576:G577)</f>
        <v>1.2595000000000001</v>
      </c>
      <c r="L577">
        <f t="shared" ref="L577" si="100">+J577/I577</f>
        <v>0.26964247484478704</v>
      </c>
      <c r="M577">
        <f t="shared" ref="M577" si="101">+(L577-$L$614)/$L$615</f>
        <v>0.24610904896553404</v>
      </c>
      <c r="N577">
        <f t="shared" ref="N577" si="102">+N575+M577</f>
        <v>5.4364983143258527</v>
      </c>
    </row>
    <row r="578" spans="1:14">
      <c r="A578" s="8">
        <v>9</v>
      </c>
      <c r="B578" s="71">
        <v>45170</v>
      </c>
      <c r="C578">
        <v>2023</v>
      </c>
      <c r="D578" s="11" t="s">
        <v>40</v>
      </c>
      <c r="E578" s="15">
        <v>9</v>
      </c>
      <c r="F578" s="78">
        <v>1.4279999999999999</v>
      </c>
      <c r="G578" s="78">
        <v>0.16</v>
      </c>
    </row>
    <row r="579" spans="1:14">
      <c r="A579" s="8">
        <v>10</v>
      </c>
      <c r="B579" s="71">
        <v>45170</v>
      </c>
      <c r="C579">
        <v>2023</v>
      </c>
      <c r="D579" s="11" t="s">
        <v>40</v>
      </c>
      <c r="E579" s="15">
        <v>9</v>
      </c>
      <c r="F579" s="78">
        <v>1.58</v>
      </c>
      <c r="G579" s="78">
        <v>0.19400000000000001</v>
      </c>
      <c r="I579" s="27">
        <f t="shared" ref="I579" si="103">AVERAGE(F578:F579)</f>
        <v>1.504</v>
      </c>
      <c r="J579" s="27">
        <f t="shared" ref="J579" si="104">AVERAGE(G578:G579)</f>
        <v>0.17699999999999999</v>
      </c>
      <c r="L579">
        <f t="shared" ref="L579" si="105">+J579/I579</f>
        <v>0.11768617021276595</v>
      </c>
      <c r="M579">
        <f t="shared" ref="M579" si="106">+(L579-$L$614)/$L$615</f>
        <v>-1.3236565779287404</v>
      </c>
      <c r="N579">
        <f t="shared" ref="N579" si="107">+N577+M579</f>
        <v>4.1128417363971126</v>
      </c>
    </row>
    <row r="580" spans="1:14">
      <c r="A580" s="8">
        <v>9</v>
      </c>
      <c r="B580" s="71">
        <v>45200</v>
      </c>
      <c r="C580">
        <v>2023</v>
      </c>
      <c r="D580" s="11" t="s">
        <v>36</v>
      </c>
      <c r="E580" s="15">
        <v>10</v>
      </c>
      <c r="F580" s="78">
        <v>0.93200000000000005</v>
      </c>
      <c r="G580" s="78">
        <v>0.16</v>
      </c>
    </row>
    <row r="581" spans="1:14">
      <c r="A581" s="8">
        <v>10</v>
      </c>
      <c r="B581" s="71">
        <v>45200</v>
      </c>
      <c r="C581">
        <v>2023</v>
      </c>
      <c r="D581" s="11" t="s">
        <v>36</v>
      </c>
      <c r="E581" s="15">
        <v>10</v>
      </c>
      <c r="F581" s="78">
        <v>0.71499999999999997</v>
      </c>
      <c r="G581" s="78">
        <v>0.156</v>
      </c>
      <c r="I581" s="27">
        <f t="shared" ref="I581" si="108">AVERAGE(F580:F581)</f>
        <v>0.82350000000000001</v>
      </c>
      <c r="J581" s="27">
        <f t="shared" ref="J581" si="109">AVERAGE(G580:G581)</f>
        <v>0.158</v>
      </c>
      <c r="L581">
        <f t="shared" ref="L581" si="110">+J581/I581</f>
        <v>0.19186399514268368</v>
      </c>
      <c r="M581">
        <f t="shared" ref="M581" si="111">+(L581-$L$614)/$L$615</f>
        <v>-0.55737182169738375</v>
      </c>
      <c r="N581">
        <f t="shared" ref="N581" si="112">+N579+M581</f>
        <v>3.5554699146997288</v>
      </c>
    </row>
    <row r="582" spans="1:14">
      <c r="A582" s="8">
        <v>9</v>
      </c>
      <c r="B582" s="71">
        <v>45231</v>
      </c>
      <c r="C582">
        <v>2023</v>
      </c>
      <c r="D582" s="11" t="s">
        <v>37</v>
      </c>
      <c r="E582" s="15">
        <v>11</v>
      </c>
      <c r="F582" s="78">
        <v>0.54</v>
      </c>
      <c r="G582" s="78">
        <v>8.8999999999999996E-2</v>
      </c>
    </row>
    <row r="583" spans="1:14">
      <c r="A583" s="8">
        <v>10</v>
      </c>
      <c r="B583" s="71">
        <v>45231</v>
      </c>
      <c r="C583">
        <v>2023</v>
      </c>
      <c r="D583" s="11" t="s">
        <v>37</v>
      </c>
      <c r="E583" s="15">
        <v>11</v>
      </c>
      <c r="F583" s="78">
        <v>0.312</v>
      </c>
      <c r="G583" s="78">
        <v>4.7E-2</v>
      </c>
      <c r="I583" s="27">
        <f t="shared" ref="I583" si="113">AVERAGE(F582:F583)</f>
        <v>0.42600000000000005</v>
      </c>
      <c r="J583" s="27">
        <f t="shared" ref="J583" si="114">AVERAGE(G582:G583)</f>
        <v>6.8000000000000005E-2</v>
      </c>
      <c r="L583">
        <f t="shared" ref="L583" si="115">+J583/I583</f>
        <v>0.15962441314553991</v>
      </c>
      <c r="M583">
        <f t="shared" ref="M583" si="116">+(L583-$L$614)/$L$615</f>
        <v>-0.89041879705724147</v>
      </c>
      <c r="N583">
        <f t="shared" ref="N583" si="117">+N581+M583</f>
        <v>2.6650511176424874</v>
      </c>
    </row>
    <row r="584" spans="1:14">
      <c r="A584" s="8">
        <v>9</v>
      </c>
      <c r="B584" s="72">
        <v>45261</v>
      </c>
      <c r="C584">
        <v>2023</v>
      </c>
      <c r="D584" s="11" t="s">
        <v>38</v>
      </c>
      <c r="E584" s="15">
        <v>12</v>
      </c>
      <c r="F584" s="78">
        <v>0.71599999999999997</v>
      </c>
      <c r="G584" s="78">
        <v>0.152</v>
      </c>
    </row>
    <row r="585" spans="1:14">
      <c r="A585" s="8">
        <v>10</v>
      </c>
      <c r="B585" s="71">
        <v>45261</v>
      </c>
      <c r="C585">
        <v>2023</v>
      </c>
      <c r="D585" s="11" t="s">
        <v>38</v>
      </c>
      <c r="E585" s="15">
        <v>12</v>
      </c>
      <c r="F585" s="78">
        <v>0.61599999999999999</v>
      </c>
      <c r="G585" s="78">
        <v>0.125</v>
      </c>
      <c r="I585" s="27">
        <f t="shared" ref="I585" si="118">AVERAGE(F584:F585)</f>
        <v>0.66599999999999993</v>
      </c>
      <c r="J585" s="27">
        <f t="shared" ref="J585" si="119">AVERAGE(G584:G585)</f>
        <v>0.13850000000000001</v>
      </c>
      <c r="L585">
        <f t="shared" ref="L585" si="120">+J585/I585</f>
        <v>0.20795795795795799</v>
      </c>
      <c r="M585">
        <f t="shared" ref="M585" si="121">+(L585-$L$614)/$L$615</f>
        <v>-0.39111514883928045</v>
      </c>
      <c r="N585">
        <f t="shared" ref="N585" si="122">+N583+M585</f>
        <v>2.2739359688032068</v>
      </c>
    </row>
    <row r="586" spans="1:14">
      <c r="A586" s="85">
        <v>9</v>
      </c>
      <c r="B586" s="88">
        <v>45292</v>
      </c>
      <c r="C586" s="89">
        <v>2024</v>
      </c>
      <c r="D586" s="90" t="s">
        <v>39</v>
      </c>
      <c r="E586" s="91">
        <v>1</v>
      </c>
      <c r="F586" s="78">
        <v>1.423</v>
      </c>
      <c r="G586" s="78">
        <v>0.34599999999999997</v>
      </c>
    </row>
    <row r="587" spans="1:14">
      <c r="A587" s="8">
        <v>10</v>
      </c>
      <c r="B587" s="73">
        <v>45292</v>
      </c>
      <c r="C587">
        <v>2024</v>
      </c>
      <c r="D587" s="11" t="s">
        <v>39</v>
      </c>
      <c r="E587" s="15">
        <v>1</v>
      </c>
      <c r="F587" s="78">
        <v>1.786</v>
      </c>
      <c r="G587" s="78">
        <v>0.45900000000000002</v>
      </c>
      <c r="I587" s="27">
        <f t="shared" ref="I587" si="123">AVERAGE(F586:F587)</f>
        <v>1.6045</v>
      </c>
      <c r="J587" s="27">
        <f t="shared" ref="J587" si="124">AVERAGE(G586:G587)</f>
        <v>0.40249999999999997</v>
      </c>
      <c r="L587">
        <f t="shared" ref="L587" si="125">+J587/I587</f>
        <v>0.25085696478653785</v>
      </c>
      <c r="M587">
        <f t="shared" ref="M587" si="126">+(L587-$L$614)/$L$615</f>
        <v>5.2047683466243153E-2</v>
      </c>
      <c r="N587">
        <f t="shared" ref="N587" si="127">+N585+M587</f>
        <v>2.3259836522694499</v>
      </c>
    </row>
    <row r="588" spans="1:14">
      <c r="A588" s="8">
        <v>9</v>
      </c>
      <c r="B588" s="71">
        <v>45323</v>
      </c>
      <c r="C588">
        <v>2024</v>
      </c>
      <c r="D588" s="11" t="s">
        <v>28</v>
      </c>
      <c r="E588" s="15">
        <v>2</v>
      </c>
    </row>
    <row r="589" spans="1:14">
      <c r="A589" s="8">
        <v>10</v>
      </c>
      <c r="B589" s="71">
        <v>45323</v>
      </c>
      <c r="C589">
        <v>2024</v>
      </c>
      <c r="D589" s="11" t="s">
        <v>28</v>
      </c>
      <c r="E589" s="15">
        <v>2</v>
      </c>
      <c r="I589" s="27"/>
      <c r="J589" s="27"/>
    </row>
    <row r="590" spans="1:14">
      <c r="A590" s="8">
        <v>9</v>
      </c>
      <c r="B590" s="71">
        <v>45352</v>
      </c>
      <c r="C590">
        <v>2024</v>
      </c>
      <c r="D590" s="11" t="s">
        <v>29</v>
      </c>
      <c r="E590" s="15">
        <v>3</v>
      </c>
      <c r="F590" s="78">
        <v>0.32</v>
      </c>
      <c r="G590" s="78">
        <v>0.06</v>
      </c>
    </row>
    <row r="591" spans="1:14">
      <c r="A591" s="8">
        <v>10</v>
      </c>
      <c r="B591" s="71">
        <v>45352</v>
      </c>
      <c r="C591">
        <v>2024</v>
      </c>
      <c r="D591" s="11" t="s">
        <v>29</v>
      </c>
      <c r="E591" s="15">
        <v>3</v>
      </c>
      <c r="F591" s="78">
        <v>0.51300000000000001</v>
      </c>
      <c r="G591" s="78">
        <v>8.1000000000000003E-2</v>
      </c>
      <c r="I591" s="27">
        <f t="shared" ref="I591" si="128">AVERAGE(F590:F591)</f>
        <v>0.41649999999999998</v>
      </c>
      <c r="J591" s="27">
        <f t="shared" ref="J591" si="129">AVERAGE(G590:G591)</f>
        <v>7.0500000000000007E-2</v>
      </c>
      <c r="L591">
        <f t="shared" ref="L591" si="130">+J591/I591</f>
        <v>0.16926770708283315</v>
      </c>
      <c r="M591">
        <f t="shared" ref="M591" si="131">+(L591-$L$614)/$L$615</f>
        <v>-0.79079995340703224</v>
      </c>
      <c r="N591">
        <f>+N587+M591</f>
        <v>1.5351836988624177</v>
      </c>
    </row>
    <row r="592" spans="1:14">
      <c r="A592" s="8">
        <v>9</v>
      </c>
      <c r="B592" s="71">
        <v>45383</v>
      </c>
      <c r="C592">
        <v>2024</v>
      </c>
      <c r="D592" s="11" t="s">
        <v>30</v>
      </c>
      <c r="E592" s="15">
        <v>4</v>
      </c>
      <c r="F592" s="78">
        <v>0.91900000000000004</v>
      </c>
      <c r="G592" s="78">
        <v>9.5000000000000001E-2</v>
      </c>
    </row>
    <row r="593" spans="1:14">
      <c r="A593" s="8">
        <v>10</v>
      </c>
      <c r="B593" s="71">
        <v>45383</v>
      </c>
      <c r="C593">
        <v>2024</v>
      </c>
      <c r="D593" s="11" t="s">
        <v>30</v>
      </c>
      <c r="E593" s="15">
        <v>4</v>
      </c>
      <c r="F593" s="78">
        <v>1.327</v>
      </c>
      <c r="G593" s="78">
        <v>0.23699999999999999</v>
      </c>
      <c r="I593" s="27">
        <f t="shared" ref="I593" si="132">AVERAGE(F592:F593)</f>
        <v>1.123</v>
      </c>
      <c r="J593" s="27">
        <f t="shared" ref="J593" si="133">AVERAGE(G592:G593)</f>
        <v>0.16599999999999998</v>
      </c>
      <c r="L593">
        <f t="shared" ref="L593" si="134">+J593/I593</f>
        <v>0.14781834372217273</v>
      </c>
      <c r="M593">
        <f t="shared" ref="M593" si="135">+(L593-$L$614)/$L$615</f>
        <v>-1.0123799227532659</v>
      </c>
      <c r="N593">
        <f t="shared" ref="N593" si="136">+N591+M593</f>
        <v>0.52280377610915174</v>
      </c>
    </row>
    <row r="594" spans="1:14">
      <c r="A594" s="8">
        <v>9</v>
      </c>
      <c r="B594" s="71">
        <v>45413</v>
      </c>
      <c r="C594">
        <v>2024</v>
      </c>
      <c r="D594" s="11" t="s">
        <v>31</v>
      </c>
      <c r="E594" s="15">
        <v>5</v>
      </c>
      <c r="F594" s="78">
        <v>3.2970000000000002</v>
      </c>
      <c r="G594" s="78">
        <v>0.76400000000000001</v>
      </c>
    </row>
    <row r="595" spans="1:14">
      <c r="A595" s="8">
        <v>10</v>
      </c>
      <c r="B595" s="71">
        <v>45413</v>
      </c>
      <c r="C595">
        <v>2024</v>
      </c>
      <c r="D595" s="11" t="s">
        <v>31</v>
      </c>
      <c r="E595" s="15">
        <v>5</v>
      </c>
      <c r="F595" s="78">
        <v>3.8849999999999998</v>
      </c>
      <c r="G595" s="78">
        <v>0.63800000000000001</v>
      </c>
      <c r="I595" s="27">
        <f t="shared" ref="I595:J595" si="137">AVERAGE(F594:F595)</f>
        <v>3.5910000000000002</v>
      </c>
      <c r="J595" s="27">
        <f t="shared" si="137"/>
        <v>0.70100000000000007</v>
      </c>
      <c r="L595">
        <f t="shared" ref="L595" si="138">+J595/I595</f>
        <v>0.19521024784182681</v>
      </c>
      <c r="M595">
        <f t="shared" ref="M595" si="139">+(L595-$L$614)/$L$615</f>
        <v>-0.52280377610863782</v>
      </c>
      <c r="N595">
        <f t="shared" ref="N595" si="140">+N593+M595</f>
        <v>5.1392223809898496E-13</v>
      </c>
    </row>
    <row r="596" spans="1:14">
      <c r="A596" s="8">
        <v>9</v>
      </c>
      <c r="B596" s="71">
        <v>45444</v>
      </c>
      <c r="C596">
        <v>2024</v>
      </c>
      <c r="D596" s="11" t="s">
        <v>32</v>
      </c>
      <c r="E596" s="15">
        <v>6</v>
      </c>
      <c r="H596" s="93" t="s">
        <v>98</v>
      </c>
    </row>
    <row r="597" spans="1:14">
      <c r="A597" s="8">
        <v>10</v>
      </c>
      <c r="B597" s="71">
        <v>45444</v>
      </c>
      <c r="C597">
        <v>2024</v>
      </c>
      <c r="D597" s="11" t="s">
        <v>32</v>
      </c>
      <c r="E597" s="15">
        <v>6</v>
      </c>
      <c r="H597" s="93" t="s">
        <v>99</v>
      </c>
    </row>
    <row r="598" spans="1:14">
      <c r="A598" s="8">
        <v>9</v>
      </c>
      <c r="B598" s="71">
        <v>45474</v>
      </c>
      <c r="C598">
        <v>2024</v>
      </c>
      <c r="D598" s="11" t="s">
        <v>33</v>
      </c>
      <c r="E598" s="15">
        <v>7</v>
      </c>
    </row>
    <row r="599" spans="1:14">
      <c r="A599" s="8">
        <v>10</v>
      </c>
      <c r="B599" s="71">
        <v>45474</v>
      </c>
      <c r="C599">
        <v>2024</v>
      </c>
      <c r="D599" s="11" t="s">
        <v>33</v>
      </c>
      <c r="E599" s="15">
        <v>7</v>
      </c>
    </row>
    <row r="600" spans="1:14">
      <c r="A600" s="8">
        <v>9</v>
      </c>
      <c r="B600" s="71">
        <v>45505</v>
      </c>
      <c r="C600">
        <v>2024</v>
      </c>
      <c r="D600" s="11" t="s">
        <v>34</v>
      </c>
      <c r="E600" s="15">
        <v>8</v>
      </c>
    </row>
    <row r="601" spans="1:14">
      <c r="A601" s="8">
        <v>10</v>
      </c>
      <c r="B601" s="71">
        <v>45505</v>
      </c>
      <c r="C601">
        <v>2024</v>
      </c>
      <c r="D601" s="11" t="s">
        <v>34</v>
      </c>
      <c r="E601" s="15">
        <v>8</v>
      </c>
    </row>
    <row r="602" spans="1:14">
      <c r="A602" s="8">
        <v>9</v>
      </c>
      <c r="B602" s="71">
        <v>45536</v>
      </c>
      <c r="C602">
        <v>2024</v>
      </c>
      <c r="D602" s="11" t="s">
        <v>40</v>
      </c>
      <c r="E602" s="15">
        <v>9</v>
      </c>
    </row>
    <row r="603" spans="1:14">
      <c r="A603" s="8">
        <v>10</v>
      </c>
      <c r="B603" s="71">
        <v>45536</v>
      </c>
      <c r="C603">
        <v>2024</v>
      </c>
      <c r="D603" s="11" t="s">
        <v>40</v>
      </c>
      <c r="E603" s="15">
        <v>9</v>
      </c>
    </row>
    <row r="604" spans="1:14">
      <c r="A604" s="8">
        <v>9</v>
      </c>
      <c r="B604" s="71">
        <v>45566</v>
      </c>
      <c r="C604">
        <v>2024</v>
      </c>
      <c r="D604" s="11" t="s">
        <v>36</v>
      </c>
      <c r="E604" s="15">
        <v>10</v>
      </c>
    </row>
    <row r="605" spans="1:14">
      <c r="A605" s="8">
        <v>10</v>
      </c>
      <c r="B605" s="71">
        <v>45566</v>
      </c>
      <c r="C605">
        <v>2024</v>
      </c>
      <c r="D605" s="11" t="s">
        <v>36</v>
      </c>
      <c r="E605" s="15">
        <v>10</v>
      </c>
    </row>
    <row r="606" spans="1:14">
      <c r="A606" s="8">
        <v>9</v>
      </c>
      <c r="B606" s="71">
        <v>45597</v>
      </c>
      <c r="C606">
        <v>2024</v>
      </c>
      <c r="D606" s="11" t="s">
        <v>37</v>
      </c>
      <c r="E606" s="15">
        <v>11</v>
      </c>
    </row>
    <row r="607" spans="1:14">
      <c r="A607" s="8">
        <v>10</v>
      </c>
      <c r="B607" s="71">
        <v>45597</v>
      </c>
      <c r="C607">
        <v>2024</v>
      </c>
      <c r="D607" s="11" t="s">
        <v>37</v>
      </c>
      <c r="E607" s="15">
        <v>11</v>
      </c>
    </row>
    <row r="608" spans="1:14">
      <c r="A608" s="8">
        <v>9</v>
      </c>
      <c r="B608" s="72">
        <v>45627</v>
      </c>
      <c r="C608">
        <v>2024</v>
      </c>
      <c r="D608" s="11" t="s">
        <v>38</v>
      </c>
      <c r="E608" s="15">
        <v>12</v>
      </c>
    </row>
    <row r="609" spans="1:12">
      <c r="A609" s="8">
        <v>10</v>
      </c>
      <c r="B609" s="71">
        <v>45627</v>
      </c>
      <c r="C609">
        <v>2024</v>
      </c>
      <c r="D609" s="11" t="s">
        <v>38</v>
      </c>
      <c r="E609" s="15">
        <v>12</v>
      </c>
    </row>
    <row r="610" spans="1:12">
      <c r="A610" s="15"/>
    </row>
    <row r="611" spans="1:12">
      <c r="A611" s="15"/>
    </row>
    <row r="612" spans="1:12">
      <c r="A612" s="15"/>
    </row>
    <row r="613" spans="1:12">
      <c r="A613" s="15"/>
    </row>
    <row r="614" spans="1:12">
      <c r="A614" s="15"/>
      <c r="K614" s="84" t="s">
        <v>89</v>
      </c>
      <c r="L614" s="84">
        <f>AVERAGE(L4:L609)</f>
        <v>0.24581864982493745</v>
      </c>
    </row>
    <row r="615" spans="1:12">
      <c r="A615" s="15"/>
      <c r="K615" s="84" t="s">
        <v>90</v>
      </c>
      <c r="L615" s="84">
        <f>STDEV(L4:L609)</f>
        <v>9.6801905984310058E-2</v>
      </c>
    </row>
    <row r="616" spans="1:12">
      <c r="A616" s="15"/>
    </row>
    <row r="617" spans="1:12">
      <c r="A617" s="15"/>
    </row>
    <row r="618" spans="1:12">
      <c r="A618" s="15"/>
    </row>
    <row r="619" spans="1:12">
      <c r="A619" s="15"/>
    </row>
    <row r="620" spans="1:12">
      <c r="A620" s="15"/>
    </row>
    <row r="621" spans="1:12">
      <c r="A621" s="1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009F6-62F8-BC40-B1B8-9D89B485AD75}">
  <sheetPr>
    <tabColor theme="9" tint="0.39997558519241921"/>
  </sheetPr>
  <dimension ref="A1:Q621"/>
  <sheetViews>
    <sheetView workbookViewId="0">
      <pane ySplit="2" topLeftCell="A486" activePane="bottomLeft" state="frozen"/>
      <selection pane="bottomLeft" activeCell="O490" sqref="O490"/>
    </sheetView>
  </sheetViews>
  <sheetFormatPr defaultColWidth="11.42578125" defaultRowHeight="15"/>
  <cols>
    <col min="2" max="2" width="10.85546875" style="70"/>
    <col min="14" max="14" width="12.28515625" bestFit="1" customWidth="1"/>
  </cols>
  <sheetData>
    <row r="1" spans="1:17" ht="18">
      <c r="F1" s="1" t="s">
        <v>0</v>
      </c>
      <c r="G1" s="1" t="s">
        <v>1</v>
      </c>
      <c r="I1" s="68" t="s">
        <v>81</v>
      </c>
    </row>
    <row r="2" spans="1:17">
      <c r="A2" s="2" t="s">
        <v>2</v>
      </c>
      <c r="B2" s="73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6" t="s">
        <v>9</v>
      </c>
      <c r="I2" s="6" t="s">
        <v>7</v>
      </c>
      <c r="J2" s="6" t="s">
        <v>9</v>
      </c>
      <c r="L2" s="67" t="s">
        <v>84</v>
      </c>
      <c r="M2" s="69" t="s">
        <v>85</v>
      </c>
      <c r="N2" s="69" t="s">
        <v>86</v>
      </c>
    </row>
    <row r="3" spans="1:17">
      <c r="A3" s="8">
        <v>9</v>
      </c>
      <c r="B3" s="74">
        <v>36446</v>
      </c>
      <c r="C3" s="10">
        <v>1999</v>
      </c>
      <c r="D3" s="11" t="s">
        <v>14</v>
      </c>
      <c r="E3" s="12">
        <v>10</v>
      </c>
      <c r="F3" s="13">
        <v>0.81480390855350104</v>
      </c>
      <c r="G3" s="13">
        <v>0</v>
      </c>
    </row>
    <row r="4" spans="1:17">
      <c r="A4" s="8">
        <v>10</v>
      </c>
      <c r="B4" s="74">
        <v>36446</v>
      </c>
      <c r="C4" s="10">
        <v>1999</v>
      </c>
      <c r="D4" s="11" t="s">
        <v>14</v>
      </c>
      <c r="E4" s="12">
        <v>10</v>
      </c>
      <c r="F4" s="13">
        <v>1.0560991827525938</v>
      </c>
      <c r="G4" s="13">
        <v>0</v>
      </c>
      <c r="I4" s="27">
        <f>AVERAGE(F3:F4)</f>
        <v>0.93545154565304744</v>
      </c>
      <c r="J4" s="27">
        <f>AVERAGE(G3:G4)</f>
        <v>0</v>
      </c>
      <c r="L4">
        <f>+J4/I4</f>
        <v>0</v>
      </c>
      <c r="M4">
        <f>+(L4-$L$614)/$L$615</f>
        <v>-0.23576519316806296</v>
      </c>
      <c r="N4">
        <f>+M4</f>
        <v>-0.23576519316806296</v>
      </c>
      <c r="Q4" t="s">
        <v>92</v>
      </c>
    </row>
    <row r="5" spans="1:17">
      <c r="A5" s="8">
        <v>9</v>
      </c>
      <c r="B5" s="74">
        <v>36473</v>
      </c>
      <c r="C5" s="10">
        <v>1999</v>
      </c>
      <c r="D5" s="11" t="s">
        <v>16</v>
      </c>
      <c r="E5" s="10">
        <v>11</v>
      </c>
      <c r="F5" s="13">
        <v>0.50144492594905754</v>
      </c>
      <c r="G5" s="13">
        <v>0</v>
      </c>
    </row>
    <row r="6" spans="1:17">
      <c r="A6" s="8">
        <v>10</v>
      </c>
      <c r="B6" s="74">
        <v>36473</v>
      </c>
      <c r="C6" s="10">
        <v>1999</v>
      </c>
      <c r="D6" s="11" t="s">
        <v>16</v>
      </c>
      <c r="E6" s="10">
        <v>11</v>
      </c>
      <c r="F6" s="13">
        <v>0.60564519988186705</v>
      </c>
      <c r="G6" s="13">
        <v>0</v>
      </c>
      <c r="I6" s="27">
        <f>AVERAGE(F5:F6)</f>
        <v>0.55354506291546235</v>
      </c>
      <c r="J6" s="27">
        <f>AVERAGE(G5:G6)</f>
        <v>0</v>
      </c>
      <c r="L6">
        <f>+J6/I6</f>
        <v>0</v>
      </c>
      <c r="M6">
        <f>+(L6-$L$614)/$L$615</f>
        <v>-0.23576519316806296</v>
      </c>
      <c r="N6">
        <f>+N4+M6</f>
        <v>-0.47153038633612593</v>
      </c>
    </row>
    <row r="7" spans="1:17">
      <c r="A7" s="8">
        <v>9</v>
      </c>
      <c r="B7" s="74">
        <v>36502</v>
      </c>
      <c r="C7" s="10">
        <v>1999</v>
      </c>
      <c r="D7" s="11" t="s">
        <v>17</v>
      </c>
      <c r="E7" s="10">
        <v>12</v>
      </c>
      <c r="F7" s="13">
        <v>0.34286829680411729</v>
      </c>
      <c r="G7" s="13">
        <v>0</v>
      </c>
    </row>
    <row r="8" spans="1:17">
      <c r="A8" s="8">
        <v>10</v>
      </c>
      <c r="B8" s="74">
        <v>36502</v>
      </c>
      <c r="C8" s="10">
        <v>1999</v>
      </c>
      <c r="D8" s="11" t="s">
        <v>17</v>
      </c>
      <c r="E8" s="10">
        <v>12</v>
      </c>
      <c r="F8" s="13">
        <v>0.57065639539668933</v>
      </c>
      <c r="G8" s="13">
        <v>0</v>
      </c>
      <c r="I8" s="27">
        <f>AVERAGE(F7:F8)</f>
        <v>0.45676234610040334</v>
      </c>
      <c r="J8" s="27">
        <f>AVERAGE(G7:G8)</f>
        <v>0</v>
      </c>
      <c r="L8">
        <f>+J8/I8</f>
        <v>0</v>
      </c>
      <c r="M8">
        <f>+(L8-$L$614)/$L$615</f>
        <v>-0.23576519316806296</v>
      </c>
      <c r="N8">
        <f>+N6+M8</f>
        <v>-0.70729557950418886</v>
      </c>
    </row>
    <row r="9" spans="1:17">
      <c r="A9" s="8">
        <v>9</v>
      </c>
      <c r="B9" s="74">
        <v>36531</v>
      </c>
      <c r="C9" s="12">
        <v>2000</v>
      </c>
      <c r="D9" s="11" t="s">
        <v>18</v>
      </c>
      <c r="E9" s="10">
        <v>1</v>
      </c>
      <c r="F9" s="13">
        <v>0.68891194013953239</v>
      </c>
      <c r="G9" s="13">
        <v>0</v>
      </c>
    </row>
    <row r="10" spans="1:17">
      <c r="A10" s="8">
        <v>10</v>
      </c>
      <c r="B10" s="74">
        <v>36531</v>
      </c>
      <c r="C10" s="12">
        <v>2000</v>
      </c>
      <c r="D10" s="11" t="s">
        <v>18</v>
      </c>
      <c r="E10" s="10">
        <v>1</v>
      </c>
      <c r="F10" s="13">
        <v>1.3492125675996263</v>
      </c>
      <c r="G10" s="13">
        <v>0</v>
      </c>
      <c r="I10" s="27">
        <f>AVERAGE(F9:F10)</f>
        <v>1.0190622538695793</v>
      </c>
      <c r="J10" s="27">
        <f>AVERAGE(G9:G10)</f>
        <v>0</v>
      </c>
      <c r="L10">
        <f>+J10/I10</f>
        <v>0</v>
      </c>
      <c r="M10">
        <f>+(L10-$L$614)/$L$615</f>
        <v>-0.23576519316806296</v>
      </c>
      <c r="N10">
        <f>+N8+M10</f>
        <v>-0.94306077267225186</v>
      </c>
    </row>
    <row r="11" spans="1:17">
      <c r="A11" s="8">
        <v>9</v>
      </c>
      <c r="B11" s="74">
        <v>36578</v>
      </c>
      <c r="C11" s="12">
        <v>2000</v>
      </c>
      <c r="D11" s="11" t="s">
        <v>19</v>
      </c>
      <c r="E11" s="12">
        <v>2</v>
      </c>
      <c r="F11" s="13">
        <v>4.9123786024972533</v>
      </c>
      <c r="G11" s="13">
        <v>0</v>
      </c>
    </row>
    <row r="12" spans="1:17">
      <c r="A12" s="8">
        <v>10</v>
      </c>
      <c r="B12" s="74">
        <v>36578</v>
      </c>
      <c r="C12" s="12">
        <v>2000</v>
      </c>
      <c r="D12" s="11" t="s">
        <v>19</v>
      </c>
      <c r="E12" s="12">
        <v>2</v>
      </c>
      <c r="F12" s="13">
        <v>4.5288761327930205</v>
      </c>
      <c r="G12" s="13">
        <v>0</v>
      </c>
      <c r="I12" s="27">
        <f>AVERAGE(F11:F12)</f>
        <v>4.7206273676451369</v>
      </c>
      <c r="J12" s="27">
        <f>AVERAGE(G11:G12)</f>
        <v>0</v>
      </c>
      <c r="L12">
        <f>+J12/I12</f>
        <v>0</v>
      </c>
      <c r="M12">
        <f>+(L12-$L$614)/$L$615</f>
        <v>-0.23576519316806296</v>
      </c>
      <c r="N12">
        <f>+N10+M12</f>
        <v>-1.1788259658403148</v>
      </c>
    </row>
    <row r="13" spans="1:17">
      <c r="A13" s="8">
        <v>9</v>
      </c>
      <c r="B13" s="74">
        <v>36599</v>
      </c>
      <c r="C13" s="12">
        <v>2000</v>
      </c>
      <c r="D13" s="11" t="s">
        <v>20</v>
      </c>
      <c r="E13" s="12">
        <v>3</v>
      </c>
      <c r="F13" s="13">
        <v>0.85382744653759191</v>
      </c>
      <c r="G13" s="13">
        <v>0</v>
      </c>
    </row>
    <row r="14" spans="1:17">
      <c r="A14" s="8">
        <v>10</v>
      </c>
      <c r="B14" s="74">
        <v>36599</v>
      </c>
      <c r="C14" s="12">
        <v>2000</v>
      </c>
      <c r="D14" s="11" t="s">
        <v>20</v>
      </c>
      <c r="E14" s="12">
        <v>3</v>
      </c>
      <c r="F14" s="13">
        <v>1.8556943782286839</v>
      </c>
      <c r="G14" s="13">
        <v>0</v>
      </c>
      <c r="I14" s="27">
        <f>AVERAGE(F13:F14)</f>
        <v>1.3547609123831379</v>
      </c>
      <c r="J14" s="27">
        <f>AVERAGE(G13:G14)</f>
        <v>0</v>
      </c>
      <c r="L14">
        <f>+J14/I14</f>
        <v>0</v>
      </c>
      <c r="M14">
        <f>+(L14-$L$614)/$L$615</f>
        <v>-0.23576519316806296</v>
      </c>
      <c r="N14">
        <f>+N12+M14</f>
        <v>-1.4145911590083777</v>
      </c>
    </row>
    <row r="15" spans="1:17">
      <c r="A15" s="8">
        <v>9</v>
      </c>
      <c r="B15" s="74">
        <v>36626</v>
      </c>
      <c r="C15" s="12">
        <v>2000</v>
      </c>
      <c r="D15" s="15" t="s">
        <v>21</v>
      </c>
      <c r="E15" s="12">
        <v>4</v>
      </c>
      <c r="F15" s="13">
        <v>0.98931851157363693</v>
      </c>
      <c r="G15" s="13">
        <v>0</v>
      </c>
    </row>
    <row r="16" spans="1:17">
      <c r="A16" s="8">
        <v>10</v>
      </c>
      <c r="B16" s="74">
        <v>36626</v>
      </c>
      <c r="C16" s="12">
        <v>2000</v>
      </c>
      <c r="D16" s="15" t="s">
        <v>21</v>
      </c>
      <c r="E16" s="12">
        <v>4</v>
      </c>
      <c r="F16" s="13">
        <v>1.4558117858405109</v>
      </c>
      <c r="G16" s="13">
        <v>0</v>
      </c>
      <c r="I16" s="27">
        <f>AVERAGE(F15:F16)</f>
        <v>1.2225651487070739</v>
      </c>
      <c r="J16" s="27">
        <f>AVERAGE(G15:G16)</f>
        <v>0</v>
      </c>
      <c r="L16">
        <f>+J16/I16</f>
        <v>0</v>
      </c>
      <c r="M16">
        <f>+(L16-$L$614)/$L$615</f>
        <v>-0.23576519316806296</v>
      </c>
      <c r="N16">
        <f>+N14+M16</f>
        <v>-1.6503563521764406</v>
      </c>
    </row>
    <row r="17" spans="1:14">
      <c r="A17" s="8">
        <v>9</v>
      </c>
      <c r="B17" s="74">
        <v>36663</v>
      </c>
      <c r="C17" s="12">
        <v>2000</v>
      </c>
      <c r="D17" s="15" t="s">
        <v>22</v>
      </c>
      <c r="E17" s="12">
        <v>5</v>
      </c>
      <c r="F17" s="13">
        <v>2.0611459375832135</v>
      </c>
      <c r="G17" s="13">
        <v>0</v>
      </c>
    </row>
    <row r="18" spans="1:14">
      <c r="A18" s="8">
        <v>10</v>
      </c>
      <c r="B18" s="74">
        <v>36663</v>
      </c>
      <c r="C18" s="12">
        <v>2000</v>
      </c>
      <c r="D18" s="15" t="s">
        <v>22</v>
      </c>
      <c r="E18" s="12">
        <v>5</v>
      </c>
      <c r="F18" s="13">
        <v>2.2679517126852482</v>
      </c>
      <c r="G18" s="13">
        <v>3.2284879666666669E-2</v>
      </c>
      <c r="I18" s="27">
        <f>AVERAGE(F17:F18)</f>
        <v>2.1645488251342311</v>
      </c>
      <c r="J18" s="27">
        <f>AVERAGE(G17:G18)</f>
        <v>1.6142439833333334E-2</v>
      </c>
      <c r="L18">
        <f>+J18/I18</f>
        <v>7.4576464369346283E-3</v>
      </c>
      <c r="M18">
        <f>+(L18-$L$614)/$L$615</f>
        <v>0.30004609933793214</v>
      </c>
      <c r="N18">
        <f>+N16+M18</f>
        <v>-1.3503102528385085</v>
      </c>
    </row>
    <row r="19" spans="1:14">
      <c r="A19" s="8">
        <v>9</v>
      </c>
      <c r="B19" s="74">
        <v>36692</v>
      </c>
      <c r="C19" s="12">
        <v>2000</v>
      </c>
      <c r="D19" s="15" t="s">
        <v>23</v>
      </c>
      <c r="E19" s="12">
        <v>6</v>
      </c>
      <c r="F19" s="13">
        <v>3.1162979370312809</v>
      </c>
      <c r="G19" s="13">
        <v>2.4104433166666665E-2</v>
      </c>
    </row>
    <row r="20" spans="1:14">
      <c r="A20" s="8">
        <v>10</v>
      </c>
      <c r="B20" s="74">
        <v>36692</v>
      </c>
      <c r="C20" s="12">
        <v>2000</v>
      </c>
      <c r="D20" s="15" t="s">
        <v>23</v>
      </c>
      <c r="E20" s="12">
        <v>6</v>
      </c>
      <c r="F20" s="13">
        <v>5.0290643195011295</v>
      </c>
      <c r="G20" s="13">
        <v>0</v>
      </c>
      <c r="I20" s="27">
        <f>AVERAGE(F19:F20)</f>
        <v>4.072681128266205</v>
      </c>
      <c r="J20" s="27">
        <f>AVERAGE(G19:G20)</f>
        <v>1.2052216583333332E-2</v>
      </c>
      <c r="L20">
        <f>+J20/I20</f>
        <v>2.9592831365278338E-3</v>
      </c>
      <c r="M20">
        <f>+(L20-$L$614)/$L$615</f>
        <v>-2.3148875716853555E-2</v>
      </c>
      <c r="N20">
        <f>+N18+M20</f>
        <v>-1.3734591285553621</v>
      </c>
    </row>
    <row r="21" spans="1:14">
      <c r="A21" s="8">
        <v>9</v>
      </c>
      <c r="B21" s="74">
        <v>36719</v>
      </c>
      <c r="C21" s="12">
        <v>2000</v>
      </c>
      <c r="D21" s="15" t="s">
        <v>24</v>
      </c>
      <c r="E21" s="12">
        <v>7</v>
      </c>
      <c r="F21" s="13">
        <v>5.8162761812081509</v>
      </c>
      <c r="G21" s="13">
        <v>0</v>
      </c>
    </row>
    <row r="22" spans="1:14">
      <c r="A22" s="8">
        <v>10</v>
      </c>
      <c r="B22" s="74">
        <v>36719</v>
      </c>
      <c r="C22" s="12">
        <v>2000</v>
      </c>
      <c r="D22" s="15" t="s">
        <v>24</v>
      </c>
      <c r="E22" s="12">
        <v>7</v>
      </c>
      <c r="F22" s="13">
        <v>6.6924579211511181</v>
      </c>
      <c r="G22" s="13">
        <v>0</v>
      </c>
      <c r="I22" s="27">
        <f>AVERAGE(F21:F22)</f>
        <v>6.254367051179635</v>
      </c>
      <c r="J22" s="27">
        <f>AVERAGE(G21:G22)</f>
        <v>0</v>
      </c>
      <c r="L22">
        <f>+J22/I22</f>
        <v>0</v>
      </c>
      <c r="M22">
        <f>+(L22-$L$614)/$L$615</f>
        <v>-0.23576519316806296</v>
      </c>
      <c r="N22">
        <f>+N20+M22</f>
        <v>-1.609224321723425</v>
      </c>
    </row>
    <row r="23" spans="1:14">
      <c r="A23" s="8">
        <v>9</v>
      </c>
      <c r="B23" s="74">
        <v>36755</v>
      </c>
      <c r="C23" s="12">
        <v>2000</v>
      </c>
      <c r="D23" s="15" t="s">
        <v>25</v>
      </c>
      <c r="E23" s="12">
        <v>8</v>
      </c>
      <c r="F23" s="13">
        <v>0.84630613564951318</v>
      </c>
      <c r="G23" s="13">
        <v>0</v>
      </c>
    </row>
    <row r="24" spans="1:14">
      <c r="A24" s="8">
        <v>10</v>
      </c>
      <c r="B24" s="74">
        <v>36755</v>
      </c>
      <c r="C24" s="12">
        <v>2000</v>
      </c>
      <c r="D24" s="15" t="s">
        <v>25</v>
      </c>
      <c r="E24" s="12">
        <v>8</v>
      </c>
      <c r="F24" s="13">
        <v>3.5766022851941686</v>
      </c>
      <c r="G24" s="13">
        <v>0</v>
      </c>
      <c r="I24" s="27">
        <f>AVERAGE(F23:F24)</f>
        <v>2.2114542104218406</v>
      </c>
      <c r="J24" s="27">
        <f>AVERAGE(G23:G24)</f>
        <v>0</v>
      </c>
      <c r="L24">
        <f>+J24/I24</f>
        <v>0</v>
      </c>
      <c r="M24">
        <f>+(L24-$L$614)/$L$615</f>
        <v>-0.23576519316806296</v>
      </c>
      <c r="N24">
        <f>+N22+M24</f>
        <v>-1.8449895148914879</v>
      </c>
    </row>
    <row r="25" spans="1:14">
      <c r="A25" s="8">
        <v>9</v>
      </c>
      <c r="B25" s="74">
        <v>36783</v>
      </c>
      <c r="C25" s="12">
        <v>2000</v>
      </c>
      <c r="D25" s="15" t="s">
        <v>26</v>
      </c>
      <c r="E25" s="12">
        <v>9</v>
      </c>
      <c r="F25" s="13">
        <v>1.2064864205241426</v>
      </c>
      <c r="G25" s="13">
        <v>0</v>
      </c>
    </row>
    <row r="26" spans="1:14">
      <c r="A26" s="8">
        <v>10</v>
      </c>
      <c r="B26" s="74">
        <v>36783</v>
      </c>
      <c r="C26" s="12">
        <v>2000</v>
      </c>
      <c r="D26" s="15" t="s">
        <v>26</v>
      </c>
      <c r="E26" s="12">
        <v>9</v>
      </c>
      <c r="F26" s="13">
        <v>1.8004016582666416</v>
      </c>
      <c r="G26" s="13">
        <v>0</v>
      </c>
      <c r="I26" s="27">
        <f>AVERAGE(F25:F26)</f>
        <v>1.5034440393953921</v>
      </c>
      <c r="J26" s="27">
        <f>AVERAGE(G25:G26)</f>
        <v>0</v>
      </c>
      <c r="L26">
        <f>+J26/I26</f>
        <v>0</v>
      </c>
      <c r="M26">
        <f>+(L26-$L$614)/$L$615</f>
        <v>-0.23576519316806296</v>
      </c>
      <c r="N26">
        <f>+N24+M26</f>
        <v>-2.0807547080595508</v>
      </c>
    </row>
    <row r="27" spans="1:14">
      <c r="A27" s="8">
        <v>9</v>
      </c>
      <c r="B27" s="74">
        <v>36815</v>
      </c>
      <c r="C27" s="12">
        <v>2000</v>
      </c>
      <c r="D27" s="15" t="s">
        <v>14</v>
      </c>
      <c r="E27" s="12">
        <v>10</v>
      </c>
      <c r="F27" s="14">
        <v>0.43998358844421992</v>
      </c>
      <c r="G27" s="14">
        <v>0</v>
      </c>
    </row>
    <row r="28" spans="1:14">
      <c r="A28" s="8">
        <v>10</v>
      </c>
      <c r="B28" s="74">
        <v>36815</v>
      </c>
      <c r="C28" s="12">
        <v>2000</v>
      </c>
      <c r="D28" s="15" t="s">
        <v>14</v>
      </c>
      <c r="E28" s="12">
        <v>10</v>
      </c>
      <c r="F28" s="14">
        <v>1.561920699400118</v>
      </c>
      <c r="G28" s="14">
        <v>0</v>
      </c>
      <c r="I28" s="27">
        <f>AVERAGE(F27:F28)</f>
        <v>1.0009521439221689</v>
      </c>
      <c r="J28" s="27">
        <f>AVERAGE(G27:G28)</f>
        <v>0</v>
      </c>
      <c r="L28">
        <f>+J28/I28</f>
        <v>0</v>
      </c>
      <c r="M28">
        <f>+(L28-$L$614)/$L$615</f>
        <v>-0.23576519316806296</v>
      </c>
      <c r="N28">
        <f>+N26+M28</f>
        <v>-2.3165199012276139</v>
      </c>
    </row>
    <row r="29" spans="1:14">
      <c r="A29" s="8">
        <v>9</v>
      </c>
      <c r="B29" s="74">
        <v>36846</v>
      </c>
      <c r="C29" s="12">
        <v>2000</v>
      </c>
      <c r="D29" s="15" t="s">
        <v>16</v>
      </c>
      <c r="E29" s="12">
        <v>11</v>
      </c>
      <c r="F29" s="14">
        <v>0.39527561709589693</v>
      </c>
      <c r="G29" s="14">
        <v>0</v>
      </c>
    </row>
    <row r="30" spans="1:14">
      <c r="A30" s="8">
        <v>10</v>
      </c>
      <c r="B30" s="74">
        <v>36846</v>
      </c>
      <c r="C30" s="12">
        <v>2000</v>
      </c>
      <c r="D30" s="15" t="s">
        <v>16</v>
      </c>
      <c r="E30" s="12">
        <v>11</v>
      </c>
      <c r="F30" s="14">
        <v>0.53991698270694943</v>
      </c>
      <c r="G30" s="14">
        <v>0</v>
      </c>
      <c r="I30" s="27">
        <f>AVERAGE(F29:F30)</f>
        <v>0.46759629990142315</v>
      </c>
      <c r="J30" s="27">
        <f>AVERAGE(G29:G30)</f>
        <v>0</v>
      </c>
      <c r="L30">
        <f>+J30/I30</f>
        <v>0</v>
      </c>
      <c r="M30">
        <f>+(L30-$L$614)/$L$615</f>
        <v>-0.23576519316806296</v>
      </c>
      <c r="N30">
        <f>+N28+M30</f>
        <v>-2.552285094395677</v>
      </c>
    </row>
    <row r="31" spans="1:14">
      <c r="A31" s="8">
        <v>9</v>
      </c>
      <c r="B31" s="74">
        <v>36873</v>
      </c>
      <c r="C31" s="12">
        <v>2000</v>
      </c>
      <c r="D31" s="15" t="s">
        <v>17</v>
      </c>
      <c r="E31" s="12">
        <v>12</v>
      </c>
      <c r="F31" s="16">
        <v>3.3021338846700647</v>
      </c>
      <c r="G31" s="14">
        <v>2.0322000999999999E-2</v>
      </c>
    </row>
    <row r="32" spans="1:14">
      <c r="A32" s="8">
        <v>10</v>
      </c>
      <c r="B32" s="74">
        <v>36873</v>
      </c>
      <c r="C32" s="12">
        <v>2000</v>
      </c>
      <c r="D32" s="15" t="s">
        <v>17</v>
      </c>
      <c r="E32" s="12">
        <v>12</v>
      </c>
      <c r="F32" s="16">
        <v>3.3909891865182566</v>
      </c>
      <c r="G32" s="14">
        <v>0</v>
      </c>
      <c r="I32" s="27">
        <f>AVERAGE(F31:F32)</f>
        <v>3.3465615355941605</v>
      </c>
      <c r="J32" s="27">
        <f>AVERAGE(G31:G32)</f>
        <v>1.01610005E-2</v>
      </c>
      <c r="L32">
        <f>+J32/I32</f>
        <v>3.0362509076636416E-3</v>
      </c>
      <c r="M32">
        <f>+(L32-$L$614)/$L$615</f>
        <v>-1.7618954007326378E-2</v>
      </c>
      <c r="N32">
        <f>+N30+M32</f>
        <v>-2.5699040484030031</v>
      </c>
    </row>
    <row r="33" spans="1:14">
      <c r="A33" s="8">
        <v>9</v>
      </c>
      <c r="B33" s="74">
        <v>36902</v>
      </c>
      <c r="C33" s="12">
        <v>2001</v>
      </c>
      <c r="D33" s="15" t="s">
        <v>18</v>
      </c>
      <c r="E33" s="12">
        <v>1</v>
      </c>
      <c r="F33" s="14">
        <v>3.9184009800716293</v>
      </c>
      <c r="G33" s="14">
        <v>0</v>
      </c>
    </row>
    <row r="34" spans="1:14">
      <c r="A34" s="8">
        <v>10</v>
      </c>
      <c r="B34" s="74">
        <v>36902</v>
      </c>
      <c r="C34" s="12">
        <v>2001</v>
      </c>
      <c r="D34" s="15" t="s">
        <v>18</v>
      </c>
      <c r="E34" s="12">
        <v>1</v>
      </c>
      <c r="F34" s="14">
        <v>3.823692504941226</v>
      </c>
      <c r="G34" s="14">
        <v>0</v>
      </c>
      <c r="I34" s="27">
        <f>AVERAGE(F33:F34)</f>
        <v>3.8710467425064277</v>
      </c>
      <c r="J34" s="27">
        <f>AVERAGE(G33:G34)</f>
        <v>0</v>
      </c>
      <c r="L34">
        <f>+J34/I34</f>
        <v>0</v>
      </c>
      <c r="M34">
        <f>+(L34-$L$614)/$L$615</f>
        <v>-0.23576519316806296</v>
      </c>
      <c r="N34">
        <f>+N32+M34</f>
        <v>-2.8056692415710662</v>
      </c>
    </row>
    <row r="35" spans="1:14">
      <c r="A35" s="12">
        <v>9</v>
      </c>
      <c r="B35" s="74">
        <v>36929</v>
      </c>
      <c r="C35" s="12">
        <v>2001</v>
      </c>
      <c r="D35" s="11" t="s">
        <v>19</v>
      </c>
      <c r="E35" s="12">
        <v>2</v>
      </c>
      <c r="F35" s="14">
        <v>3.8858306868674863</v>
      </c>
      <c r="G35" s="14">
        <v>0</v>
      </c>
    </row>
    <row r="36" spans="1:14">
      <c r="A36" s="12">
        <v>10</v>
      </c>
      <c r="B36" s="74">
        <v>36929</v>
      </c>
      <c r="C36" s="12">
        <v>2001</v>
      </c>
      <c r="D36" s="11" t="s">
        <v>19</v>
      </c>
      <c r="E36" s="12">
        <v>2</v>
      </c>
      <c r="F36" s="14">
        <v>2.3564985082205148</v>
      </c>
      <c r="G36" s="14">
        <v>0</v>
      </c>
      <c r="I36" s="27">
        <f>AVERAGE(F35:F36)</f>
        <v>3.1211645975440003</v>
      </c>
      <c r="J36" s="27">
        <f>AVERAGE(G35:G36)</f>
        <v>0</v>
      </c>
      <c r="L36">
        <f>+J36/I36</f>
        <v>0</v>
      </c>
      <c r="M36">
        <f>+(L36-$L$614)/$L$615</f>
        <v>-0.23576519316806296</v>
      </c>
      <c r="N36">
        <f>+N34+M36</f>
        <v>-3.0414344347391293</v>
      </c>
    </row>
    <row r="37" spans="1:14">
      <c r="A37" s="8">
        <v>9</v>
      </c>
      <c r="B37" s="74">
        <v>36962</v>
      </c>
      <c r="C37" s="12">
        <v>2001</v>
      </c>
      <c r="D37" s="11" t="s">
        <v>20</v>
      </c>
      <c r="E37" s="12">
        <v>3</v>
      </c>
      <c r="F37" s="14">
        <v>5.6073203405111141</v>
      </c>
      <c r="G37" s="14">
        <v>6.6446375333333335E-2</v>
      </c>
    </row>
    <row r="38" spans="1:14">
      <c r="A38" s="8">
        <v>10</v>
      </c>
      <c r="B38" s="74">
        <v>36962</v>
      </c>
      <c r="C38" s="12">
        <v>2001</v>
      </c>
      <c r="D38" s="11" t="s">
        <v>20</v>
      </c>
      <c r="E38" s="12">
        <v>3</v>
      </c>
      <c r="F38" s="14">
        <v>8.9202021810742398</v>
      </c>
      <c r="G38" s="14">
        <v>4.3621342333333334E-2</v>
      </c>
      <c r="I38" s="27">
        <f>AVERAGE(F37:F38)</f>
        <v>7.2637612607926769</v>
      </c>
      <c r="J38" s="27">
        <f>AVERAGE(G37:G38)</f>
        <v>5.5033858833333338E-2</v>
      </c>
      <c r="L38">
        <f>+J38/I38</f>
        <v>7.5764960958157402E-3</v>
      </c>
      <c r="M38">
        <f>+(L38-$L$614)/$L$615</f>
        <v>0.3085851189706677</v>
      </c>
      <c r="N38">
        <f>+N36+M38</f>
        <v>-2.7328493157684615</v>
      </c>
    </row>
    <row r="39" spans="1:14">
      <c r="A39" s="8">
        <v>9</v>
      </c>
      <c r="B39" s="74">
        <v>36998</v>
      </c>
      <c r="C39" s="12">
        <v>2001</v>
      </c>
      <c r="D39" s="15" t="s">
        <v>21</v>
      </c>
      <c r="E39" s="12">
        <v>4</v>
      </c>
      <c r="F39" s="14">
        <v>0.8225617702714082</v>
      </c>
      <c r="G39" s="14">
        <v>0</v>
      </c>
    </row>
    <row r="40" spans="1:14">
      <c r="A40" s="8">
        <v>10</v>
      </c>
      <c r="B40" s="74">
        <v>36998</v>
      </c>
      <c r="C40" s="12">
        <v>2001</v>
      </c>
      <c r="D40" s="15" t="s">
        <v>21</v>
      </c>
      <c r="E40" s="12">
        <v>4</v>
      </c>
      <c r="F40" s="14">
        <v>1.6086673519985339</v>
      </c>
      <c r="G40" s="14">
        <v>0</v>
      </c>
      <c r="I40" s="27">
        <f>AVERAGE(F39:F40)</f>
        <v>1.2156145611349711</v>
      </c>
      <c r="J40" s="27">
        <f>AVERAGE(G39:G40)</f>
        <v>0</v>
      </c>
      <c r="L40">
        <f>+J40/I40</f>
        <v>0</v>
      </c>
      <c r="M40">
        <f>+(L40-$L$614)/$L$615</f>
        <v>-0.23576519316806296</v>
      </c>
      <c r="N40">
        <f>+N38+M40</f>
        <v>-2.9686145089365246</v>
      </c>
    </row>
    <row r="41" spans="1:14">
      <c r="A41" s="8">
        <v>9</v>
      </c>
      <c r="B41" s="74">
        <v>37025</v>
      </c>
      <c r="C41" s="12">
        <v>2001</v>
      </c>
      <c r="D41" s="15" t="s">
        <v>22</v>
      </c>
      <c r="E41" s="12">
        <v>5</v>
      </c>
      <c r="F41" s="14">
        <v>0.28314253986417204</v>
      </c>
      <c r="G41" s="14">
        <v>0</v>
      </c>
    </row>
    <row r="42" spans="1:14">
      <c r="A42" s="8">
        <v>10</v>
      </c>
      <c r="B42" s="74">
        <v>37025</v>
      </c>
      <c r="C42" s="12">
        <v>2001</v>
      </c>
      <c r="D42" s="15" t="s">
        <v>22</v>
      </c>
      <c r="E42" s="12">
        <v>5</v>
      </c>
      <c r="F42" s="14">
        <v>0.65344968643652213</v>
      </c>
      <c r="G42" s="14">
        <v>0</v>
      </c>
      <c r="I42" s="27">
        <f>AVERAGE(F41:F42)</f>
        <v>0.46829611315034708</v>
      </c>
      <c r="J42" s="27">
        <f>AVERAGE(G41:G42)</f>
        <v>0</v>
      </c>
      <c r="L42">
        <f>+J42/I42</f>
        <v>0</v>
      </c>
      <c r="M42">
        <f>+(L42-$L$614)/$L$615</f>
        <v>-0.23576519316806296</v>
      </c>
      <c r="N42">
        <f>+N40+M42</f>
        <v>-3.2043797021045877</v>
      </c>
    </row>
    <row r="43" spans="1:14">
      <c r="A43" s="8">
        <v>9</v>
      </c>
      <c r="B43" s="74">
        <v>37054</v>
      </c>
      <c r="C43" s="12">
        <v>2001</v>
      </c>
      <c r="D43" s="15" t="s">
        <v>23</v>
      </c>
      <c r="E43" s="12">
        <v>6</v>
      </c>
      <c r="F43" s="14">
        <v>1.6625532837477026</v>
      </c>
      <c r="G43" s="14">
        <v>0</v>
      </c>
    </row>
    <row r="44" spans="1:14">
      <c r="A44" s="8">
        <v>10</v>
      </c>
      <c r="B44" s="74">
        <v>37054</v>
      </c>
      <c r="C44" s="12">
        <v>2001</v>
      </c>
      <c r="D44" s="15" t="s">
        <v>23</v>
      </c>
      <c r="E44" s="12">
        <v>6</v>
      </c>
      <c r="F44" s="14">
        <v>3.5693979435090388</v>
      </c>
      <c r="G44" s="14">
        <v>0</v>
      </c>
      <c r="I44" s="27">
        <f>AVERAGE(F43:F44)</f>
        <v>2.6159756136283709</v>
      </c>
      <c r="J44" s="27">
        <f>AVERAGE(G43:G44)</f>
        <v>0</v>
      </c>
      <c r="L44">
        <f>+J44/I44</f>
        <v>0</v>
      </c>
      <c r="M44">
        <f>+(L44-$L$614)/$L$615</f>
        <v>-0.23576519316806296</v>
      </c>
      <c r="N44">
        <f>+N42+M44</f>
        <v>-3.4401448952726508</v>
      </c>
    </row>
    <row r="45" spans="1:14">
      <c r="A45" s="8">
        <v>9</v>
      </c>
      <c r="B45" s="74">
        <v>37090</v>
      </c>
      <c r="C45" s="12">
        <v>2001</v>
      </c>
      <c r="D45" s="15" t="s">
        <v>24</v>
      </c>
      <c r="E45" s="12">
        <v>7</v>
      </c>
      <c r="F45" s="14">
        <v>4.9985278325977225</v>
      </c>
      <c r="G45" s="14">
        <v>0</v>
      </c>
    </row>
    <row r="46" spans="1:14">
      <c r="A46" s="8">
        <v>10</v>
      </c>
      <c r="B46" s="74">
        <v>37090</v>
      </c>
      <c r="C46" s="12">
        <v>2001</v>
      </c>
      <c r="D46" s="15" t="s">
        <v>24</v>
      </c>
      <c r="E46" s="12">
        <v>7</v>
      </c>
      <c r="F46" s="14">
        <v>3.9285171139776001</v>
      </c>
      <c r="G46" s="14">
        <v>1.53598655E-2</v>
      </c>
      <c r="I46" s="27">
        <f>AVERAGE(F45:F46)</f>
        <v>4.4635224732876608</v>
      </c>
      <c r="J46" s="27">
        <f>AVERAGE(G45:G46)</f>
        <v>7.67993275E-3</v>
      </c>
      <c r="L46">
        <f>+J46/I46</f>
        <v>1.7205990999174367E-3</v>
      </c>
      <c r="M46">
        <f>+(L46-$L$614)/$L$615</f>
        <v>-0.11214490151069181</v>
      </c>
      <c r="N46">
        <f>+N44+M46</f>
        <v>-3.5522897967833424</v>
      </c>
    </row>
    <row r="47" spans="1:14">
      <c r="A47" s="8">
        <v>9</v>
      </c>
      <c r="B47" s="74">
        <v>37117</v>
      </c>
      <c r="C47" s="12">
        <v>2001</v>
      </c>
      <c r="D47" s="15" t="s">
        <v>25</v>
      </c>
      <c r="E47" s="12">
        <v>8</v>
      </c>
      <c r="F47" s="14">
        <v>3.3041615557801189</v>
      </c>
      <c r="G47" s="14">
        <v>0</v>
      </c>
    </row>
    <row r="48" spans="1:14">
      <c r="A48" s="8">
        <v>10</v>
      </c>
      <c r="B48" s="74">
        <v>37117</v>
      </c>
      <c r="C48" s="12">
        <v>2001</v>
      </c>
      <c r="D48" s="15" t="s">
        <v>25</v>
      </c>
      <c r="E48" s="12">
        <v>8</v>
      </c>
      <c r="F48" s="14">
        <v>1.6653540946535696</v>
      </c>
      <c r="G48" s="14">
        <v>0</v>
      </c>
      <c r="I48" s="27">
        <f>AVERAGE(F47:F48)</f>
        <v>2.4847578252168443</v>
      </c>
      <c r="J48" s="27">
        <f>AVERAGE(G47:G48)</f>
        <v>0</v>
      </c>
      <c r="L48">
        <f>+J48/I48</f>
        <v>0</v>
      </c>
      <c r="M48">
        <f>+(L48-$L$614)/$L$615</f>
        <v>-0.23576519316806296</v>
      </c>
      <c r="N48">
        <f>+N46+M48</f>
        <v>-3.7880549899514055</v>
      </c>
    </row>
    <row r="49" spans="1:14">
      <c r="A49" s="8">
        <v>9</v>
      </c>
      <c r="B49" s="74">
        <v>37145</v>
      </c>
      <c r="C49" s="12">
        <v>2001</v>
      </c>
      <c r="D49" s="15" t="s">
        <v>26</v>
      </c>
      <c r="E49" s="12">
        <v>9</v>
      </c>
      <c r="F49" s="14">
        <v>2.9347511423023387</v>
      </c>
      <c r="G49" s="14">
        <v>0</v>
      </c>
    </row>
    <row r="50" spans="1:14">
      <c r="A50" s="8">
        <v>10</v>
      </c>
      <c r="B50" s="74">
        <v>37145</v>
      </c>
      <c r="C50" s="12">
        <v>2001</v>
      </c>
      <c r="D50" s="15" t="s">
        <v>26</v>
      </c>
      <c r="E50" s="12">
        <v>9</v>
      </c>
      <c r="F50" s="14">
        <v>2.7943675451893024</v>
      </c>
      <c r="G50" s="14">
        <v>0</v>
      </c>
      <c r="I50" s="27">
        <f>AVERAGE(F49:F50)</f>
        <v>2.8645593437458206</v>
      </c>
      <c r="J50" s="27">
        <f>AVERAGE(G49:G50)</f>
        <v>0</v>
      </c>
      <c r="L50">
        <f>+J50/I50</f>
        <v>0</v>
      </c>
      <c r="M50">
        <f>+(L50-$L$614)/$L$615</f>
        <v>-0.23576519316806296</v>
      </c>
      <c r="N50">
        <f>+N48+M50</f>
        <v>-4.0238201831194687</v>
      </c>
    </row>
    <row r="51" spans="1:14">
      <c r="A51" s="8">
        <v>9</v>
      </c>
      <c r="B51" s="74">
        <v>37182</v>
      </c>
      <c r="C51" s="12">
        <v>2001</v>
      </c>
      <c r="D51" s="15" t="s">
        <v>14</v>
      </c>
      <c r="E51" s="12">
        <v>10</v>
      </c>
      <c r="F51" s="13">
        <v>0.4721011143849117</v>
      </c>
      <c r="G51" s="17">
        <v>0</v>
      </c>
    </row>
    <row r="52" spans="1:14">
      <c r="A52" s="8">
        <v>10</v>
      </c>
      <c r="B52" s="74">
        <v>37182</v>
      </c>
      <c r="C52" s="12">
        <v>2001</v>
      </c>
      <c r="D52" s="15" t="s">
        <v>14</v>
      </c>
      <c r="E52" s="12">
        <v>10</v>
      </c>
      <c r="F52" s="13">
        <v>1.2112738867058166</v>
      </c>
      <c r="G52" s="17">
        <v>0</v>
      </c>
      <c r="I52" s="27">
        <f>AVERAGE(F51:F52)</f>
        <v>0.84168750054536412</v>
      </c>
      <c r="J52" s="27">
        <f>AVERAGE(G51:G52)</f>
        <v>0</v>
      </c>
      <c r="L52">
        <f>+J52/I52</f>
        <v>0</v>
      </c>
      <c r="M52">
        <f>+(L52-$L$614)/$L$615</f>
        <v>-0.23576519316806296</v>
      </c>
      <c r="N52">
        <f>+N50+M52</f>
        <v>-4.2595853762875313</v>
      </c>
    </row>
    <row r="53" spans="1:14">
      <c r="A53" s="8">
        <v>9</v>
      </c>
      <c r="B53" s="74">
        <v>37202</v>
      </c>
      <c r="C53" s="12">
        <v>2001</v>
      </c>
      <c r="D53" s="15" t="s">
        <v>16</v>
      </c>
      <c r="E53" s="12">
        <v>11</v>
      </c>
      <c r="F53" s="13">
        <v>0.47858704932321527</v>
      </c>
      <c r="G53" s="17">
        <v>0</v>
      </c>
    </row>
    <row r="54" spans="1:14">
      <c r="A54" s="8">
        <v>10</v>
      </c>
      <c r="B54" s="74">
        <v>37202</v>
      </c>
      <c r="C54" s="12">
        <v>2001</v>
      </c>
      <c r="D54" s="15" t="s">
        <v>16</v>
      </c>
      <c r="E54" s="12">
        <v>11</v>
      </c>
      <c r="F54" s="13">
        <v>0.30968197273470283</v>
      </c>
      <c r="G54" s="17">
        <v>0</v>
      </c>
      <c r="I54" s="27">
        <f>AVERAGE(F53:F54)</f>
        <v>0.39413451102895902</v>
      </c>
      <c r="J54" s="27">
        <f>AVERAGE(G53:G54)</f>
        <v>0</v>
      </c>
      <c r="L54">
        <f>+J54/I54</f>
        <v>0</v>
      </c>
      <c r="M54">
        <f>+(L54-$L$614)/$L$615</f>
        <v>-0.23576519316806296</v>
      </c>
      <c r="N54">
        <f>+N52+M54</f>
        <v>-4.495350569455594</v>
      </c>
    </row>
    <row r="55" spans="1:14">
      <c r="A55" s="8">
        <v>9</v>
      </c>
      <c r="B55" s="74">
        <v>37230</v>
      </c>
      <c r="C55" s="12">
        <v>2001</v>
      </c>
      <c r="D55" s="15" t="s">
        <v>17</v>
      </c>
      <c r="E55" s="12">
        <v>12</v>
      </c>
      <c r="F55" s="13">
        <v>0.4186981867733931</v>
      </c>
      <c r="G55" s="17">
        <v>0</v>
      </c>
    </row>
    <row r="56" spans="1:14">
      <c r="A56" s="8">
        <v>10</v>
      </c>
      <c r="B56" s="74">
        <v>37230</v>
      </c>
      <c r="C56" s="12">
        <v>2001</v>
      </c>
      <c r="D56" s="15" t="s">
        <v>17</v>
      </c>
      <c r="E56" s="12">
        <v>12</v>
      </c>
      <c r="F56" s="13">
        <v>0.7572648443264195</v>
      </c>
      <c r="G56" s="17">
        <v>0</v>
      </c>
      <c r="I56" s="27">
        <f>AVERAGE(F55:F56)</f>
        <v>0.5879815155499063</v>
      </c>
      <c r="J56" s="27">
        <f>AVERAGE(G55:G56)</f>
        <v>0</v>
      </c>
      <c r="L56">
        <f>+J56/I56</f>
        <v>0</v>
      </c>
      <c r="M56">
        <f>+(L56-$L$614)/$L$615</f>
        <v>-0.23576519316806296</v>
      </c>
      <c r="N56">
        <f>+N54+M56</f>
        <v>-4.7311157626236566</v>
      </c>
    </row>
    <row r="57" spans="1:14">
      <c r="A57" s="8">
        <v>9</v>
      </c>
      <c r="B57" s="74">
        <v>37272</v>
      </c>
      <c r="C57" s="12">
        <v>2002</v>
      </c>
      <c r="D57" s="15" t="s">
        <v>18</v>
      </c>
      <c r="E57" s="12">
        <v>1</v>
      </c>
      <c r="F57" s="13">
        <v>1.147997067637754</v>
      </c>
      <c r="G57" s="17">
        <v>0</v>
      </c>
    </row>
    <row r="58" spans="1:14">
      <c r="A58" s="8">
        <v>10</v>
      </c>
      <c r="B58" s="74">
        <v>37272</v>
      </c>
      <c r="C58" s="12">
        <v>2002</v>
      </c>
      <c r="D58" s="15" t="s">
        <v>18</v>
      </c>
      <c r="E58" s="12">
        <v>1</v>
      </c>
      <c r="F58" s="13">
        <v>1.682021769965901</v>
      </c>
      <c r="G58" s="17">
        <v>0</v>
      </c>
      <c r="I58" s="27">
        <f>AVERAGE(F57:F58)</f>
        <v>1.4150094188018274</v>
      </c>
      <c r="J58" s="27">
        <f>AVERAGE(G57:G58)</f>
        <v>0</v>
      </c>
      <c r="L58">
        <f>+J58/I58</f>
        <v>0</v>
      </c>
      <c r="M58">
        <f>+(L58-$L$614)/$L$615</f>
        <v>-0.23576519316806296</v>
      </c>
      <c r="N58">
        <f>+N56+M58</f>
        <v>-4.9668809557917193</v>
      </c>
    </row>
    <row r="59" spans="1:14">
      <c r="A59" s="8">
        <v>9</v>
      </c>
      <c r="B59" s="74">
        <v>37301</v>
      </c>
      <c r="C59" s="12">
        <v>2002</v>
      </c>
      <c r="D59" s="11" t="s">
        <v>19</v>
      </c>
      <c r="E59" s="12">
        <v>2</v>
      </c>
      <c r="F59" s="13">
        <v>0.71297686444235664</v>
      </c>
      <c r="G59" s="17">
        <v>0</v>
      </c>
    </row>
    <row r="60" spans="1:14">
      <c r="A60" s="8">
        <v>10</v>
      </c>
      <c r="B60" s="74">
        <v>37301</v>
      </c>
      <c r="C60" s="12">
        <v>2002</v>
      </c>
      <c r="D60" s="11" t="s">
        <v>19</v>
      </c>
      <c r="E60" s="12">
        <v>2</v>
      </c>
      <c r="F60" s="13">
        <v>0.9535940430726153</v>
      </c>
      <c r="G60" s="17">
        <v>0</v>
      </c>
      <c r="I60" s="27">
        <f>AVERAGE(F59:F60)</f>
        <v>0.83328545375748597</v>
      </c>
      <c r="J60" s="27">
        <f>AVERAGE(G59:G60)</f>
        <v>0</v>
      </c>
      <c r="L60">
        <f>+J60/I60</f>
        <v>0</v>
      </c>
      <c r="M60">
        <f>+(L60-$L$614)/$L$615</f>
        <v>-0.23576519316806296</v>
      </c>
      <c r="N60">
        <f>+N58+M60</f>
        <v>-5.2026461489597819</v>
      </c>
    </row>
    <row r="61" spans="1:14">
      <c r="A61" s="8">
        <v>9</v>
      </c>
      <c r="B61" s="70">
        <v>37336</v>
      </c>
      <c r="C61" s="12">
        <v>2002</v>
      </c>
      <c r="D61" s="11" t="s">
        <v>20</v>
      </c>
      <c r="E61" s="12">
        <v>3</v>
      </c>
      <c r="F61" s="13">
        <v>1.3481645884658155</v>
      </c>
      <c r="G61" s="17">
        <v>0</v>
      </c>
    </row>
    <row r="62" spans="1:14">
      <c r="A62" s="8">
        <v>10</v>
      </c>
      <c r="B62" s="70">
        <v>37336</v>
      </c>
      <c r="C62" s="12">
        <v>2002</v>
      </c>
      <c r="D62" s="11" t="s">
        <v>20</v>
      </c>
      <c r="E62" s="12">
        <v>3</v>
      </c>
      <c r="F62" s="13">
        <v>1.2886443731512156</v>
      </c>
      <c r="G62" s="17">
        <v>1.3812517482162699E-2</v>
      </c>
      <c r="I62" s="27">
        <f>AVERAGE(F61:F62)</f>
        <v>1.3184044808085156</v>
      </c>
      <c r="J62" s="27">
        <f>AVERAGE(G61:G62)</f>
        <v>6.9062587410813493E-3</v>
      </c>
      <c r="L62">
        <f>+J62/I62</f>
        <v>5.2383459261652878E-3</v>
      </c>
      <c r="M62">
        <f>+(L62-$L$614)/$L$615</f>
        <v>0.14059548912325548</v>
      </c>
      <c r="N62">
        <f>+N60+M62</f>
        <v>-5.062050659836526</v>
      </c>
    </row>
    <row r="63" spans="1:14">
      <c r="A63" s="8">
        <v>9</v>
      </c>
      <c r="B63" s="70">
        <v>37363</v>
      </c>
      <c r="C63" s="12">
        <v>2002</v>
      </c>
      <c r="D63" s="15" t="s">
        <v>21</v>
      </c>
      <c r="E63" s="12">
        <v>4</v>
      </c>
      <c r="F63" s="13">
        <v>0.85757683671362128</v>
      </c>
      <c r="G63" s="17">
        <v>0</v>
      </c>
    </row>
    <row r="64" spans="1:14">
      <c r="A64" s="8">
        <v>10</v>
      </c>
      <c r="B64" s="70">
        <v>37363</v>
      </c>
      <c r="C64" s="12">
        <v>2002</v>
      </c>
      <c r="D64" s="15" t="s">
        <v>21</v>
      </c>
      <c r="E64" s="12">
        <v>4</v>
      </c>
      <c r="F64" s="13">
        <v>1.103174564508576</v>
      </c>
      <c r="G64" s="17">
        <v>0</v>
      </c>
      <c r="I64" s="27">
        <f>AVERAGE(F63:F64)</f>
        <v>0.98037570061109869</v>
      </c>
      <c r="J64" s="27">
        <f>AVERAGE(G63:G64)</f>
        <v>0</v>
      </c>
      <c r="L64">
        <f>+J64/I64</f>
        <v>0</v>
      </c>
      <c r="M64">
        <f>+(L64-$L$614)/$L$615</f>
        <v>-0.23576519316806296</v>
      </c>
      <c r="N64">
        <f>+N62+M64</f>
        <v>-5.2978158530045887</v>
      </c>
    </row>
    <row r="65" spans="1:14">
      <c r="A65" s="8">
        <v>9</v>
      </c>
      <c r="B65" s="70">
        <v>37391</v>
      </c>
      <c r="C65" s="12">
        <v>2002</v>
      </c>
      <c r="D65" s="15" t="s">
        <v>22</v>
      </c>
      <c r="E65" s="12">
        <v>5</v>
      </c>
      <c r="F65" s="13">
        <v>1.9396457396043549</v>
      </c>
      <c r="G65" s="13">
        <v>0</v>
      </c>
    </row>
    <row r="66" spans="1:14">
      <c r="A66" s="8">
        <v>10</v>
      </c>
      <c r="B66" s="70">
        <v>37391</v>
      </c>
      <c r="C66" s="12">
        <v>2002</v>
      </c>
      <c r="D66" s="15" t="s">
        <v>22</v>
      </c>
      <c r="E66" s="12">
        <v>5</v>
      </c>
      <c r="F66" s="13">
        <v>2.4335974169955601</v>
      </c>
      <c r="G66" s="13">
        <v>0</v>
      </c>
      <c r="I66" s="27">
        <f>AVERAGE(F65:F66)</f>
        <v>2.1866215782999574</v>
      </c>
      <c r="J66" s="27">
        <f>AVERAGE(G65:G66)</f>
        <v>0</v>
      </c>
      <c r="L66">
        <f>+J66/I66</f>
        <v>0</v>
      </c>
    </row>
    <row r="67" spans="1:14">
      <c r="A67" s="8">
        <v>9</v>
      </c>
      <c r="B67" s="70">
        <v>37420</v>
      </c>
      <c r="C67" s="12">
        <v>2002</v>
      </c>
      <c r="D67" s="15" t="s">
        <v>23</v>
      </c>
      <c r="E67" s="12">
        <v>6</v>
      </c>
      <c r="F67" s="13">
        <v>5.3147026553096444</v>
      </c>
      <c r="G67" s="13">
        <v>2.6858252584694563E-2</v>
      </c>
    </row>
    <row r="68" spans="1:14">
      <c r="A68" s="8">
        <v>10</v>
      </c>
      <c r="B68" s="70">
        <v>37420</v>
      </c>
      <c r="C68" s="12">
        <v>2002</v>
      </c>
      <c r="D68" s="15" t="s">
        <v>23</v>
      </c>
      <c r="E68" s="12">
        <v>6</v>
      </c>
      <c r="F68" s="13">
        <v>4.260691903620927</v>
      </c>
      <c r="G68" s="13">
        <v>0</v>
      </c>
      <c r="I68" s="27">
        <f>AVERAGE(F67:F68)</f>
        <v>4.7876972794652861</v>
      </c>
      <c r="J68" s="27">
        <f>AVERAGE(G67:G68)</f>
        <v>1.3429126292347281E-2</v>
      </c>
      <c r="L68">
        <f>+J68/I68</f>
        <v>2.8049238513774858E-3</v>
      </c>
    </row>
    <row r="69" spans="1:14">
      <c r="A69" s="8">
        <v>9</v>
      </c>
      <c r="B69" s="70">
        <v>37453</v>
      </c>
      <c r="C69" s="12">
        <v>2002</v>
      </c>
      <c r="D69" s="15" t="s">
        <v>24</v>
      </c>
      <c r="E69" s="12">
        <v>7</v>
      </c>
      <c r="F69" s="13">
        <v>10.683163546231519</v>
      </c>
      <c r="G69" s="13">
        <v>0.18428582477836183</v>
      </c>
    </row>
    <row r="70" spans="1:14">
      <c r="A70" s="8">
        <v>10</v>
      </c>
      <c r="B70" s="70">
        <v>37453</v>
      </c>
      <c r="C70" s="12">
        <v>2002</v>
      </c>
      <c r="D70" s="15" t="s">
        <v>24</v>
      </c>
      <c r="E70" s="12">
        <v>7</v>
      </c>
      <c r="F70" s="13">
        <v>8.4764523140248631</v>
      </c>
      <c r="G70" s="13">
        <v>0</v>
      </c>
      <c r="I70" s="27">
        <f>AVERAGE(F69:F70)</f>
        <v>9.5798079301281902</v>
      </c>
      <c r="J70" s="27">
        <f>AVERAGE(G69:G70)</f>
        <v>9.2142912389180917E-2</v>
      </c>
      <c r="L70">
        <f>+J70/I70</f>
        <v>9.6184509189786993E-3</v>
      </c>
    </row>
    <row r="71" spans="1:14">
      <c r="A71" s="8">
        <v>9</v>
      </c>
      <c r="B71" s="70">
        <v>37481</v>
      </c>
      <c r="C71" s="12">
        <v>2002</v>
      </c>
      <c r="D71" s="15" t="s">
        <v>25</v>
      </c>
      <c r="E71" s="12">
        <v>8</v>
      </c>
      <c r="F71" s="13">
        <v>7.9676668218483595</v>
      </c>
      <c r="G71" s="13">
        <v>0</v>
      </c>
    </row>
    <row r="72" spans="1:14">
      <c r="A72" s="8">
        <v>10</v>
      </c>
      <c r="B72" s="70">
        <v>37481</v>
      </c>
      <c r="C72" s="12">
        <v>2002</v>
      </c>
      <c r="D72" s="15" t="s">
        <v>25</v>
      </c>
      <c r="E72" s="12">
        <v>8</v>
      </c>
      <c r="F72" s="13">
        <v>4.6552995592289621</v>
      </c>
      <c r="G72" s="13">
        <v>0</v>
      </c>
      <c r="I72" s="27">
        <f>AVERAGE(F71:F72)</f>
        <v>6.3114831905386612</v>
      </c>
      <c r="J72" s="27">
        <f>AVERAGE(G71:G72)</f>
        <v>0</v>
      </c>
      <c r="L72">
        <f>+J72/I72</f>
        <v>0</v>
      </c>
    </row>
    <row r="73" spans="1:14">
      <c r="A73" s="8">
        <v>9</v>
      </c>
      <c r="B73" s="70">
        <v>37518</v>
      </c>
      <c r="C73" s="12">
        <v>2002</v>
      </c>
      <c r="D73" s="15" t="s">
        <v>26</v>
      </c>
      <c r="E73" s="12">
        <v>9</v>
      </c>
      <c r="F73" s="13">
        <v>1.9085816221617367</v>
      </c>
      <c r="G73" s="13">
        <v>0</v>
      </c>
    </row>
    <row r="74" spans="1:14">
      <c r="A74" s="8">
        <v>10</v>
      </c>
      <c r="B74" s="70">
        <v>37518</v>
      </c>
      <c r="C74" s="12">
        <v>2002</v>
      </c>
      <c r="D74" s="15" t="s">
        <v>26</v>
      </c>
      <c r="E74" s="12">
        <v>9</v>
      </c>
      <c r="F74" s="13">
        <v>1.7816744587190372</v>
      </c>
      <c r="G74" s="13">
        <v>0</v>
      </c>
      <c r="I74" s="27">
        <f>AVERAGE(F73:F74)</f>
        <v>1.8451280404403869</v>
      </c>
      <c r="J74" s="27">
        <f>AVERAGE(G73:G74)</f>
        <v>0</v>
      </c>
      <c r="L74">
        <f>+J74/I74</f>
        <v>0</v>
      </c>
    </row>
    <row r="75" spans="1:14">
      <c r="A75" s="8">
        <v>9</v>
      </c>
      <c r="B75" s="70">
        <v>37546</v>
      </c>
      <c r="C75" s="12">
        <v>2002</v>
      </c>
      <c r="D75" s="15" t="s">
        <v>14</v>
      </c>
      <c r="E75" s="12">
        <v>10</v>
      </c>
      <c r="F75" s="14">
        <v>1.2929485390832829</v>
      </c>
      <c r="G75" s="14">
        <v>0</v>
      </c>
    </row>
    <row r="76" spans="1:14">
      <c r="A76" s="8">
        <v>10</v>
      </c>
      <c r="B76" s="70">
        <v>37546</v>
      </c>
      <c r="C76" s="12">
        <v>2002</v>
      </c>
      <c r="D76" s="15" t="s">
        <v>14</v>
      </c>
      <c r="E76" s="12">
        <v>10</v>
      </c>
      <c r="F76" s="14">
        <v>2.4992786733570096</v>
      </c>
      <c r="G76" s="14">
        <v>0</v>
      </c>
      <c r="I76" s="27">
        <f>AVERAGE(F75:F76)</f>
        <v>1.8961136062201462</v>
      </c>
      <c r="J76" s="27">
        <f>AVERAGE(G75:G76)</f>
        <v>0</v>
      </c>
      <c r="L76">
        <f>+J76/I76</f>
        <v>0</v>
      </c>
      <c r="M76">
        <f>+(L76-$L$614)/$L$615</f>
        <v>-0.23576519316806296</v>
      </c>
      <c r="N76">
        <f>+N64+M76</f>
        <v>-5.5335810461726513</v>
      </c>
    </row>
    <row r="77" spans="1:14">
      <c r="A77" s="8">
        <v>9</v>
      </c>
      <c r="B77" s="70">
        <v>37574</v>
      </c>
      <c r="C77" s="12">
        <v>2002</v>
      </c>
      <c r="D77" s="15" t="s">
        <v>16</v>
      </c>
      <c r="E77" s="12">
        <v>11</v>
      </c>
      <c r="F77" s="14">
        <v>1.0867194293237217</v>
      </c>
      <c r="G77" s="14">
        <v>0</v>
      </c>
    </row>
    <row r="78" spans="1:14">
      <c r="A78" s="8">
        <v>10</v>
      </c>
      <c r="B78" s="70">
        <v>37574</v>
      </c>
      <c r="C78" s="12">
        <v>2002</v>
      </c>
      <c r="D78" s="15" t="s">
        <v>16</v>
      </c>
      <c r="E78" s="12">
        <v>11</v>
      </c>
      <c r="F78" s="14">
        <v>1.0767334892909848</v>
      </c>
      <c r="G78" s="14">
        <v>0</v>
      </c>
      <c r="I78" s="27">
        <f>AVERAGE(F77:F78)</f>
        <v>1.0817264593073532</v>
      </c>
      <c r="J78" s="27">
        <f>AVERAGE(G77:G78)</f>
        <v>0</v>
      </c>
      <c r="L78">
        <f>+J78/I78</f>
        <v>0</v>
      </c>
      <c r="M78">
        <f>+(L78-$L$614)/$L$615</f>
        <v>-0.23576519316806296</v>
      </c>
      <c r="N78">
        <f>+N76+M78</f>
        <v>-5.769346239340714</v>
      </c>
    </row>
    <row r="79" spans="1:14">
      <c r="A79" s="8">
        <v>9</v>
      </c>
      <c r="B79" s="70">
        <v>37608</v>
      </c>
      <c r="C79" s="12">
        <v>2002</v>
      </c>
      <c r="D79" s="15" t="s">
        <v>17</v>
      </c>
      <c r="E79" s="12">
        <v>12</v>
      </c>
      <c r="F79" s="14">
        <v>2.5888372076756232</v>
      </c>
      <c r="G79" s="14">
        <v>0</v>
      </c>
    </row>
    <row r="80" spans="1:14">
      <c r="A80" s="8">
        <v>10</v>
      </c>
      <c r="B80" s="70">
        <v>37608</v>
      </c>
      <c r="C80" s="12">
        <v>2002</v>
      </c>
      <c r="D80" s="15" t="s">
        <v>17</v>
      </c>
      <c r="E80" s="12">
        <v>12</v>
      </c>
      <c r="F80" s="14">
        <v>2.8423970265451763</v>
      </c>
      <c r="G80" s="14">
        <v>0</v>
      </c>
      <c r="I80" s="27">
        <f>AVERAGE(F79:F80)</f>
        <v>2.7156171171103995</v>
      </c>
      <c r="J80" s="27">
        <f>AVERAGE(G79:G80)</f>
        <v>0</v>
      </c>
      <c r="L80">
        <f>+J80/I80</f>
        <v>0</v>
      </c>
      <c r="M80">
        <f>+(L80-$L$614)/$L$615</f>
        <v>-0.23576519316806296</v>
      </c>
      <c r="N80">
        <f>+N78+M80</f>
        <v>-6.0051114325087767</v>
      </c>
    </row>
    <row r="81" spans="1:14">
      <c r="A81" s="8">
        <v>9</v>
      </c>
      <c r="B81" s="70">
        <v>37636</v>
      </c>
      <c r="C81" s="12">
        <v>2003</v>
      </c>
      <c r="D81" s="15" t="s">
        <v>18</v>
      </c>
      <c r="E81" s="12">
        <v>1</v>
      </c>
      <c r="F81" s="14">
        <v>3.1264525681107216</v>
      </c>
      <c r="G81" s="14">
        <v>0</v>
      </c>
    </row>
    <row r="82" spans="1:14">
      <c r="A82" s="8">
        <v>10</v>
      </c>
      <c r="B82" s="70">
        <v>37636</v>
      </c>
      <c r="C82" s="12">
        <v>2003</v>
      </c>
      <c r="D82" s="15" t="s">
        <v>18</v>
      </c>
      <c r="E82" s="12">
        <v>1</v>
      </c>
      <c r="F82" s="14">
        <v>3.2980055779066113</v>
      </c>
      <c r="G82" s="14">
        <v>0</v>
      </c>
      <c r="I82" s="27">
        <f>AVERAGE(F81:F82)</f>
        <v>3.2122290730086664</v>
      </c>
      <c r="J82" s="27">
        <f>AVERAGE(G81:G82)</f>
        <v>0</v>
      </c>
      <c r="L82">
        <f>+J82/I82</f>
        <v>0</v>
      </c>
      <c r="M82">
        <f>+(L82-$L$614)/$L$615</f>
        <v>-0.23576519316806296</v>
      </c>
      <c r="N82">
        <f>+N80+M82</f>
        <v>-6.2408766256768393</v>
      </c>
    </row>
    <row r="83" spans="1:14">
      <c r="A83" s="8">
        <v>9</v>
      </c>
      <c r="B83" s="70">
        <v>37663</v>
      </c>
      <c r="C83" s="12">
        <v>2003</v>
      </c>
      <c r="D83" s="11" t="s">
        <v>19</v>
      </c>
      <c r="E83" s="12">
        <v>2</v>
      </c>
      <c r="F83" s="14">
        <v>3.1713906033163646</v>
      </c>
      <c r="G83" s="14">
        <v>0</v>
      </c>
    </row>
    <row r="84" spans="1:14">
      <c r="A84" s="8">
        <v>10</v>
      </c>
      <c r="B84" s="70">
        <v>37663</v>
      </c>
      <c r="C84" s="12">
        <v>2003</v>
      </c>
      <c r="D84" s="11" t="s">
        <v>19</v>
      </c>
      <c r="E84" s="12">
        <v>2</v>
      </c>
      <c r="F84" s="14">
        <v>4.0365013086057164</v>
      </c>
      <c r="G84" s="14">
        <v>0</v>
      </c>
      <c r="I84" s="27">
        <f>AVERAGE(F83:F84)</f>
        <v>3.6039459559610405</v>
      </c>
      <c r="J84" s="27">
        <f>AVERAGE(G83:G84)</f>
        <v>0</v>
      </c>
      <c r="L84">
        <f>+J84/I84</f>
        <v>0</v>
      </c>
      <c r="M84">
        <f>+(L84-$L$614)/$L$615</f>
        <v>-0.23576519316806296</v>
      </c>
      <c r="N84">
        <f>+N82+M84</f>
        <v>-6.476641818844902</v>
      </c>
    </row>
    <row r="85" spans="1:14">
      <c r="A85" s="8">
        <v>9</v>
      </c>
      <c r="B85" s="70">
        <v>37691</v>
      </c>
      <c r="C85" s="12">
        <v>2003</v>
      </c>
      <c r="D85" s="11" t="s">
        <v>20</v>
      </c>
      <c r="E85" s="12">
        <v>3</v>
      </c>
      <c r="F85" s="14">
        <v>5.0388886297177624</v>
      </c>
      <c r="G85" s="14">
        <v>2.7032515543638603E-2</v>
      </c>
    </row>
    <row r="86" spans="1:14">
      <c r="A86" s="8">
        <v>10</v>
      </c>
      <c r="B86" s="70">
        <v>37691</v>
      </c>
      <c r="C86" s="12">
        <v>2003</v>
      </c>
      <c r="D86" s="11" t="s">
        <v>20</v>
      </c>
      <c r="E86" s="12">
        <v>3</v>
      </c>
      <c r="F86" s="14">
        <v>7.6414041120201084</v>
      </c>
      <c r="G86" s="14">
        <v>3.6107352617702503E-2</v>
      </c>
      <c r="I86" s="27">
        <f>AVERAGE(F85:F86)</f>
        <v>6.3401463708689354</v>
      </c>
      <c r="J86" s="27">
        <f>AVERAGE(G85:G86)</f>
        <v>3.1569934080670554E-2</v>
      </c>
      <c r="L86">
        <f>+J86/I86</f>
        <v>4.9793699126135169E-3</v>
      </c>
      <c r="M86">
        <f>+(L86-$L$614)/$L$615</f>
        <v>0.12198877804856675</v>
      </c>
      <c r="N86">
        <f>+N84+M86</f>
        <v>-6.3546530407963351</v>
      </c>
    </row>
    <row r="87" spans="1:14">
      <c r="A87" s="8">
        <v>9</v>
      </c>
      <c r="B87" s="70">
        <v>37727</v>
      </c>
      <c r="C87" s="12">
        <v>2003</v>
      </c>
      <c r="D87" s="11" t="s">
        <v>21</v>
      </c>
      <c r="E87" s="12">
        <v>4</v>
      </c>
      <c r="F87" s="14">
        <v>12.053436115301217</v>
      </c>
      <c r="G87" s="14">
        <v>0</v>
      </c>
    </row>
    <row r="88" spans="1:14">
      <c r="A88" s="8">
        <v>10</v>
      </c>
      <c r="B88" s="70">
        <v>37727</v>
      </c>
      <c r="C88" s="12">
        <v>2003</v>
      </c>
      <c r="D88" s="11" t="s">
        <v>21</v>
      </c>
      <c r="E88" s="12">
        <v>4</v>
      </c>
      <c r="F88" s="14">
        <v>13.397116729720528</v>
      </c>
      <c r="G88" s="14">
        <v>0</v>
      </c>
      <c r="I88" s="27">
        <f>AVERAGE(F87:F88)</f>
        <v>12.725276422510873</v>
      </c>
      <c r="J88" s="27">
        <f>AVERAGE(G87:G88)</f>
        <v>0</v>
      </c>
      <c r="L88">
        <f>+J88/I88</f>
        <v>0</v>
      </c>
      <c r="M88">
        <f>+(L88-$L$614)/$L$615</f>
        <v>-0.23576519316806296</v>
      </c>
      <c r="N88">
        <f>+N86+M88</f>
        <v>-6.5904182339643977</v>
      </c>
    </row>
    <row r="89" spans="1:14">
      <c r="A89" s="8">
        <v>9</v>
      </c>
      <c r="B89" s="70">
        <v>37756</v>
      </c>
      <c r="C89" s="12">
        <v>2003</v>
      </c>
      <c r="D89" s="11" t="s">
        <v>22</v>
      </c>
      <c r="E89" s="12">
        <v>5</v>
      </c>
      <c r="F89" s="14">
        <v>1.8476474728478067</v>
      </c>
      <c r="G89" s="14">
        <v>6.2671971555601891E-2</v>
      </c>
    </row>
    <row r="90" spans="1:14">
      <c r="A90" s="8">
        <v>10</v>
      </c>
      <c r="B90" s="70">
        <v>37756</v>
      </c>
      <c r="C90" s="12">
        <v>2003</v>
      </c>
      <c r="D90" s="11" t="s">
        <v>22</v>
      </c>
      <c r="E90" s="12">
        <v>5</v>
      </c>
      <c r="F90" s="14">
        <v>4.152192391345797</v>
      </c>
      <c r="G90" s="14">
        <v>0</v>
      </c>
      <c r="I90" s="27">
        <f>AVERAGE(F89:F90)</f>
        <v>2.9999199320968017</v>
      </c>
      <c r="J90" s="27">
        <f>AVERAGE(G89:G90)</f>
        <v>3.1335985777800945E-2</v>
      </c>
      <c r="L90">
        <f>+J90/I90</f>
        <v>1.044560737856046E-2</v>
      </c>
      <c r="M90">
        <f>+(L90-$L$614)/$L$615</f>
        <v>0.51472283785438433</v>
      </c>
      <c r="N90">
        <f>+N88+M90</f>
        <v>-6.0756953961100137</v>
      </c>
    </row>
    <row r="91" spans="1:14">
      <c r="A91" s="8">
        <v>9</v>
      </c>
      <c r="B91" s="70">
        <v>37790</v>
      </c>
      <c r="C91" s="12">
        <v>2003</v>
      </c>
      <c r="D91" s="11" t="s">
        <v>23</v>
      </c>
      <c r="E91" s="12">
        <v>6</v>
      </c>
      <c r="F91" s="14">
        <v>25.687010217391375</v>
      </c>
      <c r="G91" s="14">
        <v>3.5997663823376378</v>
      </c>
    </row>
    <row r="92" spans="1:14">
      <c r="A92" s="8">
        <v>10</v>
      </c>
      <c r="B92" s="70">
        <v>37790</v>
      </c>
      <c r="C92" s="12">
        <v>2003</v>
      </c>
      <c r="D92" s="11" t="s">
        <v>23</v>
      </c>
      <c r="E92" s="12">
        <v>6</v>
      </c>
      <c r="F92" s="14">
        <v>23.761915212820931</v>
      </c>
      <c r="G92" s="14">
        <v>3.8283086458268425</v>
      </c>
      <c r="I92" s="27">
        <f>AVERAGE(F91:F92)</f>
        <v>24.724462715106153</v>
      </c>
      <c r="J92" s="27">
        <f>AVERAGE(G91:G92)</f>
        <v>3.7140375140822401</v>
      </c>
      <c r="L92">
        <f>+J92/I92</f>
        <v>0.15021711722831646</v>
      </c>
      <c r="M92">
        <f>+(L92-$L$614)/$L$615</f>
        <v>10.556919659791046</v>
      </c>
      <c r="N92">
        <f>+N90+M92</f>
        <v>4.4812242636810318</v>
      </c>
    </row>
    <row r="93" spans="1:14">
      <c r="A93" s="8">
        <v>9</v>
      </c>
      <c r="B93" s="70">
        <v>37818</v>
      </c>
      <c r="C93" s="12">
        <v>2003</v>
      </c>
      <c r="D93" s="15" t="s">
        <v>24</v>
      </c>
      <c r="E93" s="12">
        <v>7</v>
      </c>
      <c r="F93" s="14">
        <v>17.655619443896327</v>
      </c>
      <c r="G93" s="14">
        <v>0</v>
      </c>
    </row>
    <row r="94" spans="1:14">
      <c r="A94" s="8">
        <v>10</v>
      </c>
      <c r="B94" s="70">
        <v>37818</v>
      </c>
      <c r="C94" s="12">
        <v>2003</v>
      </c>
      <c r="D94" s="15" t="s">
        <v>24</v>
      </c>
      <c r="E94" s="12">
        <v>7</v>
      </c>
      <c r="F94" s="14">
        <v>16.888009174651454</v>
      </c>
      <c r="G94" s="14">
        <v>0</v>
      </c>
      <c r="I94" s="27">
        <f>AVERAGE(F93:F94)</f>
        <v>17.271814309273893</v>
      </c>
      <c r="J94" s="27">
        <f>AVERAGE(G93:G94)</f>
        <v>0</v>
      </c>
      <c r="L94">
        <f>+J94/I94</f>
        <v>0</v>
      </c>
      <c r="M94">
        <f>+(L94-$L$614)/$L$615</f>
        <v>-0.23576519316806296</v>
      </c>
      <c r="N94">
        <f>+N92+M94</f>
        <v>4.2454590705129691</v>
      </c>
    </row>
    <row r="95" spans="1:14">
      <c r="A95" s="8">
        <v>9</v>
      </c>
      <c r="B95" s="70">
        <v>37846</v>
      </c>
      <c r="C95" s="12">
        <v>2003</v>
      </c>
      <c r="D95" s="15" t="s">
        <v>25</v>
      </c>
      <c r="E95" s="12">
        <v>8</v>
      </c>
      <c r="F95" s="14">
        <v>24.113811290922982</v>
      </c>
      <c r="G95" s="14">
        <v>0</v>
      </c>
    </row>
    <row r="96" spans="1:14">
      <c r="A96" s="8">
        <v>10</v>
      </c>
      <c r="B96" s="70">
        <v>37846</v>
      </c>
      <c r="C96" s="12">
        <v>2003</v>
      </c>
      <c r="D96" s="15" t="s">
        <v>25</v>
      </c>
      <c r="E96" s="12">
        <v>8</v>
      </c>
      <c r="F96" s="14">
        <v>18.957917819459027</v>
      </c>
      <c r="G96" s="14">
        <v>0</v>
      </c>
      <c r="I96" s="27">
        <f>AVERAGE(F95:F96)</f>
        <v>21.535864555191004</v>
      </c>
      <c r="J96" s="27">
        <f>AVERAGE(G95:G96)</f>
        <v>0</v>
      </c>
      <c r="L96">
        <f>+J96/I96</f>
        <v>0</v>
      </c>
      <c r="M96">
        <f>+(L96-$L$614)/$L$615</f>
        <v>-0.23576519316806296</v>
      </c>
      <c r="N96">
        <f>+N94+M96</f>
        <v>4.0096938773449065</v>
      </c>
    </row>
    <row r="97" spans="1:14">
      <c r="A97" s="8">
        <v>9</v>
      </c>
      <c r="B97" s="70">
        <v>37886</v>
      </c>
      <c r="C97" s="12">
        <v>2003</v>
      </c>
      <c r="D97" s="15" t="s">
        <v>26</v>
      </c>
      <c r="E97" s="12">
        <v>9</v>
      </c>
      <c r="F97" s="14">
        <v>13.35583266019621</v>
      </c>
      <c r="G97" s="14">
        <v>0</v>
      </c>
    </row>
    <row r="98" spans="1:14">
      <c r="A98" s="8">
        <v>10</v>
      </c>
      <c r="B98" s="70">
        <v>37886</v>
      </c>
      <c r="C98" s="12">
        <v>2003</v>
      </c>
      <c r="D98" s="15" t="s">
        <v>26</v>
      </c>
      <c r="E98" s="12">
        <v>9</v>
      </c>
      <c r="F98" s="14">
        <v>11.568462130128601</v>
      </c>
      <c r="G98" s="14">
        <v>0</v>
      </c>
      <c r="I98" s="27">
        <f>AVERAGE(F97:F98)</f>
        <v>12.462147395162406</v>
      </c>
      <c r="J98" s="27">
        <f>AVERAGE(G97:G98)</f>
        <v>0</v>
      </c>
      <c r="L98">
        <f>+J98/I98</f>
        <v>0</v>
      </c>
      <c r="M98">
        <f>+(L98-$L$614)/$L$615</f>
        <v>-0.23576519316806296</v>
      </c>
      <c r="N98">
        <f>+N96+M98</f>
        <v>3.7739286841768434</v>
      </c>
    </row>
    <row r="99" spans="1:14">
      <c r="A99" s="8">
        <v>9</v>
      </c>
      <c r="B99" s="70">
        <v>37910</v>
      </c>
      <c r="C99" s="12">
        <v>2003</v>
      </c>
      <c r="D99" s="15" t="s">
        <v>14</v>
      </c>
      <c r="E99" s="12">
        <v>10</v>
      </c>
      <c r="F99" s="13">
        <v>1.7733000000000001</v>
      </c>
      <c r="G99" s="14">
        <v>0</v>
      </c>
    </row>
    <row r="100" spans="1:14">
      <c r="A100" s="8">
        <v>10</v>
      </c>
      <c r="B100" s="70">
        <v>37910</v>
      </c>
      <c r="C100" s="12">
        <v>2003</v>
      </c>
      <c r="D100" s="15" t="s">
        <v>14</v>
      </c>
      <c r="E100" s="12">
        <v>10</v>
      </c>
      <c r="F100" s="13">
        <v>2.1722999999999999</v>
      </c>
      <c r="G100" s="14">
        <v>0</v>
      </c>
      <c r="I100" s="27">
        <f>AVERAGE(F99:F100)</f>
        <v>1.9727999999999999</v>
      </c>
      <c r="J100" s="27">
        <f>AVERAGE(G99:G100)</f>
        <v>0</v>
      </c>
      <c r="L100">
        <f>+J100/I100</f>
        <v>0</v>
      </c>
      <c r="M100">
        <f>+(L100-$L$614)/$L$615</f>
        <v>-0.23576519316806296</v>
      </c>
      <c r="N100">
        <f>+N98+M100</f>
        <v>3.5381634910087802</v>
      </c>
    </row>
    <row r="101" spans="1:14">
      <c r="A101" s="8">
        <v>9</v>
      </c>
      <c r="B101" s="70">
        <v>37942</v>
      </c>
      <c r="C101" s="12">
        <v>2003</v>
      </c>
      <c r="D101" s="15" t="s">
        <v>16</v>
      </c>
      <c r="E101" s="12">
        <v>11</v>
      </c>
      <c r="F101" s="13">
        <v>0.86929999999999996</v>
      </c>
      <c r="G101" s="14">
        <v>0</v>
      </c>
    </row>
    <row r="102" spans="1:14">
      <c r="A102" s="8">
        <v>10</v>
      </c>
      <c r="B102" s="70">
        <v>37942</v>
      </c>
      <c r="C102" s="12">
        <v>2003</v>
      </c>
      <c r="D102" s="15" t="s">
        <v>16</v>
      </c>
      <c r="E102" s="12">
        <v>11</v>
      </c>
      <c r="F102" s="13">
        <v>1.3080000000000001</v>
      </c>
      <c r="G102" s="14">
        <v>0</v>
      </c>
      <c r="I102" s="27">
        <f>AVERAGE(F101:F102)</f>
        <v>1.0886499999999999</v>
      </c>
      <c r="J102" s="27">
        <f>AVERAGE(G101:G102)</f>
        <v>0</v>
      </c>
      <c r="L102">
        <f>+J102/I102</f>
        <v>0</v>
      </c>
      <c r="M102">
        <f>+(L102-$L$614)/$L$615</f>
        <v>-0.23576519316806296</v>
      </c>
      <c r="N102">
        <f>+N100+M102</f>
        <v>3.3023982978407171</v>
      </c>
    </row>
    <row r="103" spans="1:14">
      <c r="A103" s="8">
        <v>9</v>
      </c>
      <c r="B103" s="70">
        <v>37971</v>
      </c>
      <c r="C103" s="12">
        <v>2003</v>
      </c>
      <c r="D103" s="15" t="s">
        <v>17</v>
      </c>
      <c r="E103" s="12">
        <v>12</v>
      </c>
      <c r="F103" s="13">
        <v>3.5051000000000001</v>
      </c>
      <c r="G103" s="14">
        <v>0</v>
      </c>
    </row>
    <row r="104" spans="1:14">
      <c r="A104" s="8">
        <v>10</v>
      </c>
      <c r="B104" s="70">
        <v>37971</v>
      </c>
      <c r="C104" s="12">
        <v>2003</v>
      </c>
      <c r="D104" s="15" t="s">
        <v>17</v>
      </c>
      <c r="E104" s="12">
        <v>12</v>
      </c>
      <c r="F104" s="13">
        <v>4.6539000000000001</v>
      </c>
      <c r="G104" s="14">
        <v>0</v>
      </c>
      <c r="I104" s="27">
        <f>AVERAGE(F103:F104)</f>
        <v>4.0795000000000003</v>
      </c>
      <c r="J104" s="27">
        <f>AVERAGE(G103:G104)</f>
        <v>0</v>
      </c>
      <c r="L104">
        <f>+J104/I104</f>
        <v>0</v>
      </c>
      <c r="M104">
        <f>+(L104-$L$614)/$L$615</f>
        <v>-0.23576519316806296</v>
      </c>
      <c r="N104">
        <f>+N102+M104</f>
        <v>3.066633104672654</v>
      </c>
    </row>
    <row r="105" spans="1:14">
      <c r="A105" s="8">
        <v>9</v>
      </c>
      <c r="B105" s="70">
        <v>37998</v>
      </c>
      <c r="C105" s="12">
        <v>2004</v>
      </c>
      <c r="D105" s="15" t="s">
        <v>18</v>
      </c>
      <c r="E105" s="12">
        <v>1</v>
      </c>
      <c r="F105" s="13">
        <v>5.7762000000000002</v>
      </c>
      <c r="G105" s="13">
        <v>0</v>
      </c>
    </row>
    <row r="106" spans="1:14">
      <c r="A106" s="8">
        <v>10</v>
      </c>
      <c r="B106" s="70">
        <v>37998</v>
      </c>
      <c r="C106" s="12">
        <v>2004</v>
      </c>
      <c r="D106" s="15" t="s">
        <v>18</v>
      </c>
      <c r="E106" s="12">
        <v>1</v>
      </c>
      <c r="F106" s="13">
        <v>5.8978000000000002</v>
      </c>
      <c r="G106" s="13">
        <v>0</v>
      </c>
      <c r="I106" s="27">
        <f>AVERAGE(F105:F106)</f>
        <v>5.8369999999999997</v>
      </c>
      <c r="J106" s="27">
        <f>AVERAGE(G105:G106)</f>
        <v>0</v>
      </c>
      <c r="L106">
        <f>+J106/I106</f>
        <v>0</v>
      </c>
      <c r="M106">
        <f>+(L106-$L$614)/$L$615</f>
        <v>-0.23576519316806296</v>
      </c>
      <c r="N106">
        <f>+N104+M106</f>
        <v>2.8308679115045909</v>
      </c>
    </row>
    <row r="107" spans="1:14">
      <c r="A107" s="8">
        <v>9</v>
      </c>
      <c r="B107" s="70">
        <v>38026</v>
      </c>
      <c r="C107" s="12">
        <v>2004</v>
      </c>
      <c r="D107" s="11" t="s">
        <v>19</v>
      </c>
      <c r="E107" s="12">
        <v>2</v>
      </c>
      <c r="F107" s="13">
        <v>13.942399999999999</v>
      </c>
      <c r="G107" s="13">
        <v>0</v>
      </c>
    </row>
    <row r="108" spans="1:14">
      <c r="A108" s="8">
        <v>10</v>
      </c>
      <c r="B108" s="70">
        <v>38026</v>
      </c>
      <c r="C108" s="12">
        <v>2004</v>
      </c>
      <c r="D108" s="11" t="s">
        <v>19</v>
      </c>
      <c r="E108" s="12">
        <v>2</v>
      </c>
      <c r="F108" s="13">
        <v>27.691099999999999</v>
      </c>
      <c r="G108" s="13">
        <v>0</v>
      </c>
      <c r="I108" s="27">
        <f>AVERAGE(F107:F108)</f>
        <v>20.816749999999999</v>
      </c>
      <c r="J108" s="27">
        <f>AVERAGE(G107:G108)</f>
        <v>0</v>
      </c>
      <c r="L108">
        <f>+J108/I108</f>
        <v>0</v>
      </c>
      <c r="M108">
        <f>+(L108-$L$614)/$L$615</f>
        <v>-0.23576519316806296</v>
      </c>
      <c r="N108">
        <f>+N106+M108</f>
        <v>2.5951027183365278</v>
      </c>
    </row>
    <row r="109" spans="1:14">
      <c r="A109" s="8">
        <v>9</v>
      </c>
      <c r="B109" s="70">
        <v>38061</v>
      </c>
      <c r="C109" s="12">
        <v>2004</v>
      </c>
      <c r="D109" s="11" t="s">
        <v>20</v>
      </c>
      <c r="E109" s="12">
        <v>3</v>
      </c>
      <c r="F109" s="13">
        <v>10.276</v>
      </c>
      <c r="G109" s="13">
        <v>0</v>
      </c>
    </row>
    <row r="110" spans="1:14">
      <c r="A110" s="8">
        <v>10</v>
      </c>
      <c r="B110" s="70">
        <v>38061</v>
      </c>
      <c r="C110" s="12">
        <v>2004</v>
      </c>
      <c r="D110" s="11" t="s">
        <v>20</v>
      </c>
      <c r="E110" s="12">
        <v>3</v>
      </c>
      <c r="F110" s="13">
        <v>9.8984000000000005</v>
      </c>
      <c r="G110" s="13">
        <v>0</v>
      </c>
      <c r="I110" s="27">
        <f>AVERAGE(F109:F110)</f>
        <v>10.087199999999999</v>
      </c>
      <c r="J110" s="27">
        <f>AVERAGE(G109:G110)</f>
        <v>0</v>
      </c>
      <c r="L110">
        <f>+J110/I110</f>
        <v>0</v>
      </c>
      <c r="M110">
        <f>+(L110-$L$614)/$L$615</f>
        <v>-0.23576519316806296</v>
      </c>
      <c r="N110">
        <f>+N108+M110</f>
        <v>2.3593375251684647</v>
      </c>
    </row>
    <row r="111" spans="1:14">
      <c r="A111" s="8">
        <v>9</v>
      </c>
      <c r="B111" s="70">
        <v>38093</v>
      </c>
      <c r="C111" s="12">
        <v>2004</v>
      </c>
      <c r="D111" s="11" t="s">
        <v>21</v>
      </c>
      <c r="E111" s="12">
        <v>4</v>
      </c>
      <c r="F111" s="13">
        <v>1.6172</v>
      </c>
      <c r="G111" s="20">
        <v>1.6052095459349044E-2</v>
      </c>
    </row>
    <row r="112" spans="1:14">
      <c r="A112" s="8">
        <v>10</v>
      </c>
      <c r="B112" s="70">
        <v>38093</v>
      </c>
      <c r="C112" s="12">
        <v>2004</v>
      </c>
      <c r="D112" s="11" t="s">
        <v>21</v>
      </c>
      <c r="E112" s="12">
        <v>4</v>
      </c>
      <c r="F112" s="13">
        <v>1.2706999999999999</v>
      </c>
      <c r="G112" s="20">
        <v>0</v>
      </c>
      <c r="I112" s="27">
        <f>AVERAGE(F111:F112)</f>
        <v>1.4439500000000001</v>
      </c>
      <c r="J112" s="27">
        <f>AVERAGE(G111:G112)</f>
        <v>8.0260477296745219E-3</v>
      </c>
      <c r="L112">
        <f>+J112/I112</f>
        <v>5.5583972642228065E-3</v>
      </c>
      <c r="M112">
        <f>+(L112-$L$614)/$L$615</f>
        <v>0.16359029352475776</v>
      </c>
      <c r="N112">
        <f>+N110+M112</f>
        <v>2.5229278186932227</v>
      </c>
    </row>
    <row r="113" spans="1:14">
      <c r="A113" s="8">
        <v>9</v>
      </c>
      <c r="B113" s="70">
        <v>38117</v>
      </c>
      <c r="C113" s="12">
        <v>2004</v>
      </c>
      <c r="D113" s="11" t="s">
        <v>22</v>
      </c>
      <c r="E113" s="12">
        <v>5</v>
      </c>
      <c r="F113" s="13">
        <v>2.1907000000000001</v>
      </c>
      <c r="G113" s="20">
        <v>7.3173521051607182E-2</v>
      </c>
    </row>
    <row r="114" spans="1:14">
      <c r="A114" s="8">
        <v>10</v>
      </c>
      <c r="B114" s="70">
        <v>38117</v>
      </c>
      <c r="C114" s="12">
        <v>2004</v>
      </c>
      <c r="D114" s="11" t="s">
        <v>22</v>
      </c>
      <c r="E114" s="12">
        <v>5</v>
      </c>
      <c r="F114" s="13">
        <v>2.0653000000000001</v>
      </c>
      <c r="G114" s="20">
        <v>0</v>
      </c>
      <c r="I114" s="27">
        <f>AVERAGE(F113:F114)</f>
        <v>2.1280000000000001</v>
      </c>
      <c r="J114" s="27">
        <f>AVERAGE(G113:G114)</f>
        <v>3.6586760525803591E-2</v>
      </c>
      <c r="L114">
        <f>+J114/I114</f>
        <v>1.7193026562877627E-2</v>
      </c>
      <c r="M114">
        <f>+(L114-$L$614)/$L$615</f>
        <v>0.99950626447587609</v>
      </c>
      <c r="N114">
        <f>+N112+M114</f>
        <v>3.5224340831690988</v>
      </c>
    </row>
    <row r="115" spans="1:14">
      <c r="A115" s="8">
        <v>9</v>
      </c>
      <c r="B115" s="70">
        <v>38160</v>
      </c>
      <c r="C115" s="12">
        <v>2004</v>
      </c>
      <c r="D115" s="11" t="s">
        <v>23</v>
      </c>
      <c r="E115" s="12">
        <v>6</v>
      </c>
      <c r="F115" s="13">
        <v>26.334599999999998</v>
      </c>
      <c r="G115" s="20">
        <v>0</v>
      </c>
    </row>
    <row r="116" spans="1:14">
      <c r="A116" s="8">
        <v>10</v>
      </c>
      <c r="B116" s="70">
        <v>38160</v>
      </c>
      <c r="C116" s="12">
        <v>2004</v>
      </c>
      <c r="D116" s="11" t="s">
        <v>23</v>
      </c>
      <c r="E116" s="12">
        <v>6</v>
      </c>
      <c r="F116" s="13">
        <v>21.081700000000001</v>
      </c>
      <c r="G116" s="20">
        <v>0</v>
      </c>
      <c r="I116" s="27">
        <f>AVERAGE(F115:F116)</f>
        <v>23.70815</v>
      </c>
      <c r="J116" s="27">
        <f>AVERAGE(G115:G116)</f>
        <v>0</v>
      </c>
      <c r="L116">
        <f>+J116/I116</f>
        <v>0</v>
      </c>
      <c r="M116">
        <f>+(L116-$L$614)/$L$615</f>
        <v>-0.23576519316806296</v>
      </c>
      <c r="N116">
        <f>+N114+M116</f>
        <v>3.2866688900010357</v>
      </c>
    </row>
    <row r="117" spans="1:14">
      <c r="A117" s="8">
        <v>9</v>
      </c>
      <c r="B117" s="70">
        <v>38182</v>
      </c>
      <c r="C117" s="12">
        <v>2004</v>
      </c>
      <c r="D117" s="15" t="s">
        <v>24</v>
      </c>
      <c r="E117" s="12">
        <v>7</v>
      </c>
      <c r="F117" s="13">
        <v>14.373200000000001</v>
      </c>
      <c r="G117" s="20">
        <v>0</v>
      </c>
    </row>
    <row r="118" spans="1:14">
      <c r="A118" s="8">
        <v>10</v>
      </c>
      <c r="B118" s="70">
        <v>38183</v>
      </c>
      <c r="C118" s="12">
        <v>2004</v>
      </c>
      <c r="D118" s="15" t="s">
        <v>24</v>
      </c>
      <c r="E118" s="12">
        <v>7</v>
      </c>
      <c r="F118" s="13">
        <v>11.0466</v>
      </c>
      <c r="G118" s="20">
        <v>0</v>
      </c>
      <c r="I118" s="27">
        <f>AVERAGE(F117:F118)</f>
        <v>12.709900000000001</v>
      </c>
      <c r="J118" s="27">
        <f>AVERAGE(G117:G118)</f>
        <v>0</v>
      </c>
      <c r="L118">
        <f>+J118/I118</f>
        <v>0</v>
      </c>
      <c r="M118">
        <f>+(L118-$L$614)/$L$615</f>
        <v>-0.23576519316806296</v>
      </c>
      <c r="N118">
        <f>+N116+M118</f>
        <v>3.0509036968329726</v>
      </c>
    </row>
    <row r="119" spans="1:14">
      <c r="A119" s="8">
        <v>9</v>
      </c>
      <c r="B119" s="70">
        <v>38218</v>
      </c>
      <c r="C119" s="12">
        <v>2004</v>
      </c>
      <c r="D119" s="15" t="s">
        <v>25</v>
      </c>
      <c r="E119" s="12">
        <v>8</v>
      </c>
      <c r="F119" s="13">
        <v>20.988299999999999</v>
      </c>
      <c r="G119" s="20">
        <v>0</v>
      </c>
    </row>
    <row r="120" spans="1:14">
      <c r="A120" s="8">
        <v>10</v>
      </c>
      <c r="B120" s="70">
        <v>38218</v>
      </c>
      <c r="C120" s="12">
        <v>2004</v>
      </c>
      <c r="D120" s="15" t="s">
        <v>25</v>
      </c>
      <c r="E120" s="12">
        <v>8</v>
      </c>
      <c r="F120" s="13">
        <v>21.952300000000001</v>
      </c>
      <c r="G120" s="20">
        <v>0</v>
      </c>
      <c r="I120" s="27">
        <f>AVERAGE(F119:F120)</f>
        <v>21.470300000000002</v>
      </c>
      <c r="J120" s="27">
        <f>AVERAGE(G119:G120)</f>
        <v>0</v>
      </c>
      <c r="L120">
        <f>+J120/I120</f>
        <v>0</v>
      </c>
      <c r="M120">
        <f>+(L120-$L$614)/$L$615</f>
        <v>-0.23576519316806296</v>
      </c>
      <c r="N120">
        <f>+N118+M120</f>
        <v>2.8151385036649095</v>
      </c>
    </row>
    <row r="121" spans="1:14">
      <c r="A121" s="8">
        <v>9</v>
      </c>
      <c r="B121" s="70">
        <v>38246</v>
      </c>
      <c r="C121" s="12">
        <v>2004</v>
      </c>
      <c r="D121" s="15" t="s">
        <v>26</v>
      </c>
      <c r="E121" s="12">
        <v>9</v>
      </c>
      <c r="F121" s="13">
        <v>3.903</v>
      </c>
      <c r="G121" s="20">
        <v>0</v>
      </c>
    </row>
    <row r="122" spans="1:14">
      <c r="A122" s="8">
        <v>10</v>
      </c>
      <c r="B122" s="70">
        <v>38246</v>
      </c>
      <c r="C122" s="12">
        <v>2004</v>
      </c>
      <c r="D122" s="15" t="s">
        <v>26</v>
      </c>
      <c r="E122" s="12">
        <v>9</v>
      </c>
      <c r="F122" s="13">
        <v>3.9117999999999999</v>
      </c>
      <c r="G122" s="20">
        <v>0</v>
      </c>
      <c r="I122" s="27">
        <f>AVERAGE(F121:F122)</f>
        <v>3.9074</v>
      </c>
      <c r="J122" s="27">
        <f>AVERAGE(G121:G122)</f>
        <v>0</v>
      </c>
      <c r="L122">
        <f>+J122/I122</f>
        <v>0</v>
      </c>
      <c r="M122">
        <f>+(L122-$L$614)/$L$615</f>
        <v>-0.23576519316806296</v>
      </c>
      <c r="N122">
        <f>+N120+M122</f>
        <v>2.5793733104968464</v>
      </c>
    </row>
    <row r="123" spans="1:14">
      <c r="A123" s="8">
        <v>9</v>
      </c>
      <c r="B123" s="70">
        <v>38274</v>
      </c>
      <c r="C123" s="12">
        <v>2004</v>
      </c>
      <c r="D123" s="15" t="s">
        <v>14</v>
      </c>
      <c r="E123" s="12">
        <v>10</v>
      </c>
      <c r="F123" s="14">
        <v>1.80636</v>
      </c>
      <c r="G123" s="14">
        <v>0</v>
      </c>
    </row>
    <row r="124" spans="1:14">
      <c r="A124" s="8">
        <v>10</v>
      </c>
      <c r="B124" s="70">
        <v>38274</v>
      </c>
      <c r="C124" s="12">
        <v>2004</v>
      </c>
      <c r="D124" s="15" t="s">
        <v>14</v>
      </c>
      <c r="E124" s="12">
        <v>10</v>
      </c>
      <c r="F124" s="14">
        <v>1.2798799999999999</v>
      </c>
      <c r="G124" s="14">
        <v>0</v>
      </c>
      <c r="I124" s="27">
        <f>AVERAGE(F123:F124)</f>
        <v>1.54312</v>
      </c>
      <c r="J124" s="27">
        <f>AVERAGE(G123:G124)</f>
        <v>0</v>
      </c>
      <c r="L124">
        <f>+J124/I124</f>
        <v>0</v>
      </c>
      <c r="M124">
        <f>+(L124-$L$614)/$L$615</f>
        <v>-0.23576519316806296</v>
      </c>
      <c r="N124">
        <f>+N122+M124</f>
        <v>2.3436081173287833</v>
      </c>
    </row>
    <row r="125" spans="1:14">
      <c r="A125" s="8">
        <v>9</v>
      </c>
      <c r="B125" s="70">
        <v>38309</v>
      </c>
      <c r="C125" s="12">
        <v>2004</v>
      </c>
      <c r="D125" s="15" t="s">
        <v>16</v>
      </c>
      <c r="E125" s="12">
        <v>11</v>
      </c>
      <c r="F125" s="14">
        <v>1.70296</v>
      </c>
      <c r="G125" s="14">
        <v>0</v>
      </c>
    </row>
    <row r="126" spans="1:14">
      <c r="A126" s="8">
        <v>10</v>
      </c>
      <c r="B126" s="70">
        <v>38309</v>
      </c>
      <c r="C126" s="12">
        <v>2004</v>
      </c>
      <c r="D126" s="15" t="s">
        <v>16</v>
      </c>
      <c r="E126" s="12">
        <v>11</v>
      </c>
      <c r="F126" s="14">
        <v>1.3072299999999999</v>
      </c>
      <c r="G126" s="14">
        <v>0</v>
      </c>
      <c r="I126" s="27">
        <f>AVERAGE(F125:F126)</f>
        <v>1.5050949999999998</v>
      </c>
      <c r="J126" s="27">
        <f>AVERAGE(G125:G126)</f>
        <v>0</v>
      </c>
      <c r="L126">
        <f>+J126/I126</f>
        <v>0</v>
      </c>
      <c r="M126">
        <f>+(L126-$L$614)/$L$615</f>
        <v>-0.23576519316806296</v>
      </c>
      <c r="N126">
        <f>+N124+M126</f>
        <v>2.1078429241607202</v>
      </c>
    </row>
    <row r="127" spans="1:14">
      <c r="A127" s="8">
        <v>9</v>
      </c>
      <c r="B127" s="70">
        <v>38337</v>
      </c>
      <c r="C127" s="12">
        <v>2004</v>
      </c>
      <c r="D127" s="15" t="s">
        <v>17</v>
      </c>
      <c r="E127" s="12">
        <v>12</v>
      </c>
      <c r="F127" s="14">
        <v>3.14832</v>
      </c>
      <c r="G127" s="14">
        <v>0</v>
      </c>
    </row>
    <row r="128" spans="1:14">
      <c r="A128" s="8">
        <v>10</v>
      </c>
      <c r="B128" s="70">
        <v>38337</v>
      </c>
      <c r="C128" s="12">
        <v>2004</v>
      </c>
      <c r="D128" s="15" t="s">
        <v>17</v>
      </c>
      <c r="E128" s="12">
        <v>12</v>
      </c>
      <c r="F128" s="14">
        <v>2.37168</v>
      </c>
      <c r="G128" s="14">
        <v>0</v>
      </c>
      <c r="I128" s="27">
        <f>AVERAGE(F127:F128)</f>
        <v>2.76</v>
      </c>
      <c r="J128" s="27">
        <f>AVERAGE(G127:G128)</f>
        <v>0</v>
      </c>
      <c r="L128">
        <f>+J128/I128</f>
        <v>0</v>
      </c>
      <c r="M128">
        <f>+(L128-$L$614)/$L$615</f>
        <v>-0.23576519316806296</v>
      </c>
      <c r="N128">
        <f>+N126+M128</f>
        <v>1.8720777309926573</v>
      </c>
    </row>
    <row r="129" spans="1:14">
      <c r="A129" s="8">
        <v>9</v>
      </c>
      <c r="B129" s="75">
        <v>38364</v>
      </c>
      <c r="C129" s="12">
        <v>2005</v>
      </c>
      <c r="D129" s="15" t="s">
        <v>18</v>
      </c>
      <c r="E129" s="12">
        <v>1</v>
      </c>
      <c r="F129" s="14">
        <v>4.34213</v>
      </c>
      <c r="G129" s="14">
        <v>0</v>
      </c>
    </row>
    <row r="130" spans="1:14">
      <c r="A130" s="8">
        <v>10</v>
      </c>
      <c r="B130" s="75">
        <v>38364</v>
      </c>
      <c r="C130" s="12">
        <v>2005</v>
      </c>
      <c r="D130" s="15" t="s">
        <v>18</v>
      </c>
      <c r="E130" s="12">
        <v>1</v>
      </c>
      <c r="F130" s="14">
        <v>2.0388500000000001</v>
      </c>
      <c r="G130" s="14">
        <v>0</v>
      </c>
      <c r="I130" s="27">
        <f>AVERAGE(F129:F130)</f>
        <v>3.19049</v>
      </c>
      <c r="J130" s="27">
        <f>AVERAGE(G129:G130)</f>
        <v>0</v>
      </c>
      <c r="L130">
        <f>+J130/I130</f>
        <v>0</v>
      </c>
      <c r="M130">
        <f>+(L130-$L$614)/$L$615</f>
        <v>-0.23576519316806296</v>
      </c>
      <c r="N130">
        <f>+N128+M130</f>
        <v>1.6363125378245944</v>
      </c>
    </row>
    <row r="131" spans="1:14">
      <c r="A131" s="8">
        <v>9</v>
      </c>
      <c r="B131" s="75">
        <v>38398</v>
      </c>
      <c r="C131" s="12">
        <v>2005</v>
      </c>
      <c r="D131" s="11" t="s">
        <v>19</v>
      </c>
      <c r="E131" s="12">
        <v>2</v>
      </c>
      <c r="F131" s="14">
        <v>4.7915900000000002</v>
      </c>
      <c r="G131" s="14">
        <v>0</v>
      </c>
    </row>
    <row r="132" spans="1:14">
      <c r="A132" s="8">
        <v>10</v>
      </c>
      <c r="B132" s="75">
        <v>38398</v>
      </c>
      <c r="C132" s="12">
        <v>2005</v>
      </c>
      <c r="D132" s="11" t="s">
        <v>19</v>
      </c>
      <c r="E132" s="12">
        <v>2</v>
      </c>
      <c r="F132" s="14">
        <v>5.6125600000000002</v>
      </c>
      <c r="G132" s="14">
        <v>0</v>
      </c>
      <c r="I132" s="27">
        <f>AVERAGE(F131:F132)</f>
        <v>5.2020750000000007</v>
      </c>
      <c r="J132" s="27">
        <f>AVERAGE(G131:G132)</f>
        <v>0</v>
      </c>
      <c r="L132">
        <f>+J132/I132</f>
        <v>0</v>
      </c>
      <c r="M132">
        <f>+(L132-$L$614)/$L$615</f>
        <v>-0.23576519316806296</v>
      </c>
      <c r="N132">
        <f>+N130+M132</f>
        <v>1.4005473446565315</v>
      </c>
    </row>
    <row r="133" spans="1:14">
      <c r="A133" s="8">
        <v>9</v>
      </c>
      <c r="B133" s="75">
        <v>38427</v>
      </c>
      <c r="C133" s="12">
        <v>2005</v>
      </c>
      <c r="D133" s="11" t="s">
        <v>20</v>
      </c>
      <c r="E133" s="12">
        <v>3</v>
      </c>
      <c r="F133" s="14">
        <v>3.0385599999999999</v>
      </c>
      <c r="G133" s="14">
        <v>0</v>
      </c>
    </row>
    <row r="134" spans="1:14">
      <c r="A134" s="8">
        <v>10</v>
      </c>
      <c r="B134" s="75">
        <v>38427</v>
      </c>
      <c r="C134" s="12">
        <v>2005</v>
      </c>
      <c r="D134" s="11" t="s">
        <v>20</v>
      </c>
      <c r="E134" s="12">
        <v>3</v>
      </c>
      <c r="F134" s="14">
        <v>2.036</v>
      </c>
      <c r="G134" s="14">
        <v>0</v>
      </c>
      <c r="I134" s="27">
        <f>AVERAGE(F133:F134)</f>
        <v>2.53728</v>
      </c>
      <c r="J134" s="27">
        <f>AVERAGE(G133:G134)</f>
        <v>0</v>
      </c>
      <c r="L134">
        <f>+J134/I134</f>
        <v>0</v>
      </c>
      <c r="M134">
        <f>+(L134-$L$614)/$L$615</f>
        <v>-0.23576519316806296</v>
      </c>
      <c r="N134">
        <f>+N132+M134</f>
        <v>1.1647821514884686</v>
      </c>
    </row>
    <row r="135" spans="1:14">
      <c r="A135" s="8">
        <v>9</v>
      </c>
      <c r="B135" s="75">
        <v>38470</v>
      </c>
      <c r="C135" s="12">
        <v>2005</v>
      </c>
      <c r="D135" s="11" t="s">
        <v>21</v>
      </c>
      <c r="E135" s="12">
        <v>4</v>
      </c>
      <c r="F135" s="14">
        <v>3.6966299999999999</v>
      </c>
      <c r="G135" s="14">
        <v>0.16774882509637348</v>
      </c>
    </row>
    <row r="136" spans="1:14">
      <c r="A136" s="8">
        <v>10</v>
      </c>
      <c r="B136" s="75">
        <v>38470</v>
      </c>
      <c r="C136" s="12">
        <v>2005</v>
      </c>
      <c r="D136" s="11" t="s">
        <v>21</v>
      </c>
      <c r="E136" s="12">
        <v>4</v>
      </c>
      <c r="F136" s="14">
        <v>3.004</v>
      </c>
      <c r="G136" s="14">
        <v>4.5188489634529254E-2</v>
      </c>
      <c r="I136" s="27">
        <f>AVERAGE(F135:F136)</f>
        <v>3.3503150000000002</v>
      </c>
      <c r="J136" s="27">
        <f>AVERAGE(G135:G136)</f>
        <v>0.10646865736545137</v>
      </c>
      <c r="L136">
        <f>+J136/I136</f>
        <v>3.1778700619330233E-2</v>
      </c>
      <c r="M136">
        <f>+(L136-$L$614)/$L$615</f>
        <v>2.0474466481274454</v>
      </c>
      <c r="N136">
        <f>+N134+M136</f>
        <v>3.212228799615914</v>
      </c>
    </row>
    <row r="137" spans="1:14">
      <c r="A137" s="8">
        <v>9</v>
      </c>
      <c r="B137" s="75">
        <v>38488</v>
      </c>
      <c r="C137" s="12">
        <v>2005</v>
      </c>
      <c r="D137" s="11" t="s">
        <v>22</v>
      </c>
      <c r="E137" s="12">
        <v>5</v>
      </c>
      <c r="F137" s="14">
        <v>6.0048199999999996</v>
      </c>
      <c r="G137" s="14">
        <v>0</v>
      </c>
    </row>
    <row r="138" spans="1:14">
      <c r="A138" s="8">
        <v>10</v>
      </c>
      <c r="B138" s="75">
        <v>38488</v>
      </c>
      <c r="C138" s="12">
        <v>2005</v>
      </c>
      <c r="D138" s="11" t="s">
        <v>22</v>
      </c>
      <c r="E138" s="12">
        <v>5</v>
      </c>
      <c r="F138" s="14">
        <v>4.00244</v>
      </c>
      <c r="G138" s="14">
        <v>0</v>
      </c>
      <c r="I138" s="27">
        <f>AVERAGE(F137:F138)</f>
        <v>5.0036299999999994</v>
      </c>
      <c r="J138" s="27">
        <f>AVERAGE(G137:G138)</f>
        <v>0</v>
      </c>
      <c r="L138">
        <f>+J138/I138</f>
        <v>0</v>
      </c>
      <c r="M138">
        <f>+(L138-$L$614)/$L$615</f>
        <v>-0.23576519316806296</v>
      </c>
      <c r="N138">
        <f>+N136+M138</f>
        <v>2.9764636064478509</v>
      </c>
    </row>
    <row r="139" spans="1:14">
      <c r="A139" s="8">
        <v>9</v>
      </c>
      <c r="B139" s="75">
        <v>38525</v>
      </c>
      <c r="C139" s="12">
        <v>2005</v>
      </c>
      <c r="D139" s="11" t="s">
        <v>23</v>
      </c>
      <c r="E139" s="12">
        <v>6</v>
      </c>
      <c r="F139" s="14">
        <v>15.88509</v>
      </c>
      <c r="G139" s="14">
        <v>0</v>
      </c>
    </row>
    <row r="140" spans="1:14">
      <c r="A140" s="8">
        <v>10</v>
      </c>
      <c r="B140" s="75">
        <v>38525</v>
      </c>
      <c r="C140" s="12">
        <v>2005</v>
      </c>
      <c r="D140" s="11" t="s">
        <v>23</v>
      </c>
      <c r="E140" s="12">
        <v>6</v>
      </c>
      <c r="F140" s="14">
        <v>6.5588699999999998</v>
      </c>
      <c r="G140" s="14">
        <v>0</v>
      </c>
      <c r="I140" s="27">
        <f>AVERAGE(F139:F140)</f>
        <v>11.22198</v>
      </c>
      <c r="J140" s="27">
        <f>AVERAGE(G139:G140)</f>
        <v>0</v>
      </c>
      <c r="L140">
        <f>+J140/I140</f>
        <v>0</v>
      </c>
      <c r="M140">
        <f>+(L140-$L$614)/$L$615</f>
        <v>-0.23576519316806296</v>
      </c>
      <c r="N140">
        <f>+N138+M140</f>
        <v>2.7406984132797878</v>
      </c>
    </row>
    <row r="141" spans="1:14">
      <c r="A141" s="8">
        <v>9</v>
      </c>
      <c r="B141" s="75">
        <v>38546</v>
      </c>
      <c r="C141" s="12">
        <v>2005</v>
      </c>
      <c r="D141" s="15" t="s">
        <v>24</v>
      </c>
      <c r="E141" s="12">
        <v>7</v>
      </c>
      <c r="F141" s="14">
        <v>15.474449999999999</v>
      </c>
      <c r="G141" s="14">
        <v>0</v>
      </c>
    </row>
    <row r="142" spans="1:14">
      <c r="A142" s="8">
        <v>10</v>
      </c>
      <c r="B142" s="75">
        <v>38546</v>
      </c>
      <c r="C142" s="12">
        <v>2005</v>
      </c>
      <c r="D142" s="15" t="s">
        <v>24</v>
      </c>
      <c r="E142" s="12">
        <v>7</v>
      </c>
      <c r="F142" s="14">
        <v>17.4208</v>
      </c>
      <c r="G142" s="14">
        <v>0</v>
      </c>
      <c r="I142" s="27">
        <f>AVERAGE(F141:F142)</f>
        <v>16.447624999999999</v>
      </c>
      <c r="J142" s="27">
        <f>AVERAGE(G141:G142)</f>
        <v>0</v>
      </c>
      <c r="L142">
        <f>+J142/I142</f>
        <v>0</v>
      </c>
      <c r="M142">
        <f>+(L142-$L$614)/$L$615</f>
        <v>-0.23576519316806296</v>
      </c>
      <c r="N142">
        <f>+N140+M142</f>
        <v>2.5049332201117247</v>
      </c>
    </row>
    <row r="143" spans="1:14">
      <c r="A143" s="8">
        <v>9</v>
      </c>
      <c r="B143" s="75">
        <v>38594</v>
      </c>
      <c r="C143" s="12">
        <v>2005</v>
      </c>
      <c r="D143" s="15" t="s">
        <v>25</v>
      </c>
      <c r="E143" s="12">
        <v>8</v>
      </c>
      <c r="F143" s="14">
        <v>23.904499999999999</v>
      </c>
      <c r="G143" s="14">
        <v>0</v>
      </c>
    </row>
    <row r="144" spans="1:14">
      <c r="A144" s="8">
        <v>10</v>
      </c>
      <c r="B144" s="75">
        <v>38594</v>
      </c>
      <c r="C144" s="12">
        <v>2005</v>
      </c>
      <c r="D144" s="15" t="s">
        <v>25</v>
      </c>
      <c r="E144" s="12">
        <v>8</v>
      </c>
      <c r="F144" s="14">
        <v>39.264499999999998</v>
      </c>
      <c r="G144" s="14">
        <v>0</v>
      </c>
      <c r="I144" s="27">
        <f>AVERAGE(F143:F144)</f>
        <v>31.584499999999998</v>
      </c>
      <c r="J144" s="27">
        <f>AVERAGE(G143:G144)</f>
        <v>0</v>
      </c>
      <c r="L144">
        <f>+J144/I144</f>
        <v>0</v>
      </c>
      <c r="M144">
        <f>+(L144-$L$614)/$L$615</f>
        <v>-0.23576519316806296</v>
      </c>
      <c r="N144">
        <f>+N142+M144</f>
        <v>2.2691680269436616</v>
      </c>
    </row>
    <row r="145" spans="1:14">
      <c r="A145" s="8">
        <v>9</v>
      </c>
      <c r="B145" s="75">
        <v>38609</v>
      </c>
      <c r="C145" s="12">
        <v>2005</v>
      </c>
      <c r="D145" s="15" t="s">
        <v>26</v>
      </c>
      <c r="E145" s="12">
        <v>9</v>
      </c>
      <c r="F145" s="14">
        <v>20.782630000000001</v>
      </c>
      <c r="G145" s="14">
        <v>0</v>
      </c>
    </row>
    <row r="146" spans="1:14">
      <c r="A146" s="8">
        <v>10</v>
      </c>
      <c r="B146" s="75">
        <v>38609</v>
      </c>
      <c r="C146" s="12">
        <v>2005</v>
      </c>
      <c r="D146" s="15" t="s">
        <v>26</v>
      </c>
      <c r="E146" s="12">
        <v>9</v>
      </c>
      <c r="F146" s="14">
        <v>17.379480000000001</v>
      </c>
      <c r="G146" s="14">
        <v>0</v>
      </c>
      <c r="I146" s="27">
        <f>AVERAGE(F145:F146)</f>
        <v>19.081054999999999</v>
      </c>
      <c r="J146" s="27">
        <f>AVERAGE(G145:G146)</f>
        <v>0</v>
      </c>
      <c r="L146">
        <f>+J146/I146</f>
        <v>0</v>
      </c>
      <c r="M146">
        <f>+(L146-$L$614)/$L$615</f>
        <v>-0.23576519316806296</v>
      </c>
      <c r="N146">
        <f>+N144+M146</f>
        <v>2.0334028337755985</v>
      </c>
    </row>
    <row r="147" spans="1:14">
      <c r="A147" s="8">
        <v>9</v>
      </c>
      <c r="B147" s="75">
        <v>38643</v>
      </c>
      <c r="C147" s="12">
        <v>2005</v>
      </c>
      <c r="D147" s="15" t="s">
        <v>14</v>
      </c>
      <c r="E147" s="12">
        <v>10</v>
      </c>
      <c r="F147" s="14">
        <v>3.8508</v>
      </c>
      <c r="G147" s="14">
        <v>1E-4</v>
      </c>
    </row>
    <row r="148" spans="1:14">
      <c r="A148" s="8">
        <v>10</v>
      </c>
      <c r="B148" s="75">
        <v>38643</v>
      </c>
      <c r="C148" s="12">
        <v>2005</v>
      </c>
      <c r="D148" s="15" t="s">
        <v>14</v>
      </c>
      <c r="E148" s="12">
        <v>10</v>
      </c>
      <c r="F148" s="14">
        <v>3.9016000000000002</v>
      </c>
      <c r="G148" s="14">
        <v>1E-4</v>
      </c>
      <c r="I148" s="27">
        <f>AVERAGE(F147:F148)</f>
        <v>3.8761999999999999</v>
      </c>
      <c r="J148" s="27">
        <f>AVERAGE(G147:G148)</f>
        <v>1E-4</v>
      </c>
      <c r="L148">
        <f>+J148/I148</f>
        <v>2.5798462411640269E-5</v>
      </c>
      <c r="M148">
        <f>+(L148-$L$614)/$L$615</f>
        <v>-0.23391164491978611</v>
      </c>
      <c r="N148">
        <f>+N146+M148</f>
        <v>1.7994911888558125</v>
      </c>
    </row>
    <row r="149" spans="1:14">
      <c r="A149" s="8">
        <v>9</v>
      </c>
      <c r="B149" s="75">
        <v>38670</v>
      </c>
      <c r="C149" s="12">
        <v>2005</v>
      </c>
      <c r="D149" s="15" t="s">
        <v>16</v>
      </c>
      <c r="E149" s="12">
        <v>11</v>
      </c>
      <c r="F149" s="14">
        <v>0.92330000000000001</v>
      </c>
      <c r="G149" s="14">
        <v>1E-4</v>
      </c>
    </row>
    <row r="150" spans="1:14">
      <c r="A150" s="8">
        <v>10</v>
      </c>
      <c r="B150" s="75">
        <v>38670</v>
      </c>
      <c r="C150" s="12">
        <v>2005</v>
      </c>
      <c r="D150" s="15" t="s">
        <v>16</v>
      </c>
      <c r="E150" s="12">
        <v>11</v>
      </c>
      <c r="F150" s="14">
        <v>1.599</v>
      </c>
      <c r="G150" s="14">
        <v>1E-4</v>
      </c>
      <c r="I150" s="27">
        <f>AVERAGE(F149:F150)</f>
        <v>1.26115</v>
      </c>
      <c r="J150" s="27">
        <f>AVERAGE(G149:G150)</f>
        <v>1E-4</v>
      </c>
      <c r="L150">
        <f>+J150/I150</f>
        <v>7.92927090354042E-5</v>
      </c>
      <c r="M150">
        <f>+(L150-$L$614)/$L$615</f>
        <v>-0.23006823109378891</v>
      </c>
      <c r="N150">
        <f>+N148+M150</f>
        <v>1.5694229577620236</v>
      </c>
    </row>
    <row r="151" spans="1:14">
      <c r="A151" s="8">
        <v>9</v>
      </c>
      <c r="B151" s="75">
        <v>38706</v>
      </c>
      <c r="C151" s="12">
        <v>2005</v>
      </c>
      <c r="D151" s="15" t="s">
        <v>17</v>
      </c>
      <c r="E151" s="12">
        <v>12</v>
      </c>
      <c r="F151" s="14">
        <v>1.6493</v>
      </c>
      <c r="G151" s="14">
        <v>1E-4</v>
      </c>
    </row>
    <row r="152" spans="1:14">
      <c r="A152" s="8">
        <v>10</v>
      </c>
      <c r="B152" s="75">
        <v>38706</v>
      </c>
      <c r="C152" s="12">
        <v>2005</v>
      </c>
      <c r="D152" s="15" t="s">
        <v>17</v>
      </c>
      <c r="E152" s="12">
        <v>12</v>
      </c>
      <c r="F152" s="14">
        <v>2.7669999999999999</v>
      </c>
      <c r="G152" s="14">
        <v>1E-4</v>
      </c>
      <c r="I152" s="27">
        <f>AVERAGE(F151:F152)</f>
        <v>2.2081499999999998</v>
      </c>
      <c r="J152" s="27">
        <f>AVERAGE(G151:G152)</f>
        <v>1E-4</v>
      </c>
      <c r="L152">
        <f>+J152/I152</f>
        <v>4.528677852500963E-5</v>
      </c>
      <c r="M152">
        <f>+(L152-$L$614)/$L$615</f>
        <v>-0.232511463249366</v>
      </c>
      <c r="N152">
        <f>+N150+M152</f>
        <v>1.3369114945126577</v>
      </c>
    </row>
    <row r="153" spans="1:14">
      <c r="A153" s="12">
        <v>9</v>
      </c>
      <c r="B153" s="75">
        <v>38737</v>
      </c>
      <c r="C153" s="12">
        <v>2006</v>
      </c>
      <c r="D153" s="11" t="s">
        <v>18</v>
      </c>
      <c r="E153" s="12">
        <v>1</v>
      </c>
      <c r="F153" s="14">
        <v>4.6208</v>
      </c>
      <c r="G153" s="14">
        <v>1E-4</v>
      </c>
    </row>
    <row r="154" spans="1:14">
      <c r="A154" s="12">
        <v>10</v>
      </c>
      <c r="B154" s="75">
        <v>38737</v>
      </c>
      <c r="C154" s="12">
        <v>2006</v>
      </c>
      <c r="D154" s="11" t="s">
        <v>18</v>
      </c>
      <c r="E154" s="12">
        <v>1</v>
      </c>
      <c r="F154" s="14">
        <v>3.3401000000000001</v>
      </c>
      <c r="G154" s="14">
        <v>1E-4</v>
      </c>
      <c r="I154" s="27">
        <f>AVERAGE(F153:F154)</f>
        <v>3.9804500000000003</v>
      </c>
      <c r="J154" s="27">
        <f>AVERAGE(G153:G154)</f>
        <v>1E-4</v>
      </c>
      <c r="L154">
        <f>+J154/I154</f>
        <v>2.5122787624514814E-5</v>
      </c>
      <c r="M154">
        <f>+(L154-$L$614)/$L$615</f>
        <v>-0.23396019028648657</v>
      </c>
      <c r="N154">
        <f>+N152+M154</f>
        <v>1.1029513042261712</v>
      </c>
    </row>
    <row r="155" spans="1:14">
      <c r="A155" s="12">
        <v>9</v>
      </c>
      <c r="B155" s="75">
        <v>38763</v>
      </c>
      <c r="C155" s="15">
        <v>2006</v>
      </c>
      <c r="D155" s="11" t="s">
        <v>28</v>
      </c>
      <c r="E155" s="15">
        <v>2</v>
      </c>
      <c r="F155" s="14">
        <v>2.9337</v>
      </c>
      <c r="G155" s="14">
        <v>2.5700000000000001E-2</v>
      </c>
    </row>
    <row r="156" spans="1:14">
      <c r="A156" s="12">
        <v>10</v>
      </c>
      <c r="B156" s="75">
        <v>38763</v>
      </c>
      <c r="C156" s="15">
        <v>2006</v>
      </c>
      <c r="D156" s="11" t="s">
        <v>28</v>
      </c>
      <c r="E156" s="15">
        <v>2</v>
      </c>
      <c r="F156" s="14">
        <v>6.0673000000000004</v>
      </c>
      <c r="G156" s="14">
        <v>1E-4</v>
      </c>
      <c r="I156" s="27">
        <f>AVERAGE(F155:F156)</f>
        <v>4.5005000000000006</v>
      </c>
      <c r="J156" s="27">
        <f>AVERAGE(G155:G156)</f>
        <v>1.29E-2</v>
      </c>
      <c r="L156">
        <f>+J156/I156</f>
        <v>2.8663481835351622E-3</v>
      </c>
      <c r="M156">
        <f>+(L156-$L$614)/$L$615</f>
        <v>-2.9825995328661689E-2</v>
      </c>
      <c r="N156">
        <f>+N154+M156</f>
        <v>1.0731253088975095</v>
      </c>
    </row>
    <row r="157" spans="1:14">
      <c r="A157" s="12">
        <v>9</v>
      </c>
      <c r="B157" s="75">
        <v>38792</v>
      </c>
      <c r="C157" s="12">
        <v>2006</v>
      </c>
      <c r="D157" s="11" t="s">
        <v>29</v>
      </c>
      <c r="E157" s="15">
        <v>3</v>
      </c>
      <c r="F157" s="14">
        <v>0.81259999999999999</v>
      </c>
      <c r="G157" s="14">
        <v>1E-4</v>
      </c>
    </row>
    <row r="158" spans="1:14">
      <c r="A158" s="12">
        <v>10</v>
      </c>
      <c r="B158" s="75">
        <v>38792</v>
      </c>
      <c r="C158" s="12">
        <v>2006</v>
      </c>
      <c r="D158" s="11" t="s">
        <v>29</v>
      </c>
      <c r="E158" s="15">
        <v>3</v>
      </c>
      <c r="F158" s="14">
        <v>1.3021</v>
      </c>
      <c r="G158" s="14">
        <v>1E-4</v>
      </c>
      <c r="I158" s="27">
        <f>AVERAGE(F157:F158)</f>
        <v>1.05735</v>
      </c>
      <c r="J158" s="27">
        <f>AVERAGE(G157:G158)</f>
        <v>1E-4</v>
      </c>
      <c r="L158">
        <f>+J158/I158</f>
        <v>9.4576062798505705E-5</v>
      </c>
      <c r="M158">
        <f>+(L158-$L$614)/$L$615</f>
        <v>-0.22897016435076428</v>
      </c>
      <c r="N158">
        <f>+N156+M158</f>
        <v>0.84415514454674523</v>
      </c>
    </row>
    <row r="159" spans="1:14">
      <c r="A159" s="12">
        <v>9</v>
      </c>
      <c r="B159" s="74">
        <v>38826</v>
      </c>
      <c r="C159" s="12">
        <v>2006</v>
      </c>
      <c r="D159" s="11" t="s">
        <v>30</v>
      </c>
      <c r="E159" s="12">
        <v>4</v>
      </c>
      <c r="F159" s="14">
        <v>1.1544000000000001</v>
      </c>
      <c r="G159" s="14">
        <v>1E-4</v>
      </c>
    </row>
    <row r="160" spans="1:14">
      <c r="A160" s="12">
        <v>10</v>
      </c>
      <c r="B160" s="74">
        <v>38826</v>
      </c>
      <c r="C160" s="12">
        <v>2006</v>
      </c>
      <c r="D160" s="11" t="s">
        <v>30</v>
      </c>
      <c r="E160" s="12">
        <v>4</v>
      </c>
      <c r="F160" s="14">
        <v>0.94199999999999995</v>
      </c>
      <c r="G160" s="14">
        <v>1E-4</v>
      </c>
      <c r="I160" s="27">
        <f>AVERAGE(F159:F160)</f>
        <v>1.0482</v>
      </c>
      <c r="J160" s="27">
        <f>AVERAGE(G159:G160)</f>
        <v>1E-4</v>
      </c>
      <c r="L160">
        <f>+J160/I160</f>
        <v>9.5401640908223618E-5</v>
      </c>
      <c r="M160">
        <f>+(L160-$L$614)/$L$615</f>
        <v>-0.22891084884448851</v>
      </c>
      <c r="N160">
        <f>+N158+M160</f>
        <v>0.61524429570225669</v>
      </c>
    </row>
    <row r="161" spans="1:14">
      <c r="A161" s="12">
        <v>9</v>
      </c>
      <c r="B161" s="74">
        <v>38853</v>
      </c>
      <c r="C161" s="12">
        <v>2006</v>
      </c>
      <c r="D161" s="11" t="s">
        <v>31</v>
      </c>
      <c r="E161" s="12">
        <v>5</v>
      </c>
      <c r="F161" s="14">
        <v>1.7291000000000001</v>
      </c>
      <c r="G161" s="14">
        <v>1E-4</v>
      </c>
    </row>
    <row r="162" spans="1:14">
      <c r="A162" s="12">
        <v>10</v>
      </c>
      <c r="B162" s="74">
        <v>38853</v>
      </c>
      <c r="C162" s="12">
        <v>2006</v>
      </c>
      <c r="D162" s="11" t="s">
        <v>31</v>
      </c>
      <c r="E162" s="12">
        <v>5</v>
      </c>
      <c r="F162" s="14">
        <v>4.9337999999999997</v>
      </c>
      <c r="G162" s="14">
        <v>1E-4</v>
      </c>
      <c r="I162" s="27">
        <f>AVERAGE(F161:F162)</f>
        <v>3.3314499999999998</v>
      </c>
      <c r="J162" s="27">
        <f>AVERAGE(G161:G162)</f>
        <v>1E-4</v>
      </c>
      <c r="L162">
        <f>+J162/I162</f>
        <v>3.0016959582163927E-5</v>
      </c>
      <c r="M162">
        <f>+(L162-$L$614)/$L$615</f>
        <v>-0.23360855755294921</v>
      </c>
      <c r="N162">
        <f>+N160+M162</f>
        <v>0.38163573814930751</v>
      </c>
    </row>
    <row r="163" spans="1:14">
      <c r="A163" s="12">
        <v>9</v>
      </c>
      <c r="B163" s="74">
        <v>38884</v>
      </c>
      <c r="C163" s="12">
        <v>2006</v>
      </c>
      <c r="D163" s="11" t="s">
        <v>32</v>
      </c>
      <c r="E163" s="12">
        <v>6</v>
      </c>
      <c r="F163" s="14">
        <v>14.875500000000001</v>
      </c>
      <c r="G163" s="14">
        <v>1.2762</v>
      </c>
    </row>
    <row r="164" spans="1:14">
      <c r="A164" s="12">
        <v>10</v>
      </c>
      <c r="B164" s="74">
        <v>38884</v>
      </c>
      <c r="C164" s="12">
        <v>2006</v>
      </c>
      <c r="D164" s="11" t="s">
        <v>32</v>
      </c>
      <c r="E164" s="12">
        <v>6</v>
      </c>
      <c r="F164" s="14">
        <v>18.331600000000002</v>
      </c>
      <c r="G164" s="14">
        <v>2.0124</v>
      </c>
      <c r="I164" s="27">
        <f>AVERAGE(F163:F164)</f>
        <v>16.603550000000002</v>
      </c>
      <c r="J164" s="27">
        <f>AVERAGE(G163:G164)</f>
        <v>1.6442999999999999</v>
      </c>
      <c r="L164">
        <f>+J164/I164</f>
        <v>9.9033038115342781E-2</v>
      </c>
      <c r="M164">
        <f>+(L164-$L$614)/$L$615</f>
        <v>6.8794849869126349</v>
      </c>
      <c r="N164">
        <f>+N162+M164</f>
        <v>7.2611207250619421</v>
      </c>
    </row>
    <row r="165" spans="1:14">
      <c r="A165" s="12">
        <v>9</v>
      </c>
      <c r="B165" s="74">
        <v>38915</v>
      </c>
      <c r="C165" s="12">
        <v>2006</v>
      </c>
      <c r="D165" s="11" t="s">
        <v>33</v>
      </c>
      <c r="E165" s="12">
        <v>7</v>
      </c>
      <c r="F165" s="14">
        <v>15.460800000000001</v>
      </c>
      <c r="G165" s="14">
        <v>1E-4</v>
      </c>
    </row>
    <row r="166" spans="1:14">
      <c r="A166" s="12">
        <v>10</v>
      </c>
      <c r="B166" s="74">
        <v>38915</v>
      </c>
      <c r="C166" s="12">
        <v>2006</v>
      </c>
      <c r="D166" s="11" t="s">
        <v>33</v>
      </c>
      <c r="E166" s="12">
        <v>7</v>
      </c>
      <c r="F166" s="14">
        <v>15.3445</v>
      </c>
      <c r="G166" s="14">
        <v>1E-4</v>
      </c>
      <c r="I166" s="27">
        <f>AVERAGE(F165:F166)</f>
        <v>15.402650000000001</v>
      </c>
      <c r="J166" s="27">
        <f>AVERAGE(G165:G166)</f>
        <v>1E-4</v>
      </c>
      <c r="L166">
        <f>+J166/I166</f>
        <v>6.4923892966470053E-6</v>
      </c>
      <c r="M166">
        <f>+(L166-$L$614)/$L$615</f>
        <v>-0.23529873293427395</v>
      </c>
      <c r="N166">
        <f>+N164+M166</f>
        <v>7.0258219921276677</v>
      </c>
    </row>
    <row r="167" spans="1:14">
      <c r="A167" s="12">
        <v>9</v>
      </c>
      <c r="B167" s="74">
        <v>38952</v>
      </c>
      <c r="C167" s="12">
        <v>2006</v>
      </c>
      <c r="D167" s="11" t="s">
        <v>34</v>
      </c>
      <c r="E167" s="12">
        <v>8</v>
      </c>
      <c r="F167" s="14">
        <v>15.3225</v>
      </c>
      <c r="G167" s="14">
        <v>1E-4</v>
      </c>
    </row>
    <row r="168" spans="1:14">
      <c r="A168" s="12">
        <v>10</v>
      </c>
      <c r="B168" s="74">
        <v>38952</v>
      </c>
      <c r="C168" s="12">
        <v>2006</v>
      </c>
      <c r="D168" s="11" t="s">
        <v>34</v>
      </c>
      <c r="E168" s="12">
        <v>8</v>
      </c>
      <c r="F168" s="14">
        <v>10.6037</v>
      </c>
      <c r="G168" s="14">
        <v>1E-4</v>
      </c>
      <c r="I168" s="27">
        <f>AVERAGE(F167:F168)</f>
        <v>12.963100000000001</v>
      </c>
      <c r="J168" s="27">
        <f>AVERAGE(G167:G168)</f>
        <v>1E-4</v>
      </c>
      <c r="L168">
        <f>+J168/I168</f>
        <v>7.7142041641274082E-6</v>
      </c>
      <c r="M168">
        <f>+(L168-$L$614)/$L$615</f>
        <v>-0.23521094891167596</v>
      </c>
      <c r="N168">
        <f>+N166+M168</f>
        <v>6.7906110432159918</v>
      </c>
    </row>
    <row r="169" spans="1:14">
      <c r="A169" s="12">
        <v>9</v>
      </c>
      <c r="B169" s="74">
        <v>38975</v>
      </c>
      <c r="C169" s="12">
        <v>2006</v>
      </c>
      <c r="D169" s="11" t="s">
        <v>35</v>
      </c>
      <c r="E169" s="12">
        <v>9</v>
      </c>
      <c r="F169" s="14">
        <v>9.8229000000000006</v>
      </c>
      <c r="G169" s="14">
        <v>1E-4</v>
      </c>
    </row>
    <row r="170" spans="1:14">
      <c r="A170" s="12">
        <v>10</v>
      </c>
      <c r="B170" s="74">
        <v>38975</v>
      </c>
      <c r="C170" s="12">
        <v>2006</v>
      </c>
      <c r="D170" s="11" t="s">
        <v>35</v>
      </c>
      <c r="E170" s="12">
        <v>9</v>
      </c>
      <c r="F170" s="14">
        <v>5.9092000000000002</v>
      </c>
      <c r="G170" s="14">
        <v>1E-4</v>
      </c>
      <c r="I170" s="27">
        <f>AVERAGE(F169:F170)</f>
        <v>7.8660500000000004</v>
      </c>
      <c r="J170" s="27">
        <f>AVERAGE(G169:G170)</f>
        <v>1E-4</v>
      </c>
      <c r="L170">
        <f>+J170/I170</f>
        <v>1.2712860965796047E-5</v>
      </c>
      <c r="M170">
        <f>+(L170-$L$614)/$L$615</f>
        <v>-0.23485180923076654</v>
      </c>
      <c r="N170">
        <f>+N168+M170</f>
        <v>6.5557592339852251</v>
      </c>
    </row>
    <row r="171" spans="1:14">
      <c r="A171" s="12">
        <v>9</v>
      </c>
      <c r="B171" s="74">
        <v>39006</v>
      </c>
      <c r="C171" s="12">
        <v>2006</v>
      </c>
      <c r="D171" s="11" t="s">
        <v>36</v>
      </c>
      <c r="E171" s="12">
        <v>10</v>
      </c>
      <c r="F171" s="14">
        <v>1.724</v>
      </c>
      <c r="G171" s="14">
        <v>9.9989999999999996E-4</v>
      </c>
    </row>
    <row r="172" spans="1:14">
      <c r="A172" s="12">
        <v>10</v>
      </c>
      <c r="B172" s="74">
        <v>39006</v>
      </c>
      <c r="C172" s="12">
        <v>2006</v>
      </c>
      <c r="D172" s="11" t="s">
        <v>36</v>
      </c>
      <c r="E172" s="12">
        <v>10</v>
      </c>
      <c r="F172" s="14">
        <v>1.37</v>
      </c>
      <c r="G172" s="14">
        <v>9.9989999999999996E-4</v>
      </c>
      <c r="I172" s="27">
        <f>AVERAGE(F171:F172)</f>
        <v>1.5470000000000002</v>
      </c>
      <c r="J172" s="27">
        <f>AVERAGE(G171:G172)</f>
        <v>9.9989999999999996E-4</v>
      </c>
      <c r="L172">
        <f>+J172/I172</f>
        <v>6.4634776987718156E-4</v>
      </c>
      <c r="M172">
        <f>+(L172-$L$614)/$L$615</f>
        <v>-0.18932689163219518</v>
      </c>
      <c r="N172">
        <f>+N170+M172</f>
        <v>6.36643234235303</v>
      </c>
    </row>
    <row r="173" spans="1:14">
      <c r="A173" s="12">
        <v>9</v>
      </c>
      <c r="B173" s="74">
        <v>39041</v>
      </c>
      <c r="C173" s="12">
        <v>2006</v>
      </c>
      <c r="D173" s="11" t="s">
        <v>37</v>
      </c>
      <c r="E173" s="12">
        <v>11</v>
      </c>
      <c r="F173" s="14">
        <v>1.1399999999999999</v>
      </c>
      <c r="G173" s="14">
        <v>9.9989999999999996E-4</v>
      </c>
    </row>
    <row r="174" spans="1:14">
      <c r="A174" s="12">
        <v>10</v>
      </c>
      <c r="B174" s="74">
        <v>39041</v>
      </c>
      <c r="C174" s="12">
        <v>2006</v>
      </c>
      <c r="D174" s="11" t="s">
        <v>37</v>
      </c>
      <c r="E174" s="12">
        <v>11</v>
      </c>
      <c r="F174" s="14">
        <v>0.89600000000000002</v>
      </c>
      <c r="G174" s="14">
        <v>9.9989999999999996E-4</v>
      </c>
      <c r="I174" s="27">
        <f>AVERAGE(F173:F174)</f>
        <v>1.018</v>
      </c>
      <c r="J174" s="27">
        <f>AVERAGE(G173:G174)</f>
        <v>9.9989999999999996E-4</v>
      </c>
      <c r="L174">
        <f>+J174/I174</f>
        <v>9.8222003929273076E-4</v>
      </c>
      <c r="M174">
        <f>+(L174-$L$614)/$L$615</f>
        <v>-0.1651953970226922</v>
      </c>
      <c r="N174">
        <f>+N172+M174</f>
        <v>6.2012369453303382</v>
      </c>
    </row>
    <row r="175" spans="1:14">
      <c r="A175" s="12">
        <v>9</v>
      </c>
      <c r="B175" s="75">
        <v>39062</v>
      </c>
      <c r="C175" s="15">
        <v>2006</v>
      </c>
      <c r="D175" s="11" t="s">
        <v>38</v>
      </c>
      <c r="E175" s="15">
        <v>12</v>
      </c>
      <c r="F175" s="14">
        <v>2.0030000000000001</v>
      </c>
      <c r="G175" s="14">
        <v>3.6999999999999998E-2</v>
      </c>
    </row>
    <row r="176" spans="1:14">
      <c r="A176" s="12">
        <v>10</v>
      </c>
      <c r="B176" s="75">
        <v>39062</v>
      </c>
      <c r="C176" s="15">
        <v>2006</v>
      </c>
      <c r="D176" s="11" t="s">
        <v>38</v>
      </c>
      <c r="E176" s="15">
        <v>12</v>
      </c>
      <c r="F176" s="14">
        <v>0.76300000000000001</v>
      </c>
      <c r="G176" s="14">
        <v>9.9989999999999996E-4</v>
      </c>
      <c r="I176" s="27">
        <f>AVERAGE(F175:F176)</f>
        <v>1.383</v>
      </c>
      <c r="J176" s="27">
        <f>AVERAGE(G175:G176)</f>
        <v>1.8999949999999998E-2</v>
      </c>
      <c r="L176">
        <f>+J176/I176</f>
        <v>1.3738214027476499E-2</v>
      </c>
      <c r="M176">
        <f>+(L176-$L$614)/$L$615</f>
        <v>0.75128752876438876</v>
      </c>
      <c r="N176">
        <f>+N174+M176</f>
        <v>6.9525244740947265</v>
      </c>
    </row>
    <row r="177" spans="1:14">
      <c r="A177" s="15">
        <v>9</v>
      </c>
      <c r="B177" s="75">
        <v>39100</v>
      </c>
      <c r="C177" s="15">
        <v>2007</v>
      </c>
      <c r="D177" s="11" t="s">
        <v>39</v>
      </c>
      <c r="E177" s="15">
        <v>1</v>
      </c>
      <c r="F177" s="14">
        <v>0.98499999999999999</v>
      </c>
      <c r="G177" s="14">
        <v>9.9989999999999996E-4</v>
      </c>
    </row>
    <row r="178" spans="1:14">
      <c r="A178" s="15">
        <v>10</v>
      </c>
      <c r="B178" s="75">
        <v>39100</v>
      </c>
      <c r="C178" s="15">
        <v>2007</v>
      </c>
      <c r="D178" s="11" t="s">
        <v>39</v>
      </c>
      <c r="E178" s="15">
        <v>1</v>
      </c>
      <c r="F178" s="14">
        <v>2.0190000000000001</v>
      </c>
      <c r="G178" s="14">
        <v>9.9989999999999996E-4</v>
      </c>
      <c r="I178" s="27">
        <f>AVERAGE(F177:F178)</f>
        <v>1.502</v>
      </c>
      <c r="J178" s="27">
        <f>AVERAGE(G177:G178)</f>
        <v>9.9989999999999996E-4</v>
      </c>
      <c r="L178">
        <f>+J178/I178</f>
        <v>6.6571238348868173E-4</v>
      </c>
      <c r="M178">
        <f>+(L178-$L$614)/$L$615</f>
        <v>-0.18793559764476905</v>
      </c>
      <c r="N178">
        <f>+N176+M178</f>
        <v>6.7645888764499578</v>
      </c>
    </row>
    <row r="179" spans="1:14">
      <c r="A179" s="15">
        <v>9</v>
      </c>
      <c r="B179" s="75">
        <v>39135</v>
      </c>
      <c r="C179" s="15">
        <v>2007</v>
      </c>
      <c r="D179" s="11" t="s">
        <v>28</v>
      </c>
      <c r="E179" s="15">
        <v>2</v>
      </c>
      <c r="F179" s="14">
        <v>6.2530000000000001</v>
      </c>
      <c r="G179" s="14">
        <v>2.1000000000000001E-2</v>
      </c>
    </row>
    <row r="180" spans="1:14">
      <c r="A180" s="15">
        <v>10</v>
      </c>
      <c r="B180" s="75">
        <v>39135</v>
      </c>
      <c r="C180" s="15">
        <v>2007</v>
      </c>
      <c r="D180" s="11" t="s">
        <v>28</v>
      </c>
      <c r="E180" s="15">
        <v>2</v>
      </c>
      <c r="F180" s="14">
        <v>5.2530000000000001</v>
      </c>
      <c r="G180" s="14">
        <v>9.9989999999999996E-4</v>
      </c>
      <c r="I180" s="27">
        <f>AVERAGE(F179:F180)</f>
        <v>5.7530000000000001</v>
      </c>
      <c r="J180" s="27">
        <f>AVERAGE(G179:G180)</f>
        <v>1.0999950000000001E-2</v>
      </c>
      <c r="L180">
        <f>+J180/I180</f>
        <v>1.9120371979836608E-3</v>
      </c>
      <c r="M180">
        <f>+(L180-$L$614)/$L$615</f>
        <v>-9.8390603069866966E-2</v>
      </c>
      <c r="N180">
        <f>+N178+M180</f>
        <v>6.6661982733800906</v>
      </c>
    </row>
    <row r="181" spans="1:14">
      <c r="A181" s="15">
        <v>9</v>
      </c>
      <c r="B181" s="75">
        <v>39153</v>
      </c>
      <c r="C181" s="15">
        <v>2007</v>
      </c>
      <c r="D181" s="11" t="s">
        <v>29</v>
      </c>
      <c r="E181" s="15">
        <v>3</v>
      </c>
      <c r="F181" s="14">
        <v>1.6619999999999999</v>
      </c>
      <c r="G181" s="14">
        <v>4.4999999999999998E-2</v>
      </c>
    </row>
    <row r="182" spans="1:14">
      <c r="A182" s="15">
        <v>10</v>
      </c>
      <c r="B182" s="75">
        <v>39153</v>
      </c>
      <c r="C182" s="15">
        <v>2007</v>
      </c>
      <c r="D182" s="11" t="s">
        <v>29</v>
      </c>
      <c r="E182" s="15">
        <v>3</v>
      </c>
      <c r="F182" s="14">
        <v>3.25</v>
      </c>
      <c r="G182" s="14">
        <v>0.02</v>
      </c>
      <c r="I182" s="27">
        <f>AVERAGE(F181:F182)</f>
        <v>2.456</v>
      </c>
      <c r="J182" s="27">
        <f>AVERAGE(G181:G182)</f>
        <v>3.2500000000000001E-2</v>
      </c>
      <c r="L182">
        <f>+J182/I182</f>
        <v>1.3232899022801304E-2</v>
      </c>
      <c r="M182">
        <f>+(L182-$L$614)/$L$615</f>
        <v>0.71498204176291869</v>
      </c>
      <c r="N182">
        <f>+N180+M182</f>
        <v>7.3811803151430091</v>
      </c>
    </row>
    <row r="183" spans="1:14">
      <c r="A183" s="15">
        <v>9</v>
      </c>
      <c r="B183" s="75">
        <v>39191</v>
      </c>
      <c r="C183" s="15">
        <v>2007</v>
      </c>
      <c r="D183" s="11" t="s">
        <v>30</v>
      </c>
      <c r="E183" s="15">
        <v>4</v>
      </c>
      <c r="F183" s="14">
        <v>1.63</v>
      </c>
      <c r="G183" s="14">
        <v>9.9989999999999996E-4</v>
      </c>
    </row>
    <row r="184" spans="1:14">
      <c r="A184" s="15">
        <v>10</v>
      </c>
      <c r="B184" s="75">
        <v>39191</v>
      </c>
      <c r="C184" s="15">
        <v>2007</v>
      </c>
      <c r="D184" s="11" t="s">
        <v>30</v>
      </c>
      <c r="E184" s="15">
        <v>4</v>
      </c>
      <c r="F184" s="14">
        <v>1.3720000000000001</v>
      </c>
      <c r="G184" s="14">
        <v>9.9989999999999996E-4</v>
      </c>
      <c r="I184" s="27">
        <f>AVERAGE(F183:F184)</f>
        <v>1.5009999999999999</v>
      </c>
      <c r="J184" s="27">
        <f>AVERAGE(G183:G184)</f>
        <v>9.9989999999999996E-4</v>
      </c>
      <c r="L184">
        <f>+J184/I184</f>
        <v>6.6615589606928722E-4</v>
      </c>
      <c r="M184">
        <f>+(L184-$L$614)/$L$615</f>
        <v>-0.18790373249118925</v>
      </c>
      <c r="N184">
        <f>+N182+M184</f>
        <v>7.1932765826518201</v>
      </c>
    </row>
    <row r="185" spans="1:14">
      <c r="A185" s="15">
        <v>9</v>
      </c>
      <c r="B185" s="75">
        <v>39216</v>
      </c>
      <c r="C185" s="15">
        <v>2007</v>
      </c>
      <c r="D185" s="11" t="s">
        <v>31</v>
      </c>
      <c r="E185" s="15">
        <v>5</v>
      </c>
      <c r="F185" s="14">
        <v>10.595000000000001</v>
      </c>
      <c r="G185" s="14">
        <v>1.204</v>
      </c>
    </row>
    <row r="186" spans="1:14">
      <c r="A186" s="15">
        <v>10</v>
      </c>
      <c r="B186" s="75">
        <v>39216</v>
      </c>
      <c r="C186" s="15">
        <v>2007</v>
      </c>
      <c r="D186" s="11" t="s">
        <v>31</v>
      </c>
      <c r="E186" s="15">
        <v>5</v>
      </c>
      <c r="F186" s="14">
        <v>10.763999999999999</v>
      </c>
      <c r="G186" s="14">
        <v>0.91300000000000003</v>
      </c>
      <c r="I186" s="27">
        <f>AVERAGE(F185:F186)</f>
        <v>10.679500000000001</v>
      </c>
      <c r="J186" s="27">
        <f>AVERAGE(G185:G186)</f>
        <v>1.0585</v>
      </c>
      <c r="L186">
        <f>+J186/I186</f>
        <v>9.9115127112692533E-2</v>
      </c>
      <c r="M186">
        <f>+(L186-$L$614)/$L$615</f>
        <v>6.8853828545767088</v>
      </c>
      <c r="N186">
        <f>+N184+M186</f>
        <v>14.078659437228529</v>
      </c>
    </row>
    <row r="187" spans="1:14">
      <c r="A187" s="15">
        <v>9</v>
      </c>
      <c r="B187" s="75">
        <v>39248</v>
      </c>
      <c r="C187" s="15">
        <v>2007</v>
      </c>
      <c r="D187" s="11" t="s">
        <v>32</v>
      </c>
      <c r="E187" s="15">
        <v>6</v>
      </c>
      <c r="F187" s="14">
        <v>25.084</v>
      </c>
      <c r="G187" s="14">
        <v>1.41</v>
      </c>
    </row>
    <row r="188" spans="1:14">
      <c r="A188" s="15">
        <v>10</v>
      </c>
      <c r="B188" s="75">
        <v>39248</v>
      </c>
      <c r="C188" s="15">
        <v>2007</v>
      </c>
      <c r="D188" s="11" t="s">
        <v>32</v>
      </c>
      <c r="E188" s="15">
        <v>6</v>
      </c>
      <c r="F188" s="14">
        <v>17.117000000000001</v>
      </c>
      <c r="G188" s="14">
        <v>0.55500000000000005</v>
      </c>
      <c r="I188" s="27">
        <f>AVERAGE(F187:F188)</f>
        <v>21.1005</v>
      </c>
      <c r="J188" s="27">
        <f>AVERAGE(G187:G188)</f>
        <v>0.98249999999999993</v>
      </c>
      <c r="L188">
        <f>+J188/I188</f>
        <v>4.6562877656927557E-2</v>
      </c>
      <c r="M188">
        <f>+(L188-$L$614)/$L$615</f>
        <v>3.1096489225501673</v>
      </c>
      <c r="N188">
        <f>+N186+M188</f>
        <v>17.188308359778695</v>
      </c>
    </row>
    <row r="189" spans="1:14">
      <c r="A189" s="15">
        <v>9</v>
      </c>
      <c r="B189" s="75">
        <v>39279</v>
      </c>
      <c r="C189" s="15">
        <v>2007</v>
      </c>
      <c r="D189" s="11" t="s">
        <v>33</v>
      </c>
      <c r="E189" s="15">
        <v>7</v>
      </c>
      <c r="F189" s="14">
        <v>18.765999999999998</v>
      </c>
      <c r="G189" s="14">
        <v>9.9989999999999996E-4</v>
      </c>
    </row>
    <row r="190" spans="1:14">
      <c r="A190" s="15">
        <v>10</v>
      </c>
      <c r="B190" s="75">
        <v>39279</v>
      </c>
      <c r="C190" s="15">
        <v>2007</v>
      </c>
      <c r="D190" s="11" t="s">
        <v>33</v>
      </c>
      <c r="E190" s="15">
        <v>7</v>
      </c>
      <c r="F190" s="14">
        <v>18.003</v>
      </c>
      <c r="G190" s="14">
        <v>9.9989999999999996E-4</v>
      </c>
      <c r="I190" s="27">
        <f>AVERAGE(F189:F190)</f>
        <v>18.384499999999999</v>
      </c>
      <c r="J190" s="27">
        <f>AVERAGE(G189:G190)</f>
        <v>9.9989999999999996E-4</v>
      </c>
      <c r="L190">
        <f>+J190/I190</f>
        <v>5.438820745736898E-5</v>
      </c>
      <c r="M190">
        <f>+(L190-$L$614)/$L$615</f>
        <v>-0.2318575507260065</v>
      </c>
      <c r="N190">
        <f>+N188+M190</f>
        <v>16.95645080905269</v>
      </c>
    </row>
    <row r="191" spans="1:14">
      <c r="A191" s="15">
        <v>9</v>
      </c>
      <c r="B191" s="75">
        <v>39308</v>
      </c>
      <c r="C191" s="15">
        <v>2007</v>
      </c>
      <c r="D191" s="11" t="s">
        <v>34</v>
      </c>
      <c r="E191" s="15">
        <v>8</v>
      </c>
      <c r="F191" s="14">
        <v>10.6</v>
      </c>
      <c r="G191" s="14">
        <v>9.9989999999999996E-4</v>
      </c>
    </row>
    <row r="192" spans="1:14">
      <c r="A192" s="15">
        <v>10</v>
      </c>
      <c r="B192" s="75">
        <v>39308</v>
      </c>
      <c r="C192" s="15">
        <v>2007</v>
      </c>
      <c r="D192" s="11" t="s">
        <v>34</v>
      </c>
      <c r="E192" s="15">
        <v>8</v>
      </c>
      <c r="F192" s="14">
        <v>11.553000000000001</v>
      </c>
      <c r="G192" s="14">
        <v>9.9989999999999996E-4</v>
      </c>
      <c r="I192" s="27">
        <f>AVERAGE(F191:F192)</f>
        <v>11.076499999999999</v>
      </c>
      <c r="J192" s="27">
        <f>AVERAGE(G191:G192)</f>
        <v>9.9989999999999996E-4</v>
      </c>
      <c r="L192">
        <f>+J192/I192</f>
        <v>9.0272197896447431E-5</v>
      </c>
      <c r="M192">
        <f>+(L192-$L$614)/$L$615</f>
        <v>-0.22927938515325799</v>
      </c>
      <c r="N192">
        <f>+N190+M192</f>
        <v>16.727171423899431</v>
      </c>
    </row>
    <row r="193" spans="1:14">
      <c r="A193" s="15">
        <v>9</v>
      </c>
      <c r="B193" s="75">
        <v>39335</v>
      </c>
      <c r="C193" s="15">
        <v>2007</v>
      </c>
      <c r="D193" s="11" t="s">
        <v>40</v>
      </c>
      <c r="E193" s="15">
        <v>9</v>
      </c>
      <c r="F193" s="14">
        <v>13.128</v>
      </c>
      <c r="G193" s="14">
        <v>9.9989999999999996E-4</v>
      </c>
    </row>
    <row r="194" spans="1:14">
      <c r="A194" s="15">
        <v>10</v>
      </c>
      <c r="B194" s="75">
        <v>39335</v>
      </c>
      <c r="C194" s="15">
        <v>2007</v>
      </c>
      <c r="D194" s="11" t="s">
        <v>40</v>
      </c>
      <c r="E194" s="15">
        <v>9</v>
      </c>
      <c r="F194" s="14">
        <v>8.6809999999999992</v>
      </c>
      <c r="G194" s="14">
        <v>9.9989999999999996E-4</v>
      </c>
      <c r="I194" s="27">
        <f>AVERAGE(F193:F194)</f>
        <v>10.904499999999999</v>
      </c>
      <c r="J194" s="27">
        <f>AVERAGE(G193:G194)</f>
        <v>9.9989999999999996E-4</v>
      </c>
      <c r="L194">
        <f>+J194/I194</f>
        <v>9.1696088770691004E-5</v>
      </c>
      <c r="M194">
        <f>+(L194-$L$614)/$L$615</f>
        <v>-0.2291770825278697</v>
      </c>
      <c r="N194">
        <f>+N192+M194</f>
        <v>16.497994341371562</v>
      </c>
    </row>
    <row r="195" spans="1:14">
      <c r="A195" s="15">
        <v>9</v>
      </c>
      <c r="B195" s="75">
        <v>39370</v>
      </c>
      <c r="C195" s="15">
        <v>2007</v>
      </c>
      <c r="D195" s="11" t="s">
        <v>36</v>
      </c>
      <c r="E195" s="15">
        <v>10</v>
      </c>
      <c r="F195" s="14">
        <v>1.5980000000000001</v>
      </c>
      <c r="G195" s="14">
        <v>9.9989999999999996E-4</v>
      </c>
    </row>
    <row r="196" spans="1:14">
      <c r="A196" s="15">
        <v>10</v>
      </c>
      <c r="B196" s="75">
        <v>39370</v>
      </c>
      <c r="C196" s="15">
        <v>2007</v>
      </c>
      <c r="D196" s="11" t="s">
        <v>36</v>
      </c>
      <c r="E196" s="15">
        <v>10</v>
      </c>
      <c r="F196" s="14">
        <v>1.01</v>
      </c>
      <c r="G196" s="14">
        <v>9.9989999999999996E-4</v>
      </c>
      <c r="I196" s="27">
        <f>AVERAGE(F195:F196)</f>
        <v>1.304</v>
      </c>
      <c r="J196" s="27">
        <f>AVERAGE(G195:G196)</f>
        <v>9.9989999999999996E-4</v>
      </c>
      <c r="L196">
        <f>+J196/I196</f>
        <v>7.667944785276073E-4</v>
      </c>
      <c r="M196">
        <f>+(L196-$L$614)/$L$615</f>
        <v>-0.18067312838586402</v>
      </c>
      <c r="N196">
        <f>+N194+M196</f>
        <v>16.3173212129857</v>
      </c>
    </row>
    <row r="197" spans="1:14">
      <c r="A197" s="15">
        <v>9</v>
      </c>
      <c r="B197" s="75">
        <v>39400</v>
      </c>
      <c r="C197" s="15">
        <v>2007</v>
      </c>
      <c r="D197" s="11" t="s">
        <v>37</v>
      </c>
      <c r="E197" s="15">
        <v>11</v>
      </c>
      <c r="F197" s="14">
        <v>1.105</v>
      </c>
      <c r="G197" s="14">
        <v>9.9989999999999996E-4</v>
      </c>
    </row>
    <row r="198" spans="1:14">
      <c r="A198" s="15">
        <v>10</v>
      </c>
      <c r="B198" s="75">
        <v>39400</v>
      </c>
      <c r="C198" s="15">
        <v>2007</v>
      </c>
      <c r="D198" s="11" t="s">
        <v>37</v>
      </c>
      <c r="E198" s="15">
        <v>11</v>
      </c>
      <c r="F198" s="14">
        <v>1.29</v>
      </c>
      <c r="G198" s="14">
        <v>9.9989999999999996E-4</v>
      </c>
      <c r="I198" s="27">
        <f>AVERAGE(F197:F198)</f>
        <v>1.1975</v>
      </c>
      <c r="J198" s="27">
        <f>AVERAGE(G197:G198)</f>
        <v>9.9989999999999996E-4</v>
      </c>
      <c r="L198">
        <f>+J198/I198</f>
        <v>8.349895615866388E-4</v>
      </c>
      <c r="M198">
        <f>+(L198-$L$614)/$L$615</f>
        <v>-0.17577350007746803</v>
      </c>
      <c r="N198">
        <f>+N196+M198</f>
        <v>16.141547712908231</v>
      </c>
    </row>
    <row r="199" spans="1:14">
      <c r="A199" s="15">
        <v>9</v>
      </c>
      <c r="B199" s="75">
        <v>39434</v>
      </c>
      <c r="C199" s="15">
        <v>2007</v>
      </c>
      <c r="D199" s="11" t="s">
        <v>38</v>
      </c>
      <c r="E199" s="15">
        <v>12</v>
      </c>
      <c r="F199" s="14">
        <v>2.456</v>
      </c>
      <c r="G199" s="14">
        <v>9.9989999999999996E-4</v>
      </c>
    </row>
    <row r="200" spans="1:14">
      <c r="A200" s="15">
        <v>10</v>
      </c>
      <c r="B200" s="75">
        <v>39434</v>
      </c>
      <c r="C200" s="15">
        <v>2007</v>
      </c>
      <c r="D200" s="11" t="s">
        <v>38</v>
      </c>
      <c r="E200" s="15">
        <v>12</v>
      </c>
      <c r="F200" s="14">
        <v>2.827</v>
      </c>
      <c r="G200" s="14">
        <v>9.9989999999999996E-4</v>
      </c>
      <c r="I200" s="27">
        <f>AVERAGE(F199:F200)</f>
        <v>2.6414999999999997</v>
      </c>
      <c r="J200" s="27">
        <f>AVERAGE(G199:G200)</f>
        <v>9.9989999999999996E-4</v>
      </c>
      <c r="L200">
        <f>+J200/I200</f>
        <v>3.7853492333901194E-4</v>
      </c>
      <c r="M200">
        <f>+(L200-$L$614)/$L$615</f>
        <v>-0.20856850474255192</v>
      </c>
      <c r="N200">
        <f>+N198+M200</f>
        <v>15.93297920816568</v>
      </c>
    </row>
    <row r="201" spans="1:14">
      <c r="A201" s="15">
        <v>9</v>
      </c>
      <c r="B201" s="75">
        <v>39463</v>
      </c>
      <c r="C201" s="15">
        <v>2008</v>
      </c>
      <c r="D201" s="11" t="s">
        <v>39</v>
      </c>
      <c r="E201" s="15">
        <v>1</v>
      </c>
      <c r="F201" s="23">
        <v>1.5149999999999999</v>
      </c>
      <c r="G201" s="23">
        <v>1.2E-2</v>
      </c>
    </row>
    <row r="202" spans="1:14">
      <c r="A202" s="15">
        <v>10</v>
      </c>
      <c r="B202" s="75">
        <v>39463</v>
      </c>
      <c r="C202" s="15">
        <v>2008</v>
      </c>
      <c r="D202" s="11" t="s">
        <v>39</v>
      </c>
      <c r="E202" s="15">
        <v>1</v>
      </c>
      <c r="F202" s="23">
        <v>1.718</v>
      </c>
      <c r="G202" s="23">
        <v>9.9989999999999996E-4</v>
      </c>
      <c r="I202" s="27">
        <f>AVERAGE(F201:F202)</f>
        <v>1.6164999999999998</v>
      </c>
      <c r="J202" s="27">
        <f>AVERAGE(G201:G202)</f>
        <v>6.49995E-3</v>
      </c>
      <c r="L202">
        <f>+J202/I202</f>
        <v>4.0210021651716672E-3</v>
      </c>
      <c r="M202">
        <f>+(L202-$L$614)/$L$615</f>
        <v>5.313270317356289E-2</v>
      </c>
      <c r="N202">
        <f>+N200+M202</f>
        <v>15.986111911339243</v>
      </c>
    </row>
    <row r="203" spans="1:14">
      <c r="A203" s="15">
        <v>9</v>
      </c>
      <c r="B203" s="75">
        <v>39493</v>
      </c>
      <c r="C203" s="15">
        <v>2008</v>
      </c>
      <c r="D203" s="11" t="s">
        <v>28</v>
      </c>
      <c r="E203" s="15">
        <v>2</v>
      </c>
      <c r="F203" s="23">
        <v>1.8859999999999999</v>
      </c>
      <c r="G203" s="23">
        <v>9.9989999999999996E-4</v>
      </c>
    </row>
    <row r="204" spans="1:14">
      <c r="A204" s="15">
        <v>10</v>
      </c>
      <c r="B204" s="75">
        <v>39493</v>
      </c>
      <c r="C204" s="15">
        <v>2008</v>
      </c>
      <c r="D204" s="11" t="s">
        <v>28</v>
      </c>
      <c r="E204" s="15">
        <v>2</v>
      </c>
      <c r="F204" s="23">
        <v>1.6619999999999999</v>
      </c>
      <c r="G204" s="23">
        <v>9.9989999999999996E-4</v>
      </c>
      <c r="I204" s="27">
        <f>AVERAGE(F203:F204)</f>
        <v>1.774</v>
      </c>
      <c r="J204" s="27">
        <f>AVERAGE(G203:G204)</f>
        <v>9.9989999999999996E-4</v>
      </c>
      <c r="L204">
        <f>+J204/I204</f>
        <v>5.63641488162345E-4</v>
      </c>
      <c r="M204">
        <f>+(L204-$L$614)/$L$615</f>
        <v>-0.1952691094724669</v>
      </c>
      <c r="N204">
        <f>+N202+M204</f>
        <v>15.790842801866777</v>
      </c>
    </row>
    <row r="205" spans="1:14">
      <c r="A205" s="15">
        <v>9</v>
      </c>
      <c r="B205" s="75">
        <v>39517</v>
      </c>
      <c r="C205" s="15">
        <v>2008</v>
      </c>
      <c r="D205" s="11" t="s">
        <v>29</v>
      </c>
      <c r="E205" s="15">
        <v>3</v>
      </c>
      <c r="F205" s="24">
        <v>1.875</v>
      </c>
      <c r="G205" s="23">
        <v>9.9989999999999996E-4</v>
      </c>
    </row>
    <row r="206" spans="1:14">
      <c r="A206" s="15">
        <v>10</v>
      </c>
      <c r="B206" s="75">
        <v>39517</v>
      </c>
      <c r="C206" s="15">
        <v>2008</v>
      </c>
      <c r="D206" s="11" t="s">
        <v>29</v>
      </c>
      <c r="E206" s="15">
        <v>3</v>
      </c>
      <c r="F206" s="24">
        <v>1.5249999999999999</v>
      </c>
      <c r="G206" s="23">
        <v>9.9989999999999996E-4</v>
      </c>
      <c r="I206" s="27">
        <f>AVERAGE(F205:F206)</f>
        <v>1.7</v>
      </c>
      <c r="J206" s="27">
        <f>AVERAGE(G205:G206)</f>
        <v>9.9989999999999996E-4</v>
      </c>
      <c r="L206">
        <f>+J206/I206</f>
        <v>5.881764705882353E-4</v>
      </c>
      <c r="M206">
        <f>+(L206-$L$614)/$L$615</f>
        <v>-0.19350633877042331</v>
      </c>
      <c r="N206">
        <f>+N204+M206</f>
        <v>15.597336463096354</v>
      </c>
    </row>
    <row r="207" spans="1:14">
      <c r="A207" s="15">
        <v>9</v>
      </c>
      <c r="B207" s="75">
        <v>39552</v>
      </c>
      <c r="C207" s="15">
        <v>2008</v>
      </c>
      <c r="D207" s="11" t="s">
        <v>30</v>
      </c>
      <c r="E207" s="15">
        <v>4</v>
      </c>
      <c r="F207" s="24">
        <v>1.222</v>
      </c>
      <c r="G207" s="23">
        <v>9.9989999999999996E-4</v>
      </c>
    </row>
    <row r="208" spans="1:14">
      <c r="A208" s="15">
        <v>10</v>
      </c>
      <c r="B208" s="75">
        <v>39552</v>
      </c>
      <c r="C208" s="15">
        <v>2008</v>
      </c>
      <c r="D208" s="11" t="s">
        <v>30</v>
      </c>
      <c r="E208" s="15">
        <v>4</v>
      </c>
      <c r="F208" s="24">
        <v>1.135</v>
      </c>
      <c r="G208" s="23">
        <v>9.9989999999999996E-4</v>
      </c>
      <c r="I208" s="27">
        <f>AVERAGE(F207:F208)</f>
        <v>1.1785000000000001</v>
      </c>
      <c r="J208" s="27">
        <f>AVERAGE(G207:G208)</f>
        <v>9.9989999999999996E-4</v>
      </c>
      <c r="L208">
        <f>+J208/I208</f>
        <v>8.4845142129826045E-4</v>
      </c>
      <c r="M208">
        <f>+(L208-$L$614)/$L$615</f>
        <v>-0.17480630264961794</v>
      </c>
      <c r="N208">
        <f>+N206+M208</f>
        <v>15.422530160446737</v>
      </c>
    </row>
    <row r="209" spans="1:14">
      <c r="A209" s="15">
        <v>9</v>
      </c>
      <c r="B209" s="75">
        <v>39583</v>
      </c>
      <c r="C209" s="15">
        <v>2008</v>
      </c>
      <c r="D209" s="11" t="s">
        <v>31</v>
      </c>
      <c r="E209" s="15">
        <v>5</v>
      </c>
      <c r="F209" s="24">
        <v>3.5169999999999999</v>
      </c>
      <c r="G209" s="23">
        <v>9.9989999999999996E-4</v>
      </c>
    </row>
    <row r="210" spans="1:14">
      <c r="A210" s="15">
        <v>10</v>
      </c>
      <c r="B210" s="75">
        <v>39583</v>
      </c>
      <c r="C210" s="15">
        <v>2008</v>
      </c>
      <c r="D210" s="11" t="s">
        <v>31</v>
      </c>
      <c r="E210" s="15">
        <v>5</v>
      </c>
      <c r="F210" s="24">
        <v>3.0009999999999999</v>
      </c>
      <c r="G210" s="23">
        <v>9.9989999999999996E-4</v>
      </c>
      <c r="I210" s="27">
        <f>AVERAGE(F209:F210)</f>
        <v>3.2589999999999999</v>
      </c>
      <c r="J210" s="27">
        <f>AVERAGE(G209:G210)</f>
        <v>9.9989999999999996E-4</v>
      </c>
      <c r="L210">
        <f>+J210/I210</f>
        <v>3.0681190549248236E-4</v>
      </c>
      <c r="M210">
        <f>+(L210-$L$614)/$L$615</f>
        <v>-0.21372160541845037</v>
      </c>
      <c r="N210">
        <f>+N208+M210</f>
        <v>15.208808555028286</v>
      </c>
    </row>
    <row r="211" spans="1:14">
      <c r="A211" s="15">
        <v>9</v>
      </c>
      <c r="B211" s="75">
        <v>39617</v>
      </c>
      <c r="C211" s="15">
        <v>2008</v>
      </c>
      <c r="D211" s="11" t="s">
        <v>32</v>
      </c>
      <c r="E211" s="15">
        <v>6</v>
      </c>
      <c r="F211" s="24">
        <v>10.605</v>
      </c>
      <c r="G211" s="23">
        <v>9.9989999999999996E-4</v>
      </c>
    </row>
    <row r="212" spans="1:14">
      <c r="A212" s="15">
        <v>10</v>
      </c>
      <c r="B212" s="75">
        <v>39617</v>
      </c>
      <c r="C212" s="15">
        <v>2008</v>
      </c>
      <c r="D212" s="11" t="s">
        <v>32</v>
      </c>
      <c r="E212" s="15">
        <v>6</v>
      </c>
      <c r="F212" s="24">
        <v>4.0430000000000001</v>
      </c>
      <c r="G212" s="23">
        <v>9.9989999999999996E-4</v>
      </c>
      <c r="I212" s="27">
        <f>AVERAGE(F211:F212)</f>
        <v>7.3239999999999998</v>
      </c>
      <c r="J212" s="27">
        <f>AVERAGE(G211:G212)</f>
        <v>9.9989999999999996E-4</v>
      </c>
      <c r="L212">
        <f>+J212/I212</f>
        <v>1.3652375750955762E-4</v>
      </c>
      <c r="M212">
        <f>+(L212-$L$614)/$L$615</f>
        <v>-0.22595633837887844</v>
      </c>
      <c r="N212">
        <f>+N210+M212</f>
        <v>14.982852216649407</v>
      </c>
    </row>
    <row r="213" spans="1:14">
      <c r="A213" s="15">
        <v>9</v>
      </c>
      <c r="B213" s="75">
        <v>39645</v>
      </c>
      <c r="C213" s="15">
        <v>2008</v>
      </c>
      <c r="D213" s="11" t="s">
        <v>33</v>
      </c>
      <c r="E213" s="15">
        <v>7</v>
      </c>
      <c r="F213" s="24">
        <v>10.544</v>
      </c>
      <c r="G213" s="23">
        <v>9.9989999999999996E-4</v>
      </c>
    </row>
    <row r="214" spans="1:14">
      <c r="A214" s="15">
        <v>10</v>
      </c>
      <c r="B214" s="75">
        <v>39645</v>
      </c>
      <c r="C214" s="15">
        <v>2008</v>
      </c>
      <c r="D214" s="11" t="s">
        <v>33</v>
      </c>
      <c r="E214" s="15">
        <v>7</v>
      </c>
      <c r="F214" s="24">
        <v>4.6070000000000002</v>
      </c>
      <c r="G214" s="23">
        <v>9.9989999999999996E-4</v>
      </c>
      <c r="I214" s="27">
        <f>AVERAGE(F213:F214)</f>
        <v>7.5754999999999999</v>
      </c>
      <c r="J214" s="27">
        <f>AVERAGE(G213:G214)</f>
        <v>9.9989999999999996E-4</v>
      </c>
      <c r="L214">
        <f>+J214/I214</f>
        <v>1.3199128770378192E-4</v>
      </c>
      <c r="M214">
        <f>+(L214-$L$614)/$L$615</f>
        <v>-0.22628198381211453</v>
      </c>
      <c r="N214">
        <f>+N212+M214</f>
        <v>14.756570232837293</v>
      </c>
    </row>
    <row r="215" spans="1:14">
      <c r="A215" s="15">
        <v>9</v>
      </c>
      <c r="B215" s="75">
        <v>39672</v>
      </c>
      <c r="C215" s="15">
        <v>2008</v>
      </c>
      <c r="D215" s="11" t="s">
        <v>34</v>
      </c>
      <c r="E215" s="15">
        <v>8</v>
      </c>
      <c r="F215" s="24">
        <v>10.702999999999999</v>
      </c>
      <c r="G215" s="23">
        <v>9.9989999999999996E-4</v>
      </c>
    </row>
    <row r="216" spans="1:14">
      <c r="A216" s="15">
        <v>10</v>
      </c>
      <c r="B216" s="75">
        <v>39672</v>
      </c>
      <c r="C216" s="15">
        <v>2008</v>
      </c>
      <c r="D216" s="11" t="s">
        <v>34</v>
      </c>
      <c r="E216" s="15">
        <v>8</v>
      </c>
      <c r="F216" s="24">
        <v>8.69</v>
      </c>
      <c r="G216" s="23">
        <v>9.9989999999999996E-4</v>
      </c>
      <c r="I216" s="27">
        <f>AVERAGE(F215:F216)</f>
        <v>9.6965000000000003</v>
      </c>
      <c r="J216" s="27">
        <f>AVERAGE(G215:G216)</f>
        <v>9.9989999999999996E-4</v>
      </c>
      <c r="L216">
        <f>+J216/I216</f>
        <v>1.0311968235961429E-4</v>
      </c>
      <c r="M216">
        <f>+(L216-$L$614)/$L$615</f>
        <v>-0.2283563288896133</v>
      </c>
      <c r="N216">
        <f>+N214+M216</f>
        <v>14.528213903947679</v>
      </c>
    </row>
    <row r="217" spans="1:14">
      <c r="A217" s="15">
        <v>9</v>
      </c>
      <c r="B217" s="75">
        <v>39709</v>
      </c>
      <c r="C217" s="15">
        <v>2008</v>
      </c>
      <c r="D217" s="11" t="s">
        <v>40</v>
      </c>
      <c r="E217" s="15">
        <v>9</v>
      </c>
      <c r="F217" s="23">
        <v>1.73</v>
      </c>
      <c r="G217" s="23">
        <v>9.9989999999999996E-4</v>
      </c>
    </row>
    <row r="218" spans="1:14">
      <c r="A218" s="15">
        <v>10</v>
      </c>
      <c r="B218" s="75">
        <v>39709</v>
      </c>
      <c r="C218" s="15">
        <v>2008</v>
      </c>
      <c r="D218" s="11" t="s">
        <v>40</v>
      </c>
      <c r="E218" s="15">
        <v>9</v>
      </c>
      <c r="F218" s="23">
        <v>1.7969999999999999</v>
      </c>
      <c r="G218" s="23">
        <v>9.9989999999999996E-4</v>
      </c>
      <c r="I218" s="27">
        <f>AVERAGE(F217:F218)</f>
        <v>1.7635000000000001</v>
      </c>
      <c r="J218" s="27">
        <f>AVERAGE(G217:G218)</f>
        <v>9.9989999999999996E-4</v>
      </c>
      <c r="L218">
        <f>+J218/I218</f>
        <v>5.6699744825630845E-4</v>
      </c>
      <c r="M218">
        <f>+(L218-$L$614)/$L$615</f>
        <v>-0.19502799301156315</v>
      </c>
      <c r="N218">
        <f>+N216+M218</f>
        <v>14.333185910936116</v>
      </c>
    </row>
    <row r="219" spans="1:14">
      <c r="A219" s="15">
        <v>9</v>
      </c>
      <c r="B219" s="75">
        <v>39735</v>
      </c>
      <c r="C219" s="15">
        <v>2008</v>
      </c>
      <c r="D219" s="11" t="s">
        <v>36</v>
      </c>
      <c r="E219" s="15">
        <v>10</v>
      </c>
      <c r="F219" s="23">
        <v>3.992</v>
      </c>
      <c r="G219" s="23">
        <v>0.214</v>
      </c>
    </row>
    <row r="220" spans="1:14">
      <c r="A220" s="15">
        <v>10</v>
      </c>
      <c r="B220" s="75">
        <v>39735</v>
      </c>
      <c r="C220" s="15">
        <v>2008</v>
      </c>
      <c r="D220" s="11" t="s">
        <v>36</v>
      </c>
      <c r="E220" s="15">
        <v>10</v>
      </c>
      <c r="F220" s="23">
        <v>1.3120000000000001</v>
      </c>
      <c r="G220" s="23">
        <v>9.9989999999999996E-4</v>
      </c>
      <c r="I220" s="27">
        <f>AVERAGE(F219:F220)</f>
        <v>2.6520000000000001</v>
      </c>
      <c r="J220" s="27">
        <f>AVERAGE(G219:G220)</f>
        <v>0.10749995</v>
      </c>
      <c r="L220">
        <f>+J220/I220</f>
        <v>4.0535426093514328E-2</v>
      </c>
      <c r="M220">
        <f>+(L220-$L$614)/$L$615</f>
        <v>2.6765931803638701</v>
      </c>
      <c r="N220">
        <f>+N218+M220</f>
        <v>17.009779091299986</v>
      </c>
    </row>
    <row r="221" spans="1:14">
      <c r="A221" s="15">
        <v>9</v>
      </c>
      <c r="B221" s="75">
        <v>39769</v>
      </c>
      <c r="C221" s="15">
        <v>2008</v>
      </c>
      <c r="D221" s="11" t="s">
        <v>37</v>
      </c>
      <c r="E221" s="15">
        <v>11</v>
      </c>
      <c r="F221" s="23">
        <v>0.627</v>
      </c>
      <c r="G221" s="23">
        <v>9.9989999999999996E-4</v>
      </c>
    </row>
    <row r="222" spans="1:14">
      <c r="A222" s="15">
        <v>10</v>
      </c>
      <c r="B222" s="75">
        <v>39769</v>
      </c>
      <c r="C222" s="15">
        <v>2008</v>
      </c>
      <c r="D222" s="11" t="s">
        <v>37</v>
      </c>
      <c r="E222" s="15">
        <v>11</v>
      </c>
      <c r="F222" s="23">
        <v>0.77200000000000002</v>
      </c>
      <c r="G222" s="23">
        <v>9.9989999999999996E-4</v>
      </c>
      <c r="I222" s="27">
        <f>AVERAGE(F221:F222)</f>
        <v>0.69950000000000001</v>
      </c>
      <c r="J222" s="27">
        <f>AVERAGE(G221:G222)</f>
        <v>9.9989999999999996E-4</v>
      </c>
      <c r="L222">
        <f>+J222/I222</f>
        <v>1.4294496068620443E-3</v>
      </c>
      <c r="M222">
        <f>+(L222-$L$614)/$L$615</f>
        <v>-0.13306318819881716</v>
      </c>
      <c r="N222">
        <f>+N220+M222</f>
        <v>16.876715903101168</v>
      </c>
    </row>
    <row r="223" spans="1:14">
      <c r="A223" s="15">
        <v>9</v>
      </c>
      <c r="B223" s="75">
        <v>39797</v>
      </c>
      <c r="C223" s="15">
        <v>2008</v>
      </c>
      <c r="D223" s="11" t="s">
        <v>38</v>
      </c>
      <c r="E223" s="15">
        <v>12</v>
      </c>
      <c r="F223" s="23">
        <v>1.2150000000000001</v>
      </c>
      <c r="G223" s="23">
        <v>9.9989999999999996E-4</v>
      </c>
    </row>
    <row r="224" spans="1:14">
      <c r="A224" s="15">
        <v>10</v>
      </c>
      <c r="B224" s="75">
        <v>39797</v>
      </c>
      <c r="C224" s="15">
        <v>2008</v>
      </c>
      <c r="D224" s="11" t="s">
        <v>38</v>
      </c>
      <c r="E224" s="15">
        <v>12</v>
      </c>
      <c r="F224" s="23">
        <v>4.3120000000000003</v>
      </c>
      <c r="G224" s="23">
        <v>9.9989999999999996E-4</v>
      </c>
      <c r="I224" s="27">
        <f>AVERAGE(F223:F224)</f>
        <v>2.7635000000000001</v>
      </c>
      <c r="J224" s="27">
        <f>AVERAGE(G223:G224)</f>
        <v>9.9989999999999996E-4</v>
      </c>
      <c r="L224">
        <f>+J224/I224</f>
        <v>3.6182377419938483E-4</v>
      </c>
      <c r="M224">
        <f>+(L224-$L$614)/$L$615</f>
        <v>-0.20976915463866638</v>
      </c>
      <c r="N224">
        <f>+N222+M224</f>
        <v>16.6669467484625</v>
      </c>
    </row>
    <row r="225" spans="1:14">
      <c r="A225" s="15">
        <v>9</v>
      </c>
      <c r="B225" s="75">
        <v>39826</v>
      </c>
      <c r="C225" s="15">
        <v>2009</v>
      </c>
      <c r="D225" s="11" t="s">
        <v>39</v>
      </c>
      <c r="E225" s="12">
        <v>1</v>
      </c>
      <c r="F225" s="23">
        <v>2.718</v>
      </c>
      <c r="G225" s="23">
        <v>9.9989999999999996E-4</v>
      </c>
    </row>
    <row r="226" spans="1:14">
      <c r="A226" s="15">
        <v>10</v>
      </c>
      <c r="B226" s="75">
        <v>39826</v>
      </c>
      <c r="C226" s="15">
        <v>2009</v>
      </c>
      <c r="D226" s="11" t="s">
        <v>39</v>
      </c>
      <c r="E226" s="12">
        <v>1</v>
      </c>
      <c r="F226" s="23">
        <v>2.0840000000000001</v>
      </c>
      <c r="G226" s="23">
        <v>9.9989999999999996E-4</v>
      </c>
      <c r="I226" s="27">
        <f>AVERAGE(F225:F226)</f>
        <v>2.4009999999999998</v>
      </c>
      <c r="J226" s="27">
        <f>AVERAGE(G225:G226)</f>
        <v>9.9989999999999996E-4</v>
      </c>
      <c r="L226">
        <f>+J226/I226</f>
        <v>4.1645147855060396E-4</v>
      </c>
      <c r="M226">
        <f>+(L226-$L$614)/$L$615</f>
        <v>-0.20584430500646886</v>
      </c>
      <c r="N226">
        <f>+N224+M226</f>
        <v>16.461102443456031</v>
      </c>
    </row>
    <row r="227" spans="1:14">
      <c r="A227" s="12">
        <v>9</v>
      </c>
      <c r="B227" s="75">
        <v>39861</v>
      </c>
      <c r="C227" s="15">
        <v>2009</v>
      </c>
      <c r="D227" s="11" t="s">
        <v>28</v>
      </c>
      <c r="E227" s="12">
        <v>2</v>
      </c>
      <c r="F227" s="23">
        <v>2.077</v>
      </c>
      <c r="G227" s="23">
        <v>9.9989999999999996E-4</v>
      </c>
    </row>
    <row r="228" spans="1:14">
      <c r="A228" s="12">
        <v>10</v>
      </c>
      <c r="B228" s="75">
        <v>39861</v>
      </c>
      <c r="C228" s="15">
        <v>2009</v>
      </c>
      <c r="D228" s="11" t="s">
        <v>28</v>
      </c>
      <c r="E228" s="12">
        <v>2</v>
      </c>
      <c r="F228" s="23">
        <v>1.7310000000000001</v>
      </c>
      <c r="G228" s="23">
        <v>9.9989999999999996E-4</v>
      </c>
      <c r="I228" s="27">
        <f>AVERAGE(F227:F228)</f>
        <v>1.9039999999999999</v>
      </c>
      <c r="J228" s="27">
        <f>AVERAGE(G227:G228)</f>
        <v>9.9989999999999996E-4</v>
      </c>
      <c r="L228">
        <f>+J228/I228</f>
        <v>5.2515756302521006E-4</v>
      </c>
      <c r="M228">
        <f>+(L228-$L$614)/$L$615</f>
        <v>-0.19803407317017038</v>
      </c>
      <c r="N228">
        <f>+N226+M228</f>
        <v>16.263068370285861</v>
      </c>
    </row>
    <row r="229" spans="1:14">
      <c r="A229" s="12">
        <v>9</v>
      </c>
      <c r="B229" s="75">
        <v>39888</v>
      </c>
      <c r="C229" s="15">
        <v>2009</v>
      </c>
      <c r="D229" s="11" t="s">
        <v>29</v>
      </c>
      <c r="E229" s="12">
        <v>3</v>
      </c>
      <c r="F229" s="23">
        <v>3.859</v>
      </c>
      <c r="G229" s="25">
        <v>9.9989999999999996E-4</v>
      </c>
    </row>
    <row r="230" spans="1:14">
      <c r="A230" s="12">
        <v>10</v>
      </c>
      <c r="B230" s="75">
        <v>39888</v>
      </c>
      <c r="C230" s="15">
        <v>2009</v>
      </c>
      <c r="D230" s="11" t="s">
        <v>29</v>
      </c>
      <c r="E230" s="12">
        <v>3</v>
      </c>
      <c r="F230" s="23">
        <v>3.5259999999999998</v>
      </c>
      <c r="G230" s="25">
        <v>9.9989999999999996E-4</v>
      </c>
      <c r="I230" s="27">
        <f>AVERAGE(F229:F230)</f>
        <v>3.6924999999999999</v>
      </c>
      <c r="J230" s="27">
        <f>AVERAGE(G229:G230)</f>
        <v>9.9989999999999996E-4</v>
      </c>
      <c r="L230">
        <f>+J230/I230</f>
        <v>2.7079214624238323E-4</v>
      </c>
      <c r="M230">
        <f>+(L230-$L$614)/$L$615</f>
        <v>-0.21630952560516858</v>
      </c>
      <c r="N230">
        <f>+N228+M230</f>
        <v>16.046758844680692</v>
      </c>
    </row>
    <row r="231" spans="1:14">
      <c r="A231" s="12">
        <v>9</v>
      </c>
      <c r="B231" s="75">
        <v>39916</v>
      </c>
      <c r="C231" s="15">
        <v>2009</v>
      </c>
      <c r="D231" s="11" t="s">
        <v>30</v>
      </c>
      <c r="E231" s="12">
        <v>4</v>
      </c>
      <c r="F231" s="23">
        <v>0.66500000000000004</v>
      </c>
      <c r="G231" s="25">
        <v>9.9989999999999996E-4</v>
      </c>
    </row>
    <row r="232" spans="1:14">
      <c r="A232" s="12">
        <v>10</v>
      </c>
      <c r="B232" s="75">
        <v>39916</v>
      </c>
      <c r="C232" s="15">
        <v>2009</v>
      </c>
      <c r="D232" s="11" t="s">
        <v>30</v>
      </c>
      <c r="E232" s="12">
        <v>4</v>
      </c>
      <c r="F232" s="23">
        <v>0.52800000000000002</v>
      </c>
      <c r="G232" s="25">
        <v>9.9989999999999996E-4</v>
      </c>
      <c r="I232" s="27">
        <f>AVERAGE(F231:F232)</f>
        <v>0.59650000000000003</v>
      </c>
      <c r="J232" s="27">
        <f>AVERAGE(G231:G232)</f>
        <v>9.9989999999999996E-4</v>
      </c>
      <c r="L232">
        <f>+J232/I232</f>
        <v>1.6762782900251465E-3</v>
      </c>
      <c r="M232">
        <f>+(L232-$L$614)/$L$615</f>
        <v>-0.11532922925190633</v>
      </c>
      <c r="N232">
        <f>+N230+M232</f>
        <v>15.931429615428787</v>
      </c>
    </row>
    <row r="233" spans="1:14">
      <c r="A233" s="12">
        <v>9</v>
      </c>
      <c r="B233" s="75">
        <v>39946</v>
      </c>
      <c r="C233" s="15">
        <v>2009</v>
      </c>
      <c r="D233" s="11" t="s">
        <v>31</v>
      </c>
      <c r="E233" s="12">
        <v>5</v>
      </c>
      <c r="F233" s="23">
        <v>0.59599999999999997</v>
      </c>
      <c r="G233" s="25">
        <v>9.9989999999999996E-4</v>
      </c>
    </row>
    <row r="234" spans="1:14">
      <c r="A234" s="12">
        <v>10</v>
      </c>
      <c r="B234" s="75">
        <v>39946</v>
      </c>
      <c r="C234" s="15">
        <v>2009</v>
      </c>
      <c r="D234" s="11" t="s">
        <v>31</v>
      </c>
      <c r="E234" s="12">
        <v>5</v>
      </c>
      <c r="F234" s="23">
        <v>0.85199999999999998</v>
      </c>
      <c r="G234" s="25">
        <v>9.9989999999999996E-4</v>
      </c>
      <c r="I234" s="27">
        <f>AVERAGE(F233:F234)</f>
        <v>0.72399999999999998</v>
      </c>
      <c r="J234" s="27">
        <f>AVERAGE(G233:G234)</f>
        <v>9.9989999999999996E-4</v>
      </c>
      <c r="L234">
        <f>+J234/I234</f>
        <v>1.3810773480662983E-3</v>
      </c>
      <c r="M234">
        <f>+(L234-$L$614)/$L$615</f>
        <v>-0.13653860135040075</v>
      </c>
      <c r="N234">
        <f>+N232+M234</f>
        <v>15.794891014078386</v>
      </c>
    </row>
    <row r="235" spans="1:14">
      <c r="A235" s="15">
        <v>9</v>
      </c>
      <c r="B235" s="75">
        <v>39983</v>
      </c>
      <c r="C235" s="15">
        <v>2009</v>
      </c>
      <c r="D235" s="11" t="s">
        <v>32</v>
      </c>
      <c r="E235" s="12">
        <v>6</v>
      </c>
      <c r="F235" s="23">
        <v>3.1190000000000002</v>
      </c>
      <c r="G235" s="25">
        <v>1E-3</v>
      </c>
    </row>
    <row r="236" spans="1:14">
      <c r="A236" s="15">
        <v>10</v>
      </c>
      <c r="B236" s="75">
        <v>39983</v>
      </c>
      <c r="C236" s="15">
        <v>2009</v>
      </c>
      <c r="D236" s="11" t="s">
        <v>32</v>
      </c>
      <c r="E236" s="12">
        <v>6</v>
      </c>
      <c r="F236" s="23">
        <v>2.516</v>
      </c>
      <c r="G236" s="25">
        <v>9.9989999999999996E-4</v>
      </c>
      <c r="I236" s="27">
        <f>AVERAGE(F235:F236)</f>
        <v>2.8174999999999999</v>
      </c>
      <c r="J236" s="27">
        <f>AVERAGE(G235:G236)</f>
        <v>9.9994999999999988E-4</v>
      </c>
      <c r="L236">
        <f>+J236/I236</f>
        <v>3.549068322981366E-4</v>
      </c>
      <c r="M236">
        <f>+(L236-$L$614)/$L$615</f>
        <v>-0.21026611780414198</v>
      </c>
      <c r="N236">
        <f>+N234+M236</f>
        <v>15.584624896274244</v>
      </c>
    </row>
    <row r="237" spans="1:14">
      <c r="A237" s="15">
        <v>9</v>
      </c>
      <c r="B237" s="75">
        <v>40007</v>
      </c>
      <c r="C237" s="15">
        <v>2009</v>
      </c>
      <c r="D237" s="11" t="s">
        <v>33</v>
      </c>
      <c r="E237" s="12">
        <v>7</v>
      </c>
      <c r="F237" s="23">
        <v>4.57</v>
      </c>
      <c r="G237" s="25">
        <v>1E-3</v>
      </c>
    </row>
    <row r="238" spans="1:14">
      <c r="A238" s="15">
        <v>10</v>
      </c>
      <c r="B238" s="75">
        <v>40007</v>
      </c>
      <c r="C238" s="15">
        <v>2009</v>
      </c>
      <c r="D238" s="11" t="s">
        <v>33</v>
      </c>
      <c r="E238" s="12">
        <v>7</v>
      </c>
      <c r="F238" s="23">
        <v>3.2389999999999999</v>
      </c>
      <c r="G238" s="25">
        <v>9.9989999999999996E-4</v>
      </c>
      <c r="I238" s="27">
        <f>AVERAGE(F237:F238)</f>
        <v>3.9045000000000001</v>
      </c>
      <c r="J238" s="27">
        <f>AVERAGE(G237:G238)</f>
        <v>9.9994999999999988E-4</v>
      </c>
      <c r="L238">
        <f>+J238/I238</f>
        <v>2.5610193366628248E-4</v>
      </c>
      <c r="M238">
        <f>+(L238-$L$614)/$L$615</f>
        <v>-0.21736497679263783</v>
      </c>
      <c r="N238">
        <f>+N236+M238</f>
        <v>15.367259919481606</v>
      </c>
    </row>
    <row r="239" spans="1:14">
      <c r="A239" s="15">
        <v>9</v>
      </c>
      <c r="B239" s="75">
        <v>40042</v>
      </c>
      <c r="C239" s="15">
        <v>2009</v>
      </c>
      <c r="D239" s="11" t="s">
        <v>34</v>
      </c>
      <c r="E239" s="12">
        <v>8</v>
      </c>
      <c r="F239" s="23">
        <v>5.7190000000000003</v>
      </c>
      <c r="G239" s="25">
        <v>1E-3</v>
      </c>
    </row>
    <row r="240" spans="1:14">
      <c r="A240" s="15">
        <v>10</v>
      </c>
      <c r="B240" s="75">
        <v>40042</v>
      </c>
      <c r="C240" s="15">
        <v>2009</v>
      </c>
      <c r="D240" s="11" t="s">
        <v>34</v>
      </c>
      <c r="E240" s="12">
        <v>8</v>
      </c>
      <c r="F240" s="23">
        <v>13.336</v>
      </c>
      <c r="G240" s="25">
        <v>9.9989999999999996E-4</v>
      </c>
      <c r="I240" s="27">
        <f>AVERAGE(F239:F240)</f>
        <v>9.5274999999999999</v>
      </c>
      <c r="J240" s="27">
        <f>AVERAGE(G239:G240)</f>
        <v>9.9994999999999988E-4</v>
      </c>
      <c r="L240">
        <f>+J240/I240</f>
        <v>1.0495408029388611E-4</v>
      </c>
      <c r="M240">
        <f>+(L240-$L$614)/$L$615</f>
        <v>-0.22822453246611099</v>
      </c>
      <c r="N240">
        <f>+N238+M240</f>
        <v>15.139035387015495</v>
      </c>
    </row>
    <row r="241" spans="1:14">
      <c r="A241" s="15">
        <v>9</v>
      </c>
      <c r="B241" s="75">
        <v>40071</v>
      </c>
      <c r="C241" s="15">
        <v>2009</v>
      </c>
      <c r="D241" s="11" t="s">
        <v>40</v>
      </c>
      <c r="E241" s="12">
        <v>9</v>
      </c>
      <c r="F241" s="23">
        <v>3.0950000000000002</v>
      </c>
      <c r="G241" s="25">
        <v>9.9989999999999996E-4</v>
      </c>
    </row>
    <row r="242" spans="1:14">
      <c r="A242" s="15">
        <v>10</v>
      </c>
      <c r="B242" s="75">
        <v>40071</v>
      </c>
      <c r="C242" s="15">
        <v>2009</v>
      </c>
      <c r="D242" s="11" t="s">
        <v>40</v>
      </c>
      <c r="E242" s="12">
        <v>9</v>
      </c>
      <c r="F242" s="23">
        <v>3.5539999999999998</v>
      </c>
      <c r="G242" s="25">
        <v>9.9989999999999996E-4</v>
      </c>
      <c r="I242" s="27">
        <f>AVERAGE(F241:F242)</f>
        <v>3.3245</v>
      </c>
      <c r="J242" s="27">
        <f>AVERAGE(G241:G242)</f>
        <v>9.9989999999999996E-4</v>
      </c>
      <c r="L242">
        <f>+J242/I242</f>
        <v>3.0076703263648668E-4</v>
      </c>
      <c r="M242">
        <f>+(L242-$L$614)/$L$615</f>
        <v>-0.21415591283237717</v>
      </c>
      <c r="N242">
        <f>+N240+M242</f>
        <v>14.924879474183118</v>
      </c>
    </row>
    <row r="243" spans="1:14">
      <c r="A243" s="15">
        <v>9</v>
      </c>
      <c r="B243" s="75">
        <v>40100</v>
      </c>
      <c r="C243" s="15">
        <v>2009</v>
      </c>
      <c r="D243" s="11" t="s">
        <v>36</v>
      </c>
      <c r="E243" s="12">
        <v>10</v>
      </c>
      <c r="F243" s="23">
        <v>0.78600000000000003</v>
      </c>
      <c r="G243" s="25">
        <v>9.9989999999999996E-4</v>
      </c>
    </row>
    <row r="244" spans="1:14">
      <c r="A244" s="15">
        <v>10</v>
      </c>
      <c r="B244" s="75">
        <v>40100</v>
      </c>
      <c r="C244" s="15">
        <v>2009</v>
      </c>
      <c r="D244" s="11" t="s">
        <v>36</v>
      </c>
      <c r="E244" s="12">
        <v>10</v>
      </c>
      <c r="F244" s="23">
        <v>1.147</v>
      </c>
      <c r="G244" s="25">
        <v>9.9989999999999996E-4</v>
      </c>
      <c r="I244" s="27">
        <f>AVERAGE(F243:F244)</f>
        <v>0.96650000000000003</v>
      </c>
      <c r="J244" s="27">
        <f>AVERAGE(G243:G244)</f>
        <v>9.9989999999999996E-4</v>
      </c>
      <c r="L244">
        <f>+J244/I244</f>
        <v>1.0345576823590273E-3</v>
      </c>
      <c r="M244">
        <f>+(L244-$L$614)/$L$615</f>
        <v>-0.16143508196683437</v>
      </c>
      <c r="N244">
        <f>+N242+M244</f>
        <v>14.763444392216284</v>
      </c>
    </row>
    <row r="245" spans="1:14">
      <c r="A245" s="15">
        <v>9</v>
      </c>
      <c r="B245" s="75">
        <v>40133</v>
      </c>
      <c r="C245" s="15">
        <v>2009</v>
      </c>
      <c r="D245" s="11" t="s">
        <v>37</v>
      </c>
      <c r="E245" s="12">
        <v>11</v>
      </c>
      <c r="F245" s="23">
        <v>1.613</v>
      </c>
      <c r="G245" s="25">
        <v>9.9989999999999996E-4</v>
      </c>
    </row>
    <row r="246" spans="1:14">
      <c r="A246" s="15">
        <v>10</v>
      </c>
      <c r="B246" s="75">
        <v>40133</v>
      </c>
      <c r="C246" s="15">
        <v>2009</v>
      </c>
      <c r="D246" s="11" t="s">
        <v>37</v>
      </c>
      <c r="E246" s="12">
        <v>11</v>
      </c>
      <c r="F246" s="23">
        <v>1.095</v>
      </c>
      <c r="G246" s="25">
        <v>9.9989999999999996E-4</v>
      </c>
      <c r="I246" s="27">
        <f>AVERAGE(F245:F246)</f>
        <v>1.3540000000000001</v>
      </c>
      <c r="J246" s="27">
        <f>AVERAGE(G245:G246)</f>
        <v>9.9989999999999996E-4</v>
      </c>
      <c r="L246">
        <f>+J246/I246</f>
        <v>7.3847858197932041E-4</v>
      </c>
      <c r="M246">
        <f>+(L246-$L$614)/$L$615</f>
        <v>-0.18270754732169114</v>
      </c>
      <c r="N246">
        <f>+N244+M246</f>
        <v>14.580736844894593</v>
      </c>
    </row>
    <row r="247" spans="1:14">
      <c r="A247" s="15">
        <v>9</v>
      </c>
      <c r="B247" s="75">
        <v>40161</v>
      </c>
      <c r="C247" s="15">
        <v>2009</v>
      </c>
      <c r="D247" s="11" t="s">
        <v>38</v>
      </c>
      <c r="E247" s="12">
        <v>12</v>
      </c>
      <c r="F247" s="23">
        <v>1.8680000000000001</v>
      </c>
      <c r="G247" s="25">
        <v>9.9989999999999996E-4</v>
      </c>
    </row>
    <row r="248" spans="1:14">
      <c r="A248" s="15">
        <v>10</v>
      </c>
      <c r="B248" s="75">
        <v>40161</v>
      </c>
      <c r="C248" s="15">
        <v>2009</v>
      </c>
      <c r="D248" s="11" t="s">
        <v>38</v>
      </c>
      <c r="E248" s="12">
        <v>12</v>
      </c>
      <c r="F248" s="23">
        <v>1.395</v>
      </c>
      <c r="G248" s="25">
        <v>9.9989999999999996E-4</v>
      </c>
      <c r="I248" s="27">
        <f>AVERAGE(F247:F248)</f>
        <v>1.6315</v>
      </c>
      <c r="J248" s="27">
        <f>AVERAGE(G247:G248)</f>
        <v>9.9989999999999996E-4</v>
      </c>
      <c r="L248">
        <f>+J248/I248</f>
        <v>6.128715905608336E-4</v>
      </c>
      <c r="M248">
        <f>+(L248-$L$614)/$L$615</f>
        <v>-0.19173206262807682</v>
      </c>
      <c r="N248">
        <f>+N246+M248</f>
        <v>14.389004782266516</v>
      </c>
    </row>
    <row r="249" spans="1:14">
      <c r="A249" s="15">
        <v>9</v>
      </c>
      <c r="B249" s="70">
        <v>40197</v>
      </c>
      <c r="C249" s="15">
        <v>2010</v>
      </c>
      <c r="D249" s="11" t="s">
        <v>39</v>
      </c>
      <c r="E249" s="15">
        <v>1</v>
      </c>
      <c r="F249" s="26">
        <v>9.4469999999999992</v>
      </c>
      <c r="G249" s="27">
        <v>0</v>
      </c>
    </row>
    <row r="250" spans="1:14">
      <c r="A250" s="15">
        <v>10</v>
      </c>
      <c r="B250" s="70">
        <v>40197</v>
      </c>
      <c r="C250" s="15">
        <v>2010</v>
      </c>
      <c r="D250" s="11" t="s">
        <v>39</v>
      </c>
      <c r="E250" s="15">
        <v>1</v>
      </c>
      <c r="F250" s="26">
        <v>7.7149999999999999</v>
      </c>
      <c r="G250" s="27">
        <v>0</v>
      </c>
      <c r="I250" s="27">
        <f>AVERAGE(F249:F250)</f>
        <v>8.5809999999999995</v>
      </c>
      <c r="J250" s="27">
        <f>AVERAGE(G249:G250)</f>
        <v>0</v>
      </c>
      <c r="L250">
        <f>+J250/I250</f>
        <v>0</v>
      </c>
      <c r="M250">
        <f>+(L250-$L$614)/$L$615</f>
        <v>-0.23576519316806296</v>
      </c>
      <c r="N250">
        <f>+N248+M250</f>
        <v>14.153239589098453</v>
      </c>
    </row>
    <row r="251" spans="1:14">
      <c r="A251" s="15">
        <v>9</v>
      </c>
      <c r="B251" s="70">
        <v>40225</v>
      </c>
      <c r="C251" s="15">
        <v>2010</v>
      </c>
      <c r="D251" s="11" t="s">
        <v>28</v>
      </c>
      <c r="E251" s="15">
        <v>2</v>
      </c>
      <c r="F251" s="26">
        <v>5.3949999999999996</v>
      </c>
      <c r="G251" s="27">
        <v>0</v>
      </c>
    </row>
    <row r="252" spans="1:14">
      <c r="A252" s="15">
        <v>10</v>
      </c>
      <c r="B252" s="70">
        <v>40225</v>
      </c>
      <c r="C252" s="15">
        <v>2010</v>
      </c>
      <c r="D252" s="11" t="s">
        <v>28</v>
      </c>
      <c r="E252" s="15">
        <v>2</v>
      </c>
      <c r="F252" s="26">
        <v>3.2669999999999999</v>
      </c>
      <c r="G252" s="27">
        <v>0</v>
      </c>
      <c r="I252" s="27">
        <f>AVERAGE(F251:F252)</f>
        <v>4.3309999999999995</v>
      </c>
      <c r="J252" s="27">
        <f>AVERAGE(G251:G252)</f>
        <v>0</v>
      </c>
      <c r="L252">
        <f>+J252/I252</f>
        <v>0</v>
      </c>
      <c r="M252">
        <f>+(L252-$L$614)/$L$615</f>
        <v>-0.23576519316806296</v>
      </c>
      <c r="N252">
        <f>+N250+M252</f>
        <v>13.917474395930389</v>
      </c>
    </row>
    <row r="253" spans="1:14">
      <c r="A253" s="15">
        <v>9</v>
      </c>
      <c r="B253" s="70">
        <v>40255</v>
      </c>
      <c r="C253" s="15">
        <v>2010</v>
      </c>
      <c r="D253" s="11" t="s">
        <v>29</v>
      </c>
      <c r="E253" s="15">
        <v>3</v>
      </c>
      <c r="F253" s="26">
        <v>9.5939999999999994</v>
      </c>
      <c r="G253" s="27">
        <v>0</v>
      </c>
    </row>
    <row r="254" spans="1:14">
      <c r="A254" s="15">
        <v>10</v>
      </c>
      <c r="B254" s="70">
        <v>40255</v>
      </c>
      <c r="C254" s="15">
        <v>2010</v>
      </c>
      <c r="D254" s="11" t="s">
        <v>29</v>
      </c>
      <c r="E254" s="15">
        <v>3</v>
      </c>
      <c r="F254" s="26">
        <v>8.5579999999999998</v>
      </c>
      <c r="G254" s="27">
        <v>0</v>
      </c>
      <c r="I254" s="27">
        <f>AVERAGE(F253:F254)</f>
        <v>9.0760000000000005</v>
      </c>
      <c r="J254" s="27">
        <f>AVERAGE(G253:G254)</f>
        <v>0</v>
      </c>
      <c r="L254">
        <f>+J254/I254</f>
        <v>0</v>
      </c>
      <c r="M254">
        <f>+(L254-$L$614)/$L$615</f>
        <v>-0.23576519316806296</v>
      </c>
      <c r="N254">
        <f>+N252+M254</f>
        <v>13.681709202762326</v>
      </c>
    </row>
    <row r="255" spans="1:14">
      <c r="A255" s="15">
        <v>9</v>
      </c>
      <c r="B255" s="70">
        <v>40281</v>
      </c>
      <c r="C255" s="15">
        <v>2010</v>
      </c>
      <c r="D255" s="11" t="s">
        <v>30</v>
      </c>
      <c r="E255" s="15">
        <v>4</v>
      </c>
      <c r="F255" s="26">
        <v>2.2589999999999999</v>
      </c>
      <c r="G255" s="27">
        <v>0</v>
      </c>
    </row>
    <row r="256" spans="1:14">
      <c r="A256" s="15">
        <v>10</v>
      </c>
      <c r="B256" s="70">
        <v>40281</v>
      </c>
      <c r="C256" s="15">
        <v>2010</v>
      </c>
      <c r="D256" s="11" t="s">
        <v>30</v>
      </c>
      <c r="E256" s="15">
        <v>4</v>
      </c>
      <c r="F256" s="26">
        <v>2.4209999999999998</v>
      </c>
      <c r="G256" s="27">
        <v>0</v>
      </c>
      <c r="I256" s="27">
        <f>AVERAGE(F255:F256)</f>
        <v>2.34</v>
      </c>
      <c r="J256" s="27">
        <f>AVERAGE(G255:G256)</f>
        <v>0</v>
      </c>
      <c r="L256">
        <f>+J256/I256</f>
        <v>0</v>
      </c>
      <c r="M256">
        <f>+(L256-$L$614)/$L$615</f>
        <v>-0.23576519316806296</v>
      </c>
      <c r="N256">
        <f>+N254+M256</f>
        <v>13.445944009594262</v>
      </c>
    </row>
    <row r="257" spans="1:14">
      <c r="A257" s="15">
        <v>9</v>
      </c>
      <c r="B257" s="75">
        <v>40317</v>
      </c>
      <c r="C257" s="15">
        <v>2010</v>
      </c>
      <c r="D257" s="11" t="s">
        <v>31</v>
      </c>
      <c r="E257" s="15">
        <v>5</v>
      </c>
      <c r="F257" s="28">
        <v>2.9220000000000002</v>
      </c>
      <c r="G257" s="27">
        <v>0</v>
      </c>
    </row>
    <row r="258" spans="1:14">
      <c r="A258" s="15">
        <v>10</v>
      </c>
      <c r="B258" s="75">
        <v>40317</v>
      </c>
      <c r="C258" s="15">
        <v>2010</v>
      </c>
      <c r="D258" s="11" t="s">
        <v>31</v>
      </c>
      <c r="E258" s="15">
        <v>5</v>
      </c>
      <c r="F258" s="28">
        <v>3.617</v>
      </c>
      <c r="G258" s="27">
        <v>1.6410874999999998E-2</v>
      </c>
      <c r="I258" s="27">
        <f>AVERAGE(F257:F258)</f>
        <v>3.2694999999999999</v>
      </c>
      <c r="J258" s="27">
        <f>AVERAGE(G257:G258)</f>
        <v>8.2054374999999992E-3</v>
      </c>
      <c r="L258">
        <f>+J258/I258</f>
        <v>2.5096918489065606E-3</v>
      </c>
      <c r="M258">
        <f>+(L258-$L$614)/$L$615</f>
        <v>-5.5450767601501048E-2</v>
      </c>
      <c r="N258">
        <f>+N256+M258</f>
        <v>13.390493241992761</v>
      </c>
    </row>
    <row r="259" spans="1:14">
      <c r="A259" s="15">
        <v>9</v>
      </c>
      <c r="B259" s="75">
        <v>40345</v>
      </c>
      <c r="C259" s="15">
        <v>2010</v>
      </c>
      <c r="D259" s="11" t="s">
        <v>32</v>
      </c>
      <c r="E259" s="15">
        <v>6</v>
      </c>
      <c r="F259" s="28">
        <v>7.1379999999999999</v>
      </c>
      <c r="G259" s="27">
        <v>0</v>
      </c>
    </row>
    <row r="260" spans="1:14">
      <c r="A260" s="15">
        <v>10</v>
      </c>
      <c r="B260" s="75">
        <v>40345</v>
      </c>
      <c r="C260" s="15">
        <v>2010</v>
      </c>
      <c r="D260" s="11" t="s">
        <v>32</v>
      </c>
      <c r="E260" s="15">
        <v>6</v>
      </c>
      <c r="F260" s="28">
        <v>9.1150000000000002</v>
      </c>
      <c r="G260" s="27">
        <v>0</v>
      </c>
      <c r="I260" s="27">
        <f>AVERAGE(F259:F260)</f>
        <v>8.1265000000000001</v>
      </c>
      <c r="J260" s="27">
        <f>AVERAGE(G259:G260)</f>
        <v>0</v>
      </c>
      <c r="L260">
        <f>+J260/I260</f>
        <v>0</v>
      </c>
      <c r="M260">
        <f>+(L260-$L$614)/$L$615</f>
        <v>-0.23576519316806296</v>
      </c>
      <c r="N260">
        <f>+N258+M260</f>
        <v>13.154728048824698</v>
      </c>
    </row>
    <row r="261" spans="1:14">
      <c r="A261" s="15">
        <v>9</v>
      </c>
      <c r="B261" s="75">
        <v>40373</v>
      </c>
      <c r="C261" s="15">
        <v>2010</v>
      </c>
      <c r="D261" s="11" t="s">
        <v>33</v>
      </c>
      <c r="E261" s="15">
        <v>7</v>
      </c>
      <c r="F261" s="28">
        <v>6.0940000000000003</v>
      </c>
      <c r="G261" s="27">
        <v>0</v>
      </c>
    </row>
    <row r="262" spans="1:14">
      <c r="A262" s="15">
        <v>10</v>
      </c>
      <c r="B262" s="75">
        <v>40373</v>
      </c>
      <c r="C262" s="15">
        <v>2010</v>
      </c>
      <c r="D262" s="11" t="s">
        <v>33</v>
      </c>
      <c r="E262" s="15">
        <v>7</v>
      </c>
      <c r="F262" s="28">
        <v>12.361000000000001</v>
      </c>
      <c r="G262" s="27">
        <v>0</v>
      </c>
      <c r="I262" s="27">
        <f>AVERAGE(F261:F262)</f>
        <v>9.2275000000000009</v>
      </c>
      <c r="J262" s="27">
        <f>AVERAGE(G261:G262)</f>
        <v>0</v>
      </c>
      <c r="L262">
        <f>+J262/I262</f>
        <v>0</v>
      </c>
      <c r="M262">
        <f>+(L262-$L$614)/$L$615</f>
        <v>-0.23576519316806296</v>
      </c>
      <c r="N262">
        <f>+N260+M262</f>
        <v>12.918962855656634</v>
      </c>
    </row>
    <row r="263" spans="1:14">
      <c r="A263" s="15">
        <v>9</v>
      </c>
      <c r="B263" s="75">
        <v>40409</v>
      </c>
      <c r="C263" s="15">
        <v>2010</v>
      </c>
      <c r="D263" s="11" t="s">
        <v>34</v>
      </c>
      <c r="E263" s="15">
        <v>8</v>
      </c>
      <c r="F263" s="28">
        <v>4.22</v>
      </c>
      <c r="G263" s="27">
        <v>6.2430624999999983E-2</v>
      </c>
    </row>
    <row r="264" spans="1:14">
      <c r="A264" s="15">
        <v>10</v>
      </c>
      <c r="B264" s="75">
        <v>40409</v>
      </c>
      <c r="C264" s="15">
        <v>2010</v>
      </c>
      <c r="D264" s="11" t="s">
        <v>34</v>
      </c>
      <c r="E264" s="15">
        <v>8</v>
      </c>
      <c r="F264" s="28">
        <v>8.1379999999999999</v>
      </c>
      <c r="G264" s="27">
        <v>6.1454499999999995E-2</v>
      </c>
      <c r="I264" s="27">
        <f>AVERAGE(F263:F264)</f>
        <v>6.1790000000000003</v>
      </c>
      <c r="J264" s="27">
        <f>AVERAGE(G263:G264)</f>
        <v>6.1942562499999992E-2</v>
      </c>
      <c r="L264">
        <f>+J264/I264</f>
        <v>1.0024690483897069E-2</v>
      </c>
      <c r="M264">
        <f>+(L264-$L$614)/$L$615</f>
        <v>0.48448112188213943</v>
      </c>
      <c r="N264">
        <f>+N262+M264</f>
        <v>13.403443977538773</v>
      </c>
    </row>
    <row r="265" spans="1:14">
      <c r="A265" s="15">
        <v>9</v>
      </c>
      <c r="B265" s="75">
        <v>40434</v>
      </c>
      <c r="C265" s="15">
        <v>2010</v>
      </c>
      <c r="D265" s="11" t="s">
        <v>40</v>
      </c>
      <c r="E265" s="15">
        <v>9</v>
      </c>
      <c r="F265" s="28">
        <v>2.3079999999999998</v>
      </c>
      <c r="G265" s="27">
        <v>0</v>
      </c>
    </row>
    <row r="266" spans="1:14">
      <c r="A266" s="15">
        <v>10</v>
      </c>
      <c r="B266" s="75">
        <v>40434</v>
      </c>
      <c r="C266" s="15">
        <v>2010</v>
      </c>
      <c r="D266" s="11" t="s">
        <v>40</v>
      </c>
      <c r="E266" s="15">
        <v>9</v>
      </c>
      <c r="F266" s="28">
        <v>1.877</v>
      </c>
      <c r="G266" s="27">
        <v>0</v>
      </c>
      <c r="I266" s="27">
        <f>AVERAGE(F265:F266)</f>
        <v>2.0924999999999998</v>
      </c>
      <c r="J266" s="27">
        <f>AVERAGE(G265:G266)</f>
        <v>0</v>
      </c>
      <c r="L266">
        <f>+J266/I266</f>
        <v>0</v>
      </c>
      <c r="M266">
        <f>+(L266-$L$614)/$L$615</f>
        <v>-0.23576519316806296</v>
      </c>
      <c r="N266">
        <f>+N264+M266</f>
        <v>13.167678784370709</v>
      </c>
    </row>
    <row r="267" spans="1:14">
      <c r="A267" s="15">
        <v>9</v>
      </c>
      <c r="B267" s="75">
        <v>40463</v>
      </c>
      <c r="C267" s="15">
        <v>2010</v>
      </c>
      <c r="D267" s="11" t="s">
        <v>36</v>
      </c>
      <c r="E267" s="15">
        <v>10</v>
      </c>
      <c r="F267" s="26">
        <v>1.004</v>
      </c>
      <c r="G267" s="27">
        <v>0</v>
      </c>
    </row>
    <row r="268" spans="1:14">
      <c r="A268" s="15">
        <v>10</v>
      </c>
      <c r="B268" s="75">
        <v>40463</v>
      </c>
      <c r="C268" s="15">
        <v>2010</v>
      </c>
      <c r="D268" s="11" t="s">
        <v>36</v>
      </c>
      <c r="E268" s="15">
        <v>10</v>
      </c>
      <c r="F268" s="26">
        <v>0.58599999999999997</v>
      </c>
      <c r="G268" s="27">
        <v>0</v>
      </c>
      <c r="I268" s="27">
        <f>AVERAGE(F267:F268)</f>
        <v>0.79499999999999993</v>
      </c>
      <c r="J268" s="27">
        <f>AVERAGE(G267:G268)</f>
        <v>0</v>
      </c>
      <c r="L268">
        <f>+J268/I268</f>
        <v>0</v>
      </c>
      <c r="M268">
        <f>+(L268-$L$614)/$L$615</f>
        <v>-0.23576519316806296</v>
      </c>
      <c r="N268">
        <f>+N266+M268</f>
        <v>12.931913591202646</v>
      </c>
    </row>
    <row r="269" spans="1:14">
      <c r="A269" s="15">
        <v>9</v>
      </c>
      <c r="B269" s="75">
        <v>40500</v>
      </c>
      <c r="C269" s="15">
        <v>2010</v>
      </c>
      <c r="D269" s="11" t="s">
        <v>37</v>
      </c>
      <c r="E269" s="15">
        <v>11</v>
      </c>
      <c r="F269" s="26">
        <v>0.45400000000000001</v>
      </c>
      <c r="G269" s="27">
        <v>0</v>
      </c>
    </row>
    <row r="270" spans="1:14">
      <c r="A270" s="15">
        <v>10</v>
      </c>
      <c r="B270" s="75">
        <v>40500</v>
      </c>
      <c r="C270" s="15">
        <v>2010</v>
      </c>
      <c r="D270" s="11" t="s">
        <v>37</v>
      </c>
      <c r="E270" s="15">
        <v>11</v>
      </c>
      <c r="F270" s="26">
        <v>1.268</v>
      </c>
      <c r="G270" s="27">
        <v>0</v>
      </c>
      <c r="I270" s="27">
        <f>AVERAGE(F269:F270)</f>
        <v>0.86099999999999999</v>
      </c>
      <c r="J270" s="27">
        <f>AVERAGE(G269:G270)</f>
        <v>0</v>
      </c>
      <c r="L270">
        <f>+J270/I270</f>
        <v>0</v>
      </c>
      <c r="M270">
        <f>+(L270-$L$614)/$L$615</f>
        <v>-0.23576519316806296</v>
      </c>
      <c r="N270">
        <f>+N268+M270</f>
        <v>12.696148398034582</v>
      </c>
    </row>
    <row r="271" spans="1:14">
      <c r="A271" s="15">
        <v>9</v>
      </c>
      <c r="B271" s="75">
        <v>40521</v>
      </c>
      <c r="C271" s="15">
        <v>2010</v>
      </c>
      <c r="D271" s="11" t="s">
        <v>38</v>
      </c>
      <c r="E271" s="15">
        <v>12</v>
      </c>
      <c r="F271" s="26">
        <v>4.319</v>
      </c>
      <c r="G271" s="27">
        <v>0.34529425000000002</v>
      </c>
    </row>
    <row r="272" spans="1:14">
      <c r="A272" s="15">
        <v>10</v>
      </c>
      <c r="B272" s="75">
        <v>40521</v>
      </c>
      <c r="C272" s="15">
        <v>2010</v>
      </c>
      <c r="D272" s="11" t="s">
        <v>38</v>
      </c>
      <c r="E272" s="15">
        <v>12</v>
      </c>
      <c r="F272" s="26">
        <v>0.81299999999999994</v>
      </c>
      <c r="G272" s="27">
        <v>0</v>
      </c>
      <c r="I272" s="27">
        <f>AVERAGE(F271:F272)</f>
        <v>2.5659999999999998</v>
      </c>
      <c r="J272" s="27">
        <f>AVERAGE(G271:G272)</f>
        <v>0.17264712500000001</v>
      </c>
      <c r="L272">
        <f>+J272/I272</f>
        <v>6.7282589633671092E-2</v>
      </c>
      <c r="M272">
        <f>+(L272-$L$614)/$L$615</f>
        <v>4.5983029836528795</v>
      </c>
      <c r="N272">
        <f>+N270+M272</f>
        <v>17.294451381687463</v>
      </c>
    </row>
    <row r="273" spans="1:14">
      <c r="A273" s="15">
        <v>9</v>
      </c>
      <c r="B273" s="75">
        <v>40563</v>
      </c>
      <c r="C273" s="15">
        <v>2011</v>
      </c>
      <c r="D273" s="11" t="s">
        <v>39</v>
      </c>
      <c r="E273" s="15">
        <v>1</v>
      </c>
      <c r="F273" s="26">
        <v>4.4939999999999998</v>
      </c>
      <c r="G273" s="27">
        <v>0</v>
      </c>
    </row>
    <row r="274" spans="1:14">
      <c r="A274" s="15">
        <v>10</v>
      </c>
      <c r="B274" s="75">
        <v>40563</v>
      </c>
      <c r="C274" s="15">
        <v>2011</v>
      </c>
      <c r="D274" s="11" t="s">
        <v>39</v>
      </c>
      <c r="E274" s="15">
        <v>1</v>
      </c>
      <c r="F274" s="26">
        <v>5.173</v>
      </c>
      <c r="G274" s="27">
        <v>0</v>
      </c>
      <c r="I274" s="27">
        <f>AVERAGE(F273:F274)</f>
        <v>4.8334999999999999</v>
      </c>
      <c r="J274" s="27">
        <f>AVERAGE(G273:G274)</f>
        <v>0</v>
      </c>
      <c r="L274">
        <f>+J274/I274</f>
        <v>0</v>
      </c>
      <c r="M274">
        <f>+(L274-$L$614)/$L$615</f>
        <v>-0.23576519316806296</v>
      </c>
      <c r="N274">
        <f>+N272+M274</f>
        <v>17.058686188519399</v>
      </c>
    </row>
    <row r="275" spans="1:14">
      <c r="A275" s="15">
        <v>9</v>
      </c>
      <c r="B275" s="75">
        <v>40598</v>
      </c>
      <c r="C275" s="15">
        <v>2011</v>
      </c>
      <c r="D275" s="11" t="s">
        <v>28</v>
      </c>
      <c r="E275" s="15">
        <v>2</v>
      </c>
      <c r="F275" s="26">
        <v>5.968</v>
      </c>
      <c r="G275" s="27">
        <v>0</v>
      </c>
    </row>
    <row r="276" spans="1:14">
      <c r="A276" s="15">
        <v>10</v>
      </c>
      <c r="B276" s="75">
        <v>40598</v>
      </c>
      <c r="C276" s="15">
        <v>2011</v>
      </c>
      <c r="D276" s="11" t="s">
        <v>28</v>
      </c>
      <c r="E276" s="15">
        <v>2</v>
      </c>
      <c r="F276" s="26">
        <v>7.6689999999999996</v>
      </c>
      <c r="G276" s="27">
        <v>0</v>
      </c>
      <c r="I276" s="27">
        <f>AVERAGE(F275:F276)</f>
        <v>6.8185000000000002</v>
      </c>
      <c r="J276" s="27">
        <f>AVERAGE(G275:G276)</f>
        <v>0</v>
      </c>
      <c r="L276">
        <f>+J276/I276</f>
        <v>0</v>
      </c>
      <c r="M276">
        <f>+(L276-$L$614)/$L$615</f>
        <v>-0.23576519316806296</v>
      </c>
      <c r="N276">
        <f>+N274+M276</f>
        <v>16.822920995351335</v>
      </c>
    </row>
    <row r="277" spans="1:14">
      <c r="A277" s="15">
        <v>9</v>
      </c>
      <c r="B277" s="75">
        <v>40617</v>
      </c>
      <c r="C277" s="15">
        <v>2011</v>
      </c>
      <c r="D277" s="11" t="s">
        <v>29</v>
      </c>
      <c r="E277" s="15">
        <v>3</v>
      </c>
      <c r="F277" s="26">
        <v>3.0249999999999999</v>
      </c>
      <c r="G277" s="27">
        <v>0</v>
      </c>
    </row>
    <row r="278" spans="1:14">
      <c r="A278" s="15">
        <v>10</v>
      </c>
      <c r="B278" s="75">
        <v>40617</v>
      </c>
      <c r="C278" s="15">
        <v>2011</v>
      </c>
      <c r="D278" s="11" t="s">
        <v>29</v>
      </c>
      <c r="E278" s="15">
        <v>3</v>
      </c>
      <c r="F278" s="26">
        <v>6.4660000000000002</v>
      </c>
      <c r="G278" s="27">
        <v>0</v>
      </c>
      <c r="I278" s="27">
        <f>AVERAGE(F277:F278)</f>
        <v>4.7454999999999998</v>
      </c>
      <c r="J278" s="27">
        <f>AVERAGE(G277:G278)</f>
        <v>0</v>
      </c>
      <c r="L278">
        <f>+J278/I278</f>
        <v>0</v>
      </c>
      <c r="M278">
        <f>+(L278-$L$614)/$L$615</f>
        <v>-0.23576519316806296</v>
      </c>
      <c r="N278">
        <f>+N276+M278</f>
        <v>16.587155802183272</v>
      </c>
    </row>
    <row r="279" spans="1:14">
      <c r="A279" s="15">
        <v>9</v>
      </c>
      <c r="B279" s="75">
        <v>40647</v>
      </c>
      <c r="C279" s="15">
        <v>2011</v>
      </c>
      <c r="D279" s="11" t="s">
        <v>30</v>
      </c>
      <c r="E279" s="15">
        <v>4</v>
      </c>
      <c r="F279" s="26">
        <v>0.82199999999999995</v>
      </c>
      <c r="G279" s="27">
        <v>0</v>
      </c>
    </row>
    <row r="280" spans="1:14">
      <c r="A280" s="15">
        <v>10</v>
      </c>
      <c r="B280" s="75">
        <v>40647</v>
      </c>
      <c r="C280" s="15">
        <v>2011</v>
      </c>
      <c r="D280" s="11" t="s">
        <v>30</v>
      </c>
      <c r="E280" s="15">
        <v>4</v>
      </c>
      <c r="F280" s="26">
        <v>1.1830000000000001</v>
      </c>
      <c r="G280" s="27">
        <v>0</v>
      </c>
      <c r="I280" s="27">
        <f>AVERAGE(F279:F280)</f>
        <v>1.0024999999999999</v>
      </c>
      <c r="J280" s="27">
        <f>AVERAGE(G279:G280)</f>
        <v>0</v>
      </c>
      <c r="L280">
        <f>+J280/I280</f>
        <v>0</v>
      </c>
      <c r="M280">
        <f>+(L280-$L$614)/$L$615</f>
        <v>-0.23576519316806296</v>
      </c>
      <c r="N280">
        <f>+N278+M280</f>
        <v>16.351390609015208</v>
      </c>
    </row>
    <row r="281" spans="1:14">
      <c r="A281" s="15">
        <v>9</v>
      </c>
      <c r="B281" s="75">
        <v>40682</v>
      </c>
      <c r="C281" s="15">
        <v>2011</v>
      </c>
      <c r="D281" s="11" t="s">
        <v>31</v>
      </c>
      <c r="E281" s="15">
        <v>5</v>
      </c>
      <c r="F281" s="26">
        <v>4.0890000000000004</v>
      </c>
      <c r="G281" s="27">
        <v>0</v>
      </c>
    </row>
    <row r="282" spans="1:14">
      <c r="A282" s="15">
        <v>10</v>
      </c>
      <c r="B282" s="75">
        <v>40682</v>
      </c>
      <c r="C282" s="15">
        <v>2011</v>
      </c>
      <c r="D282" s="11" t="s">
        <v>31</v>
      </c>
      <c r="E282" s="15">
        <v>5</v>
      </c>
      <c r="F282" s="26">
        <v>2.3570000000000002</v>
      </c>
      <c r="G282" s="27">
        <v>0</v>
      </c>
      <c r="I282" s="27">
        <f>AVERAGE(F281:F282)</f>
        <v>3.2230000000000003</v>
      </c>
      <c r="J282" s="27">
        <f>AVERAGE(G281:G282)</f>
        <v>0</v>
      </c>
      <c r="L282">
        <f>+J282/I282</f>
        <v>0</v>
      </c>
      <c r="M282">
        <f>+(L282-$L$614)/$L$615</f>
        <v>-0.23576519316806296</v>
      </c>
      <c r="N282">
        <f>+N280+M282</f>
        <v>16.115625415847145</v>
      </c>
    </row>
    <row r="283" spans="1:14">
      <c r="A283" s="15">
        <v>9</v>
      </c>
      <c r="B283" s="75">
        <v>40709</v>
      </c>
      <c r="C283" s="15">
        <v>2011</v>
      </c>
      <c r="D283" s="11" t="s">
        <v>32</v>
      </c>
      <c r="E283" s="15">
        <v>6</v>
      </c>
      <c r="F283" s="26">
        <v>2.9489999999999998</v>
      </c>
      <c r="G283" s="27">
        <v>0</v>
      </c>
    </row>
    <row r="284" spans="1:14">
      <c r="A284" s="15">
        <v>10</v>
      </c>
      <c r="B284" s="75">
        <v>40709</v>
      </c>
      <c r="C284" s="15">
        <v>2011</v>
      </c>
      <c r="D284" s="11" t="s">
        <v>32</v>
      </c>
      <c r="E284" s="15">
        <v>6</v>
      </c>
      <c r="F284" s="26">
        <v>3.8260000000000001</v>
      </c>
      <c r="G284" s="27">
        <v>0</v>
      </c>
      <c r="I284" s="27">
        <f>AVERAGE(F283:F284)</f>
        <v>3.3875000000000002</v>
      </c>
      <c r="J284" s="27">
        <f>AVERAGE(G283:G284)</f>
        <v>0</v>
      </c>
      <c r="L284">
        <f>+J284/I284</f>
        <v>0</v>
      </c>
      <c r="M284">
        <f>+(L284-$L$614)/$L$615</f>
        <v>-0.23576519316806296</v>
      </c>
      <c r="N284">
        <f>+N282+M284</f>
        <v>15.879860222679081</v>
      </c>
    </row>
    <row r="285" spans="1:14">
      <c r="A285" s="15">
        <v>9</v>
      </c>
      <c r="B285" s="75">
        <v>40736</v>
      </c>
      <c r="C285" s="15">
        <v>2011</v>
      </c>
      <c r="D285" s="11" t="s">
        <v>33</v>
      </c>
      <c r="E285" s="15">
        <v>7</v>
      </c>
      <c r="F285" s="26">
        <v>12.976000000000001</v>
      </c>
      <c r="G285" s="27">
        <v>0</v>
      </c>
    </row>
    <row r="286" spans="1:14">
      <c r="A286" s="15">
        <v>10</v>
      </c>
      <c r="B286" s="75">
        <v>40736</v>
      </c>
      <c r="C286" s="15">
        <v>2011</v>
      </c>
      <c r="D286" s="11" t="s">
        <v>33</v>
      </c>
      <c r="E286" s="15">
        <v>7</v>
      </c>
      <c r="F286" s="26">
        <v>10.025</v>
      </c>
      <c r="G286" s="27">
        <v>0</v>
      </c>
      <c r="I286" s="27">
        <f>AVERAGE(F285:F286)</f>
        <v>11.500500000000001</v>
      </c>
      <c r="J286" s="27">
        <f>AVERAGE(G285:G286)</f>
        <v>0</v>
      </c>
      <c r="L286">
        <f>+J286/I286</f>
        <v>0</v>
      </c>
      <c r="M286">
        <f>+(L286-$L$614)/$L$615</f>
        <v>-0.23576519316806296</v>
      </c>
      <c r="N286">
        <f>+N284+M286</f>
        <v>15.644095029511018</v>
      </c>
    </row>
    <row r="287" spans="1:14">
      <c r="A287" s="15">
        <v>9</v>
      </c>
      <c r="B287" s="75">
        <v>40772</v>
      </c>
      <c r="C287" s="15">
        <v>2011</v>
      </c>
      <c r="D287" s="11" t="s">
        <v>34</v>
      </c>
      <c r="E287" s="15">
        <v>8</v>
      </c>
      <c r="F287" s="26">
        <v>4.3159999999999998</v>
      </c>
      <c r="G287" s="27">
        <v>0</v>
      </c>
    </row>
    <row r="288" spans="1:14">
      <c r="A288" s="15">
        <v>10</v>
      </c>
      <c r="B288" s="75">
        <v>40772</v>
      </c>
      <c r="C288" s="15">
        <v>2011</v>
      </c>
      <c r="D288" s="11" t="s">
        <v>34</v>
      </c>
      <c r="E288" s="15">
        <v>8</v>
      </c>
      <c r="F288" s="26">
        <v>6.4589999999999996</v>
      </c>
      <c r="G288" s="27">
        <v>0</v>
      </c>
      <c r="I288" s="27">
        <f>AVERAGE(F287:F288)</f>
        <v>5.3874999999999993</v>
      </c>
      <c r="J288" s="27">
        <f>AVERAGE(G287:G288)</f>
        <v>0</v>
      </c>
      <c r="L288">
        <f>+J288/I288</f>
        <v>0</v>
      </c>
      <c r="M288">
        <f>+(L288-$L$614)/$L$615</f>
        <v>-0.23576519316806296</v>
      </c>
      <c r="N288">
        <f>+N286+M288</f>
        <v>15.408329836342954</v>
      </c>
    </row>
    <row r="289" spans="1:14">
      <c r="A289" s="15">
        <v>9</v>
      </c>
      <c r="B289" s="75">
        <v>40798</v>
      </c>
      <c r="C289" s="15">
        <v>2011</v>
      </c>
      <c r="D289" s="11" t="s">
        <v>40</v>
      </c>
      <c r="E289" s="15">
        <v>9</v>
      </c>
      <c r="F289" s="26">
        <v>1.679</v>
      </c>
      <c r="G289" s="27">
        <v>0</v>
      </c>
    </row>
    <row r="290" spans="1:14">
      <c r="A290" s="15">
        <v>10</v>
      </c>
      <c r="B290" s="75">
        <v>40798</v>
      </c>
      <c r="C290" s="15">
        <v>2011</v>
      </c>
      <c r="D290" s="11" t="s">
        <v>40</v>
      </c>
      <c r="E290" s="15">
        <v>9</v>
      </c>
      <c r="F290" s="26">
        <v>2.7109999999999999</v>
      </c>
      <c r="G290" s="27">
        <v>0</v>
      </c>
      <c r="I290" s="27">
        <f>AVERAGE(F289:F290)</f>
        <v>2.1949999999999998</v>
      </c>
      <c r="J290" s="27">
        <f>AVERAGE(G289:G290)</f>
        <v>0</v>
      </c>
      <c r="L290">
        <f>+J290/I290</f>
        <v>0</v>
      </c>
      <c r="M290">
        <f>+(L290-$L$614)/$L$615</f>
        <v>-0.23576519316806296</v>
      </c>
      <c r="N290">
        <f>+N288+M290</f>
        <v>15.172564643174891</v>
      </c>
    </row>
    <row r="291" spans="1:14">
      <c r="A291" s="15">
        <v>9</v>
      </c>
      <c r="B291" s="75">
        <v>40829</v>
      </c>
      <c r="C291" s="15">
        <v>2011</v>
      </c>
      <c r="D291" s="11" t="s">
        <v>36</v>
      </c>
      <c r="E291" s="15">
        <v>10</v>
      </c>
      <c r="F291" s="28">
        <v>1.6930000000000001</v>
      </c>
      <c r="G291" s="27">
        <v>0</v>
      </c>
    </row>
    <row r="292" spans="1:14">
      <c r="A292" s="15">
        <v>10</v>
      </c>
      <c r="B292" s="75">
        <v>40829</v>
      </c>
      <c r="C292" s="15">
        <v>2011</v>
      </c>
      <c r="D292" s="11" t="s">
        <v>36</v>
      </c>
      <c r="E292" s="15">
        <v>10</v>
      </c>
      <c r="F292" s="28">
        <v>1.528</v>
      </c>
      <c r="G292" s="27">
        <v>0</v>
      </c>
      <c r="I292" s="27">
        <f>AVERAGE(F291:F292)</f>
        <v>1.6105</v>
      </c>
      <c r="J292" s="27">
        <f>AVERAGE(G291:G292)</f>
        <v>0</v>
      </c>
      <c r="L292">
        <f>+J292/I292</f>
        <v>0</v>
      </c>
      <c r="M292">
        <f>+(L292-$L$614)/$L$615</f>
        <v>-0.23576519316806296</v>
      </c>
      <c r="N292">
        <f>+N290+M292</f>
        <v>14.936799450006827</v>
      </c>
    </row>
    <row r="293" spans="1:14">
      <c r="A293" s="15">
        <v>9</v>
      </c>
      <c r="B293" s="76">
        <v>40877</v>
      </c>
      <c r="C293" s="15">
        <v>2011</v>
      </c>
      <c r="D293" s="11" t="s">
        <v>37</v>
      </c>
      <c r="E293" s="15">
        <v>11</v>
      </c>
      <c r="F293" s="28">
        <v>0.92700000000000005</v>
      </c>
      <c r="G293" s="27">
        <v>0</v>
      </c>
    </row>
    <row r="294" spans="1:14">
      <c r="A294" s="15">
        <v>10</v>
      </c>
      <c r="B294" s="76">
        <v>40877</v>
      </c>
      <c r="C294" s="15">
        <v>2011</v>
      </c>
      <c r="D294" s="11" t="s">
        <v>37</v>
      </c>
      <c r="E294" s="15">
        <v>11</v>
      </c>
      <c r="F294" s="28">
        <v>0.66600000000000004</v>
      </c>
      <c r="G294" s="27">
        <v>0</v>
      </c>
      <c r="I294" s="27">
        <f>AVERAGE(F293:F294)</f>
        <v>0.79649999999999999</v>
      </c>
      <c r="J294" s="27">
        <f>AVERAGE(G293:G294)</f>
        <v>0</v>
      </c>
      <c r="L294">
        <f>+J294/I294</f>
        <v>0</v>
      </c>
      <c r="M294">
        <f>+(L294-$L$614)/$L$615</f>
        <v>-0.23576519316806296</v>
      </c>
      <c r="N294">
        <f>+N292+M294</f>
        <v>14.701034256838764</v>
      </c>
    </row>
    <row r="295" spans="1:14">
      <c r="A295" s="15">
        <v>9</v>
      </c>
      <c r="B295" s="76">
        <v>40891</v>
      </c>
      <c r="C295" s="15">
        <v>2011</v>
      </c>
      <c r="D295" s="11" t="s">
        <v>38</v>
      </c>
      <c r="E295" s="15">
        <v>12</v>
      </c>
      <c r="F295" s="28">
        <v>0.36799999999999999</v>
      </c>
      <c r="G295" s="27">
        <v>0</v>
      </c>
    </row>
    <row r="296" spans="1:14">
      <c r="A296" s="15">
        <v>10</v>
      </c>
      <c r="B296" s="76">
        <v>40891</v>
      </c>
      <c r="C296" s="15">
        <v>2011</v>
      </c>
      <c r="D296" s="11" t="s">
        <v>38</v>
      </c>
      <c r="E296" s="15">
        <v>12</v>
      </c>
      <c r="F296" s="28">
        <v>0.41299999999999998</v>
      </c>
      <c r="G296" s="27">
        <v>0</v>
      </c>
      <c r="I296" s="27">
        <f>AVERAGE(F295:F296)</f>
        <v>0.39049999999999996</v>
      </c>
      <c r="J296" s="27">
        <f>AVERAGE(G295:G296)</f>
        <v>0</v>
      </c>
      <c r="L296">
        <f>+J296/I296</f>
        <v>0</v>
      </c>
      <c r="M296">
        <f>+(L296-$L$614)/$L$615</f>
        <v>-0.23576519316806296</v>
      </c>
      <c r="N296">
        <f>+N294+M296</f>
        <v>14.4652690636707</v>
      </c>
    </row>
    <row r="297" spans="1:14">
      <c r="A297" s="15">
        <v>9</v>
      </c>
      <c r="B297" s="75">
        <v>40919</v>
      </c>
      <c r="C297" s="15">
        <v>2012</v>
      </c>
      <c r="D297" s="11" t="s">
        <v>39</v>
      </c>
      <c r="E297" s="15">
        <v>1</v>
      </c>
      <c r="F297" s="30">
        <v>1.2430000000000001</v>
      </c>
      <c r="G297" s="27">
        <v>0</v>
      </c>
    </row>
    <row r="298" spans="1:14">
      <c r="A298" s="15">
        <v>10</v>
      </c>
      <c r="B298" s="75">
        <v>40919</v>
      </c>
      <c r="C298" s="15">
        <v>2012</v>
      </c>
      <c r="D298" s="11" t="s">
        <v>39</v>
      </c>
      <c r="E298" s="15">
        <v>1</v>
      </c>
      <c r="F298" s="30">
        <v>1.21</v>
      </c>
      <c r="G298" s="27">
        <v>0</v>
      </c>
      <c r="I298" s="27">
        <f>AVERAGE(F297:F298)</f>
        <v>1.2265000000000001</v>
      </c>
      <c r="J298" s="27">
        <f>AVERAGE(G297:G298)</f>
        <v>0</v>
      </c>
      <c r="L298">
        <f>+J298/I298</f>
        <v>0</v>
      </c>
      <c r="M298">
        <f>+(L298-$L$614)/$L$615</f>
        <v>-0.23576519316806296</v>
      </c>
      <c r="N298">
        <f>+N296+M298</f>
        <v>14.229503870502636</v>
      </c>
    </row>
    <row r="299" spans="1:14">
      <c r="A299" s="15">
        <v>9</v>
      </c>
      <c r="B299" s="75">
        <v>40960</v>
      </c>
      <c r="C299" s="15">
        <v>2012</v>
      </c>
      <c r="D299" s="11" t="s">
        <v>28</v>
      </c>
      <c r="E299" s="15">
        <v>2</v>
      </c>
      <c r="F299" s="30">
        <v>1.022</v>
      </c>
      <c r="G299" s="27">
        <v>0</v>
      </c>
    </row>
    <row r="300" spans="1:14">
      <c r="A300" s="15">
        <v>10</v>
      </c>
      <c r="B300" s="75">
        <v>40960</v>
      </c>
      <c r="C300" s="15">
        <v>2012</v>
      </c>
      <c r="D300" s="11" t="s">
        <v>28</v>
      </c>
      <c r="E300" s="15">
        <v>2</v>
      </c>
      <c r="F300" s="30">
        <v>2.6539999999999999</v>
      </c>
      <c r="G300" s="27">
        <v>0</v>
      </c>
      <c r="I300" s="27">
        <f>AVERAGE(F299:F300)</f>
        <v>1.8380000000000001</v>
      </c>
      <c r="J300" s="27">
        <f>AVERAGE(G299:G300)</f>
        <v>0</v>
      </c>
      <c r="L300">
        <f>+J300/I300</f>
        <v>0</v>
      </c>
      <c r="M300">
        <f>+(L300-$L$614)/$L$615</f>
        <v>-0.23576519316806296</v>
      </c>
      <c r="N300">
        <f>+N298+M300</f>
        <v>13.993738677334573</v>
      </c>
    </row>
    <row r="301" spans="1:14">
      <c r="A301" s="15">
        <v>9</v>
      </c>
      <c r="B301" s="75">
        <v>40982</v>
      </c>
      <c r="C301" s="15">
        <v>2012</v>
      </c>
      <c r="D301" s="11" t="s">
        <v>29</v>
      </c>
      <c r="E301" s="15">
        <v>3</v>
      </c>
      <c r="F301" s="30">
        <v>0.80700000000000005</v>
      </c>
      <c r="G301" s="27">
        <v>0</v>
      </c>
    </row>
    <row r="302" spans="1:14">
      <c r="A302" s="15">
        <v>10</v>
      </c>
      <c r="B302" s="75">
        <v>40982</v>
      </c>
      <c r="C302" s="15">
        <v>2012</v>
      </c>
      <c r="D302" s="11" t="s">
        <v>29</v>
      </c>
      <c r="E302" s="15">
        <v>3</v>
      </c>
      <c r="F302" s="30">
        <v>1.095</v>
      </c>
      <c r="G302" s="27">
        <v>0</v>
      </c>
      <c r="I302" s="27">
        <f>AVERAGE(F301:F302)</f>
        <v>0.95100000000000007</v>
      </c>
      <c r="J302" s="27">
        <f>AVERAGE(G301:G302)</f>
        <v>0</v>
      </c>
      <c r="L302">
        <f>+J302/I302</f>
        <v>0</v>
      </c>
      <c r="M302">
        <f>+(L302-$L$614)/$L$615</f>
        <v>-0.23576519316806296</v>
      </c>
      <c r="N302">
        <f>+N300+M302</f>
        <v>13.757973484166509</v>
      </c>
    </row>
    <row r="303" spans="1:14">
      <c r="A303" s="15">
        <v>9</v>
      </c>
      <c r="B303" s="75">
        <v>41016</v>
      </c>
      <c r="C303" s="15">
        <v>2012</v>
      </c>
      <c r="D303" s="11" t="s">
        <v>30</v>
      </c>
      <c r="E303" s="15">
        <v>4</v>
      </c>
      <c r="F303" s="26">
        <v>1.5580000000000001</v>
      </c>
      <c r="G303" s="27">
        <v>0</v>
      </c>
    </row>
    <row r="304" spans="1:14">
      <c r="A304" s="15">
        <v>10</v>
      </c>
      <c r="B304" s="75">
        <v>41016</v>
      </c>
      <c r="C304" s="15">
        <v>2012</v>
      </c>
      <c r="D304" s="11" t="s">
        <v>30</v>
      </c>
      <c r="E304" s="15">
        <v>4</v>
      </c>
      <c r="F304" s="26">
        <v>0.84899999999999998</v>
      </c>
      <c r="G304" s="27">
        <v>0</v>
      </c>
      <c r="I304" s="27">
        <f>AVERAGE(F303:F304)</f>
        <v>1.2035</v>
      </c>
      <c r="J304" s="27">
        <f>AVERAGE(G303:G304)</f>
        <v>0</v>
      </c>
      <c r="L304">
        <f>+J304/I304</f>
        <v>0</v>
      </c>
      <c r="M304">
        <f>+(L304-$L$614)/$L$615</f>
        <v>-0.23576519316806296</v>
      </c>
      <c r="N304">
        <f>+N302+M304</f>
        <v>13.522208290998446</v>
      </c>
    </row>
    <row r="305" spans="1:14">
      <c r="A305" s="15">
        <v>9</v>
      </c>
      <c r="B305" s="75">
        <v>41051</v>
      </c>
      <c r="C305" s="15">
        <v>2012</v>
      </c>
      <c r="D305" s="11" t="s">
        <v>31</v>
      </c>
      <c r="E305" s="15">
        <v>5</v>
      </c>
      <c r="F305" s="26">
        <v>3.21</v>
      </c>
      <c r="G305" s="27">
        <v>0</v>
      </c>
    </row>
    <row r="306" spans="1:14">
      <c r="A306" s="15">
        <v>10</v>
      </c>
      <c r="B306" s="75">
        <v>41051</v>
      </c>
      <c r="C306" s="15">
        <v>2012</v>
      </c>
      <c r="D306" s="11" t="s">
        <v>31</v>
      </c>
      <c r="E306" s="15">
        <v>5</v>
      </c>
      <c r="F306" s="26">
        <v>3.669</v>
      </c>
      <c r="G306" s="27">
        <v>0</v>
      </c>
      <c r="I306" s="27">
        <f>AVERAGE(F305:F306)</f>
        <v>3.4394999999999998</v>
      </c>
      <c r="J306" s="27">
        <f>AVERAGE(G305:G306)</f>
        <v>0</v>
      </c>
      <c r="L306">
        <f>+J306/I306</f>
        <v>0</v>
      </c>
      <c r="M306">
        <f>+(L306-$L$614)/$L$615</f>
        <v>-0.23576519316806296</v>
      </c>
      <c r="N306">
        <f>+N304+M306</f>
        <v>13.286443097830382</v>
      </c>
    </row>
    <row r="307" spans="1:14">
      <c r="A307" s="15">
        <v>9</v>
      </c>
      <c r="B307" s="75">
        <v>41080</v>
      </c>
      <c r="C307" s="15">
        <v>2012</v>
      </c>
      <c r="D307" s="11" t="s">
        <v>32</v>
      </c>
      <c r="E307" s="15">
        <v>6</v>
      </c>
      <c r="F307" s="26">
        <v>5.1959999999999997</v>
      </c>
      <c r="G307" s="27">
        <v>0</v>
      </c>
    </row>
    <row r="308" spans="1:14">
      <c r="A308" s="15">
        <v>10</v>
      </c>
      <c r="B308" s="75">
        <v>41080</v>
      </c>
      <c r="C308" s="15">
        <v>2012</v>
      </c>
      <c r="D308" s="11" t="s">
        <v>32</v>
      </c>
      <c r="E308" s="15">
        <v>6</v>
      </c>
      <c r="F308" s="26">
        <v>3.335</v>
      </c>
      <c r="G308" s="27">
        <v>0</v>
      </c>
      <c r="I308" s="27">
        <f>AVERAGE(F307:F308)</f>
        <v>4.2654999999999994</v>
      </c>
      <c r="J308" s="27">
        <f>AVERAGE(G307:G308)</f>
        <v>0</v>
      </c>
      <c r="L308">
        <f>+J308/I308</f>
        <v>0</v>
      </c>
      <c r="M308">
        <f>+(L308-$L$614)/$L$615</f>
        <v>-0.23576519316806296</v>
      </c>
      <c r="N308">
        <f>+N306+M308</f>
        <v>13.050677904662319</v>
      </c>
    </row>
    <row r="309" spans="1:14">
      <c r="A309" s="15">
        <v>9</v>
      </c>
      <c r="B309" s="75">
        <v>41106</v>
      </c>
      <c r="C309" s="15">
        <v>2012</v>
      </c>
      <c r="D309" s="11" t="s">
        <v>33</v>
      </c>
      <c r="E309" s="15">
        <v>7</v>
      </c>
      <c r="F309" s="26">
        <v>8.5009999999999994</v>
      </c>
      <c r="G309" s="27">
        <v>0</v>
      </c>
    </row>
    <row r="310" spans="1:14">
      <c r="A310" s="15">
        <v>10</v>
      </c>
      <c r="B310" s="75">
        <v>41106</v>
      </c>
      <c r="C310" s="15">
        <v>2012</v>
      </c>
      <c r="D310" s="11" t="s">
        <v>33</v>
      </c>
      <c r="E310" s="15">
        <v>7</v>
      </c>
      <c r="F310" s="26">
        <v>4.3010000000000002</v>
      </c>
      <c r="G310" s="27">
        <v>0</v>
      </c>
      <c r="I310" s="27">
        <f>AVERAGE(F309:F310)</f>
        <v>6.4009999999999998</v>
      </c>
      <c r="J310" s="27">
        <f>AVERAGE(G309:G310)</f>
        <v>0</v>
      </c>
      <c r="L310">
        <f>+J310/I310</f>
        <v>0</v>
      </c>
      <c r="M310">
        <f>+(L310-$L$614)/$L$615</f>
        <v>-0.23576519316806296</v>
      </c>
      <c r="N310">
        <f>+N308+M310</f>
        <v>12.814912711494255</v>
      </c>
    </row>
    <row r="311" spans="1:14">
      <c r="A311" s="15">
        <v>9</v>
      </c>
      <c r="B311" s="75">
        <v>41137</v>
      </c>
      <c r="C311" s="15">
        <v>2012</v>
      </c>
      <c r="D311" s="11" t="s">
        <v>34</v>
      </c>
      <c r="E311" s="15">
        <v>8</v>
      </c>
      <c r="F311" s="26">
        <v>4.9180000000000001</v>
      </c>
      <c r="G311" s="27">
        <v>0</v>
      </c>
    </row>
    <row r="312" spans="1:14">
      <c r="A312" s="15">
        <v>10</v>
      </c>
      <c r="B312" s="75">
        <v>41137</v>
      </c>
      <c r="C312" s="15">
        <v>2012</v>
      </c>
      <c r="D312" s="11" t="s">
        <v>34</v>
      </c>
      <c r="E312" s="15">
        <v>8</v>
      </c>
      <c r="F312" s="26">
        <v>2.9590000000000001</v>
      </c>
      <c r="G312" s="27">
        <v>0</v>
      </c>
      <c r="I312" s="27">
        <f>AVERAGE(F311:F312)</f>
        <v>3.9385000000000003</v>
      </c>
      <c r="J312" s="27">
        <f>AVERAGE(G311:G312)</f>
        <v>0</v>
      </c>
      <c r="L312">
        <f>+J312/I312</f>
        <v>0</v>
      </c>
      <c r="M312">
        <f>+(L312-$L$614)/$L$615</f>
        <v>-0.23576519316806296</v>
      </c>
      <c r="N312">
        <f>+N310+M312</f>
        <v>12.579147518326192</v>
      </c>
    </row>
    <row r="313" spans="1:14">
      <c r="A313" s="15">
        <v>9</v>
      </c>
      <c r="B313" s="75">
        <v>41163</v>
      </c>
      <c r="C313" s="15">
        <v>2012</v>
      </c>
      <c r="D313" s="11" t="s">
        <v>40</v>
      </c>
      <c r="E313" s="15">
        <v>9</v>
      </c>
      <c r="F313" s="26">
        <v>5.3540000000000001</v>
      </c>
      <c r="G313" s="27">
        <v>0</v>
      </c>
    </row>
    <row r="314" spans="1:14">
      <c r="A314" s="15">
        <v>10</v>
      </c>
      <c r="B314" s="75">
        <v>41163</v>
      </c>
      <c r="C314" s="15">
        <v>2012</v>
      </c>
      <c r="D314" s="11" t="s">
        <v>40</v>
      </c>
      <c r="E314" s="15">
        <v>9</v>
      </c>
      <c r="F314" s="26">
        <v>2.87</v>
      </c>
      <c r="G314" s="27">
        <v>0</v>
      </c>
      <c r="I314" s="27">
        <f>AVERAGE(F313:F314)</f>
        <v>4.1120000000000001</v>
      </c>
      <c r="J314" s="27">
        <f>AVERAGE(G313:G314)</f>
        <v>0</v>
      </c>
      <c r="L314">
        <f>+J314/I314</f>
        <v>0</v>
      </c>
      <c r="M314">
        <f>+(L314-$L$614)/$L$615</f>
        <v>-0.23576519316806296</v>
      </c>
      <c r="N314">
        <f>+N312+M314</f>
        <v>12.343382325158128</v>
      </c>
    </row>
    <row r="315" spans="1:14">
      <c r="A315" s="15">
        <v>9</v>
      </c>
      <c r="B315" s="75">
        <v>41199</v>
      </c>
      <c r="C315" s="15">
        <v>2012</v>
      </c>
      <c r="D315" s="11" t="s">
        <v>36</v>
      </c>
      <c r="E315" s="15">
        <v>10</v>
      </c>
      <c r="F315" s="26">
        <v>0.81899999999999995</v>
      </c>
      <c r="G315" s="27">
        <v>0</v>
      </c>
    </row>
    <row r="316" spans="1:14">
      <c r="A316" s="15">
        <v>10</v>
      </c>
      <c r="B316" s="75">
        <v>41199</v>
      </c>
      <c r="C316" s="15">
        <v>2012</v>
      </c>
      <c r="D316" s="11" t="s">
        <v>36</v>
      </c>
      <c r="E316" s="15">
        <v>10</v>
      </c>
      <c r="F316" s="26">
        <v>0.44900000000000001</v>
      </c>
      <c r="G316" s="27">
        <v>0</v>
      </c>
      <c r="I316" s="27">
        <f>AVERAGE(F315:F316)</f>
        <v>0.63400000000000001</v>
      </c>
      <c r="J316" s="27">
        <f>AVERAGE(G315:G316)</f>
        <v>0</v>
      </c>
      <c r="L316">
        <f>+J316/I316</f>
        <v>0</v>
      </c>
      <c r="M316">
        <f>+(L316-$L$614)/$L$615</f>
        <v>-0.23576519316806296</v>
      </c>
      <c r="N316">
        <f>+N314+M316</f>
        <v>12.107617131990065</v>
      </c>
    </row>
    <row r="317" spans="1:14">
      <c r="A317" s="15">
        <v>9</v>
      </c>
      <c r="B317" s="75">
        <v>41225</v>
      </c>
      <c r="C317" s="15">
        <v>2012</v>
      </c>
      <c r="D317" s="11" t="s">
        <v>37</v>
      </c>
      <c r="E317" s="15">
        <v>11</v>
      </c>
      <c r="F317" s="26">
        <v>0.96099999999999997</v>
      </c>
      <c r="G317" s="27">
        <v>0</v>
      </c>
    </row>
    <row r="318" spans="1:14">
      <c r="A318" s="15">
        <v>10</v>
      </c>
      <c r="B318" s="75">
        <v>41225</v>
      </c>
      <c r="C318" s="15">
        <v>2012</v>
      </c>
      <c r="D318" s="11" t="s">
        <v>37</v>
      </c>
      <c r="E318" s="15">
        <v>11</v>
      </c>
      <c r="F318" s="26">
        <v>1.843</v>
      </c>
      <c r="G318" s="27">
        <v>0</v>
      </c>
      <c r="I318" s="27">
        <f>AVERAGE(F317:F318)</f>
        <v>1.4019999999999999</v>
      </c>
      <c r="J318" s="27">
        <f>AVERAGE(G317:G318)</f>
        <v>0</v>
      </c>
      <c r="L318">
        <f>+J318/I318</f>
        <v>0</v>
      </c>
      <c r="M318">
        <f>+(L318-$L$614)/$L$615</f>
        <v>-0.23576519316806296</v>
      </c>
      <c r="N318">
        <f>+N316+M318</f>
        <v>11.871851938822001</v>
      </c>
    </row>
    <row r="319" spans="1:14">
      <c r="A319" s="15">
        <v>9</v>
      </c>
      <c r="B319" s="75">
        <v>41255</v>
      </c>
      <c r="C319" s="15">
        <v>2012</v>
      </c>
      <c r="D319" s="11" t="s">
        <v>38</v>
      </c>
      <c r="E319" s="15">
        <v>12</v>
      </c>
      <c r="F319" s="26">
        <v>0.89900000000000002</v>
      </c>
      <c r="G319" s="27">
        <v>0</v>
      </c>
    </row>
    <row r="320" spans="1:14">
      <c r="A320" s="15">
        <v>10</v>
      </c>
      <c r="B320" s="75">
        <v>41255</v>
      </c>
      <c r="C320" s="15">
        <v>2012</v>
      </c>
      <c r="D320" s="11" t="s">
        <v>38</v>
      </c>
      <c r="E320" s="15">
        <v>12</v>
      </c>
      <c r="F320" s="26">
        <v>1.2509999999999999</v>
      </c>
      <c r="G320" s="27">
        <v>0</v>
      </c>
      <c r="I320" s="27">
        <f>AVERAGE(F319:F320)</f>
        <v>1.075</v>
      </c>
      <c r="J320" s="27">
        <f>AVERAGE(G319:G320)</f>
        <v>0</v>
      </c>
      <c r="L320">
        <f>+J320/I320</f>
        <v>0</v>
      </c>
      <c r="M320">
        <f>+(L320-$L$614)/$L$615</f>
        <v>-0.23576519316806296</v>
      </c>
      <c r="N320">
        <f>+N318+M320</f>
        <v>11.636086745653937</v>
      </c>
    </row>
    <row r="321" spans="1:14">
      <c r="A321" s="15">
        <v>9</v>
      </c>
      <c r="B321" s="75">
        <v>41297</v>
      </c>
      <c r="C321" s="15">
        <v>2013</v>
      </c>
      <c r="D321" s="11" t="s">
        <v>39</v>
      </c>
      <c r="E321" s="15">
        <v>1</v>
      </c>
      <c r="F321" s="26">
        <v>1.665</v>
      </c>
      <c r="G321" s="27">
        <v>0</v>
      </c>
    </row>
    <row r="322" spans="1:14">
      <c r="A322" s="15">
        <v>10</v>
      </c>
      <c r="B322" s="75">
        <v>41297</v>
      </c>
      <c r="C322" s="15">
        <v>2013</v>
      </c>
      <c r="D322" s="11" t="s">
        <v>39</v>
      </c>
      <c r="E322" s="15">
        <v>1</v>
      </c>
      <c r="F322" s="26">
        <v>1.169</v>
      </c>
      <c r="G322" s="27">
        <v>0</v>
      </c>
      <c r="I322" s="27">
        <f>AVERAGE(F321:F322)</f>
        <v>1.417</v>
      </c>
      <c r="J322" s="27">
        <f>AVERAGE(G321:G322)</f>
        <v>0</v>
      </c>
      <c r="L322">
        <f>+J322/I322</f>
        <v>0</v>
      </c>
      <c r="M322">
        <f>+(L322-$L$614)/$L$615</f>
        <v>-0.23576519316806296</v>
      </c>
      <c r="N322">
        <f>+N320+M322</f>
        <v>11.400321552485874</v>
      </c>
    </row>
    <row r="323" spans="1:14">
      <c r="A323" s="15">
        <v>9</v>
      </c>
      <c r="B323" s="75">
        <v>41319</v>
      </c>
      <c r="C323" s="15">
        <v>2013</v>
      </c>
      <c r="D323" s="11" t="s">
        <v>28</v>
      </c>
      <c r="E323" s="15">
        <v>2</v>
      </c>
      <c r="F323" s="31">
        <v>2.944</v>
      </c>
      <c r="G323" s="27">
        <v>0</v>
      </c>
    </row>
    <row r="324" spans="1:14">
      <c r="A324" s="15">
        <v>10</v>
      </c>
      <c r="B324" s="75">
        <v>41319</v>
      </c>
      <c r="C324" s="15">
        <v>2013</v>
      </c>
      <c r="D324" s="11" t="s">
        <v>28</v>
      </c>
      <c r="E324" s="15">
        <v>2</v>
      </c>
      <c r="F324" s="31">
        <v>2.371</v>
      </c>
      <c r="G324" s="27">
        <v>0</v>
      </c>
      <c r="I324" s="27">
        <f>AVERAGE(F323:F324)</f>
        <v>2.6574999999999998</v>
      </c>
      <c r="J324" s="27">
        <f>AVERAGE(G323:G324)</f>
        <v>0</v>
      </c>
      <c r="L324">
        <f>+J324/I324</f>
        <v>0</v>
      </c>
      <c r="M324">
        <f>+(L324-$L$614)/$L$615</f>
        <v>-0.23576519316806296</v>
      </c>
      <c r="N324">
        <f>+N322+M324</f>
        <v>11.16455635931781</v>
      </c>
    </row>
    <row r="325" spans="1:14">
      <c r="A325" s="15">
        <v>9</v>
      </c>
      <c r="B325" s="75">
        <v>41346</v>
      </c>
      <c r="C325" s="15">
        <v>2013</v>
      </c>
      <c r="D325" s="11" t="s">
        <v>29</v>
      </c>
      <c r="E325" s="15">
        <v>3</v>
      </c>
      <c r="F325" s="31">
        <v>8.3840000000000003</v>
      </c>
      <c r="G325" s="27">
        <v>0</v>
      </c>
    </row>
    <row r="326" spans="1:14">
      <c r="A326" s="15">
        <v>10</v>
      </c>
      <c r="B326" s="75">
        <v>41346</v>
      </c>
      <c r="C326" s="15">
        <v>2013</v>
      </c>
      <c r="D326" s="11" t="s">
        <v>29</v>
      </c>
      <c r="E326" s="15">
        <v>3</v>
      </c>
      <c r="F326" s="31">
        <v>8.6709999999999994</v>
      </c>
      <c r="G326" s="27">
        <v>0</v>
      </c>
      <c r="I326" s="27">
        <f>AVERAGE(F325:F326)</f>
        <v>8.5274999999999999</v>
      </c>
      <c r="J326" s="27">
        <f>AVERAGE(G325:G326)</f>
        <v>0</v>
      </c>
      <c r="L326">
        <f>+J326/I326</f>
        <v>0</v>
      </c>
      <c r="M326">
        <f>+(L326-$L$614)/$L$615</f>
        <v>-0.23576519316806296</v>
      </c>
      <c r="N326">
        <f>+N324+M326</f>
        <v>10.928791166149747</v>
      </c>
    </row>
    <row r="327" spans="1:14">
      <c r="A327" s="15">
        <v>9</v>
      </c>
      <c r="B327" s="75">
        <v>41380</v>
      </c>
      <c r="C327" s="15">
        <v>2013</v>
      </c>
      <c r="D327" s="11" t="s">
        <v>30</v>
      </c>
      <c r="E327" s="15">
        <v>4</v>
      </c>
      <c r="F327" s="32">
        <v>0.495</v>
      </c>
      <c r="G327" s="27">
        <v>0</v>
      </c>
    </row>
    <row r="328" spans="1:14">
      <c r="A328" s="15">
        <v>10</v>
      </c>
      <c r="B328" s="75">
        <v>41380</v>
      </c>
      <c r="C328" s="15">
        <v>2013</v>
      </c>
      <c r="D328" s="11" t="s">
        <v>30</v>
      </c>
      <c r="E328" s="15">
        <v>4</v>
      </c>
      <c r="F328" s="32">
        <v>0.755</v>
      </c>
      <c r="G328" s="27">
        <v>0</v>
      </c>
      <c r="I328" s="27"/>
      <c r="J328" s="27"/>
    </row>
    <row r="329" spans="1:14">
      <c r="A329" s="15">
        <v>10</v>
      </c>
      <c r="B329" s="75">
        <v>41380</v>
      </c>
      <c r="C329" s="15">
        <v>2013</v>
      </c>
      <c r="D329" s="11" t="s">
        <v>30</v>
      </c>
      <c r="E329" s="15">
        <v>4</v>
      </c>
      <c r="F329" s="32">
        <v>0.755</v>
      </c>
      <c r="G329" s="27">
        <v>0</v>
      </c>
      <c r="I329" s="27">
        <f>AVERAGE(F327:F329)</f>
        <v>0.66833333333333333</v>
      </c>
      <c r="J329" s="27">
        <f>AVERAGE(G327:G329)</f>
        <v>0</v>
      </c>
      <c r="L329">
        <f>+J329/I329</f>
        <v>0</v>
      </c>
      <c r="M329">
        <f>+(L329-$L$614)/$L$615</f>
        <v>-0.23576519316806296</v>
      </c>
      <c r="N329">
        <f>+N326+M329</f>
        <v>10.693025972981683</v>
      </c>
    </row>
    <row r="330" spans="1:14">
      <c r="A330" s="15">
        <v>9</v>
      </c>
      <c r="B330" s="75">
        <v>41407</v>
      </c>
      <c r="C330" s="15">
        <v>2013</v>
      </c>
      <c r="D330" s="11" t="s">
        <v>31</v>
      </c>
      <c r="E330" s="15">
        <v>5</v>
      </c>
      <c r="F330" s="32">
        <v>0.65900000000000003</v>
      </c>
      <c r="G330" s="27">
        <v>0</v>
      </c>
      <c r="I330" s="27"/>
      <c r="J330" s="27"/>
    </row>
    <row r="331" spans="1:14">
      <c r="A331" s="15">
        <v>10</v>
      </c>
      <c r="B331" s="75">
        <v>41407</v>
      </c>
      <c r="C331" s="15">
        <v>2013</v>
      </c>
      <c r="D331" s="11" t="s">
        <v>31</v>
      </c>
      <c r="E331" s="15">
        <v>5</v>
      </c>
      <c r="F331" s="32">
        <v>2.657</v>
      </c>
      <c r="G331" s="27">
        <v>0</v>
      </c>
      <c r="I331" s="27">
        <f>AVERAGE(F330:F331)</f>
        <v>1.6579999999999999</v>
      </c>
      <c r="J331" s="27">
        <f>AVERAGE(G330:G331)</f>
        <v>0</v>
      </c>
      <c r="L331">
        <f>+J331/I331</f>
        <v>0</v>
      </c>
      <c r="M331">
        <f>+(L331-$L$614)/$L$615</f>
        <v>-0.23576519316806296</v>
      </c>
      <c r="N331">
        <f>+N329+M331</f>
        <v>10.45726077981362</v>
      </c>
    </row>
    <row r="332" spans="1:14">
      <c r="A332" s="15">
        <v>9</v>
      </c>
      <c r="B332" s="75">
        <v>41437</v>
      </c>
      <c r="C332" s="15">
        <v>2013</v>
      </c>
      <c r="D332" s="11" t="s">
        <v>32</v>
      </c>
      <c r="E332" s="15">
        <v>6</v>
      </c>
      <c r="F332" s="32">
        <v>4.7809999999999997</v>
      </c>
      <c r="G332" s="27">
        <v>0</v>
      </c>
    </row>
    <row r="333" spans="1:14">
      <c r="A333" s="15">
        <v>10</v>
      </c>
      <c r="B333" s="75">
        <v>41437</v>
      </c>
      <c r="C333" s="15">
        <v>2013</v>
      </c>
      <c r="D333" s="11" t="s">
        <v>32</v>
      </c>
      <c r="E333" s="15">
        <v>6</v>
      </c>
      <c r="F333" s="32">
        <v>3.68</v>
      </c>
      <c r="G333" s="27">
        <v>0</v>
      </c>
      <c r="I333" s="27">
        <f>AVERAGE(F332:F333)</f>
        <v>4.2305000000000001</v>
      </c>
      <c r="J333" s="27">
        <f>AVERAGE(G332:G333)</f>
        <v>0</v>
      </c>
      <c r="L333">
        <f>+J333/I333</f>
        <v>0</v>
      </c>
      <c r="M333">
        <f>+(L333-$L$614)/$L$615</f>
        <v>-0.23576519316806296</v>
      </c>
      <c r="N333">
        <f>+N331+M333</f>
        <v>10.221495586645556</v>
      </c>
    </row>
    <row r="334" spans="1:14">
      <c r="A334" s="15">
        <v>9</v>
      </c>
      <c r="B334" s="75">
        <v>41470</v>
      </c>
      <c r="C334" s="15">
        <v>2013</v>
      </c>
      <c r="D334" s="11" t="s">
        <v>33</v>
      </c>
      <c r="E334" s="15">
        <v>7</v>
      </c>
      <c r="F334" s="32">
        <v>7.8250000000000002</v>
      </c>
      <c r="G334" s="27">
        <v>0</v>
      </c>
    </row>
    <row r="335" spans="1:14">
      <c r="A335" s="15">
        <v>10</v>
      </c>
      <c r="B335" s="75">
        <v>41470</v>
      </c>
      <c r="C335" s="15">
        <v>2013</v>
      </c>
      <c r="D335" s="11" t="s">
        <v>33</v>
      </c>
      <c r="E335" s="15">
        <v>7</v>
      </c>
      <c r="F335" s="32">
        <v>10.163</v>
      </c>
      <c r="G335" s="27">
        <v>0</v>
      </c>
      <c r="I335" s="27">
        <f>AVERAGE(F334:F335)</f>
        <v>8.9939999999999998</v>
      </c>
      <c r="J335" s="27">
        <f>AVERAGE(G334:G335)</f>
        <v>0</v>
      </c>
      <c r="L335">
        <f>+J335/I335</f>
        <v>0</v>
      </c>
      <c r="M335">
        <f>+(L335-$L$614)/$L$615</f>
        <v>-0.23576519316806296</v>
      </c>
      <c r="N335">
        <f>+N333+M335</f>
        <v>9.9857303934774926</v>
      </c>
    </row>
    <row r="336" spans="1:14">
      <c r="A336" s="15">
        <v>9</v>
      </c>
      <c r="B336" s="75">
        <v>41498</v>
      </c>
      <c r="C336" s="15">
        <v>2013</v>
      </c>
      <c r="D336" s="11" t="s">
        <v>34</v>
      </c>
      <c r="E336" s="15">
        <v>8</v>
      </c>
      <c r="F336" s="32">
        <v>3.544</v>
      </c>
      <c r="G336" s="27">
        <v>0</v>
      </c>
    </row>
    <row r="337" spans="1:14">
      <c r="A337" s="15">
        <v>10</v>
      </c>
      <c r="B337" s="75">
        <v>41498</v>
      </c>
      <c r="C337" s="15">
        <v>2013</v>
      </c>
      <c r="D337" s="11" t="s">
        <v>34</v>
      </c>
      <c r="E337" s="15">
        <v>8</v>
      </c>
      <c r="F337" s="32">
        <v>3.4510000000000001</v>
      </c>
      <c r="G337" s="27">
        <v>0</v>
      </c>
      <c r="I337" s="27">
        <f>AVERAGE(F336:F337)</f>
        <v>3.4975000000000001</v>
      </c>
      <c r="J337" s="27">
        <f>AVERAGE(G336:G337)</f>
        <v>0</v>
      </c>
      <c r="L337">
        <f>+J337/I337</f>
        <v>0</v>
      </c>
      <c r="M337">
        <f>+(L337-$L$614)/$L$615</f>
        <v>-0.23576519316806296</v>
      </c>
      <c r="N337">
        <f>+N335+M337</f>
        <v>9.749965200309429</v>
      </c>
    </row>
    <row r="338" spans="1:14">
      <c r="A338" s="15">
        <v>9</v>
      </c>
      <c r="B338" s="75">
        <v>41535</v>
      </c>
      <c r="C338" s="15">
        <v>2013</v>
      </c>
      <c r="D338" s="11" t="s">
        <v>40</v>
      </c>
      <c r="E338" s="15">
        <v>9</v>
      </c>
      <c r="F338" s="32">
        <v>1.6279999999999999</v>
      </c>
      <c r="G338" s="27">
        <v>0</v>
      </c>
    </row>
    <row r="339" spans="1:14">
      <c r="A339" s="15">
        <v>10</v>
      </c>
      <c r="B339" s="75">
        <v>41535</v>
      </c>
      <c r="C339" s="15">
        <v>2013</v>
      </c>
      <c r="D339" s="11" t="s">
        <v>40</v>
      </c>
      <c r="E339" s="15">
        <v>9</v>
      </c>
      <c r="F339" s="32">
        <v>1.2649999999999999</v>
      </c>
      <c r="G339" s="27">
        <v>0</v>
      </c>
      <c r="I339" s="27">
        <f>AVERAGE(F338:F339)</f>
        <v>1.4464999999999999</v>
      </c>
      <c r="J339" s="27">
        <f>AVERAGE(G338:G339)</f>
        <v>0</v>
      </c>
      <c r="L339">
        <f>+J339/I339</f>
        <v>0</v>
      </c>
      <c r="M339">
        <f>+(L339-$L$614)/$L$615</f>
        <v>-0.23576519316806296</v>
      </c>
      <c r="N339">
        <f>+N337+M339</f>
        <v>9.5142000071413655</v>
      </c>
    </row>
    <row r="340" spans="1:14">
      <c r="A340" s="15">
        <v>9</v>
      </c>
      <c r="B340" s="75">
        <v>406810</v>
      </c>
      <c r="C340" s="15">
        <v>2013</v>
      </c>
      <c r="D340" s="11" t="s">
        <v>36</v>
      </c>
      <c r="E340" s="15">
        <v>10</v>
      </c>
      <c r="F340" s="26">
        <v>0.60099999999999998</v>
      </c>
      <c r="G340" s="27">
        <v>0</v>
      </c>
    </row>
    <row r="341" spans="1:14">
      <c r="A341" s="15">
        <v>10</v>
      </c>
      <c r="B341" s="75">
        <v>406810</v>
      </c>
      <c r="C341" s="15">
        <v>2013</v>
      </c>
      <c r="D341" s="11" t="s">
        <v>36</v>
      </c>
      <c r="E341" s="15">
        <v>10</v>
      </c>
      <c r="F341" s="26">
        <v>0.93</v>
      </c>
      <c r="G341" s="27">
        <v>0</v>
      </c>
      <c r="I341" s="27">
        <f>AVERAGE(F340:F341)</f>
        <v>0.76550000000000007</v>
      </c>
      <c r="J341" s="27">
        <f>AVERAGE(G340:G341)</f>
        <v>0</v>
      </c>
      <c r="L341">
        <f>+J341/I341</f>
        <v>0</v>
      </c>
      <c r="M341">
        <f>+(L341-$L$614)/$L$615</f>
        <v>-0.23576519316806296</v>
      </c>
      <c r="N341">
        <f>+N339+M341</f>
        <v>9.2784348139733019</v>
      </c>
    </row>
    <row r="342" spans="1:14">
      <c r="A342" s="15">
        <v>9</v>
      </c>
      <c r="B342" s="75">
        <v>41599</v>
      </c>
      <c r="C342" s="15">
        <v>2013</v>
      </c>
      <c r="D342" s="11" t="s">
        <v>37</v>
      </c>
      <c r="E342" s="15">
        <v>11</v>
      </c>
      <c r="F342" s="26">
        <v>0.249</v>
      </c>
      <c r="G342" s="27">
        <v>0</v>
      </c>
    </row>
    <row r="343" spans="1:14">
      <c r="A343" s="15">
        <v>10</v>
      </c>
      <c r="B343" s="75">
        <v>41599</v>
      </c>
      <c r="C343" s="15">
        <v>2013</v>
      </c>
      <c r="D343" s="11" t="s">
        <v>37</v>
      </c>
      <c r="E343" s="15">
        <v>11</v>
      </c>
      <c r="F343" s="26">
        <v>0.36599999999999999</v>
      </c>
      <c r="G343" s="27">
        <v>0</v>
      </c>
      <c r="I343" s="27">
        <f>AVERAGE(F342:F343)</f>
        <v>0.3075</v>
      </c>
      <c r="J343" s="27">
        <f>AVERAGE(G342:G343)</f>
        <v>0</v>
      </c>
      <c r="L343">
        <f>+J343/I343</f>
        <v>0</v>
      </c>
      <c r="M343">
        <f>+(L343-$L$614)/$L$615</f>
        <v>-0.23576519316806296</v>
      </c>
      <c r="N343">
        <f>+N341+M343</f>
        <v>9.0426696208052384</v>
      </c>
    </row>
    <row r="344" spans="1:14">
      <c r="A344" s="15">
        <v>9</v>
      </c>
      <c r="B344" s="75">
        <v>41627</v>
      </c>
      <c r="C344" s="15">
        <v>2013</v>
      </c>
      <c r="D344" s="11" t="s">
        <v>38</v>
      </c>
      <c r="E344" s="15">
        <v>12</v>
      </c>
      <c r="F344" s="26">
        <v>0.96</v>
      </c>
      <c r="G344" s="27">
        <v>0</v>
      </c>
    </row>
    <row r="345" spans="1:14">
      <c r="A345" s="15">
        <v>10</v>
      </c>
      <c r="B345" s="75">
        <v>41627</v>
      </c>
      <c r="C345" s="15">
        <v>2013</v>
      </c>
      <c r="D345" s="11" t="s">
        <v>38</v>
      </c>
      <c r="E345" s="15">
        <v>12</v>
      </c>
      <c r="F345" s="26">
        <v>1.0349999999999999</v>
      </c>
      <c r="G345" s="27">
        <v>0</v>
      </c>
      <c r="I345" s="27">
        <f>AVERAGE(F344:F345)</f>
        <v>0.99749999999999994</v>
      </c>
      <c r="J345" s="27">
        <f>AVERAGE(G344:G345)</f>
        <v>0</v>
      </c>
      <c r="L345">
        <f>+J345/I345</f>
        <v>0</v>
      </c>
      <c r="M345">
        <f>+(L345-$L$614)/$L$615</f>
        <v>-0.23576519316806296</v>
      </c>
      <c r="N345">
        <f>+N343+M345</f>
        <v>8.8069044276371748</v>
      </c>
    </row>
    <row r="346" spans="1:14">
      <c r="A346" s="15">
        <v>9</v>
      </c>
      <c r="B346" s="75">
        <v>41655</v>
      </c>
      <c r="C346" s="15">
        <v>2014</v>
      </c>
      <c r="D346" s="11" t="s">
        <v>39</v>
      </c>
      <c r="E346" s="15">
        <v>1</v>
      </c>
      <c r="F346" s="26">
        <v>1.9850000000000001</v>
      </c>
      <c r="G346" s="27">
        <v>0</v>
      </c>
    </row>
    <row r="347" spans="1:14">
      <c r="A347" s="15">
        <v>10</v>
      </c>
      <c r="B347" s="75">
        <v>41655</v>
      </c>
      <c r="C347" s="15">
        <v>2014</v>
      </c>
      <c r="D347" s="11" t="s">
        <v>39</v>
      </c>
      <c r="E347" s="15">
        <v>1</v>
      </c>
      <c r="F347" s="26">
        <v>1.8129999999999999</v>
      </c>
      <c r="G347" s="27">
        <v>0</v>
      </c>
      <c r="I347" s="27">
        <f>AVERAGE(F346:F347)</f>
        <v>1.899</v>
      </c>
      <c r="J347" s="27">
        <f>AVERAGE(G346:G347)</f>
        <v>0</v>
      </c>
      <c r="L347">
        <f>+J347/I347</f>
        <v>0</v>
      </c>
      <c r="M347">
        <f>+(L347-$L$614)/$L$615</f>
        <v>-0.23576519316806296</v>
      </c>
      <c r="N347">
        <f>+N345+M347</f>
        <v>8.5711392344691113</v>
      </c>
    </row>
    <row r="348" spans="1:14">
      <c r="A348" s="15">
        <v>9</v>
      </c>
      <c r="B348" s="75">
        <v>41690</v>
      </c>
      <c r="C348" s="15">
        <v>2014</v>
      </c>
      <c r="D348" s="11" t="s">
        <v>28</v>
      </c>
      <c r="E348" s="15">
        <v>2</v>
      </c>
      <c r="F348" s="26">
        <v>3.0960000000000001</v>
      </c>
      <c r="G348" s="27">
        <v>0</v>
      </c>
    </row>
    <row r="349" spans="1:14">
      <c r="A349" s="15">
        <v>10</v>
      </c>
      <c r="B349" s="75">
        <v>41690</v>
      </c>
      <c r="C349" s="15">
        <v>2014</v>
      </c>
      <c r="D349" s="11" t="s">
        <v>28</v>
      </c>
      <c r="E349" s="15">
        <v>2</v>
      </c>
      <c r="F349" s="26">
        <v>4.5090000000000003</v>
      </c>
      <c r="G349" s="27">
        <v>0</v>
      </c>
      <c r="I349" s="27">
        <f>AVERAGE(F348:F349)</f>
        <v>3.8025000000000002</v>
      </c>
      <c r="J349" s="27">
        <f>AVERAGE(G348:G349)</f>
        <v>0</v>
      </c>
      <c r="L349">
        <f>+J349/I349</f>
        <v>0</v>
      </c>
      <c r="M349">
        <f>+(L349-$L$614)/$L$615</f>
        <v>-0.23576519316806296</v>
      </c>
      <c r="N349">
        <f>+N347+M349</f>
        <v>8.3353740413010478</v>
      </c>
    </row>
    <row r="350" spans="1:14">
      <c r="A350" s="15">
        <v>9</v>
      </c>
      <c r="B350" s="75">
        <v>41718</v>
      </c>
      <c r="C350" s="15">
        <v>2014</v>
      </c>
      <c r="D350" s="11" t="s">
        <v>29</v>
      </c>
      <c r="E350" s="15">
        <v>3</v>
      </c>
      <c r="F350" s="26">
        <v>6.6929999999999996</v>
      </c>
      <c r="G350" s="27">
        <v>0</v>
      </c>
    </row>
    <row r="351" spans="1:14">
      <c r="A351" s="15">
        <v>10</v>
      </c>
      <c r="B351" s="75">
        <v>41718</v>
      </c>
      <c r="C351" s="15">
        <v>2014</v>
      </c>
      <c r="D351" s="11" t="s">
        <v>29</v>
      </c>
      <c r="E351" s="15">
        <v>3</v>
      </c>
      <c r="F351" s="26">
        <v>4.5419999999999998</v>
      </c>
      <c r="G351" s="27">
        <v>0</v>
      </c>
      <c r="I351" s="27">
        <f>AVERAGE(F350:F351)</f>
        <v>5.6174999999999997</v>
      </c>
      <c r="J351" s="27">
        <f>AVERAGE(G350:G351)</f>
        <v>0</v>
      </c>
      <c r="L351">
        <f>+J351/I351</f>
        <v>0</v>
      </c>
      <c r="M351">
        <f>+(L351-$L$614)/$L$615</f>
        <v>-0.23576519316806296</v>
      </c>
      <c r="N351">
        <f>+N349+M351</f>
        <v>8.0996088481329842</v>
      </c>
    </row>
    <row r="352" spans="1:14">
      <c r="A352" s="15">
        <v>9</v>
      </c>
      <c r="B352" s="75">
        <v>41750</v>
      </c>
      <c r="C352" s="15">
        <v>2014</v>
      </c>
      <c r="D352" s="11" t="s">
        <v>30</v>
      </c>
      <c r="E352" s="15">
        <v>4</v>
      </c>
      <c r="F352" s="33">
        <v>2.2000000000000002</v>
      </c>
      <c r="G352" s="27">
        <v>0</v>
      </c>
    </row>
    <row r="353" spans="1:14">
      <c r="A353" s="15">
        <v>10</v>
      </c>
      <c r="B353" s="75">
        <v>41750</v>
      </c>
      <c r="C353" s="15">
        <v>2014</v>
      </c>
      <c r="D353" s="11" t="s">
        <v>30</v>
      </c>
      <c r="E353" s="15">
        <v>4</v>
      </c>
      <c r="F353" s="33">
        <v>1.27</v>
      </c>
      <c r="G353" s="27">
        <v>0</v>
      </c>
      <c r="I353" s="27">
        <f>AVERAGE(F352:F353)</f>
        <v>1.7350000000000001</v>
      </c>
      <c r="J353" s="27">
        <f>AVERAGE(G352:G353)</f>
        <v>0</v>
      </c>
      <c r="L353">
        <f>+J353/I353</f>
        <v>0</v>
      </c>
      <c r="M353">
        <f>+(L353-$L$614)/$L$615</f>
        <v>-0.23576519316806296</v>
      </c>
      <c r="N353">
        <f>+N351+M353</f>
        <v>7.8638436549649215</v>
      </c>
    </row>
    <row r="354" spans="1:14">
      <c r="A354" s="15">
        <v>9</v>
      </c>
      <c r="B354" s="75">
        <v>41406</v>
      </c>
      <c r="C354" s="15">
        <v>2014</v>
      </c>
      <c r="D354" s="11" t="s">
        <v>31</v>
      </c>
      <c r="E354" s="15">
        <v>5</v>
      </c>
      <c r="F354" s="33">
        <v>0.90700000000000003</v>
      </c>
      <c r="G354" s="27">
        <v>0</v>
      </c>
    </row>
    <row r="355" spans="1:14">
      <c r="A355" s="15">
        <v>10</v>
      </c>
      <c r="B355" s="75">
        <v>41406</v>
      </c>
      <c r="C355" s="15">
        <v>2014</v>
      </c>
      <c r="D355" s="11" t="s">
        <v>31</v>
      </c>
      <c r="E355" s="15">
        <v>5</v>
      </c>
      <c r="F355" s="33">
        <v>3.2</v>
      </c>
      <c r="G355" s="27">
        <v>0</v>
      </c>
      <c r="I355" s="27">
        <f>AVERAGE(F354:F355)</f>
        <v>2.0535000000000001</v>
      </c>
      <c r="J355" s="27">
        <f>AVERAGE(G354:G355)</f>
        <v>0</v>
      </c>
      <c r="L355">
        <f>+J355/I355</f>
        <v>0</v>
      </c>
      <c r="M355">
        <f>+(L355-$L$614)/$L$615</f>
        <v>-0.23576519316806296</v>
      </c>
      <c r="N355">
        <f>+N353+M355</f>
        <v>7.6280784617968589</v>
      </c>
    </row>
    <row r="356" spans="1:14">
      <c r="A356" s="15">
        <v>9</v>
      </c>
      <c r="B356" s="75">
        <v>41807</v>
      </c>
      <c r="C356" s="15">
        <v>2014</v>
      </c>
      <c r="D356" s="11" t="s">
        <v>32</v>
      </c>
      <c r="E356" s="15">
        <v>6</v>
      </c>
      <c r="F356" s="33">
        <v>3.6440000000000001</v>
      </c>
      <c r="G356" s="27">
        <v>0</v>
      </c>
    </row>
    <row r="357" spans="1:14">
      <c r="A357" s="15">
        <v>10</v>
      </c>
      <c r="B357" s="75">
        <v>41807</v>
      </c>
      <c r="C357" s="15">
        <v>2014</v>
      </c>
      <c r="D357" s="11" t="s">
        <v>32</v>
      </c>
      <c r="E357" s="15">
        <v>6</v>
      </c>
      <c r="F357" s="33">
        <v>5.5940000000000003</v>
      </c>
      <c r="G357" s="27">
        <v>0</v>
      </c>
      <c r="I357" s="27">
        <f>AVERAGE(F356:F357)</f>
        <v>4.6189999999999998</v>
      </c>
      <c r="J357" s="27">
        <f>AVERAGE(G356:G357)</f>
        <v>0</v>
      </c>
      <c r="L357">
        <f>+J357/I357</f>
        <v>0</v>
      </c>
      <c r="M357">
        <f>+(L357-$L$614)/$L$615</f>
        <v>-0.23576519316806296</v>
      </c>
      <c r="N357">
        <f>+N355+M357</f>
        <v>7.3923132686287962</v>
      </c>
    </row>
    <row r="358" spans="1:14">
      <c r="A358" s="15">
        <v>9</v>
      </c>
      <c r="B358" s="75">
        <v>41837</v>
      </c>
      <c r="C358" s="15">
        <v>2014</v>
      </c>
      <c r="D358" s="11" t="s">
        <v>33</v>
      </c>
      <c r="E358" s="15">
        <v>7</v>
      </c>
      <c r="F358" s="33">
        <v>5.2190000000000003</v>
      </c>
      <c r="G358" s="27">
        <v>0</v>
      </c>
    </row>
    <row r="359" spans="1:14">
      <c r="A359" s="15">
        <v>10</v>
      </c>
      <c r="B359" s="75">
        <v>41837</v>
      </c>
      <c r="C359" s="15">
        <v>2014</v>
      </c>
      <c r="D359" s="11" t="s">
        <v>33</v>
      </c>
      <c r="E359" s="15">
        <v>7</v>
      </c>
      <c r="F359" s="33">
        <v>6.8840000000000003</v>
      </c>
      <c r="G359" s="27">
        <v>0</v>
      </c>
      <c r="I359" s="27">
        <f>AVERAGE(F358:F359)</f>
        <v>6.0515000000000008</v>
      </c>
      <c r="J359" s="27">
        <f>AVERAGE(G358:G359)</f>
        <v>0</v>
      </c>
      <c r="L359">
        <f>+J359/I359</f>
        <v>0</v>
      </c>
      <c r="M359">
        <f>+(L359-$L$614)/$L$615</f>
        <v>-0.23576519316806296</v>
      </c>
      <c r="N359">
        <f>+N357+M359</f>
        <v>7.1565480754607336</v>
      </c>
    </row>
    <row r="360" spans="1:14">
      <c r="A360" s="15">
        <v>9</v>
      </c>
      <c r="B360" s="75">
        <v>41862</v>
      </c>
      <c r="C360" s="15">
        <v>2014</v>
      </c>
      <c r="D360" s="11" t="s">
        <v>34</v>
      </c>
      <c r="E360" s="15">
        <v>8</v>
      </c>
      <c r="F360" s="33">
        <v>9.9480000000000004</v>
      </c>
      <c r="G360" s="27">
        <v>0</v>
      </c>
    </row>
    <row r="361" spans="1:14">
      <c r="A361" s="15">
        <v>10</v>
      </c>
      <c r="B361" s="75">
        <v>41862</v>
      </c>
      <c r="C361" s="15">
        <v>2014</v>
      </c>
      <c r="D361" s="11" t="s">
        <v>34</v>
      </c>
      <c r="E361" s="15">
        <v>8</v>
      </c>
      <c r="F361" s="33">
        <v>6.9889999999999999</v>
      </c>
      <c r="G361" s="27">
        <v>0</v>
      </c>
      <c r="I361" s="27">
        <f>AVERAGE(F360:F361)</f>
        <v>8.4685000000000006</v>
      </c>
      <c r="J361" s="27">
        <f>AVERAGE(G360:G361)</f>
        <v>0</v>
      </c>
      <c r="L361">
        <f>+J361/I361</f>
        <v>0</v>
      </c>
      <c r="M361">
        <f>+(L361-$L$614)/$L$615</f>
        <v>-0.23576519316806296</v>
      </c>
      <c r="N361">
        <f>+N359+M361</f>
        <v>6.9207828822926709</v>
      </c>
    </row>
    <row r="362" spans="1:14">
      <c r="A362" s="15">
        <v>9</v>
      </c>
      <c r="B362" s="75">
        <v>41897</v>
      </c>
      <c r="C362" s="15">
        <v>2014</v>
      </c>
      <c r="D362" s="11" t="s">
        <v>40</v>
      </c>
      <c r="E362" s="15">
        <v>9</v>
      </c>
      <c r="F362" s="33">
        <v>1.9710000000000001</v>
      </c>
      <c r="G362" s="27">
        <v>0</v>
      </c>
    </row>
    <row r="363" spans="1:14">
      <c r="A363" s="15">
        <v>10</v>
      </c>
      <c r="B363" s="75">
        <v>41897</v>
      </c>
      <c r="C363" s="15">
        <v>2014</v>
      </c>
      <c r="D363" s="11" t="s">
        <v>40</v>
      </c>
      <c r="E363" s="15">
        <v>9</v>
      </c>
      <c r="F363" s="33">
        <v>2.0739999999999998</v>
      </c>
      <c r="G363" s="27">
        <v>0</v>
      </c>
      <c r="I363" s="27">
        <f>AVERAGE(F362:F363)</f>
        <v>2.0225</v>
      </c>
      <c r="J363" s="27">
        <f>AVERAGE(G362:G363)</f>
        <v>0</v>
      </c>
      <c r="L363">
        <f>+J363/I363</f>
        <v>0</v>
      </c>
      <c r="M363">
        <f>+(L363-$L$614)/$L$615</f>
        <v>-0.23576519316806296</v>
      </c>
      <c r="N363">
        <f>+N361+M363</f>
        <v>6.6850176891246083</v>
      </c>
    </row>
    <row r="364" spans="1:14">
      <c r="A364" s="15">
        <v>9</v>
      </c>
      <c r="B364" s="75">
        <v>41928</v>
      </c>
      <c r="C364" s="15">
        <v>2014</v>
      </c>
      <c r="D364" s="11" t="s">
        <v>36</v>
      </c>
      <c r="E364" s="15">
        <v>10</v>
      </c>
      <c r="F364" s="26">
        <v>1.5629999999999999</v>
      </c>
      <c r="G364" s="27">
        <v>0</v>
      </c>
    </row>
    <row r="365" spans="1:14">
      <c r="A365" s="15">
        <v>10</v>
      </c>
      <c r="B365" s="75">
        <v>41928</v>
      </c>
      <c r="C365" s="15">
        <v>2014</v>
      </c>
      <c r="D365" s="11" t="s">
        <v>36</v>
      </c>
      <c r="E365" s="15">
        <v>10</v>
      </c>
      <c r="F365" s="26">
        <v>1.704</v>
      </c>
      <c r="G365" s="27">
        <v>0</v>
      </c>
      <c r="I365" s="27">
        <f>AVERAGE(F364:F365)</f>
        <v>1.6335</v>
      </c>
      <c r="J365" s="27">
        <f>AVERAGE(G364:G365)</f>
        <v>0</v>
      </c>
      <c r="L365">
        <f>+J365/I365</f>
        <v>0</v>
      </c>
      <c r="M365">
        <f>+(L365-$L$614)/$L$615</f>
        <v>-0.23576519316806296</v>
      </c>
      <c r="N365">
        <f>+N363+M365</f>
        <v>6.4492524959565456</v>
      </c>
    </row>
    <row r="366" spans="1:14">
      <c r="A366" s="15">
        <v>9</v>
      </c>
      <c r="B366" s="75">
        <v>41955</v>
      </c>
      <c r="C366" s="15">
        <v>2014</v>
      </c>
      <c r="D366" s="11" t="s">
        <v>37</v>
      </c>
      <c r="E366" s="15">
        <v>11</v>
      </c>
      <c r="F366" s="26">
        <v>0.51700000000000002</v>
      </c>
      <c r="G366" s="27">
        <v>0</v>
      </c>
    </row>
    <row r="367" spans="1:14">
      <c r="A367" s="15">
        <v>10</v>
      </c>
      <c r="B367" s="75">
        <v>41955</v>
      </c>
      <c r="C367" s="15">
        <v>2014</v>
      </c>
      <c r="D367" s="11" t="s">
        <v>37</v>
      </c>
      <c r="E367" s="15">
        <v>11</v>
      </c>
      <c r="F367" s="26">
        <v>0.57899999999999996</v>
      </c>
      <c r="G367" s="27">
        <v>0</v>
      </c>
      <c r="I367" s="27">
        <f>AVERAGE(F366:F367)</f>
        <v>0.54800000000000004</v>
      </c>
      <c r="J367" s="27">
        <f>AVERAGE(G366:G367)</f>
        <v>0</v>
      </c>
      <c r="L367">
        <f>+J367/I367</f>
        <v>0</v>
      </c>
      <c r="M367">
        <f>+(L367-$L$614)/$L$615</f>
        <v>-0.23576519316806296</v>
      </c>
      <c r="N367">
        <f>+N365+M367</f>
        <v>6.2134873027884829</v>
      </c>
    </row>
    <row r="368" spans="1:14">
      <c r="A368" s="15">
        <v>9</v>
      </c>
      <c r="B368" s="75">
        <v>41992</v>
      </c>
      <c r="C368" s="15">
        <v>2014</v>
      </c>
      <c r="D368" s="11" t="s">
        <v>38</v>
      </c>
      <c r="E368" s="15">
        <v>12</v>
      </c>
      <c r="F368" s="26">
        <v>0.72499999999999998</v>
      </c>
      <c r="G368" s="27">
        <v>0</v>
      </c>
    </row>
    <row r="369" spans="1:14">
      <c r="A369" s="15">
        <v>10</v>
      </c>
      <c r="B369" s="75">
        <v>41992</v>
      </c>
      <c r="C369" s="15">
        <v>2014</v>
      </c>
      <c r="D369" s="11" t="s">
        <v>38</v>
      </c>
      <c r="E369" s="15">
        <v>12</v>
      </c>
      <c r="F369" s="26">
        <v>1.506</v>
      </c>
      <c r="G369" s="27">
        <v>0</v>
      </c>
      <c r="I369" s="27">
        <f>AVERAGE(F368:F369)</f>
        <v>1.1154999999999999</v>
      </c>
      <c r="J369" s="27">
        <f>AVERAGE(G368:G369)</f>
        <v>0</v>
      </c>
      <c r="L369">
        <f>+J369/I369</f>
        <v>0</v>
      </c>
      <c r="M369">
        <f>+(L369-$L$614)/$L$615</f>
        <v>-0.23576519316806296</v>
      </c>
      <c r="N369">
        <f>+N367+M369</f>
        <v>5.9777221096204203</v>
      </c>
    </row>
    <row r="370" spans="1:14">
      <c r="A370" s="8">
        <v>9</v>
      </c>
      <c r="B370" s="70">
        <v>42014</v>
      </c>
      <c r="E370" s="15">
        <v>1</v>
      </c>
      <c r="F370" s="80">
        <v>3.976</v>
      </c>
      <c r="G370" s="80">
        <v>5.0000000000000001E-3</v>
      </c>
    </row>
    <row r="371" spans="1:14">
      <c r="A371" s="8">
        <v>10</v>
      </c>
      <c r="B371" s="70">
        <v>42009</v>
      </c>
      <c r="E371" s="15">
        <v>1</v>
      </c>
      <c r="F371" s="80">
        <v>6.22</v>
      </c>
      <c r="G371" s="80">
        <v>4.0000000000000001E-3</v>
      </c>
      <c r="I371" s="27">
        <f>AVERAGE(F370:F371)</f>
        <v>5.0979999999999999</v>
      </c>
      <c r="J371" s="27">
        <f>AVERAGE(G370:G371)</f>
        <v>4.5000000000000005E-3</v>
      </c>
      <c r="L371">
        <f>+J371/I371</f>
        <v>8.8269909768536698E-4</v>
      </c>
      <c r="M371">
        <f>+(L371-$L$614)/$L$615</f>
        <v>-0.17234570172069469</v>
      </c>
      <c r="N371">
        <f>+N369+M371</f>
        <v>5.8053764078997254</v>
      </c>
    </row>
    <row r="372" spans="1:14">
      <c r="A372" s="8">
        <v>9</v>
      </c>
      <c r="B372" s="71">
        <v>42036</v>
      </c>
      <c r="E372" s="15">
        <v>2</v>
      </c>
    </row>
    <row r="373" spans="1:14">
      <c r="A373" s="8">
        <v>10</v>
      </c>
      <c r="B373" s="71">
        <v>42036</v>
      </c>
      <c r="E373" s="15">
        <v>2</v>
      </c>
      <c r="I373" s="27"/>
      <c r="J373" s="27"/>
    </row>
    <row r="374" spans="1:14">
      <c r="A374" s="8">
        <v>9</v>
      </c>
      <c r="B374" s="71">
        <v>42064</v>
      </c>
      <c r="E374" s="15">
        <v>3</v>
      </c>
      <c r="F374" s="80">
        <v>9.702</v>
      </c>
      <c r="G374" s="80">
        <v>1.7999999999999999E-2</v>
      </c>
    </row>
    <row r="375" spans="1:14">
      <c r="A375" s="8">
        <v>10</v>
      </c>
      <c r="B375" s="71">
        <v>42064</v>
      </c>
      <c r="E375" s="15">
        <v>3</v>
      </c>
      <c r="F375" s="80">
        <v>9.532</v>
      </c>
      <c r="G375" s="80">
        <v>1.7000000000000001E-2</v>
      </c>
      <c r="I375" s="27">
        <f>AVERAGE(F374:F375)</f>
        <v>9.6170000000000009</v>
      </c>
      <c r="J375" s="27">
        <f>AVERAGE(G374:G375)</f>
        <v>1.7500000000000002E-2</v>
      </c>
      <c r="L375">
        <f>+J375/I375</f>
        <v>1.8196942913590516E-3</v>
      </c>
      <c r="M375">
        <f>+(L375-$L$614)/$L$615</f>
        <v>-0.1050251857858357</v>
      </c>
      <c r="N375">
        <f>+N371+M375</f>
        <v>5.7003512221138894</v>
      </c>
    </row>
    <row r="376" spans="1:14">
      <c r="A376" s="8">
        <v>9</v>
      </c>
      <c r="B376" s="71">
        <v>42095</v>
      </c>
      <c r="E376" s="15">
        <v>4</v>
      </c>
      <c r="F376" s="80">
        <v>1.2410000000000001</v>
      </c>
      <c r="G376" s="80">
        <v>4.0000000000000001E-3</v>
      </c>
    </row>
    <row r="377" spans="1:14">
      <c r="A377" s="8">
        <v>10</v>
      </c>
      <c r="B377" s="71">
        <v>42095</v>
      </c>
      <c r="E377" s="15">
        <v>4</v>
      </c>
      <c r="F377" s="80">
        <v>1.5940000000000001</v>
      </c>
      <c r="G377" s="80">
        <v>4.0000000000000001E-3</v>
      </c>
      <c r="I377" s="27">
        <f>AVERAGE(F376:F377)</f>
        <v>1.4175</v>
      </c>
      <c r="J377" s="27">
        <f>AVERAGE(G376:G377)</f>
        <v>4.0000000000000001E-3</v>
      </c>
      <c r="L377">
        <f>+J377/I377</f>
        <v>2.8218694885361554E-3</v>
      </c>
      <c r="M377">
        <f>+(L377-$L$614)/$L$615</f>
        <v>-3.3021666678588774E-2</v>
      </c>
      <c r="N377">
        <f>+N375+M377</f>
        <v>5.6673295554353009</v>
      </c>
    </row>
    <row r="378" spans="1:14">
      <c r="A378" s="8">
        <v>9</v>
      </c>
      <c r="B378" s="71">
        <v>42125</v>
      </c>
      <c r="E378" s="15">
        <v>5</v>
      </c>
      <c r="F378" s="80">
        <v>2.585</v>
      </c>
      <c r="G378" s="80">
        <v>8.9999999999999993E-3</v>
      </c>
    </row>
    <row r="379" spans="1:14">
      <c r="A379" s="8">
        <v>10</v>
      </c>
      <c r="B379" s="71">
        <v>42125</v>
      </c>
      <c r="E379" s="15">
        <v>5</v>
      </c>
      <c r="F379" s="80">
        <v>1.6220000000000001</v>
      </c>
      <c r="G379" s="80">
        <v>9.9989999999999996E-4</v>
      </c>
      <c r="I379" s="27">
        <f>AVERAGE(F378:F379)</f>
        <v>2.1034999999999999</v>
      </c>
      <c r="J379" s="27">
        <f>AVERAGE(G378:G379)</f>
        <v>4.9999499999999995E-3</v>
      </c>
      <c r="L379">
        <f>+J379/I379</f>
        <v>2.3769669598288565E-3</v>
      </c>
      <c r="M379">
        <f>+(L379-$L$614)/$L$615</f>
        <v>-6.4986684189371716E-2</v>
      </c>
      <c r="N379">
        <f>+N377+M379</f>
        <v>5.6023428712459289</v>
      </c>
    </row>
    <row r="380" spans="1:14">
      <c r="A380" s="8">
        <v>9</v>
      </c>
      <c r="B380" s="71">
        <v>42156</v>
      </c>
      <c r="E380" s="15">
        <v>6</v>
      </c>
      <c r="F380" s="80">
        <v>5.1520000000000001</v>
      </c>
      <c r="G380" s="80">
        <v>3.0000000000000001E-3</v>
      </c>
    </row>
    <row r="381" spans="1:14">
      <c r="A381" s="8">
        <v>10</v>
      </c>
      <c r="B381" s="71">
        <v>42156</v>
      </c>
      <c r="E381" s="15">
        <v>6</v>
      </c>
      <c r="F381" s="80">
        <v>4.38</v>
      </c>
      <c r="G381" s="80">
        <v>2E-3</v>
      </c>
      <c r="I381" s="27">
        <f>AVERAGE(F380:F381)</f>
        <v>4.766</v>
      </c>
      <c r="J381" s="27">
        <f>AVERAGE(G380:G381)</f>
        <v>2.5000000000000001E-3</v>
      </c>
      <c r="L381">
        <f>+J381/I381</f>
        <v>5.2454888795635754E-4</v>
      </c>
      <c r="M381">
        <f>+(L381-$L$614)/$L$615</f>
        <v>-0.19807780479221981</v>
      </c>
      <c r="N381">
        <f>+N379+M381</f>
        <v>5.4042650664537089</v>
      </c>
    </row>
    <row r="382" spans="1:14">
      <c r="A382" s="8">
        <v>9</v>
      </c>
      <c r="B382" s="71">
        <v>42186</v>
      </c>
      <c r="E382" s="15">
        <v>7</v>
      </c>
      <c r="F382" s="80">
        <v>11.952999999999999</v>
      </c>
      <c r="G382" s="80">
        <v>1.9E-2</v>
      </c>
    </row>
    <row r="383" spans="1:14">
      <c r="A383" s="8">
        <v>10</v>
      </c>
      <c r="B383" s="71">
        <v>42186</v>
      </c>
      <c r="E383" s="15">
        <v>7</v>
      </c>
      <c r="F383" s="80">
        <v>4.7160000000000002</v>
      </c>
      <c r="G383" s="80">
        <v>8.0000000000000002E-3</v>
      </c>
      <c r="I383" s="27">
        <f>AVERAGE(F382:F383)</f>
        <v>8.3345000000000002</v>
      </c>
      <c r="J383" s="27">
        <f>AVERAGE(G382:G383)</f>
        <v>1.35E-2</v>
      </c>
      <c r="L383">
        <f>+J383/I383</f>
        <v>1.6197732317475553E-3</v>
      </c>
      <c r="M383">
        <f>+(L383-$L$614)/$L$615</f>
        <v>-0.11938896157695972</v>
      </c>
      <c r="N383">
        <f>+N381+M383</f>
        <v>5.2848761048767487</v>
      </c>
    </row>
    <row r="384" spans="1:14">
      <c r="A384" s="8">
        <v>9</v>
      </c>
      <c r="B384" s="71">
        <v>42217</v>
      </c>
      <c r="E384" s="15">
        <v>8</v>
      </c>
      <c r="F384" s="80">
        <v>7.1840000000000002</v>
      </c>
      <c r="G384" s="80">
        <v>1.2E-2</v>
      </c>
    </row>
    <row r="385" spans="1:14">
      <c r="A385" s="8">
        <v>10</v>
      </c>
      <c r="B385" s="71">
        <v>42217</v>
      </c>
      <c r="E385" s="15">
        <v>8</v>
      </c>
      <c r="F385" s="80">
        <v>3.6680000000000001</v>
      </c>
      <c r="G385" s="80">
        <v>0.01</v>
      </c>
      <c r="I385" s="27">
        <f>AVERAGE(F384:F385)</f>
        <v>5.4260000000000002</v>
      </c>
      <c r="J385" s="27">
        <f>AVERAGE(G384:G385)</f>
        <v>1.0999999999999999E-2</v>
      </c>
      <c r="L385">
        <f>+J385/I385</f>
        <v>2.0272760781422775E-3</v>
      </c>
      <c r="M385">
        <f>+(L385-$L$614)/$L$615</f>
        <v>-9.011100791248218E-2</v>
      </c>
      <c r="N385">
        <f>+N383+M385</f>
        <v>5.1947650969642662</v>
      </c>
    </row>
    <row r="386" spans="1:14">
      <c r="A386" s="8">
        <v>9</v>
      </c>
      <c r="B386" s="71">
        <v>42248</v>
      </c>
      <c r="E386" s="15">
        <v>9</v>
      </c>
      <c r="F386" s="80">
        <v>3.6819999999999999</v>
      </c>
      <c r="G386" s="80">
        <v>0.01</v>
      </c>
    </row>
    <row r="387" spans="1:14">
      <c r="A387" s="8">
        <v>10</v>
      </c>
      <c r="B387" s="71">
        <v>42248</v>
      </c>
      <c r="E387" s="15">
        <v>9</v>
      </c>
      <c r="F387" s="80">
        <v>1.704</v>
      </c>
      <c r="G387" s="80">
        <v>3.0000000000000001E-3</v>
      </c>
      <c r="I387" s="27">
        <f>AVERAGE(F386:F387)</f>
        <v>2.6930000000000001</v>
      </c>
      <c r="J387" s="27">
        <f>AVERAGE(G386:G387)</f>
        <v>6.5000000000000006E-3</v>
      </c>
      <c r="L387">
        <f>+J387/I387</f>
        <v>2.4136650575566285E-3</v>
      </c>
      <c r="M387">
        <f>+(L387-$L$614)/$L$615</f>
        <v>-6.2350027257146438E-2</v>
      </c>
      <c r="N387">
        <f>+N385+M387</f>
        <v>5.13241506970712</v>
      </c>
    </row>
    <row r="388" spans="1:14">
      <c r="A388" s="8">
        <v>9</v>
      </c>
      <c r="B388" s="71">
        <v>42278</v>
      </c>
      <c r="E388" s="15">
        <v>10</v>
      </c>
      <c r="F388" s="80">
        <v>1.911</v>
      </c>
      <c r="G388" s="80">
        <v>9.9989999999999996E-4</v>
      </c>
    </row>
    <row r="389" spans="1:14">
      <c r="A389" s="8">
        <v>10</v>
      </c>
      <c r="B389" s="71">
        <v>42278</v>
      </c>
      <c r="E389" s="15">
        <v>10</v>
      </c>
      <c r="F389" s="80">
        <v>1.5549999999999999</v>
      </c>
      <c r="G389" s="80">
        <v>9.9989999999999996E-4</v>
      </c>
      <c r="I389" s="27">
        <f>AVERAGE(F388:F389)</f>
        <v>1.7330000000000001</v>
      </c>
      <c r="J389" s="27">
        <f>AVERAGE(G388:G389)</f>
        <v>9.9989999999999996E-4</v>
      </c>
      <c r="L389">
        <f>+J389/I389</f>
        <v>5.7697634160415456E-4</v>
      </c>
      <c r="M389">
        <f>+(L389-$L$614)/$L$615</f>
        <v>-0.19431103709420985</v>
      </c>
      <c r="N389">
        <f>+N387+M389</f>
        <v>4.9381040326129098</v>
      </c>
    </row>
    <row r="390" spans="1:14">
      <c r="A390" s="8">
        <v>9</v>
      </c>
      <c r="B390" s="71">
        <v>42309</v>
      </c>
      <c r="E390" s="15">
        <v>11</v>
      </c>
      <c r="F390" s="80">
        <v>0.35599999999999998</v>
      </c>
      <c r="G390" s="80">
        <v>9.9989999999999996E-4</v>
      </c>
    </row>
    <row r="391" spans="1:14">
      <c r="A391" s="8">
        <v>10</v>
      </c>
      <c r="B391" s="71">
        <v>42309</v>
      </c>
      <c r="E391" s="15">
        <v>11</v>
      </c>
      <c r="F391" s="80">
        <v>0.47799999999999998</v>
      </c>
      <c r="G391" s="80">
        <v>9.9989999999999996E-4</v>
      </c>
      <c r="I391" s="27">
        <f>AVERAGE(F390:F391)</f>
        <v>0.41699999999999998</v>
      </c>
      <c r="J391" s="27">
        <f>AVERAGE(G390:G391)</f>
        <v>9.9989999999999996E-4</v>
      </c>
      <c r="L391">
        <f>+J391/I391</f>
        <v>2.3978417266187053E-3</v>
      </c>
      <c r="M391">
        <f>+(L391-$L$614)/$L$615</f>
        <v>-6.3486889868332869E-2</v>
      </c>
      <c r="N391">
        <f>+N389+M391</f>
        <v>4.8746171427445768</v>
      </c>
    </row>
    <row r="392" spans="1:14">
      <c r="A392" s="8">
        <v>9</v>
      </c>
      <c r="B392" s="72">
        <v>42339</v>
      </c>
      <c r="E392" s="15">
        <v>12</v>
      </c>
      <c r="F392" s="80">
        <v>1.258</v>
      </c>
      <c r="G392" s="80">
        <v>5.0000000000000001E-3</v>
      </c>
    </row>
    <row r="393" spans="1:14">
      <c r="A393" s="8">
        <v>10</v>
      </c>
      <c r="B393" s="71">
        <v>42339</v>
      </c>
      <c r="E393" s="15">
        <v>12</v>
      </c>
      <c r="F393" s="80">
        <v>2.3940000000000001</v>
      </c>
      <c r="G393" s="80">
        <v>1.0999999999999999E-2</v>
      </c>
      <c r="I393" s="27">
        <f>AVERAGE(F392:F393)</f>
        <v>1.8260000000000001</v>
      </c>
      <c r="J393" s="27">
        <f>AVERAGE(G392:G393)</f>
        <v>8.0000000000000002E-3</v>
      </c>
      <c r="L393">
        <f>+J393/I393</f>
        <v>4.3811610076670317E-3</v>
      </c>
      <c r="M393">
        <f>+(L393-$L$614)/$L$615</f>
        <v>7.9009120959899398E-2</v>
      </c>
      <c r="N393">
        <f>+N391+M393</f>
        <v>4.9536262637044759</v>
      </c>
    </row>
    <row r="394" spans="1:14">
      <c r="A394" s="8">
        <v>9</v>
      </c>
      <c r="B394" s="70">
        <v>42379</v>
      </c>
      <c r="E394" s="15">
        <v>1</v>
      </c>
      <c r="F394" s="79">
        <v>1.8260000000000001</v>
      </c>
      <c r="G394" s="79">
        <v>3.0000000000000001E-3</v>
      </c>
    </row>
    <row r="395" spans="1:14">
      <c r="A395" s="8">
        <v>10</v>
      </c>
      <c r="B395" s="70">
        <v>42374</v>
      </c>
      <c r="E395" s="15">
        <v>1</v>
      </c>
      <c r="F395" s="79">
        <v>3.1139999999999999</v>
      </c>
      <c r="G395" s="79">
        <v>4.0000000000000001E-3</v>
      </c>
      <c r="I395" s="27">
        <f>AVERAGE(F394:F395)</f>
        <v>2.4699999999999998</v>
      </c>
      <c r="J395" s="27">
        <f>AVERAGE(G394:G395)</f>
        <v>3.5000000000000001E-3</v>
      </c>
      <c r="L395">
        <f>+J395/I395</f>
        <v>1.4170040485829961E-3</v>
      </c>
      <c r="M395">
        <f>+(L395-$L$614)/$L$615</f>
        <v>-0.13395736717657472</v>
      </c>
      <c r="N395">
        <f>+N393+M395</f>
        <v>4.8196688965279009</v>
      </c>
    </row>
    <row r="396" spans="1:14">
      <c r="A396" s="8">
        <v>9</v>
      </c>
      <c r="B396" s="71">
        <v>42401</v>
      </c>
      <c r="E396" s="15">
        <v>2</v>
      </c>
      <c r="F396" s="79">
        <v>6.7649999999999997</v>
      </c>
      <c r="G396" s="79">
        <v>1.2999999999999999E-2</v>
      </c>
    </row>
    <row r="397" spans="1:14">
      <c r="A397" s="8">
        <v>10</v>
      </c>
      <c r="B397" s="71">
        <v>42401</v>
      </c>
      <c r="E397" s="15">
        <v>2</v>
      </c>
      <c r="F397" s="79">
        <v>4.335</v>
      </c>
      <c r="G397" s="79">
        <v>8.0000000000000002E-3</v>
      </c>
      <c r="I397" s="27">
        <f>AVERAGE(F396:F397)</f>
        <v>5.55</v>
      </c>
      <c r="J397" s="27">
        <f>AVERAGE(G396:G397)</f>
        <v>1.0499999999999999E-2</v>
      </c>
      <c r="L397">
        <f>+J397/I397</f>
        <v>1.8918918918918916E-3</v>
      </c>
      <c r="M397">
        <f>+(L397-$L$614)/$L$615</f>
        <v>-9.9837987655103017E-2</v>
      </c>
      <c r="N397">
        <f>+N395+M397</f>
        <v>4.7198309088727974</v>
      </c>
    </row>
    <row r="398" spans="1:14">
      <c r="A398" s="8">
        <v>9</v>
      </c>
      <c r="B398" s="71">
        <v>42430</v>
      </c>
      <c r="E398" s="15">
        <v>3</v>
      </c>
      <c r="F398" s="79">
        <v>2.052</v>
      </c>
      <c r="G398" s="79">
        <v>9.9989999999999996E-4</v>
      </c>
    </row>
    <row r="399" spans="1:14">
      <c r="A399" s="8">
        <v>10</v>
      </c>
      <c r="B399" s="71">
        <v>42430</v>
      </c>
      <c r="E399" s="15">
        <v>3</v>
      </c>
      <c r="F399" s="79">
        <v>1.5209999999999999</v>
      </c>
      <c r="G399" s="79">
        <v>9.9989999999999996E-4</v>
      </c>
      <c r="I399" s="27">
        <f>AVERAGE(F398:F399)</f>
        <v>1.7865</v>
      </c>
      <c r="J399" s="27">
        <f>AVERAGE(G398:G399)</f>
        <v>9.9989999999999996E-4</v>
      </c>
      <c r="L399">
        <f>+J399/I399</f>
        <v>5.5969773299748113E-4</v>
      </c>
      <c r="M399">
        <f>+(L399-$L$614)/$L$615</f>
        <v>-0.19555245738525442</v>
      </c>
      <c r="N399">
        <f>+N397+M399</f>
        <v>4.5242784514875432</v>
      </c>
    </row>
    <row r="400" spans="1:14">
      <c r="A400" s="8">
        <v>9</v>
      </c>
      <c r="B400" s="71">
        <v>42461</v>
      </c>
      <c r="E400" s="15">
        <v>4</v>
      </c>
      <c r="F400" s="79">
        <v>1.613</v>
      </c>
      <c r="G400" s="79">
        <v>5.0000000000000001E-3</v>
      </c>
    </row>
    <row r="401" spans="1:14">
      <c r="A401" s="8">
        <v>10</v>
      </c>
      <c r="B401" s="71">
        <v>42461</v>
      </c>
      <c r="E401" s="15">
        <v>4</v>
      </c>
      <c r="F401" s="79">
        <v>1.4419999999999999</v>
      </c>
      <c r="G401" s="79">
        <v>3.0000000000000001E-3</v>
      </c>
      <c r="I401" s="27">
        <f>AVERAGE(F400:F401)</f>
        <v>1.5274999999999999</v>
      </c>
      <c r="J401" s="27">
        <f>AVERAGE(G400:G401)</f>
        <v>4.0000000000000001E-3</v>
      </c>
      <c r="L401">
        <f>+J401/I401</f>
        <v>2.6186579378068742E-3</v>
      </c>
      <c r="M401">
        <f>+(L401-$L$614)/$L$615</f>
        <v>-4.7621855165555817E-2</v>
      </c>
      <c r="N401">
        <f>+N399+M401</f>
        <v>4.4766565963219875</v>
      </c>
    </row>
    <row r="402" spans="1:14">
      <c r="A402" s="12">
        <v>9</v>
      </c>
      <c r="B402" s="71">
        <v>42491</v>
      </c>
      <c r="E402" s="15">
        <v>5</v>
      </c>
      <c r="F402" s="79">
        <v>1.478</v>
      </c>
      <c r="G402" s="79">
        <v>2.7E-2</v>
      </c>
    </row>
    <row r="403" spans="1:14">
      <c r="A403" s="12">
        <v>10</v>
      </c>
      <c r="B403" s="71">
        <v>42491</v>
      </c>
      <c r="E403" s="15">
        <v>5</v>
      </c>
      <c r="F403" s="79">
        <v>1.6819999999999999</v>
      </c>
      <c r="G403" s="79">
        <v>1.9E-2</v>
      </c>
      <c r="I403" s="27">
        <f>AVERAGE(F402:F403)</f>
        <v>1.58</v>
      </c>
      <c r="J403" s="27">
        <f>AVERAGE(G402:G403)</f>
        <v>2.3E-2</v>
      </c>
      <c r="L403">
        <f>+J403/I403</f>
        <v>1.4556962025316455E-2</v>
      </c>
      <c r="M403">
        <f>+(L403-$L$614)/$L$615</f>
        <v>0.81011231037198161</v>
      </c>
      <c r="N403">
        <f>+N401+M403</f>
        <v>5.2867689066939692</v>
      </c>
    </row>
    <row r="404" spans="1:14">
      <c r="A404" s="8">
        <v>9</v>
      </c>
      <c r="B404" s="71">
        <v>42522</v>
      </c>
      <c r="E404" s="15">
        <v>6</v>
      </c>
      <c r="F404" s="79">
        <v>1.738</v>
      </c>
      <c r="G404" s="79">
        <v>5.0000000000000001E-3</v>
      </c>
    </row>
    <row r="405" spans="1:14">
      <c r="A405" s="8">
        <v>10</v>
      </c>
      <c r="B405" s="71">
        <v>42522</v>
      </c>
      <c r="E405" s="15">
        <v>6</v>
      </c>
      <c r="F405" s="79">
        <v>1.972</v>
      </c>
      <c r="G405" s="79">
        <v>3.0000000000000001E-3</v>
      </c>
      <c r="I405" s="27">
        <f>AVERAGE(F404:F405)</f>
        <v>1.855</v>
      </c>
      <c r="J405" s="27">
        <f>AVERAGE(G404:G405)</f>
        <v>4.0000000000000001E-3</v>
      </c>
      <c r="L405">
        <f>+J405/I405</f>
        <v>2.1563342318059301E-3</v>
      </c>
      <c r="M405">
        <f>+(L405-$L$614)/$L$615</f>
        <v>-8.0838536133653438E-2</v>
      </c>
      <c r="N405">
        <f>+N403+M405</f>
        <v>5.2059303705603153</v>
      </c>
    </row>
    <row r="406" spans="1:14">
      <c r="A406" s="8">
        <v>9</v>
      </c>
      <c r="B406" s="71">
        <v>42552</v>
      </c>
      <c r="E406" s="15">
        <v>7</v>
      </c>
      <c r="F406" s="79">
        <v>7.6849999999999996</v>
      </c>
      <c r="G406" s="79">
        <v>1.0999999999999999E-2</v>
      </c>
    </row>
    <row r="407" spans="1:14">
      <c r="A407" s="8">
        <v>10</v>
      </c>
      <c r="B407" s="71">
        <v>42552</v>
      </c>
      <c r="E407" s="15">
        <v>7</v>
      </c>
      <c r="F407" s="79">
        <v>8.9510000000000005</v>
      </c>
      <c r="G407" s="79">
        <v>1.2999999999999999E-2</v>
      </c>
      <c r="I407" s="27">
        <f>AVERAGE(F406:F407)</f>
        <v>8.3179999999999996</v>
      </c>
      <c r="J407" s="27">
        <f>AVERAGE(G406:G407)</f>
        <v>1.2E-2</v>
      </c>
      <c r="L407">
        <f>+J407/I407</f>
        <v>1.4426544842510219E-3</v>
      </c>
      <c r="M407">
        <f>+(L407-$L$614)/$L$615</f>
        <v>-0.13211445424085824</v>
      </c>
      <c r="N407">
        <f>+N405+M407</f>
        <v>5.0738159163194574</v>
      </c>
    </row>
    <row r="408" spans="1:14">
      <c r="A408" s="8">
        <v>9</v>
      </c>
      <c r="B408" s="71">
        <v>42583</v>
      </c>
      <c r="E408" s="15">
        <v>8</v>
      </c>
      <c r="F408" s="79">
        <v>4.2569999999999997</v>
      </c>
      <c r="G408" s="79">
        <v>3.0000000000000001E-3</v>
      </c>
    </row>
    <row r="409" spans="1:14">
      <c r="A409" s="8">
        <v>10</v>
      </c>
      <c r="B409" s="71">
        <v>42583</v>
      </c>
      <c r="E409" s="15">
        <v>8</v>
      </c>
      <c r="F409" s="79">
        <v>3.7749999999999999</v>
      </c>
      <c r="G409" s="79">
        <v>9.9989999999999996E-4</v>
      </c>
      <c r="I409" s="27">
        <f>AVERAGE(F408:F409)</f>
        <v>4.016</v>
      </c>
      <c r="J409" s="27">
        <f>AVERAGE(G408:G409)</f>
        <v>1.9999499999999999E-3</v>
      </c>
      <c r="L409">
        <f>+J409/I409</f>
        <v>4.9799551792828684E-4</v>
      </c>
      <c r="M409">
        <f>+(L409-$L$614)/$L$615</f>
        <v>-0.19998559106707819</v>
      </c>
      <c r="N409">
        <f>+N407+M409</f>
        <v>4.8738303252523796</v>
      </c>
    </row>
    <row r="410" spans="1:14">
      <c r="A410" s="8">
        <v>9</v>
      </c>
      <c r="B410" s="71">
        <v>42614</v>
      </c>
      <c r="E410" s="15">
        <v>9</v>
      </c>
      <c r="F410" s="79">
        <v>1.1890000000000001</v>
      </c>
      <c r="G410" s="79">
        <v>4.0000000000000001E-3</v>
      </c>
    </row>
    <row r="411" spans="1:14">
      <c r="A411" s="8">
        <v>10</v>
      </c>
      <c r="B411" s="71">
        <v>42614</v>
      </c>
      <c r="E411" s="15">
        <v>9</v>
      </c>
      <c r="F411" s="79">
        <v>3.073</v>
      </c>
      <c r="G411" s="79">
        <v>4.0000000000000001E-3</v>
      </c>
      <c r="I411" s="27">
        <f>AVERAGE(F410:F411)</f>
        <v>2.1310000000000002</v>
      </c>
      <c r="J411" s="27">
        <f>AVERAGE(G410:G411)</f>
        <v>4.0000000000000001E-3</v>
      </c>
      <c r="L411">
        <f>+J411/I411</f>
        <v>1.8770530267480056E-3</v>
      </c>
      <c r="M411">
        <f>+(L411-$L$614)/$L$615</f>
        <v>-0.10090411911887028</v>
      </c>
      <c r="N411">
        <f>+N409+M411</f>
        <v>4.7729262061335094</v>
      </c>
    </row>
    <row r="412" spans="1:14">
      <c r="A412" s="8">
        <v>9</v>
      </c>
      <c r="B412" s="71">
        <v>42644</v>
      </c>
      <c r="E412" s="15">
        <v>10</v>
      </c>
      <c r="F412" s="79">
        <v>0.74099999999999999</v>
      </c>
      <c r="G412" s="79">
        <v>9.9989999999999996E-4</v>
      </c>
    </row>
    <row r="413" spans="1:14">
      <c r="A413" s="8">
        <v>10</v>
      </c>
      <c r="B413" s="71">
        <v>42644</v>
      </c>
      <c r="E413" s="15">
        <v>10</v>
      </c>
      <c r="F413" s="79">
        <v>0.85899999999999999</v>
      </c>
      <c r="G413" s="79">
        <v>3.0000000000000001E-3</v>
      </c>
      <c r="I413" s="27">
        <f>AVERAGE(F412:F413)</f>
        <v>0.8</v>
      </c>
      <c r="J413" s="27">
        <f>AVERAGE(G412:G413)</f>
        <v>1.9999499999999999E-3</v>
      </c>
      <c r="L413">
        <f>+J413/I413</f>
        <v>2.4999374999999996E-3</v>
      </c>
      <c r="M413">
        <f>+(L413-$L$614)/$L$615</f>
        <v>-5.6151590621119449E-2</v>
      </c>
      <c r="N413">
        <f>+N411+M413</f>
        <v>4.7167746155123895</v>
      </c>
    </row>
    <row r="414" spans="1:14">
      <c r="A414" s="8">
        <v>9</v>
      </c>
      <c r="B414" s="71">
        <v>42675</v>
      </c>
      <c r="E414" s="15">
        <v>11</v>
      </c>
      <c r="F414" s="79">
        <v>0.249</v>
      </c>
      <c r="G414" s="79">
        <v>9.9989999999999996E-4</v>
      </c>
    </row>
    <row r="415" spans="1:14">
      <c r="A415" s="8">
        <v>10</v>
      </c>
      <c r="B415" s="71">
        <v>42675</v>
      </c>
      <c r="E415" s="15">
        <v>11</v>
      </c>
      <c r="F415" s="79">
        <v>0.19600000000000001</v>
      </c>
      <c r="G415" s="79">
        <v>9.9989999999999996E-4</v>
      </c>
      <c r="I415" s="27">
        <f>AVERAGE(F414:F415)</f>
        <v>0.2225</v>
      </c>
      <c r="J415" s="27">
        <f>AVERAGE(G414:G415)</f>
        <v>9.9989999999999996E-4</v>
      </c>
      <c r="L415">
        <f>+J415/I415</f>
        <v>4.493932584269663E-3</v>
      </c>
      <c r="M415">
        <f>+(L415-$L$614)/$L$615</f>
        <v>8.7111447173453635E-2</v>
      </c>
      <c r="N415">
        <f>+N413+M415</f>
        <v>4.8038860626858435</v>
      </c>
    </row>
    <row r="416" spans="1:14">
      <c r="A416" s="8">
        <v>9</v>
      </c>
      <c r="B416" s="72">
        <v>42705</v>
      </c>
      <c r="E416" s="15">
        <v>12</v>
      </c>
      <c r="F416" s="79">
        <v>0.745</v>
      </c>
      <c r="G416" s="79">
        <v>8.0000000000000002E-3</v>
      </c>
    </row>
    <row r="417" spans="1:14">
      <c r="A417" s="8">
        <v>10</v>
      </c>
      <c r="B417" s="71">
        <v>42705</v>
      </c>
      <c r="E417" s="15">
        <v>12</v>
      </c>
      <c r="F417" s="79">
        <v>1.111</v>
      </c>
      <c r="G417" s="79">
        <v>5.0000000000000001E-3</v>
      </c>
      <c r="I417" s="27">
        <f>AVERAGE(F416:F417)</f>
        <v>0.92799999999999994</v>
      </c>
      <c r="J417" s="27">
        <f>AVERAGE(G416:G417)</f>
        <v>6.5000000000000006E-3</v>
      </c>
      <c r="L417">
        <f>+J417/I417</f>
        <v>7.0043103448275872E-3</v>
      </c>
      <c r="M417">
        <f>+(L417-$L$614)/$L$615</f>
        <v>0.26747515359712909</v>
      </c>
      <c r="N417">
        <f>+N415+M417</f>
        <v>5.0713612162829724</v>
      </c>
    </row>
    <row r="418" spans="1:14">
      <c r="A418" s="8">
        <v>9</v>
      </c>
      <c r="B418" s="70">
        <v>42745</v>
      </c>
      <c r="E418" s="15">
        <v>1</v>
      </c>
    </row>
    <row r="419" spans="1:14">
      <c r="A419" s="8">
        <v>10</v>
      </c>
      <c r="B419" s="70">
        <v>42740</v>
      </c>
      <c r="E419" s="15">
        <v>1</v>
      </c>
    </row>
    <row r="420" spans="1:14">
      <c r="A420" s="8">
        <v>9</v>
      </c>
      <c r="B420" s="71">
        <v>42767</v>
      </c>
      <c r="E420" s="15">
        <v>2</v>
      </c>
    </row>
    <row r="421" spans="1:14">
      <c r="A421" s="8">
        <v>10</v>
      </c>
      <c r="B421" s="71">
        <v>42767</v>
      </c>
      <c r="E421" s="15">
        <v>2</v>
      </c>
    </row>
    <row r="422" spans="1:14">
      <c r="A422" s="8">
        <v>9</v>
      </c>
      <c r="B422" s="71">
        <v>42795</v>
      </c>
      <c r="E422" s="15">
        <v>3</v>
      </c>
      <c r="F422" s="79">
        <v>0.53100000000000003</v>
      </c>
      <c r="G422" s="79">
        <v>9.9989999999999996E-4</v>
      </c>
    </row>
    <row r="423" spans="1:14">
      <c r="A423" s="8">
        <v>10</v>
      </c>
      <c r="B423" s="71">
        <v>42795</v>
      </c>
      <c r="E423" s="15">
        <v>3</v>
      </c>
      <c r="F423" s="79">
        <v>0.54</v>
      </c>
      <c r="G423" s="79">
        <v>9.9989999999999996E-4</v>
      </c>
      <c r="I423" s="27">
        <f>AVERAGE(F422:F423)</f>
        <v>0.53550000000000009</v>
      </c>
      <c r="J423" s="27">
        <f>AVERAGE(G422:G423)</f>
        <v>9.9989999999999996E-4</v>
      </c>
      <c r="L423">
        <f>+J423/I423</f>
        <v>1.8672268907563021E-3</v>
      </c>
      <c r="M423">
        <f>+(L423-$L$614)/$L$615</f>
        <v>-0.10161009984222277</v>
      </c>
      <c r="N423">
        <f>+N417+M423</f>
        <v>4.96975111644075</v>
      </c>
    </row>
    <row r="424" spans="1:14">
      <c r="A424" s="8">
        <v>9</v>
      </c>
      <c r="B424" s="71">
        <v>42826</v>
      </c>
      <c r="E424" s="15">
        <v>4</v>
      </c>
      <c r="F424" s="79">
        <v>0.71599999999999997</v>
      </c>
      <c r="G424" s="79">
        <v>9.9989999999999996E-4</v>
      </c>
    </row>
    <row r="425" spans="1:14">
      <c r="A425" s="8">
        <v>10</v>
      </c>
      <c r="B425" s="71">
        <v>42826</v>
      </c>
      <c r="E425" s="15">
        <v>4</v>
      </c>
      <c r="F425" s="79">
        <v>0.83</v>
      </c>
      <c r="G425" s="79">
        <v>9.9989999999999996E-4</v>
      </c>
      <c r="I425" s="27">
        <f>AVERAGE(F424:F425)</f>
        <v>0.77299999999999991</v>
      </c>
      <c r="J425" s="27">
        <f>AVERAGE(G424:G425)</f>
        <v>9.9989999999999996E-4</v>
      </c>
      <c r="L425">
        <f>+J425/I425</f>
        <v>1.2935316946959899E-3</v>
      </c>
      <c r="M425">
        <f>+(L425-$L$614)/$L$615</f>
        <v>-0.14282851467390065</v>
      </c>
      <c r="N425">
        <f>+N423+M425</f>
        <v>4.8269226017668494</v>
      </c>
    </row>
    <row r="426" spans="1:14">
      <c r="A426" s="8">
        <v>9</v>
      </c>
      <c r="B426" s="71">
        <v>42856</v>
      </c>
      <c r="E426" s="15">
        <v>5</v>
      </c>
      <c r="F426" s="79">
        <v>0.94099999999999995</v>
      </c>
      <c r="G426" s="79">
        <v>9.9989999999999996E-4</v>
      </c>
    </row>
    <row r="427" spans="1:14">
      <c r="A427" s="8">
        <v>10</v>
      </c>
      <c r="B427" s="71">
        <v>42856</v>
      </c>
      <c r="E427" s="15">
        <v>5</v>
      </c>
      <c r="F427" s="79">
        <v>2.5449999999999999</v>
      </c>
      <c r="G427" s="79">
        <v>9.9989999999999996E-4</v>
      </c>
      <c r="I427" s="27">
        <f>AVERAGE(F426:F427)</f>
        <v>1.7429999999999999</v>
      </c>
      <c r="J427" s="27">
        <f>AVERAGE(G426:G427)</f>
        <v>9.9989999999999996E-4</v>
      </c>
      <c r="L427">
        <f>+J427/I427</f>
        <v>5.7366609294320144E-4</v>
      </c>
      <c r="M427">
        <f>+(L427-$L$614)/$L$615</f>
        <v>-0.19454886931494339</v>
      </c>
      <c r="N427">
        <f>+N425+M427</f>
        <v>4.6323737324519056</v>
      </c>
    </row>
    <row r="428" spans="1:14">
      <c r="A428" s="8">
        <v>9</v>
      </c>
      <c r="B428" s="71">
        <v>42887</v>
      </c>
      <c r="E428" s="15">
        <v>6</v>
      </c>
      <c r="F428" s="79">
        <v>2.71</v>
      </c>
      <c r="G428" s="79">
        <v>9.9989999999999996E-4</v>
      </c>
    </row>
    <row r="429" spans="1:14">
      <c r="A429" s="8">
        <v>10</v>
      </c>
      <c r="B429" s="71">
        <v>42887</v>
      </c>
      <c r="E429" s="15">
        <v>6</v>
      </c>
      <c r="F429" s="79">
        <v>2.5990000000000002</v>
      </c>
      <c r="G429" s="79">
        <v>9.9989999999999996E-4</v>
      </c>
      <c r="I429" s="27">
        <f>AVERAGE(F428:F429)</f>
        <v>2.6545000000000001</v>
      </c>
      <c r="J429" s="27">
        <f>AVERAGE(G428:G429)</f>
        <v>9.9989999999999996E-4</v>
      </c>
      <c r="L429">
        <f>+J429/I429</f>
        <v>3.7668110755321153E-4</v>
      </c>
      <c r="M429">
        <f>+(L429-$L$614)/$L$615</f>
        <v>-0.2087016962850389</v>
      </c>
      <c r="N429">
        <f>+N427+M429</f>
        <v>4.4236720361668667</v>
      </c>
    </row>
    <row r="430" spans="1:14">
      <c r="A430" s="8">
        <v>9</v>
      </c>
      <c r="B430" s="71">
        <v>42917</v>
      </c>
      <c r="E430" s="15">
        <v>7</v>
      </c>
      <c r="F430" s="79">
        <v>1.377</v>
      </c>
      <c r="G430" s="79">
        <v>9.9989999999999996E-4</v>
      </c>
    </row>
    <row r="431" spans="1:14">
      <c r="A431" s="8">
        <v>10</v>
      </c>
      <c r="B431" s="71">
        <v>42917</v>
      </c>
      <c r="E431" s="15">
        <v>7</v>
      </c>
      <c r="F431" s="79">
        <v>1.393</v>
      </c>
      <c r="G431" s="79">
        <v>9.9989999999999996E-4</v>
      </c>
      <c r="I431" s="27">
        <f>AVERAGE(F430:F431)</f>
        <v>1.385</v>
      </c>
      <c r="J431" s="27">
        <f>AVERAGE(G430:G431)</f>
        <v>9.9989999999999996E-4</v>
      </c>
      <c r="L431">
        <f>+J431/I431</f>
        <v>7.2194945848375448E-4</v>
      </c>
      <c r="M431">
        <f>+(L431-$L$614)/$L$615</f>
        <v>-0.18389511917818036</v>
      </c>
      <c r="N431">
        <f>+N429+M431</f>
        <v>4.2397769169886868</v>
      </c>
    </row>
    <row r="432" spans="1:14">
      <c r="A432" s="8">
        <v>9</v>
      </c>
      <c r="B432" s="71">
        <v>42948</v>
      </c>
      <c r="E432" s="15">
        <v>8</v>
      </c>
    </row>
    <row r="433" spans="1:14">
      <c r="A433" s="8">
        <v>10</v>
      </c>
      <c r="B433" s="71">
        <v>42948</v>
      </c>
      <c r="E433" s="15">
        <v>8</v>
      </c>
      <c r="I433" s="27"/>
      <c r="J433" s="27"/>
    </row>
    <row r="434" spans="1:14">
      <c r="A434" s="8">
        <v>9</v>
      </c>
      <c r="B434" s="71">
        <v>42979</v>
      </c>
      <c r="E434" s="15">
        <v>9</v>
      </c>
      <c r="F434" s="79">
        <v>0.41599999999999998</v>
      </c>
      <c r="G434" s="79">
        <v>9.9989999999999996E-4</v>
      </c>
    </row>
    <row r="435" spans="1:14">
      <c r="A435" s="8">
        <v>10</v>
      </c>
      <c r="B435" s="71">
        <v>42979</v>
      </c>
      <c r="E435" s="15">
        <v>9</v>
      </c>
      <c r="F435" s="79">
        <v>0.78500000000000003</v>
      </c>
      <c r="G435" s="79">
        <v>9.9989999999999996E-4</v>
      </c>
      <c r="I435" s="27">
        <f>AVERAGE(F434:F435)</f>
        <v>0.60050000000000003</v>
      </c>
      <c r="J435" s="27">
        <f>AVERAGE(G434:G435)</f>
        <v>9.9989999999999996E-4</v>
      </c>
      <c r="L435">
        <f>+J435/I435</f>
        <v>1.6651124063280598E-3</v>
      </c>
      <c r="M435">
        <f>+(L435-$L$614)/$L$615</f>
        <v>-0.11613146714643527</v>
      </c>
      <c r="N435">
        <f>+N431+M435</f>
        <v>4.1236454498422512</v>
      </c>
    </row>
    <row r="436" spans="1:14">
      <c r="A436" s="8">
        <v>9</v>
      </c>
      <c r="B436" s="71">
        <v>43009</v>
      </c>
      <c r="E436" s="15">
        <v>10</v>
      </c>
    </row>
    <row r="437" spans="1:14">
      <c r="A437" s="8">
        <v>10</v>
      </c>
      <c r="B437" s="71">
        <v>43009</v>
      </c>
      <c r="E437" s="15">
        <v>10</v>
      </c>
      <c r="I437" s="27"/>
      <c r="J437" s="27"/>
    </row>
    <row r="438" spans="1:14">
      <c r="A438" s="8">
        <v>9</v>
      </c>
      <c r="B438" s="71">
        <v>43040</v>
      </c>
      <c r="E438" s="15">
        <v>11</v>
      </c>
      <c r="F438" s="79">
        <v>0.19800000000000001</v>
      </c>
      <c r="G438" s="79">
        <v>9.9989999999999996E-4</v>
      </c>
    </row>
    <row r="439" spans="1:14">
      <c r="A439" s="8">
        <v>10</v>
      </c>
      <c r="B439" s="71">
        <v>43040</v>
      </c>
      <c r="E439" s="15">
        <v>11</v>
      </c>
      <c r="F439" s="79">
        <v>0.17799999999999999</v>
      </c>
      <c r="G439" s="79">
        <v>9.9989999999999996E-4</v>
      </c>
      <c r="I439" s="27">
        <f>AVERAGE(F438:F439)</f>
        <v>0.188</v>
      </c>
      <c r="J439" s="27">
        <f>AVERAGE(G438:G439)</f>
        <v>9.9989999999999996E-4</v>
      </c>
      <c r="L439">
        <f>+J439/I439</f>
        <v>5.3186170212765954E-3</v>
      </c>
      <c r="M439">
        <f>+(L439-$L$614)/$L$615</f>
        <v>0.14636274553399786</v>
      </c>
      <c r="N439">
        <f>+N435+M439</f>
        <v>4.2700081953762492</v>
      </c>
    </row>
    <row r="440" spans="1:14">
      <c r="A440" s="8">
        <v>9</v>
      </c>
      <c r="B440" s="72">
        <v>43070</v>
      </c>
      <c r="E440" s="15">
        <v>12</v>
      </c>
      <c r="F440" s="79">
        <v>0.89300000000000002</v>
      </c>
      <c r="G440" s="79">
        <v>9.9989999999999996E-4</v>
      </c>
    </row>
    <row r="441" spans="1:14">
      <c r="A441" s="8">
        <v>10</v>
      </c>
      <c r="B441" s="71">
        <v>43070</v>
      </c>
      <c r="E441" s="15">
        <v>12</v>
      </c>
      <c r="F441" s="79">
        <v>1.59</v>
      </c>
      <c r="G441" s="79">
        <v>9.9989999999999996E-4</v>
      </c>
      <c r="I441" s="27">
        <f>AVERAGE(F440:F441)</f>
        <v>1.2415</v>
      </c>
      <c r="J441" s="27">
        <f>AVERAGE(G440:G441)</f>
        <v>9.9989999999999996E-4</v>
      </c>
      <c r="L441">
        <f>+J441/I441</f>
        <v>8.0539669754329439E-4</v>
      </c>
      <c r="M441">
        <f>+(L441-$L$614)/$L$615</f>
        <v>-0.17789966559980888</v>
      </c>
      <c r="N441">
        <f>+N439+M441</f>
        <v>4.0921085297764401</v>
      </c>
    </row>
    <row r="442" spans="1:14">
      <c r="A442" s="8">
        <v>9</v>
      </c>
      <c r="B442" s="70">
        <v>43110</v>
      </c>
      <c r="E442" s="15">
        <v>1</v>
      </c>
      <c r="F442" s="77">
        <v>7.3230000000000004</v>
      </c>
      <c r="G442" s="77">
        <v>1.7999999999999999E-2</v>
      </c>
    </row>
    <row r="443" spans="1:14">
      <c r="A443" s="8">
        <v>10</v>
      </c>
      <c r="B443" s="70">
        <v>43105</v>
      </c>
      <c r="E443" s="15">
        <v>1</v>
      </c>
      <c r="F443" s="77">
        <v>8.65</v>
      </c>
      <c r="G443" s="77">
        <v>2.5000000000000001E-2</v>
      </c>
      <c r="I443">
        <v>7.9865000000000004</v>
      </c>
      <c r="J443">
        <v>2.1499999999999998E-2</v>
      </c>
      <c r="L443">
        <v>2.6920428222625679E-3</v>
      </c>
      <c r="M443">
        <f>+(L443-$L$614)/$L$615</f>
        <v>-4.2349353965194472E-2</v>
      </c>
      <c r="N443">
        <f>+N441+M443</f>
        <v>4.0497591758112454</v>
      </c>
    </row>
    <row r="444" spans="1:14">
      <c r="A444" s="8">
        <v>9</v>
      </c>
      <c r="B444" s="71">
        <v>43132</v>
      </c>
      <c r="E444" s="15">
        <v>2</v>
      </c>
      <c r="F444" s="77">
        <v>1.143</v>
      </c>
      <c r="G444" s="77">
        <v>9.9989999999999996E-4</v>
      </c>
    </row>
    <row r="445" spans="1:14">
      <c r="A445" s="8">
        <v>10</v>
      </c>
      <c r="B445" s="71">
        <v>43132</v>
      </c>
      <c r="E445" s="15">
        <v>2</v>
      </c>
      <c r="F445" s="77">
        <v>1.004</v>
      </c>
      <c r="G445" s="77">
        <v>9.9989999999999996E-4</v>
      </c>
      <c r="I445">
        <v>1.0735000000000001</v>
      </c>
      <c r="J445">
        <v>9.9989999999999996E-4</v>
      </c>
      <c r="L445">
        <v>9.3143921751280838E-4</v>
      </c>
      <c r="M445">
        <f>+(L445-$L$614)/$L$615</f>
        <v>-0.16884385877031033</v>
      </c>
      <c r="N445">
        <f>+N443+M445</f>
        <v>3.8809153170409352</v>
      </c>
    </row>
    <row r="446" spans="1:14">
      <c r="A446" s="8">
        <v>9</v>
      </c>
      <c r="B446" s="71">
        <v>43160</v>
      </c>
      <c r="E446" s="15">
        <v>3</v>
      </c>
      <c r="F446" s="77">
        <v>3.3940000000000001</v>
      </c>
      <c r="G446" s="77">
        <v>1.2999999999999999E-2</v>
      </c>
    </row>
    <row r="447" spans="1:14">
      <c r="A447" s="8">
        <v>10</v>
      </c>
      <c r="B447" s="71">
        <v>43160</v>
      </c>
      <c r="E447" s="15">
        <v>3</v>
      </c>
      <c r="F447" s="77">
        <v>3.2530000000000001</v>
      </c>
      <c r="G447" s="77">
        <v>1.4999999999999999E-2</v>
      </c>
      <c r="I447">
        <v>3.3235000000000001</v>
      </c>
      <c r="J447">
        <v>1.3999999999999999E-2</v>
      </c>
      <c r="L447">
        <v>4.2124266586429961E-3</v>
      </c>
      <c r="M447">
        <f>+(L447-$L$614)/$L$615</f>
        <v>6.6886024161831301E-2</v>
      </c>
      <c r="N447">
        <f>+N445+M447</f>
        <v>3.9478013412027666</v>
      </c>
    </row>
    <row r="448" spans="1:14">
      <c r="A448" s="8">
        <v>9</v>
      </c>
      <c r="B448" s="71">
        <v>43191</v>
      </c>
      <c r="E448" s="15">
        <v>4</v>
      </c>
      <c r="F448" s="77">
        <v>0.54100000000000004</v>
      </c>
      <c r="G448" s="77">
        <v>9.9989999999999996E-4</v>
      </c>
    </row>
    <row r="449" spans="1:14">
      <c r="A449" s="8">
        <v>10</v>
      </c>
      <c r="B449" s="71">
        <v>43191</v>
      </c>
      <c r="E449" s="15">
        <v>4</v>
      </c>
      <c r="F449" s="77">
        <v>1.1479999999999999</v>
      </c>
      <c r="G449" s="77">
        <v>9.9989999999999996E-4</v>
      </c>
      <c r="I449">
        <v>0.84450000000000003</v>
      </c>
      <c r="J449">
        <v>9.9989999999999996E-4</v>
      </c>
      <c r="L449">
        <v>1.1840142095914741E-3</v>
      </c>
      <c r="M449">
        <f>+(L449-$L$614)/$L$615</f>
        <v>-0.15069704340372023</v>
      </c>
      <c r="N449">
        <f>+N447+M449</f>
        <v>3.7971042977990463</v>
      </c>
    </row>
    <row r="450" spans="1:14">
      <c r="A450" s="8">
        <v>9</v>
      </c>
      <c r="B450" s="71">
        <v>43221</v>
      </c>
      <c r="E450" s="15">
        <v>5</v>
      </c>
      <c r="F450" s="78">
        <v>1.667</v>
      </c>
      <c r="G450" s="78">
        <v>9.9989999999999996E-4</v>
      </c>
    </row>
    <row r="451" spans="1:14">
      <c r="A451" s="8">
        <v>10</v>
      </c>
      <c r="B451" s="71">
        <v>43221</v>
      </c>
      <c r="E451" s="15">
        <v>5</v>
      </c>
      <c r="F451" s="78">
        <v>2.024</v>
      </c>
      <c r="G451" s="78">
        <v>9.9989999999999996E-4</v>
      </c>
      <c r="I451">
        <v>1.8454999999999999</v>
      </c>
      <c r="J451">
        <v>9.9989999999999996E-4</v>
      </c>
      <c r="L451">
        <v>5.4180438905445684E-4</v>
      </c>
      <c r="M451">
        <f>+(L451-$L$614)/$L$615</f>
        <v>-0.19683804471182484</v>
      </c>
      <c r="N451">
        <f>+N449+M451</f>
        <v>3.6002662530872214</v>
      </c>
    </row>
    <row r="452" spans="1:14">
      <c r="A452" s="12">
        <v>9</v>
      </c>
      <c r="B452" s="71">
        <v>43252</v>
      </c>
      <c r="E452" s="15">
        <v>6</v>
      </c>
      <c r="F452" s="78">
        <v>3.161</v>
      </c>
      <c r="G452" s="78">
        <v>9.9989999999999996E-4</v>
      </c>
    </row>
    <row r="453" spans="1:14">
      <c r="A453" s="12">
        <v>10</v>
      </c>
      <c r="B453" s="71">
        <v>43252</v>
      </c>
      <c r="E453" s="15">
        <v>6</v>
      </c>
      <c r="F453" s="78">
        <v>2.0110000000000001</v>
      </c>
      <c r="G453" s="78">
        <v>9.9989999999999996E-4</v>
      </c>
      <c r="I453">
        <v>2.5860000000000003</v>
      </c>
      <c r="J453">
        <v>9.9989999999999996E-4</v>
      </c>
      <c r="L453">
        <v>3.8665893271461709E-4</v>
      </c>
      <c r="M453">
        <f>+(L453-$L$614)/$L$615</f>
        <v>-0.20798481711393016</v>
      </c>
      <c r="N453">
        <f>+N451+M453</f>
        <v>3.3922814359732913</v>
      </c>
    </row>
    <row r="454" spans="1:14">
      <c r="A454" s="8">
        <v>9</v>
      </c>
      <c r="B454" s="71">
        <v>43282</v>
      </c>
      <c r="E454" s="15">
        <v>7</v>
      </c>
      <c r="F454" s="78">
        <v>6.1909999999999998</v>
      </c>
      <c r="G454" s="78">
        <v>0.01</v>
      </c>
    </row>
    <row r="455" spans="1:14">
      <c r="A455" s="8">
        <v>10</v>
      </c>
      <c r="B455" s="71">
        <v>43282</v>
      </c>
      <c r="E455" s="15">
        <v>7</v>
      </c>
      <c r="F455" s="78">
        <v>8.5850000000000009</v>
      </c>
      <c r="G455" s="78">
        <v>0.01</v>
      </c>
      <c r="I455">
        <v>7.3879999999999999</v>
      </c>
      <c r="J455">
        <v>0.01</v>
      </c>
      <c r="L455">
        <v>1.3535462912831618E-3</v>
      </c>
      <c r="M455">
        <f>+(L455-$L$614)/$L$615</f>
        <v>-0.13851663171745737</v>
      </c>
      <c r="N455">
        <f>+N453+M455</f>
        <v>3.2537648042558338</v>
      </c>
    </row>
    <row r="456" spans="1:14">
      <c r="A456" s="8">
        <v>9</v>
      </c>
      <c r="B456" s="71">
        <v>43313</v>
      </c>
      <c r="E456" s="15">
        <v>8</v>
      </c>
      <c r="F456" s="78">
        <v>1.9279999999999999</v>
      </c>
      <c r="G456" s="78">
        <v>9.9989999999999996E-4</v>
      </c>
    </row>
    <row r="457" spans="1:14">
      <c r="A457" s="8">
        <v>10</v>
      </c>
      <c r="B457" s="71">
        <v>43313</v>
      </c>
      <c r="E457" s="15">
        <v>8</v>
      </c>
      <c r="F457" s="78">
        <v>3.03</v>
      </c>
      <c r="G457" s="78">
        <v>9.9989999999999996E-4</v>
      </c>
      <c r="I457">
        <v>2.4790000000000001</v>
      </c>
      <c r="J457">
        <v>9.9989999999999996E-4</v>
      </c>
      <c r="L457">
        <v>4.0334812424364661E-4</v>
      </c>
      <c r="M457">
        <f>+(L457-$L$614)/$L$615</f>
        <v>-0.20678574481147263</v>
      </c>
      <c r="N457">
        <f>+N455+M457</f>
        <v>3.0469790594443613</v>
      </c>
    </row>
    <row r="458" spans="1:14">
      <c r="A458" s="8">
        <v>9</v>
      </c>
      <c r="B458" s="71">
        <v>43344</v>
      </c>
      <c r="E458" s="15">
        <v>9</v>
      </c>
      <c r="F458" s="78">
        <v>2.2989999999999999</v>
      </c>
      <c r="G458" s="78">
        <v>9.9989999999999996E-4</v>
      </c>
    </row>
    <row r="459" spans="1:14">
      <c r="A459" s="8">
        <v>10</v>
      </c>
      <c r="B459" s="71">
        <v>43344</v>
      </c>
      <c r="E459" s="15">
        <v>9</v>
      </c>
      <c r="F459" s="78">
        <v>2.4009999999999998</v>
      </c>
      <c r="G459" s="78">
        <v>9.9989999999999996E-4</v>
      </c>
      <c r="I459">
        <v>2.3499999999999996</v>
      </c>
      <c r="J459">
        <v>9.9989999999999996E-4</v>
      </c>
      <c r="L459">
        <v>4.254893617021277E-4</v>
      </c>
      <c r="M459">
        <f>+(L459-$L$614)/$L$615</f>
        <v>-0.20519495807189811</v>
      </c>
      <c r="N459">
        <f>+N457+M459</f>
        <v>2.8417841013724634</v>
      </c>
    </row>
    <row r="460" spans="1:14">
      <c r="A460" s="8">
        <v>9</v>
      </c>
      <c r="B460" s="71">
        <v>43374</v>
      </c>
      <c r="E460" s="15">
        <v>10</v>
      </c>
      <c r="F460" s="78">
        <v>0.40799999999999997</v>
      </c>
      <c r="G460" s="78">
        <v>9.9989999999999996E-4</v>
      </c>
    </row>
    <row r="461" spans="1:14">
      <c r="A461" s="8">
        <v>10</v>
      </c>
      <c r="B461" s="71">
        <v>43374</v>
      </c>
      <c r="E461" s="15">
        <v>10</v>
      </c>
      <c r="F461" s="78">
        <v>0.91700000000000004</v>
      </c>
      <c r="G461" s="78">
        <v>9.9989999999999996E-4</v>
      </c>
      <c r="I461">
        <v>0.66249999999999998</v>
      </c>
      <c r="J461">
        <v>9.9989999999999996E-4</v>
      </c>
      <c r="L461">
        <v>1.5092830188679245E-3</v>
      </c>
      <c r="M461">
        <f>+(L461-$L$614)/$L$615</f>
        <v>-0.12732737810996872</v>
      </c>
      <c r="N461">
        <f>+N459+M461</f>
        <v>2.7144567232624945</v>
      </c>
    </row>
    <row r="462" spans="1:14">
      <c r="A462" s="8">
        <v>9</v>
      </c>
      <c r="B462" s="71">
        <v>43405</v>
      </c>
      <c r="E462" s="15">
        <v>11</v>
      </c>
      <c r="F462" s="78"/>
      <c r="G462" s="78"/>
    </row>
    <row r="463" spans="1:14">
      <c r="A463" s="8">
        <v>10</v>
      </c>
      <c r="B463" s="71">
        <v>43405</v>
      </c>
      <c r="E463" s="15">
        <v>11</v>
      </c>
    </row>
    <row r="464" spans="1:14">
      <c r="A464" s="8">
        <v>9</v>
      </c>
      <c r="B464" s="72">
        <v>43435</v>
      </c>
      <c r="E464" s="15">
        <v>12</v>
      </c>
    </row>
    <row r="465" spans="1:14">
      <c r="A465" s="8">
        <v>10</v>
      </c>
      <c r="B465" s="71">
        <v>43435</v>
      </c>
      <c r="E465" s="15">
        <v>12</v>
      </c>
    </row>
    <row r="466" spans="1:14">
      <c r="A466" s="8">
        <v>9</v>
      </c>
      <c r="B466" s="70">
        <v>43475</v>
      </c>
      <c r="E466" s="15">
        <v>1</v>
      </c>
    </row>
    <row r="467" spans="1:14">
      <c r="A467" s="8">
        <v>10</v>
      </c>
      <c r="B467" s="70">
        <v>43470</v>
      </c>
      <c r="E467" s="15">
        <v>1</v>
      </c>
    </row>
    <row r="468" spans="1:14">
      <c r="A468" s="8">
        <v>9</v>
      </c>
      <c r="B468" s="71">
        <v>43497</v>
      </c>
      <c r="E468" s="15">
        <v>2</v>
      </c>
    </row>
    <row r="469" spans="1:14">
      <c r="A469" s="8">
        <v>10</v>
      </c>
      <c r="B469" s="71">
        <v>43497</v>
      </c>
      <c r="E469" s="15">
        <v>2</v>
      </c>
    </row>
    <row r="470" spans="1:14">
      <c r="A470" s="8">
        <v>9</v>
      </c>
      <c r="B470" s="71">
        <v>43525</v>
      </c>
      <c r="E470" s="15">
        <v>3</v>
      </c>
      <c r="F470" s="83">
        <v>0.44400000000000001</v>
      </c>
      <c r="G470" s="83">
        <v>9.9989999999999996E-4</v>
      </c>
    </row>
    <row r="471" spans="1:14">
      <c r="A471" s="8">
        <v>10</v>
      </c>
      <c r="B471" s="71">
        <v>43525</v>
      </c>
      <c r="E471" s="15">
        <v>3</v>
      </c>
      <c r="F471" s="83">
        <v>0.70199999999999996</v>
      </c>
      <c r="G471" s="83">
        <v>9.9989999999999996E-4</v>
      </c>
      <c r="I471" s="27">
        <f>AVERAGE(F470:F471)</f>
        <v>0.57299999999999995</v>
      </c>
      <c r="J471" s="27">
        <f>AVERAGE(G470:G471)</f>
        <v>9.9989999999999996E-4</v>
      </c>
      <c r="L471">
        <f>+J471/I471</f>
        <v>1.7450261780104714E-3</v>
      </c>
      <c r="M471">
        <f>+(L471-$L$614)/$L$615</f>
        <v>-0.11038988343684578</v>
      </c>
      <c r="N471">
        <f>+N461+M471</f>
        <v>2.6040668398256486</v>
      </c>
    </row>
    <row r="472" spans="1:14">
      <c r="A472" s="8">
        <v>9</v>
      </c>
      <c r="B472" s="71">
        <v>43556</v>
      </c>
      <c r="E472" s="15">
        <v>4</v>
      </c>
      <c r="F472" s="77">
        <v>1.5860000000000001</v>
      </c>
      <c r="G472" s="83">
        <v>9.9989999999999996E-4</v>
      </c>
    </row>
    <row r="473" spans="1:14">
      <c r="A473" s="8">
        <v>10</v>
      </c>
      <c r="B473" s="71">
        <v>43556</v>
      </c>
      <c r="E473" s="15">
        <v>4</v>
      </c>
      <c r="F473" s="77">
        <v>1.992</v>
      </c>
      <c r="G473" s="83">
        <v>9.9989999999999996E-4</v>
      </c>
      <c r="I473" s="27">
        <f>AVERAGE(F472:F473)</f>
        <v>1.7890000000000001</v>
      </c>
      <c r="J473" s="27">
        <f>AVERAGE(G472:G473)</f>
        <v>9.9989999999999996E-4</v>
      </c>
      <c r="L473">
        <f>+J473/I473</f>
        <v>5.5891559530463935E-4</v>
      </c>
      <c r="M473">
        <f>+(L473-$L$614)/$L$615</f>
        <v>-0.19560865181759488</v>
      </c>
      <c r="N473">
        <f>+N471+M473</f>
        <v>2.4084581880080536</v>
      </c>
    </row>
    <row r="474" spans="1:14">
      <c r="A474" s="8">
        <v>9</v>
      </c>
      <c r="B474" s="71">
        <v>43586</v>
      </c>
      <c r="E474" s="15">
        <v>5</v>
      </c>
      <c r="F474" s="77">
        <v>0.50700000000000001</v>
      </c>
      <c r="G474" s="83">
        <v>9.9989999999999996E-4</v>
      </c>
    </row>
    <row r="475" spans="1:14">
      <c r="A475" s="8">
        <v>10</v>
      </c>
      <c r="B475" s="71">
        <v>43586</v>
      </c>
      <c r="E475" s="15">
        <v>5</v>
      </c>
      <c r="F475" s="77">
        <v>0.747</v>
      </c>
      <c r="G475" s="83">
        <v>9.9989999999999996E-4</v>
      </c>
      <c r="I475" s="27">
        <f>AVERAGE(F474:F475)</f>
        <v>0.627</v>
      </c>
      <c r="J475" s="27">
        <f>AVERAGE(G474:G475)</f>
        <v>9.9989999999999996E-4</v>
      </c>
      <c r="L475">
        <f>+J475/I475</f>
        <v>1.5947368421052632E-3</v>
      </c>
      <c r="M475">
        <f>+(L475-$L$614)/$L$615</f>
        <v>-0.12118775700221378</v>
      </c>
      <c r="N475">
        <f>+N473+M475</f>
        <v>2.2872704310058398</v>
      </c>
    </row>
    <row r="476" spans="1:14">
      <c r="A476" s="8">
        <v>9</v>
      </c>
      <c r="B476" s="71">
        <v>43617</v>
      </c>
      <c r="E476" s="15">
        <v>6</v>
      </c>
      <c r="F476" s="78">
        <v>1.6539999999999999</v>
      </c>
      <c r="G476" s="78">
        <v>9.9989999999999996E-4</v>
      </c>
    </row>
    <row r="477" spans="1:14">
      <c r="A477" s="8">
        <v>10</v>
      </c>
      <c r="B477" s="71">
        <v>43617</v>
      </c>
      <c r="E477" s="15">
        <v>6</v>
      </c>
      <c r="F477" s="78">
        <v>2.0870000000000002</v>
      </c>
      <c r="G477" s="78">
        <v>9.9989999999999996E-4</v>
      </c>
      <c r="I477" s="27">
        <f>AVERAGE(F476:F477)</f>
        <v>1.8705000000000001</v>
      </c>
      <c r="J477" s="27">
        <f>AVERAGE(G476:G477)</f>
        <v>9.9989999999999996E-4</v>
      </c>
      <c r="L477">
        <f>+J477/I477</f>
        <v>5.3456295108259824E-4</v>
      </c>
      <c r="M477">
        <f>+(L477-$L$614)/$L$615</f>
        <v>-0.19735832202345593</v>
      </c>
      <c r="N477">
        <f>+N475+M477</f>
        <v>2.089912108982384</v>
      </c>
    </row>
    <row r="478" spans="1:14">
      <c r="A478" s="8">
        <v>9</v>
      </c>
      <c r="B478" s="71">
        <v>43647</v>
      </c>
      <c r="E478" s="15">
        <v>7</v>
      </c>
      <c r="F478" s="78">
        <v>6.5380000000000003</v>
      </c>
      <c r="G478" s="78">
        <v>9.9989999999999996E-4</v>
      </c>
    </row>
    <row r="479" spans="1:14">
      <c r="A479" s="8">
        <v>10</v>
      </c>
      <c r="B479" s="71">
        <v>43647</v>
      </c>
      <c r="E479" s="15">
        <v>7</v>
      </c>
      <c r="F479" s="78">
        <v>4.4180000000000001</v>
      </c>
      <c r="G479" s="78">
        <v>9.9989999999999996E-4</v>
      </c>
      <c r="I479" s="27">
        <f>AVERAGE(F478:F479)</f>
        <v>5.4779999999999998</v>
      </c>
      <c r="J479" s="27">
        <f>AVERAGE(G478:G479)</f>
        <v>9.9989999999999996E-4</v>
      </c>
      <c r="L479">
        <f>+J479/I479</f>
        <v>1.8253012048192771E-4</v>
      </c>
      <c r="M479">
        <f>+(L479-$L$614)/$L$615</f>
        <v>-0.22265090830570675</v>
      </c>
      <c r="N479">
        <f>+N477+M479</f>
        <v>1.8672612006766773</v>
      </c>
    </row>
    <row r="480" spans="1:14">
      <c r="A480" s="8">
        <v>9</v>
      </c>
      <c r="B480" s="71">
        <v>43678</v>
      </c>
      <c r="E480" s="15">
        <v>8</v>
      </c>
    </row>
    <row r="481" spans="1:14">
      <c r="A481" s="8">
        <v>10</v>
      </c>
      <c r="B481" s="71">
        <v>43678</v>
      </c>
      <c r="E481" s="15">
        <v>8</v>
      </c>
      <c r="I481" s="27"/>
      <c r="J481" s="27"/>
    </row>
    <row r="482" spans="1:14">
      <c r="A482" s="8">
        <v>9</v>
      </c>
      <c r="B482" s="71">
        <v>43709</v>
      </c>
      <c r="E482" s="15">
        <v>9</v>
      </c>
    </row>
    <row r="483" spans="1:14">
      <c r="A483" s="8">
        <v>10</v>
      </c>
      <c r="B483" s="71">
        <v>43709</v>
      </c>
      <c r="E483" s="15">
        <v>9</v>
      </c>
      <c r="I483" s="27"/>
      <c r="J483" s="27"/>
    </row>
    <row r="484" spans="1:14">
      <c r="A484" s="8">
        <v>9</v>
      </c>
      <c r="B484" s="71">
        <v>43739</v>
      </c>
      <c r="E484" s="15">
        <v>10</v>
      </c>
      <c r="F484" s="78">
        <v>3.4790000000000001</v>
      </c>
      <c r="G484" s="78">
        <v>9.9989999999999996E-4</v>
      </c>
    </row>
    <row r="485" spans="1:14">
      <c r="A485" s="8">
        <v>10</v>
      </c>
      <c r="B485" s="71">
        <v>43739</v>
      </c>
      <c r="E485" s="15">
        <v>10</v>
      </c>
      <c r="F485" s="78">
        <v>1.141</v>
      </c>
      <c r="G485" s="78">
        <v>9.9989999999999996E-4</v>
      </c>
      <c r="I485" s="27">
        <f>AVERAGE(F484:F485)</f>
        <v>2.31</v>
      </c>
      <c r="J485" s="27">
        <f>AVERAGE(G484:G485)</f>
        <v>9.9989999999999996E-4</v>
      </c>
      <c r="L485">
        <f>+J485/I485</f>
        <v>4.3285714285714282E-4</v>
      </c>
      <c r="M485">
        <f>+(L485-$L$614)/$L$615</f>
        <v>-0.20466560335161818</v>
      </c>
      <c r="N485">
        <f>+N479+M485</f>
        <v>1.6625955973250592</v>
      </c>
    </row>
    <row r="486" spans="1:14">
      <c r="A486" s="8">
        <v>9</v>
      </c>
      <c r="B486" s="71">
        <v>43770</v>
      </c>
      <c r="E486" s="15">
        <v>11</v>
      </c>
    </row>
    <row r="487" spans="1:14">
      <c r="A487" s="8">
        <v>10</v>
      </c>
      <c r="B487" s="71">
        <v>43770</v>
      </c>
      <c r="E487" s="15">
        <v>11</v>
      </c>
      <c r="I487" s="27"/>
      <c r="J487" s="27"/>
    </row>
    <row r="488" spans="1:14">
      <c r="A488" s="8">
        <v>9</v>
      </c>
      <c r="B488" s="72">
        <v>43800</v>
      </c>
      <c r="E488" s="15">
        <v>12</v>
      </c>
      <c r="F488" s="78">
        <v>2.3090000000000002</v>
      </c>
      <c r="G488" s="78">
        <v>6.0000000000000001E-3</v>
      </c>
    </row>
    <row r="489" spans="1:14">
      <c r="A489" s="8">
        <v>10</v>
      </c>
      <c r="B489" s="71">
        <v>43800</v>
      </c>
      <c r="E489" s="15">
        <v>12</v>
      </c>
      <c r="F489" s="78">
        <v>2.286</v>
      </c>
      <c r="G489" s="78">
        <v>1.7999999999999999E-2</v>
      </c>
      <c r="I489" s="27">
        <f>AVERAGE(F488:F489)</f>
        <v>2.2975000000000003</v>
      </c>
      <c r="J489" s="27">
        <f>AVERAGE(G488:G489)</f>
        <v>1.2E-2</v>
      </c>
      <c r="L489">
        <f>+J489/I489</f>
        <v>5.2230685527747548E-3</v>
      </c>
      <c r="M489">
        <f>+(L489-$L$614)/$L$615</f>
        <v>0.13949785205347737</v>
      </c>
      <c r="N489">
        <f>+N485+M489</f>
        <v>1.8020934493785365</v>
      </c>
    </row>
    <row r="490" spans="1:14">
      <c r="A490" s="85">
        <v>9</v>
      </c>
      <c r="B490" s="88">
        <v>43831</v>
      </c>
      <c r="C490" s="89">
        <v>2020</v>
      </c>
      <c r="D490" s="90" t="s">
        <v>39</v>
      </c>
      <c r="E490" s="91">
        <v>1</v>
      </c>
    </row>
    <row r="491" spans="1:14">
      <c r="A491" s="8">
        <v>10</v>
      </c>
      <c r="B491" s="73">
        <v>43831</v>
      </c>
      <c r="C491">
        <v>2020</v>
      </c>
      <c r="D491" s="11" t="s">
        <v>39</v>
      </c>
      <c r="E491" s="15">
        <v>1</v>
      </c>
    </row>
    <row r="492" spans="1:14">
      <c r="A492" s="8">
        <v>9</v>
      </c>
      <c r="B492" s="71">
        <v>43862</v>
      </c>
      <c r="C492">
        <v>2020</v>
      </c>
      <c r="D492" s="11" t="s">
        <v>28</v>
      </c>
      <c r="E492" s="15">
        <v>2</v>
      </c>
      <c r="F492" s="95">
        <v>0.32100000000000001</v>
      </c>
      <c r="G492" s="95">
        <v>9.9989999999999996E-4</v>
      </c>
    </row>
    <row r="493" spans="1:14">
      <c r="A493" s="8">
        <v>10</v>
      </c>
      <c r="B493" s="71">
        <v>43862</v>
      </c>
      <c r="C493">
        <v>2020</v>
      </c>
      <c r="D493" s="11" t="s">
        <v>28</v>
      </c>
      <c r="E493" s="15">
        <v>2</v>
      </c>
      <c r="F493" s="95">
        <v>0.10100000000000001</v>
      </c>
      <c r="G493" s="95">
        <v>9.9989999999999996E-4</v>
      </c>
      <c r="I493" s="27">
        <f>AVERAGE(F492:F493)</f>
        <v>0.21100000000000002</v>
      </c>
      <c r="J493" s="27">
        <f>AVERAGE(G492:G493)</f>
        <v>9.9989999999999996E-4</v>
      </c>
      <c r="L493">
        <f>AVERAGE(J493/I493)</f>
        <v>4.7388625592417058E-3</v>
      </c>
      <c r="M493">
        <f>+(L493-$L$614)/$L$615</f>
        <v>0.10470898918258839</v>
      </c>
      <c r="N493">
        <f>+N489+M493</f>
        <v>1.9068024385611249</v>
      </c>
    </row>
    <row r="494" spans="1:14">
      <c r="A494" s="8">
        <v>9</v>
      </c>
      <c r="B494" s="71">
        <v>43891</v>
      </c>
      <c r="C494">
        <v>2020</v>
      </c>
      <c r="D494" s="11" t="s">
        <v>29</v>
      </c>
      <c r="E494" s="15">
        <v>3</v>
      </c>
    </row>
    <row r="495" spans="1:14">
      <c r="A495" s="8">
        <v>10</v>
      </c>
      <c r="B495" s="71">
        <v>43891</v>
      </c>
      <c r="C495">
        <v>2020</v>
      </c>
      <c r="D495" s="11" t="s">
        <v>29</v>
      </c>
      <c r="E495" s="15">
        <v>3</v>
      </c>
    </row>
    <row r="496" spans="1:14">
      <c r="A496" s="8">
        <v>9</v>
      </c>
      <c r="B496" s="71">
        <v>43922</v>
      </c>
      <c r="C496">
        <v>2020</v>
      </c>
      <c r="D496" s="11" t="s">
        <v>30</v>
      </c>
      <c r="E496" s="15">
        <v>4</v>
      </c>
    </row>
    <row r="497" spans="1:14">
      <c r="A497" s="8">
        <v>10</v>
      </c>
      <c r="B497" s="71">
        <v>43922</v>
      </c>
      <c r="C497">
        <v>2020</v>
      </c>
      <c r="D497" s="11" t="s">
        <v>30</v>
      </c>
      <c r="E497" s="15">
        <v>4</v>
      </c>
    </row>
    <row r="498" spans="1:14">
      <c r="A498" s="8">
        <v>9</v>
      </c>
      <c r="B498" s="71">
        <v>43952</v>
      </c>
      <c r="C498">
        <v>2020</v>
      </c>
      <c r="D498" s="11" t="s">
        <v>31</v>
      </c>
      <c r="E498" s="15">
        <v>5</v>
      </c>
    </row>
    <row r="499" spans="1:14">
      <c r="A499" s="8">
        <v>10</v>
      </c>
      <c r="B499" s="71">
        <v>43952</v>
      </c>
      <c r="C499">
        <v>2020</v>
      </c>
      <c r="D499" s="11" t="s">
        <v>31</v>
      </c>
      <c r="E499" s="15">
        <v>5</v>
      </c>
    </row>
    <row r="500" spans="1:14">
      <c r="A500" s="8">
        <v>9</v>
      </c>
      <c r="B500" s="71">
        <v>43983</v>
      </c>
      <c r="C500">
        <v>2020</v>
      </c>
      <c r="D500" s="11" t="s">
        <v>32</v>
      </c>
      <c r="E500" s="15">
        <v>6</v>
      </c>
      <c r="F500" s="95">
        <v>2.2690000000000001</v>
      </c>
      <c r="G500" s="95">
        <v>9.9989999999999996E-4</v>
      </c>
    </row>
    <row r="501" spans="1:14">
      <c r="A501" s="8">
        <v>10</v>
      </c>
      <c r="B501" s="71">
        <v>43983</v>
      </c>
      <c r="C501">
        <v>2020</v>
      </c>
      <c r="D501" s="11" t="s">
        <v>32</v>
      </c>
      <c r="E501" s="15">
        <v>6</v>
      </c>
      <c r="F501" s="95">
        <v>2.1589999999999998</v>
      </c>
      <c r="G501" s="95">
        <v>9.9989999999999996E-4</v>
      </c>
      <c r="I501" s="27">
        <f>AVERAGE(F500:F501)</f>
        <v>2.214</v>
      </c>
      <c r="J501" s="27">
        <f>AVERAGE(G500:G501)</f>
        <v>9.9989999999999996E-4</v>
      </c>
      <c r="L501">
        <f>+J501/I501</f>
        <v>4.516260162601626E-4</v>
      </c>
      <c r="M501">
        <f>+(L501-$L$614)/$L$615</f>
        <v>-0.20331711165226016</v>
      </c>
      <c r="N501">
        <f>+N493+M501</f>
        <v>1.7034853269088648</v>
      </c>
    </row>
    <row r="502" spans="1:14">
      <c r="A502" s="8">
        <v>9</v>
      </c>
      <c r="B502" s="71">
        <v>44013</v>
      </c>
      <c r="C502">
        <v>2020</v>
      </c>
      <c r="D502" s="11" t="s">
        <v>33</v>
      </c>
      <c r="E502" s="15">
        <v>7</v>
      </c>
      <c r="F502" s="95">
        <v>7.3760000000000003</v>
      </c>
      <c r="G502" s="95">
        <v>1.4E-2</v>
      </c>
    </row>
    <row r="503" spans="1:14">
      <c r="A503" s="8">
        <v>10</v>
      </c>
      <c r="B503" s="71">
        <v>44013</v>
      </c>
      <c r="C503">
        <v>2020</v>
      </c>
      <c r="D503" s="11" t="s">
        <v>33</v>
      </c>
      <c r="E503" s="15">
        <v>7</v>
      </c>
      <c r="F503" s="95">
        <v>4.7709999999999999</v>
      </c>
      <c r="G503" s="95">
        <v>9.9989999999999996E-4</v>
      </c>
      <c r="I503" s="27">
        <f t="shared" ref="I503" si="0">AVERAGE(F502:F503)</f>
        <v>6.0735000000000001</v>
      </c>
      <c r="J503" s="27">
        <f t="shared" ref="J503" si="1">AVERAGE(G502:G503)</f>
        <v>7.49995E-3</v>
      </c>
      <c r="L503">
        <f t="shared" ref="L503" si="2">+J503/I503</f>
        <v>1.2348645756153783E-3</v>
      </c>
      <c r="M503">
        <f t="shared" ref="M503" si="3">+(L503-$L$614)/$L$615</f>
        <v>-0.14704358509430884</v>
      </c>
      <c r="N503">
        <f>+N501+M503</f>
        <v>1.556441741814556</v>
      </c>
    </row>
    <row r="504" spans="1:14">
      <c r="A504" s="8">
        <v>9</v>
      </c>
      <c r="B504" s="71">
        <v>44044</v>
      </c>
      <c r="C504">
        <v>2020</v>
      </c>
      <c r="D504" s="11" t="s">
        <v>34</v>
      </c>
      <c r="E504" s="15">
        <v>8</v>
      </c>
      <c r="F504" s="95">
        <v>2.9569999999999999</v>
      </c>
      <c r="G504" s="95">
        <v>9.9989999999999996E-4</v>
      </c>
    </row>
    <row r="505" spans="1:14">
      <c r="A505" s="8">
        <v>10</v>
      </c>
      <c r="B505" s="71">
        <v>44044</v>
      </c>
      <c r="C505">
        <v>2020</v>
      </c>
      <c r="D505" s="11" t="s">
        <v>34</v>
      </c>
      <c r="E505" s="15">
        <v>8</v>
      </c>
      <c r="F505" s="95">
        <v>1.8169999999999999</v>
      </c>
      <c r="G505" s="95">
        <v>9.9989999999999996E-4</v>
      </c>
      <c r="I505" s="27">
        <f t="shared" ref="I505" si="4">AVERAGE(F504:F505)</f>
        <v>2.387</v>
      </c>
      <c r="J505" s="27">
        <f t="shared" ref="J505" si="5">AVERAGE(G504:G505)</f>
        <v>9.9989999999999996E-4</v>
      </c>
      <c r="L505">
        <f t="shared" ref="L505" si="6">+J505/I505</f>
        <v>4.1889400921658984E-4</v>
      </c>
      <c r="M505">
        <f t="shared" ref="M505" si="7">+(L505-$L$614)/$L$615</f>
        <v>-0.20566881592634223</v>
      </c>
      <c r="N505">
        <f t="shared" ref="N505" si="8">+N503+M505</f>
        <v>1.3507729258882137</v>
      </c>
    </row>
    <row r="506" spans="1:14">
      <c r="A506" s="8">
        <v>9</v>
      </c>
      <c r="B506" s="71">
        <v>44075</v>
      </c>
      <c r="C506">
        <v>2020</v>
      </c>
      <c r="D506" s="11" t="s">
        <v>40</v>
      </c>
      <c r="E506" s="15">
        <v>9</v>
      </c>
      <c r="F506" s="95">
        <v>0.89900000000000002</v>
      </c>
      <c r="G506" s="95">
        <v>9.9989999999999996E-4</v>
      </c>
    </row>
    <row r="507" spans="1:14">
      <c r="A507" s="8">
        <v>10</v>
      </c>
      <c r="B507" s="71">
        <v>44075</v>
      </c>
      <c r="C507">
        <v>2020</v>
      </c>
      <c r="D507" s="11" t="s">
        <v>40</v>
      </c>
      <c r="E507" s="15">
        <v>9</v>
      </c>
      <c r="F507" s="95">
        <v>2.0430000000000001</v>
      </c>
      <c r="G507" s="95">
        <v>9.9989999999999996E-4</v>
      </c>
      <c r="I507" s="27">
        <f t="shared" ref="I507" si="9">AVERAGE(F506:F507)</f>
        <v>1.4710000000000001</v>
      </c>
      <c r="J507" s="27">
        <f t="shared" ref="J507" si="10">AVERAGE(G506:G507)</f>
        <v>9.9989999999999996E-4</v>
      </c>
      <c r="L507">
        <f t="shared" ref="L507" si="11">+J507/I507</f>
        <v>6.7974167233174701E-4</v>
      </c>
      <c r="M507">
        <f t="shared" ref="M507" si="12">+(L507-$L$614)/$L$615</f>
        <v>-0.18692763200151816</v>
      </c>
      <c r="N507">
        <f t="shared" ref="N507" si="13">+N505+M507</f>
        <v>1.1638452938866957</v>
      </c>
    </row>
    <row r="508" spans="1:14">
      <c r="A508" s="8">
        <v>9</v>
      </c>
      <c r="B508" s="71">
        <v>44105</v>
      </c>
      <c r="C508">
        <v>2020</v>
      </c>
      <c r="D508" s="11" t="s">
        <v>36</v>
      </c>
      <c r="E508" s="15">
        <v>10</v>
      </c>
      <c r="F508" s="95">
        <v>0.85</v>
      </c>
      <c r="G508" s="95">
        <v>9.9989999999999996E-4</v>
      </c>
    </row>
    <row r="509" spans="1:14">
      <c r="A509" s="8">
        <v>10</v>
      </c>
      <c r="B509" s="71">
        <v>44105</v>
      </c>
      <c r="C509">
        <v>2020</v>
      </c>
      <c r="D509" s="11" t="s">
        <v>36</v>
      </c>
      <c r="E509" s="15">
        <v>10</v>
      </c>
      <c r="F509" s="95">
        <v>1.034</v>
      </c>
      <c r="G509" s="95">
        <v>9.9989999999999996E-4</v>
      </c>
      <c r="I509" s="27">
        <f t="shared" ref="I509" si="14">AVERAGE(F508:F509)</f>
        <v>0.94199999999999995</v>
      </c>
      <c r="J509" s="27">
        <f t="shared" ref="J509" si="15">AVERAGE(G508:G509)</f>
        <v>9.9989999999999996E-4</v>
      </c>
      <c r="L509">
        <f t="shared" ref="L509" si="16">+J509/I509</f>
        <v>1.0614649681528663E-3</v>
      </c>
      <c r="M509">
        <f t="shared" ref="M509" si="17">+(L509-$L$614)/$L$615</f>
        <v>-0.15950186782200412</v>
      </c>
      <c r="N509">
        <f t="shared" ref="N509" si="18">+N507+M509</f>
        <v>1.0043434260646915</v>
      </c>
    </row>
    <row r="510" spans="1:14">
      <c r="A510" s="8">
        <v>9</v>
      </c>
      <c r="B510" s="71">
        <v>44136</v>
      </c>
      <c r="C510">
        <v>2020</v>
      </c>
      <c r="D510" s="11" t="s">
        <v>37</v>
      </c>
      <c r="E510" s="15">
        <v>11</v>
      </c>
      <c r="F510" s="87">
        <v>0.47699999999999998</v>
      </c>
      <c r="G510" s="86">
        <v>9.9989999999999996E-4</v>
      </c>
      <c r="H510" s="93" t="s">
        <v>100</v>
      </c>
    </row>
    <row r="511" spans="1:14">
      <c r="A511" s="8">
        <v>10</v>
      </c>
      <c r="B511" s="71">
        <v>44136</v>
      </c>
      <c r="C511">
        <v>2020</v>
      </c>
      <c r="D511" s="11" t="s">
        <v>37</v>
      </c>
      <c r="E511" s="15">
        <v>11</v>
      </c>
      <c r="F511" s="87">
        <v>0.36699999999999999</v>
      </c>
      <c r="G511" s="86">
        <v>9.9989999999999996E-4</v>
      </c>
      <c r="H511" s="93" t="s">
        <v>100</v>
      </c>
      <c r="I511" s="27">
        <f t="shared" ref="I511" si="19">AVERAGE(F510:F511)</f>
        <v>0.42199999999999999</v>
      </c>
      <c r="J511" s="27">
        <f t="shared" ref="J511" si="20">AVERAGE(G510:G511)</f>
        <v>9.9989999999999996E-4</v>
      </c>
      <c r="L511">
        <f t="shared" ref="L511" si="21">+J511/I511</f>
        <v>2.3694312796208529E-3</v>
      </c>
      <c r="M511">
        <f t="shared" ref="M511" si="22">+(L511-$L$614)/$L$615</f>
        <v>-6.5528101992737287E-2</v>
      </c>
      <c r="N511">
        <f t="shared" ref="N511" si="23">+N509+M511</f>
        <v>0.93881532407195423</v>
      </c>
    </row>
    <row r="512" spans="1:14">
      <c r="A512" s="8">
        <v>9</v>
      </c>
      <c r="B512" s="72">
        <v>44166</v>
      </c>
      <c r="C512">
        <v>2020</v>
      </c>
      <c r="D512" s="11" t="s">
        <v>38</v>
      </c>
      <c r="E512" s="15">
        <v>12</v>
      </c>
    </row>
    <row r="513" spans="1:14">
      <c r="A513" s="8">
        <v>10</v>
      </c>
      <c r="B513" s="71">
        <v>44166</v>
      </c>
      <c r="C513">
        <v>2020</v>
      </c>
      <c r="D513" s="11" t="s">
        <v>38</v>
      </c>
      <c r="E513" s="15">
        <v>12</v>
      </c>
      <c r="I513" s="27"/>
      <c r="J513" s="27"/>
    </row>
    <row r="514" spans="1:14">
      <c r="A514" s="85">
        <v>9</v>
      </c>
      <c r="B514" s="88">
        <v>44197</v>
      </c>
      <c r="C514" s="89">
        <v>2021</v>
      </c>
      <c r="D514" s="90" t="s">
        <v>39</v>
      </c>
      <c r="E514" s="91">
        <v>1</v>
      </c>
    </row>
    <row r="515" spans="1:14">
      <c r="A515" s="8">
        <v>10</v>
      </c>
      <c r="B515" s="73">
        <v>44197</v>
      </c>
      <c r="C515">
        <v>2021</v>
      </c>
      <c r="D515" s="11" t="s">
        <v>39</v>
      </c>
      <c r="E515" s="15">
        <v>1</v>
      </c>
      <c r="I515" s="27"/>
      <c r="J515" s="27"/>
    </row>
    <row r="516" spans="1:14">
      <c r="A516" s="8">
        <v>9</v>
      </c>
      <c r="B516" s="71">
        <v>44228</v>
      </c>
      <c r="C516">
        <v>2021</v>
      </c>
      <c r="D516" s="11" t="s">
        <v>28</v>
      </c>
      <c r="E516" s="15">
        <v>2</v>
      </c>
      <c r="F516" s="95">
        <v>1.8140000000000001</v>
      </c>
      <c r="G516" s="95">
        <v>9.9989999999999996E-4</v>
      </c>
    </row>
    <row r="517" spans="1:14">
      <c r="A517" s="8">
        <v>10</v>
      </c>
      <c r="B517" s="71">
        <v>44228</v>
      </c>
      <c r="C517">
        <v>2021</v>
      </c>
      <c r="D517" s="11" t="s">
        <v>28</v>
      </c>
      <c r="E517" s="15">
        <v>2</v>
      </c>
      <c r="F517" s="95">
        <v>3.0790000000000002</v>
      </c>
      <c r="G517" s="95">
        <v>1.0999999999999999E-2</v>
      </c>
      <c r="I517" s="27">
        <f t="shared" ref="I517" si="24">AVERAGE(F516:F517)</f>
        <v>2.4465000000000003</v>
      </c>
      <c r="J517" s="27">
        <f t="shared" ref="J517" si="25">AVERAGE(G516:G517)</f>
        <v>5.9999499999999996E-3</v>
      </c>
      <c r="L517">
        <f t="shared" ref="L517" si="26">+J517/I517</f>
        <v>2.4524627018189245E-3</v>
      </c>
      <c r="M517">
        <f t="shared" ref="M517" si="27">+(L517-$L$614)/$L$615</f>
        <v>-5.9562523707043388E-2</v>
      </c>
      <c r="N517">
        <f>+N511+M517</f>
        <v>0.87925280036491082</v>
      </c>
    </row>
    <row r="518" spans="1:14">
      <c r="A518" s="8">
        <v>9</v>
      </c>
      <c r="B518" s="71">
        <v>44256</v>
      </c>
      <c r="C518">
        <v>2021</v>
      </c>
      <c r="D518" s="11" t="s">
        <v>29</v>
      </c>
      <c r="E518" s="15">
        <v>3</v>
      </c>
      <c r="F518" s="95">
        <v>1.944</v>
      </c>
      <c r="G518" s="95">
        <v>8.0000000000000002E-3</v>
      </c>
    </row>
    <row r="519" spans="1:14">
      <c r="A519" s="8">
        <v>10</v>
      </c>
      <c r="B519" s="71">
        <v>44256</v>
      </c>
      <c r="C519">
        <v>2021</v>
      </c>
      <c r="D519" s="11" t="s">
        <v>29</v>
      </c>
      <c r="E519" s="15">
        <v>3</v>
      </c>
      <c r="F519" s="95">
        <v>2.294</v>
      </c>
      <c r="G519" s="95">
        <v>8.9999999999999993E-3</v>
      </c>
      <c r="I519" s="27">
        <f t="shared" ref="I519" si="28">AVERAGE(F518:F519)</f>
        <v>2.1189999999999998</v>
      </c>
      <c r="J519" s="27">
        <f t="shared" ref="J519" si="29">AVERAGE(G518:G519)</f>
        <v>8.5000000000000006E-3</v>
      </c>
      <c r="L519">
        <f t="shared" ref="L519" si="30">+J519/I519</f>
        <v>4.0113260972156686E-3</v>
      </c>
      <c r="M519">
        <f t="shared" ref="M519" si="31">+(L519-$L$614)/$L$615</f>
        <v>5.2437504423967773E-2</v>
      </c>
      <c r="N519">
        <f t="shared" ref="N519" si="32">+N517+M519</f>
        <v>0.9316903047888786</v>
      </c>
    </row>
    <row r="520" spans="1:14">
      <c r="A520" s="8">
        <v>9</v>
      </c>
      <c r="B520" s="71">
        <v>44287</v>
      </c>
      <c r="C520">
        <v>2021</v>
      </c>
      <c r="D520" s="11" t="s">
        <v>30</v>
      </c>
      <c r="E520" s="15">
        <v>4</v>
      </c>
      <c r="F520" s="95">
        <v>0.49099999999999999</v>
      </c>
      <c r="G520" s="95">
        <v>7.0000000000000001E-3</v>
      </c>
    </row>
    <row r="521" spans="1:14">
      <c r="A521" s="8">
        <v>10</v>
      </c>
      <c r="B521" s="71">
        <v>44287</v>
      </c>
      <c r="C521">
        <v>2021</v>
      </c>
      <c r="D521" s="11" t="s">
        <v>30</v>
      </c>
      <c r="E521" s="15">
        <v>4</v>
      </c>
      <c r="F521" s="95">
        <v>0.92900000000000005</v>
      </c>
      <c r="G521" s="95">
        <v>8.0000000000000002E-3</v>
      </c>
      <c r="I521" s="27">
        <f t="shared" ref="I521" si="33">AVERAGE(F520:F521)</f>
        <v>0.71</v>
      </c>
      <c r="J521" s="27">
        <f t="shared" ref="J521" si="34">AVERAGE(G520:G521)</f>
        <v>7.4999999999999997E-3</v>
      </c>
      <c r="L521">
        <f t="shared" ref="L521" si="35">+J521/I521</f>
        <v>1.0563380281690141E-2</v>
      </c>
      <c r="M521">
        <f t="shared" ref="M521" si="36">+(L521-$L$614)/$L$615</f>
        <v>0.52318449556124069</v>
      </c>
      <c r="N521">
        <f t="shared" ref="N521" si="37">+N519+M521</f>
        <v>1.4548748003501193</v>
      </c>
    </row>
    <row r="522" spans="1:14">
      <c r="A522" s="8">
        <v>9</v>
      </c>
      <c r="B522" s="71">
        <v>44317</v>
      </c>
      <c r="C522">
        <v>2021</v>
      </c>
      <c r="D522" s="11" t="s">
        <v>31</v>
      </c>
      <c r="E522" s="15">
        <v>5</v>
      </c>
      <c r="F522" s="95">
        <v>1.1020000000000001</v>
      </c>
      <c r="G522" s="95">
        <v>6.0000000000000001E-3</v>
      </c>
    </row>
    <row r="523" spans="1:14">
      <c r="A523" s="8">
        <v>10</v>
      </c>
      <c r="B523" s="71">
        <v>44317</v>
      </c>
      <c r="C523">
        <v>2021</v>
      </c>
      <c r="D523" s="11" t="s">
        <v>31</v>
      </c>
      <c r="E523" s="15">
        <v>5</v>
      </c>
      <c r="F523" s="95">
        <v>1.2370000000000001</v>
      </c>
      <c r="G523" s="95">
        <v>9.9989999999999996E-4</v>
      </c>
      <c r="I523" s="27">
        <f t="shared" ref="I523" si="38">AVERAGE(F522:F523)</f>
        <v>1.1695000000000002</v>
      </c>
      <c r="J523" s="27">
        <f t="shared" ref="J523" si="39">AVERAGE(G522:G523)</f>
        <v>3.4999499999999999E-3</v>
      </c>
      <c r="L523">
        <f t="shared" ref="L523" si="40">+J523/I523</f>
        <v>2.992689183411714E-3</v>
      </c>
      <c r="M523">
        <f t="shared" ref="M523" si="41">+(L523-$L$614)/$L$615</f>
        <v>-2.0748743542482871E-2</v>
      </c>
      <c r="N523">
        <f t="shared" ref="N523" si="42">+N521+M523</f>
        <v>1.4341260568076364</v>
      </c>
    </row>
    <row r="524" spans="1:14">
      <c r="A524" s="8">
        <v>9</v>
      </c>
      <c r="B524" s="71">
        <v>44348</v>
      </c>
      <c r="C524">
        <v>2021</v>
      </c>
      <c r="D524" s="11" t="s">
        <v>32</v>
      </c>
      <c r="E524" s="15">
        <v>6</v>
      </c>
      <c r="F524" s="95">
        <v>4.4279999999999999</v>
      </c>
      <c r="G524" s="95">
        <v>9.9989999999999996E-4</v>
      </c>
    </row>
    <row r="525" spans="1:14">
      <c r="A525" s="8">
        <v>10</v>
      </c>
      <c r="B525" s="71">
        <v>44348</v>
      </c>
      <c r="C525">
        <v>2021</v>
      </c>
      <c r="D525" s="11" t="s">
        <v>32</v>
      </c>
      <c r="E525" s="15">
        <v>6</v>
      </c>
      <c r="F525" s="95">
        <v>7.2560000000000002</v>
      </c>
      <c r="G525" s="95">
        <v>8.0000000000000002E-3</v>
      </c>
      <c r="I525" s="27">
        <f t="shared" ref="I525" si="43">AVERAGE(F524:F525)</f>
        <v>5.8420000000000005</v>
      </c>
      <c r="J525" s="27">
        <f t="shared" ref="J525" si="44">AVERAGE(G524:G525)</f>
        <v>4.49995E-3</v>
      </c>
      <c r="L525">
        <f t="shared" ref="L525" si="45">+J525/I525</f>
        <v>7.7027559055118104E-4</v>
      </c>
      <c r="M525">
        <f t="shared" ref="M525" si="46">+(L525-$L$614)/$L$615</f>
        <v>-0.18042302010458755</v>
      </c>
      <c r="N525">
        <f t="shared" ref="N525" si="47">+N523+M525</f>
        <v>1.2537030367030488</v>
      </c>
    </row>
    <row r="526" spans="1:14">
      <c r="A526" s="8">
        <v>9</v>
      </c>
      <c r="B526" s="71">
        <v>44378</v>
      </c>
      <c r="C526">
        <v>2021</v>
      </c>
      <c r="D526" s="11" t="s">
        <v>33</v>
      </c>
      <c r="E526" s="15">
        <v>7</v>
      </c>
      <c r="H526" s="93" t="s">
        <v>96</v>
      </c>
    </row>
    <row r="527" spans="1:14">
      <c r="A527" s="8">
        <v>10</v>
      </c>
      <c r="B527" s="71">
        <v>44378</v>
      </c>
      <c r="C527">
        <v>2021</v>
      </c>
      <c r="D527" s="11" t="s">
        <v>33</v>
      </c>
      <c r="E527" s="15">
        <v>7</v>
      </c>
      <c r="H527" s="93" t="s">
        <v>97</v>
      </c>
      <c r="I527" s="27"/>
      <c r="J527" s="27"/>
    </row>
    <row r="528" spans="1:14">
      <c r="A528" s="8">
        <v>9</v>
      </c>
      <c r="B528" s="71">
        <v>44409</v>
      </c>
      <c r="C528">
        <v>2021</v>
      </c>
      <c r="D528" s="11" t="s">
        <v>34</v>
      </c>
      <c r="E528" s="15">
        <v>8</v>
      </c>
      <c r="F528" s="95">
        <v>1.7909999999999999</v>
      </c>
      <c r="G528" s="95">
        <v>9.9989999999999996E-4</v>
      </c>
    </row>
    <row r="529" spans="1:14">
      <c r="A529" s="8">
        <v>10</v>
      </c>
      <c r="B529" s="71">
        <v>44409</v>
      </c>
      <c r="C529">
        <v>2021</v>
      </c>
      <c r="D529" s="11" t="s">
        <v>34</v>
      </c>
      <c r="E529" s="15">
        <v>8</v>
      </c>
      <c r="F529" s="95">
        <v>2.581</v>
      </c>
      <c r="G529" s="95">
        <v>9.9989999999999996E-4</v>
      </c>
      <c r="I529" s="27">
        <f t="shared" ref="I529" si="48">AVERAGE(F528:F529)</f>
        <v>2.1859999999999999</v>
      </c>
      <c r="J529" s="27">
        <f t="shared" ref="J529" si="49">AVERAGE(G528:G529)</f>
        <v>9.9989999999999996E-4</v>
      </c>
      <c r="L529">
        <f t="shared" ref="L529" si="50">+J529/I529</f>
        <v>4.5741079597438243E-4</v>
      </c>
      <c r="M529">
        <f t="shared" ref="M529" si="51">+(L529-$L$614)/$L$615</f>
        <v>-0.20290149121198453</v>
      </c>
      <c r="N529">
        <f>+N525+M529</f>
        <v>1.0508015454910642</v>
      </c>
    </row>
    <row r="530" spans="1:14">
      <c r="A530" s="8">
        <v>9</v>
      </c>
      <c r="B530" s="71">
        <v>44440</v>
      </c>
      <c r="C530">
        <v>2021</v>
      </c>
      <c r="D530" s="11" t="s">
        <v>40</v>
      </c>
      <c r="E530" s="15">
        <v>9</v>
      </c>
      <c r="F530" s="95">
        <v>1.242</v>
      </c>
      <c r="G530" s="95">
        <v>9.9989999999999996E-4</v>
      </c>
    </row>
    <row r="531" spans="1:14">
      <c r="A531" s="8">
        <v>10</v>
      </c>
      <c r="B531" s="71">
        <v>44440</v>
      </c>
      <c r="C531">
        <v>2021</v>
      </c>
      <c r="D531" s="11" t="s">
        <v>40</v>
      </c>
      <c r="E531" s="15">
        <v>9</v>
      </c>
      <c r="F531" s="95">
        <v>1.141</v>
      </c>
      <c r="G531" s="95">
        <v>9.9989999999999996E-4</v>
      </c>
      <c r="I531" s="27">
        <f t="shared" ref="I531" si="52">AVERAGE(F530:F531)</f>
        <v>1.1915</v>
      </c>
      <c r="J531" s="27">
        <f t="shared" ref="J531" si="53">AVERAGE(G530:G531)</f>
        <v>9.9989999999999996E-4</v>
      </c>
      <c r="L531">
        <f t="shared" ref="L531" si="54">+J531/I531</f>
        <v>8.3919429290809896E-4</v>
      </c>
      <c r="M531">
        <f t="shared" ref="M531" si="55">+(L531-$L$614)/$L$615</f>
        <v>-0.17547140174885403</v>
      </c>
      <c r="N531">
        <f t="shared" ref="N531" si="56">+N529+M531</f>
        <v>0.87533014374221019</v>
      </c>
    </row>
    <row r="532" spans="1:14">
      <c r="A532" s="8">
        <v>9</v>
      </c>
      <c r="B532" s="71">
        <v>44470</v>
      </c>
      <c r="C532">
        <v>2021</v>
      </c>
      <c r="D532" s="11" t="s">
        <v>36</v>
      </c>
      <c r="E532" s="15">
        <v>10</v>
      </c>
      <c r="F532" s="95">
        <v>1.8680000000000001</v>
      </c>
      <c r="G532" s="95">
        <v>7.0000000000000001E-3</v>
      </c>
    </row>
    <row r="533" spans="1:14">
      <c r="A533" s="8">
        <v>10</v>
      </c>
      <c r="B533" s="71">
        <v>44470</v>
      </c>
      <c r="C533">
        <v>2021</v>
      </c>
      <c r="D533" s="11" t="s">
        <v>36</v>
      </c>
      <c r="E533" s="15">
        <v>10</v>
      </c>
      <c r="F533" s="95">
        <v>1.8009999999999999</v>
      </c>
      <c r="G533" s="95">
        <v>6.0000000000000001E-3</v>
      </c>
      <c r="I533" s="27">
        <f t="shared" ref="I533" si="57">AVERAGE(F532:F533)</f>
        <v>1.8345</v>
      </c>
      <c r="J533" s="27">
        <f t="shared" ref="J533" si="58">AVERAGE(G532:G533)</f>
        <v>6.5000000000000006E-3</v>
      </c>
      <c r="L533">
        <f t="shared" ref="L533" si="59">+J533/I533</f>
        <v>3.5431997819569366E-3</v>
      </c>
      <c r="M533">
        <f t="shared" ref="M533" si="60">+(L533-$L$614)/$L$615</f>
        <v>1.8803922012148644E-2</v>
      </c>
      <c r="N533">
        <f t="shared" ref="N533" si="61">+N531+M533</f>
        <v>0.89413406575435883</v>
      </c>
    </row>
    <row r="534" spans="1:14">
      <c r="A534" s="8">
        <v>9</v>
      </c>
      <c r="B534" s="71">
        <v>44501</v>
      </c>
      <c r="C534">
        <v>2021</v>
      </c>
      <c r="D534" s="11" t="s">
        <v>37</v>
      </c>
      <c r="E534" s="15">
        <v>11</v>
      </c>
      <c r="F534" s="95">
        <v>1.008</v>
      </c>
      <c r="G534" s="95">
        <v>9.9989999999999996E-4</v>
      </c>
    </row>
    <row r="535" spans="1:14">
      <c r="A535" s="8">
        <v>10</v>
      </c>
      <c r="B535" s="71">
        <v>44501</v>
      </c>
      <c r="C535">
        <v>2021</v>
      </c>
      <c r="D535" s="11" t="s">
        <v>37</v>
      </c>
      <c r="E535" s="15">
        <v>11</v>
      </c>
      <c r="F535" s="95">
        <v>1.512</v>
      </c>
      <c r="G535" s="95">
        <v>9.9989999999999996E-4</v>
      </c>
      <c r="I535" s="27">
        <f t="shared" ref="I535" si="62">AVERAGE(F534:F535)</f>
        <v>1.26</v>
      </c>
      <c r="J535" s="27">
        <f t="shared" ref="J535" si="63">AVERAGE(G534:G535)</f>
        <v>9.9989999999999996E-4</v>
      </c>
      <c r="L535">
        <f t="shared" ref="L535" si="64">+J535/I535</f>
        <v>7.9357142857142853E-4</v>
      </c>
      <c r="M535">
        <f t="shared" ref="M535" si="65">+(L535-$L$614)/$L$615</f>
        <v>-0.17874927850458086</v>
      </c>
      <c r="N535">
        <f t="shared" ref="N535" si="66">+N533+M535</f>
        <v>0.71538478724977794</v>
      </c>
    </row>
    <row r="536" spans="1:14">
      <c r="A536" s="8">
        <v>9</v>
      </c>
      <c r="B536" s="72">
        <v>44531</v>
      </c>
      <c r="C536">
        <v>2021</v>
      </c>
      <c r="D536" s="11" t="s">
        <v>38</v>
      </c>
      <c r="E536" s="15">
        <v>12</v>
      </c>
      <c r="F536" s="95">
        <v>12.759</v>
      </c>
      <c r="G536" s="95">
        <v>9.9989999999999996E-4</v>
      </c>
    </row>
    <row r="537" spans="1:14">
      <c r="A537" s="8">
        <v>10</v>
      </c>
      <c r="B537" s="71">
        <v>44531</v>
      </c>
      <c r="C537">
        <v>2021</v>
      </c>
      <c r="D537" s="11" t="s">
        <v>38</v>
      </c>
      <c r="E537" s="15">
        <v>12</v>
      </c>
      <c r="F537" s="95">
        <v>12.851000000000001</v>
      </c>
      <c r="G537" s="95">
        <v>8.9999999999999993E-3</v>
      </c>
      <c r="I537" s="27">
        <f t="shared" ref="I537:J537" si="67">AVERAGE(F536:F537)</f>
        <v>12.805</v>
      </c>
      <c r="J537" s="27">
        <f t="shared" si="67"/>
        <v>4.9999499999999995E-3</v>
      </c>
      <c r="L537">
        <f t="shared" ref="L537" si="68">+J537/I537</f>
        <v>3.9046856696602886E-4</v>
      </c>
      <c r="M537">
        <f t="shared" ref="M537" si="69">+(L537-$L$614)/$L$615</f>
        <v>-0.20771110541822485</v>
      </c>
      <c r="N537">
        <f t="shared" ref="N537" si="70">+N535+M537</f>
        <v>0.50767368183155304</v>
      </c>
    </row>
    <row r="538" spans="1:14">
      <c r="A538" s="85">
        <v>9</v>
      </c>
      <c r="B538" s="88">
        <v>44562</v>
      </c>
      <c r="C538" s="89">
        <v>2022</v>
      </c>
      <c r="D538" s="90" t="s">
        <v>39</v>
      </c>
      <c r="E538" s="91">
        <v>1</v>
      </c>
      <c r="H538" s="93" t="s">
        <v>93</v>
      </c>
    </row>
    <row r="539" spans="1:14">
      <c r="A539" s="8">
        <v>10</v>
      </c>
      <c r="B539" s="73">
        <v>44562</v>
      </c>
      <c r="C539">
        <v>2022</v>
      </c>
      <c r="D539" s="11" t="s">
        <v>39</v>
      </c>
      <c r="E539" s="15">
        <v>1</v>
      </c>
      <c r="H539" s="93" t="s">
        <v>94</v>
      </c>
    </row>
    <row r="540" spans="1:14">
      <c r="A540" s="8">
        <v>9</v>
      </c>
      <c r="B540" s="71">
        <v>44593</v>
      </c>
      <c r="C540">
        <v>2022</v>
      </c>
      <c r="D540" s="11" t="s">
        <v>28</v>
      </c>
      <c r="E540" s="15">
        <v>2</v>
      </c>
      <c r="H540" s="93" t="s">
        <v>95</v>
      </c>
    </row>
    <row r="541" spans="1:14">
      <c r="A541" s="8">
        <v>10</v>
      </c>
      <c r="B541" s="71">
        <v>44593</v>
      </c>
      <c r="C541">
        <v>2022</v>
      </c>
      <c r="D541" s="11" t="s">
        <v>28</v>
      </c>
      <c r="E541" s="15">
        <v>2</v>
      </c>
    </row>
    <row r="542" spans="1:14">
      <c r="A542" s="8">
        <v>9</v>
      </c>
      <c r="B542" s="71">
        <v>44621</v>
      </c>
      <c r="C542">
        <v>2022</v>
      </c>
      <c r="D542" s="11" t="s">
        <v>29</v>
      </c>
      <c r="E542" s="15">
        <v>3</v>
      </c>
    </row>
    <row r="543" spans="1:14">
      <c r="A543" s="8">
        <v>10</v>
      </c>
      <c r="B543" s="71">
        <v>44621</v>
      </c>
      <c r="C543">
        <v>2022</v>
      </c>
      <c r="D543" s="11" t="s">
        <v>29</v>
      </c>
      <c r="E543" s="15">
        <v>3</v>
      </c>
    </row>
    <row r="544" spans="1:14">
      <c r="A544" s="8">
        <v>9</v>
      </c>
      <c r="B544" s="71">
        <v>44652</v>
      </c>
      <c r="C544">
        <v>2022</v>
      </c>
      <c r="D544" s="11" t="s">
        <v>30</v>
      </c>
      <c r="E544" s="15">
        <v>4</v>
      </c>
    </row>
    <row r="545" spans="1:5">
      <c r="A545" s="8">
        <v>10</v>
      </c>
      <c r="B545" s="71">
        <v>44652</v>
      </c>
      <c r="C545">
        <v>2022</v>
      </c>
      <c r="D545" s="11" t="s">
        <v>30</v>
      </c>
      <c r="E545" s="15">
        <v>4</v>
      </c>
    </row>
    <row r="546" spans="1:5">
      <c r="A546" s="8">
        <v>9</v>
      </c>
      <c r="B546" s="71">
        <v>44682</v>
      </c>
      <c r="C546">
        <v>2022</v>
      </c>
      <c r="D546" s="11" t="s">
        <v>31</v>
      </c>
      <c r="E546" s="15">
        <v>5</v>
      </c>
    </row>
    <row r="547" spans="1:5">
      <c r="A547" s="8">
        <v>10</v>
      </c>
      <c r="B547" s="71">
        <v>44682</v>
      </c>
      <c r="C547">
        <v>2022</v>
      </c>
      <c r="D547" s="11" t="s">
        <v>31</v>
      </c>
      <c r="E547" s="15">
        <v>5</v>
      </c>
    </row>
    <row r="548" spans="1:5">
      <c r="A548" s="8">
        <v>9</v>
      </c>
      <c r="B548" s="71">
        <v>44713</v>
      </c>
      <c r="C548">
        <v>2022</v>
      </c>
      <c r="D548" s="11" t="s">
        <v>32</v>
      </c>
      <c r="E548" s="15">
        <v>6</v>
      </c>
    </row>
    <row r="549" spans="1:5">
      <c r="A549" s="8">
        <v>10</v>
      </c>
      <c r="B549" s="71">
        <v>44713</v>
      </c>
      <c r="C549">
        <v>2022</v>
      </c>
      <c r="D549" s="11" t="s">
        <v>32</v>
      </c>
      <c r="E549" s="15">
        <v>6</v>
      </c>
    </row>
    <row r="550" spans="1:5">
      <c r="A550" s="8">
        <v>9</v>
      </c>
      <c r="B550" s="71">
        <v>44743</v>
      </c>
      <c r="C550">
        <v>2022</v>
      </c>
      <c r="D550" s="11" t="s">
        <v>33</v>
      </c>
      <c r="E550" s="15">
        <v>7</v>
      </c>
    </row>
    <row r="551" spans="1:5">
      <c r="A551" s="8">
        <v>10</v>
      </c>
      <c r="B551" s="71">
        <v>44743</v>
      </c>
      <c r="C551">
        <v>2022</v>
      </c>
      <c r="D551" s="11" t="s">
        <v>33</v>
      </c>
      <c r="E551" s="15">
        <v>7</v>
      </c>
    </row>
    <row r="552" spans="1:5">
      <c r="A552" s="8">
        <v>9</v>
      </c>
      <c r="B552" s="71">
        <v>44774</v>
      </c>
      <c r="C552">
        <v>2022</v>
      </c>
      <c r="D552" s="11" t="s">
        <v>34</v>
      </c>
      <c r="E552" s="15">
        <v>8</v>
      </c>
    </row>
    <row r="553" spans="1:5">
      <c r="A553" s="8">
        <v>10</v>
      </c>
      <c r="B553" s="71">
        <v>44774</v>
      </c>
      <c r="C553">
        <v>2022</v>
      </c>
      <c r="D553" s="11" t="s">
        <v>34</v>
      </c>
      <c r="E553" s="15">
        <v>8</v>
      </c>
    </row>
    <row r="554" spans="1:5">
      <c r="A554" s="8">
        <v>9</v>
      </c>
      <c r="B554" s="71">
        <v>44805</v>
      </c>
      <c r="C554">
        <v>2022</v>
      </c>
      <c r="D554" s="11" t="s">
        <v>40</v>
      </c>
      <c r="E554" s="15">
        <v>9</v>
      </c>
    </row>
    <row r="555" spans="1:5">
      <c r="A555" s="8">
        <v>10</v>
      </c>
      <c r="B555" s="71">
        <v>44805</v>
      </c>
      <c r="C555">
        <v>2022</v>
      </c>
      <c r="D555" s="11" t="s">
        <v>40</v>
      </c>
      <c r="E555" s="15">
        <v>9</v>
      </c>
    </row>
    <row r="556" spans="1:5">
      <c r="A556" s="8">
        <v>9</v>
      </c>
      <c r="B556" s="71">
        <v>44835</v>
      </c>
      <c r="C556">
        <v>2022</v>
      </c>
      <c r="D556" s="11" t="s">
        <v>36</v>
      </c>
      <c r="E556" s="15">
        <v>10</v>
      </c>
    </row>
    <row r="557" spans="1:5">
      <c r="A557" s="8">
        <v>10</v>
      </c>
      <c r="B557" s="71">
        <v>44835</v>
      </c>
      <c r="C557">
        <v>2022</v>
      </c>
      <c r="D557" s="11" t="s">
        <v>36</v>
      </c>
      <c r="E557" s="15">
        <v>10</v>
      </c>
    </row>
    <row r="558" spans="1:5">
      <c r="A558" s="8">
        <v>9</v>
      </c>
      <c r="B558" s="71">
        <v>44866</v>
      </c>
      <c r="C558">
        <v>2022</v>
      </c>
      <c r="D558" s="11" t="s">
        <v>37</v>
      </c>
      <c r="E558" s="15">
        <v>11</v>
      </c>
    </row>
    <row r="559" spans="1:5">
      <c r="A559" s="8">
        <v>10</v>
      </c>
      <c r="B559" s="71">
        <v>44866</v>
      </c>
      <c r="C559">
        <v>2022</v>
      </c>
      <c r="D559" s="11" t="s">
        <v>37</v>
      </c>
      <c r="E559" s="15">
        <v>11</v>
      </c>
    </row>
    <row r="560" spans="1:5">
      <c r="A560" s="8">
        <v>9</v>
      </c>
      <c r="B560" s="72">
        <v>44896</v>
      </c>
      <c r="C560">
        <v>2022</v>
      </c>
      <c r="D560" s="11" t="s">
        <v>38</v>
      </c>
      <c r="E560" s="15">
        <v>12</v>
      </c>
    </row>
    <row r="561" spans="1:14">
      <c r="A561" s="8">
        <v>10</v>
      </c>
      <c r="B561" s="71">
        <v>44896</v>
      </c>
      <c r="C561">
        <v>2022</v>
      </c>
      <c r="D561" s="11" t="s">
        <v>38</v>
      </c>
      <c r="E561" s="15">
        <v>12</v>
      </c>
    </row>
    <row r="562" spans="1:14">
      <c r="A562" s="85">
        <v>9</v>
      </c>
      <c r="B562" s="88">
        <v>44927</v>
      </c>
      <c r="C562" s="89">
        <v>2023</v>
      </c>
      <c r="D562" s="90" t="s">
        <v>39</v>
      </c>
      <c r="E562" s="91">
        <v>1</v>
      </c>
      <c r="F562" s="96">
        <v>1.141</v>
      </c>
      <c r="G562" s="95">
        <v>7.0000000000000001E-3</v>
      </c>
    </row>
    <row r="563" spans="1:14">
      <c r="A563" s="8">
        <v>10</v>
      </c>
      <c r="B563" s="73">
        <v>44927</v>
      </c>
      <c r="C563">
        <v>2023</v>
      </c>
      <c r="D563" s="11" t="s">
        <v>39</v>
      </c>
      <c r="E563" s="15">
        <v>1</v>
      </c>
      <c r="F563" s="96">
        <v>3.2789999999999999</v>
      </c>
      <c r="G563" s="95">
        <v>6.0000000000000001E-3</v>
      </c>
      <c r="I563" s="27">
        <f>AVERAGE(F562:F563)</f>
        <v>2.21</v>
      </c>
      <c r="J563" s="27">
        <f>AVERAGE(G562:G563)</f>
        <v>6.5000000000000006E-3</v>
      </c>
      <c r="L563">
        <f>+J563/I563</f>
        <v>2.9411764705882357E-3</v>
      </c>
      <c r="M563">
        <f>+(L563-$L$614)/$L$615</f>
        <v>-2.4449789639511724E-2</v>
      </c>
      <c r="N563">
        <f>+N537+M563</f>
        <v>0.48322389219204132</v>
      </c>
    </row>
    <row r="564" spans="1:14">
      <c r="A564" s="8">
        <v>9</v>
      </c>
      <c r="B564" s="71">
        <v>44958</v>
      </c>
      <c r="C564">
        <v>2023</v>
      </c>
      <c r="D564" s="11" t="s">
        <v>28</v>
      </c>
      <c r="E564" s="15">
        <v>2</v>
      </c>
      <c r="F564" s="78">
        <v>8.7460000000000004</v>
      </c>
      <c r="G564" s="78">
        <v>2.5000000000000001E-2</v>
      </c>
    </row>
    <row r="565" spans="1:14">
      <c r="A565" s="8">
        <v>10</v>
      </c>
      <c r="B565" s="71">
        <v>44958</v>
      </c>
      <c r="C565">
        <v>2023</v>
      </c>
      <c r="D565" s="11" t="s">
        <v>28</v>
      </c>
      <c r="E565" s="15">
        <v>2</v>
      </c>
      <c r="F565" s="78">
        <v>1.1359999999999999</v>
      </c>
      <c r="G565" s="78">
        <v>1.7000000000000001E-2</v>
      </c>
      <c r="I565" s="27">
        <f t="shared" ref="I565" si="71">AVERAGE(F564:F565)</f>
        <v>4.9409999999999998</v>
      </c>
      <c r="J565" s="27">
        <f t="shared" ref="J565" si="72">AVERAGE(G564:G565)</f>
        <v>2.1000000000000001E-2</v>
      </c>
      <c r="L565">
        <f t="shared" ref="L565" si="73">+J565/I565</f>
        <v>4.2501517911353983E-3</v>
      </c>
      <c r="M565">
        <f t="shared" ref="M565" si="74">+(L565-$L$614)/$L$615</f>
        <v>6.9596470704403307E-2</v>
      </c>
      <c r="N565">
        <f>+N563+M565</f>
        <v>0.55282036289644465</v>
      </c>
    </row>
    <row r="566" spans="1:14">
      <c r="A566" s="8">
        <v>9</v>
      </c>
      <c r="B566" s="71">
        <v>44986</v>
      </c>
      <c r="C566">
        <v>2023</v>
      </c>
      <c r="D566" s="11" t="s">
        <v>29</v>
      </c>
      <c r="E566" s="15">
        <v>3</v>
      </c>
      <c r="F566" s="78">
        <v>3.0510000000000002</v>
      </c>
      <c r="G566" s="78">
        <v>2.1999999999999999E-2</v>
      </c>
    </row>
    <row r="567" spans="1:14">
      <c r="A567" s="8">
        <v>10</v>
      </c>
      <c r="B567" s="71">
        <v>44986</v>
      </c>
      <c r="C567">
        <v>2023</v>
      </c>
      <c r="D567" s="11" t="s">
        <v>29</v>
      </c>
      <c r="E567" s="15">
        <v>3</v>
      </c>
      <c r="F567" s="78">
        <v>2.5550000000000002</v>
      </c>
      <c r="G567" s="78">
        <v>2.9000000000000001E-2</v>
      </c>
      <c r="I567" s="27">
        <f t="shared" ref="I567" si="75">AVERAGE(F566:F567)</f>
        <v>2.8029999999999999</v>
      </c>
      <c r="J567" s="27">
        <f t="shared" ref="J567" si="76">AVERAGE(G566:G567)</f>
        <v>2.5500000000000002E-2</v>
      </c>
      <c r="L567">
        <f t="shared" ref="L567" si="77">+J567/I567</f>
        <v>9.0973956475205141E-3</v>
      </c>
      <c r="M567">
        <f t="shared" ref="M567" si="78">+(L567-$L$614)/$L$615</f>
        <v>0.4178575498189292</v>
      </c>
      <c r="N567">
        <f t="shared" ref="N567" si="79">+N565+M567</f>
        <v>0.97067791271537385</v>
      </c>
    </row>
    <row r="568" spans="1:14">
      <c r="A568" s="8">
        <v>9</v>
      </c>
      <c r="B568" s="71">
        <v>45017</v>
      </c>
      <c r="C568">
        <v>2023</v>
      </c>
      <c r="D568" s="11" t="s">
        <v>30</v>
      </c>
      <c r="E568" s="15">
        <v>4</v>
      </c>
      <c r="F568" s="78">
        <v>2.9</v>
      </c>
      <c r="G568" s="78">
        <v>2.1999999999999999E-2</v>
      </c>
    </row>
    <row r="569" spans="1:14">
      <c r="A569" s="8">
        <v>10</v>
      </c>
      <c r="B569" s="71">
        <v>45017</v>
      </c>
      <c r="C569">
        <v>2023</v>
      </c>
      <c r="D569" s="11" t="s">
        <v>30</v>
      </c>
      <c r="E569" s="15">
        <v>4</v>
      </c>
      <c r="F569" s="78">
        <v>2.5289999999999999</v>
      </c>
      <c r="G569" s="78">
        <v>2.4E-2</v>
      </c>
      <c r="I569" s="27">
        <f t="shared" ref="I569" si="80">AVERAGE(F568:F569)</f>
        <v>2.7145000000000001</v>
      </c>
      <c r="J569" s="27">
        <f t="shared" ref="J569" si="81">AVERAGE(G568:G569)</f>
        <v>2.3E-2</v>
      </c>
      <c r="L569">
        <f t="shared" ref="L569" si="82">+J569/I569</f>
        <v>8.4730152882667147E-3</v>
      </c>
      <c r="M569">
        <f t="shared" ref="M569" si="83">+(L569-$L$614)/$L$615</f>
        <v>0.37299754604478291</v>
      </c>
      <c r="N569">
        <f t="shared" ref="N569" si="84">+N567+M569</f>
        <v>1.3436754587601567</v>
      </c>
    </row>
    <row r="570" spans="1:14">
      <c r="A570" s="8">
        <v>9</v>
      </c>
      <c r="B570" s="71">
        <v>45047</v>
      </c>
      <c r="C570">
        <v>2023</v>
      </c>
      <c r="D570" s="11" t="s">
        <v>31</v>
      </c>
      <c r="E570" s="15">
        <v>5</v>
      </c>
      <c r="F570" s="78">
        <v>5.0890000000000004</v>
      </c>
      <c r="G570" s="78">
        <v>3.1E-2</v>
      </c>
    </row>
    <row r="571" spans="1:14">
      <c r="A571" s="8">
        <v>10</v>
      </c>
      <c r="B571" s="71">
        <v>45047</v>
      </c>
      <c r="C571">
        <v>2023</v>
      </c>
      <c r="D571" s="11" t="s">
        <v>31</v>
      </c>
      <c r="E571" s="15">
        <v>5</v>
      </c>
      <c r="F571" s="78">
        <v>5.17</v>
      </c>
      <c r="G571" s="78">
        <v>9.5000000000000001E-2</v>
      </c>
      <c r="I571" s="27">
        <f t="shared" ref="I571" si="85">AVERAGE(F570:F571)</f>
        <v>5.1295000000000002</v>
      </c>
      <c r="J571" s="27">
        <f t="shared" ref="J571" si="86">AVERAGE(G570:G571)</f>
        <v>6.3E-2</v>
      </c>
      <c r="L571">
        <f t="shared" ref="L571" si="87">+J571/I571</f>
        <v>1.2281898820547811E-2</v>
      </c>
      <c r="M571">
        <f t="shared" ref="M571" si="88">+(L571-$L$614)/$L$615</f>
        <v>0.64665530465464227</v>
      </c>
      <c r="N571">
        <f t="shared" ref="N571" si="89">+N569+M571</f>
        <v>1.9903307634147991</v>
      </c>
    </row>
    <row r="572" spans="1:14">
      <c r="A572" s="8">
        <v>9</v>
      </c>
      <c r="B572" s="71">
        <v>45078</v>
      </c>
      <c r="C572">
        <v>2023</v>
      </c>
      <c r="D572" s="11" t="s">
        <v>32</v>
      </c>
      <c r="E572" s="15">
        <v>6</v>
      </c>
      <c r="F572" s="78">
        <v>4.7069999999999999</v>
      </c>
      <c r="G572" s="97">
        <v>9.9989999999999996E-4</v>
      </c>
    </row>
    <row r="573" spans="1:14">
      <c r="A573" s="8">
        <v>10</v>
      </c>
      <c r="B573" s="71">
        <v>45078</v>
      </c>
      <c r="C573">
        <v>2023</v>
      </c>
      <c r="D573" s="11" t="s">
        <v>32</v>
      </c>
      <c r="E573" s="15">
        <v>6</v>
      </c>
      <c r="F573" s="78">
        <v>4.9379999999999997</v>
      </c>
      <c r="G573" s="97">
        <v>9.9989999999999996E-4</v>
      </c>
      <c r="I573" s="27">
        <f t="shared" ref="I573" si="90">AVERAGE(F572:F573)</f>
        <v>4.8224999999999998</v>
      </c>
      <c r="J573" s="27">
        <f t="shared" ref="J573" si="91">AVERAGE(G572:G573)</f>
        <v>9.9989999999999996E-4</v>
      </c>
      <c r="L573">
        <f t="shared" ref="L573" si="92">+J573/I573</f>
        <v>2.0734059097978226E-4</v>
      </c>
      <c r="M573">
        <f t="shared" ref="M573" si="93">+(L573-$L$614)/$L$615</f>
        <v>-0.22086834454681104</v>
      </c>
      <c r="N573">
        <f t="shared" ref="N573" si="94">+N571+M573</f>
        <v>1.7694624188679882</v>
      </c>
    </row>
    <row r="574" spans="1:14">
      <c r="A574" s="8">
        <v>9</v>
      </c>
      <c r="B574" s="71">
        <v>45108</v>
      </c>
      <c r="C574">
        <v>2023</v>
      </c>
      <c r="D574" s="11" t="s">
        <v>33</v>
      </c>
      <c r="E574" s="15">
        <v>7</v>
      </c>
      <c r="F574" s="78">
        <v>6.7670000000000003</v>
      </c>
      <c r="G574" s="97">
        <v>9.9989999999999996E-4</v>
      </c>
    </row>
    <row r="575" spans="1:14">
      <c r="A575" s="8">
        <v>10</v>
      </c>
      <c r="B575" s="71">
        <v>45108</v>
      </c>
      <c r="C575">
        <v>2023</v>
      </c>
      <c r="D575" s="11" t="s">
        <v>33</v>
      </c>
      <c r="E575" s="15">
        <v>7</v>
      </c>
      <c r="F575" s="78">
        <v>7.2809999999999997</v>
      </c>
      <c r="G575" s="97">
        <v>0.01</v>
      </c>
      <c r="I575" s="27">
        <f t="shared" ref="I575" si="95">AVERAGE(F574:F575)</f>
        <v>7.024</v>
      </c>
      <c r="J575" s="27">
        <f t="shared" ref="J575" si="96">AVERAGE(G574:G575)</f>
        <v>5.49995E-3</v>
      </c>
      <c r="L575">
        <f t="shared" ref="L575" si="97">+J575/I575</f>
        <v>7.8302249430523918E-4</v>
      </c>
      <c r="M575">
        <f t="shared" ref="M575" si="98">+(L575-$L$614)/$L$615</f>
        <v>-0.1795071902870079</v>
      </c>
      <c r="N575">
        <f t="shared" ref="N575" si="99">+N573+M575</f>
        <v>1.5899552285809802</v>
      </c>
    </row>
    <row r="576" spans="1:14">
      <c r="A576" s="8">
        <v>9</v>
      </c>
      <c r="B576" s="71">
        <v>45139</v>
      </c>
      <c r="C576">
        <v>2023</v>
      </c>
      <c r="D576" s="11" t="s">
        <v>34</v>
      </c>
      <c r="E576" s="15">
        <v>8</v>
      </c>
      <c r="F576" s="78">
        <v>4.7409999999999997</v>
      </c>
      <c r="G576" s="97">
        <v>9.9989999999999996E-4</v>
      </c>
    </row>
    <row r="577" spans="1:14">
      <c r="A577" s="8">
        <v>10</v>
      </c>
      <c r="B577" s="71">
        <v>45139</v>
      </c>
      <c r="C577">
        <v>2023</v>
      </c>
      <c r="D577" s="11" t="s">
        <v>34</v>
      </c>
      <c r="E577" s="15">
        <v>8</v>
      </c>
      <c r="F577" s="78">
        <v>4.601</v>
      </c>
      <c r="G577" s="97">
        <v>9.9989999999999996E-4</v>
      </c>
      <c r="I577" s="27">
        <f t="shared" ref="I577" si="100">AVERAGE(F576:F577)</f>
        <v>4.6709999999999994</v>
      </c>
      <c r="J577" s="27">
        <f t="shared" ref="J577" si="101">AVERAGE(G576:G577)</f>
        <v>9.9989999999999996E-4</v>
      </c>
      <c r="L577">
        <f t="shared" ref="L577" si="102">+J577/I577</f>
        <v>2.1406551059730252E-4</v>
      </c>
      <c r="M577">
        <f t="shared" ref="M577" si="103">+(L577-$L$614)/$L$615</f>
        <v>-0.2203851776519021</v>
      </c>
      <c r="N577">
        <f t="shared" ref="N577" si="104">+N575+M577</f>
        <v>1.369570050929078</v>
      </c>
    </row>
    <row r="578" spans="1:14">
      <c r="A578" s="8">
        <v>9</v>
      </c>
      <c r="B578" s="71">
        <v>45170</v>
      </c>
      <c r="C578">
        <v>2023</v>
      </c>
      <c r="D578" s="11" t="s">
        <v>40</v>
      </c>
      <c r="E578" s="15">
        <v>9</v>
      </c>
      <c r="F578" s="78">
        <v>1.4279999999999999</v>
      </c>
      <c r="G578" s="97">
        <v>9.9989999999999996E-4</v>
      </c>
    </row>
    <row r="579" spans="1:14">
      <c r="A579" s="8">
        <v>10</v>
      </c>
      <c r="B579" s="71">
        <v>45170</v>
      </c>
      <c r="C579">
        <v>2023</v>
      </c>
      <c r="D579" s="11" t="s">
        <v>40</v>
      </c>
      <c r="E579" s="15">
        <v>9</v>
      </c>
      <c r="F579" s="78">
        <v>1.58</v>
      </c>
      <c r="G579" s="97">
        <v>9.9989999999999996E-4</v>
      </c>
      <c r="I579" s="27">
        <f t="shared" ref="I579" si="105">AVERAGE(F578:F579)</f>
        <v>1.504</v>
      </c>
      <c r="J579" s="27">
        <f t="shared" ref="J579" si="106">AVERAGE(G578:G579)</f>
        <v>9.9989999999999996E-4</v>
      </c>
      <c r="L579">
        <f t="shared" ref="L579" si="107">+J579/I579</f>
        <v>6.6482712765957442E-4</v>
      </c>
      <c r="M579">
        <f t="shared" ref="M579" si="108">+(L579-$L$614)/$L$615</f>
        <v>-0.18799920083030536</v>
      </c>
      <c r="N579">
        <f t="shared" ref="N579" si="109">+N577+M579</f>
        <v>1.1815708500987727</v>
      </c>
    </row>
    <row r="580" spans="1:14">
      <c r="A580" s="8">
        <v>9</v>
      </c>
      <c r="B580" s="71">
        <v>45200</v>
      </c>
      <c r="C580">
        <v>2023</v>
      </c>
      <c r="D580" s="11" t="s">
        <v>36</v>
      </c>
      <c r="E580" s="15">
        <v>10</v>
      </c>
      <c r="F580" s="78">
        <v>0.93200000000000005</v>
      </c>
      <c r="G580" s="97">
        <v>9.9989999999999996E-4</v>
      </c>
    </row>
    <row r="581" spans="1:14">
      <c r="A581" s="8">
        <v>10</v>
      </c>
      <c r="B581" s="71">
        <v>45200</v>
      </c>
      <c r="C581">
        <v>2023</v>
      </c>
      <c r="D581" s="11" t="s">
        <v>36</v>
      </c>
      <c r="E581" s="15">
        <v>10</v>
      </c>
      <c r="F581" s="78">
        <v>0.71499999999999997</v>
      </c>
      <c r="G581" s="97">
        <v>9.9989999999999996E-4</v>
      </c>
      <c r="I581" s="27">
        <f t="shared" ref="I581" si="110">AVERAGE(F580:F581)</f>
        <v>0.82350000000000001</v>
      </c>
      <c r="J581" s="27">
        <f t="shared" ref="J581" si="111">AVERAGE(G580:G581)</f>
        <v>9.9989999999999996E-4</v>
      </c>
      <c r="L581">
        <f t="shared" ref="L581" si="112">+J581/I581</f>
        <v>1.2142076502732241E-3</v>
      </c>
      <c r="M581">
        <f t="shared" ref="M581" si="113">+(L581-$L$614)/$L$615</f>
        <v>-0.14852772810918327</v>
      </c>
      <c r="N581">
        <f t="shared" ref="N581" si="114">+N579+M581</f>
        <v>1.0330431219895895</v>
      </c>
    </row>
    <row r="582" spans="1:14">
      <c r="A582" s="8">
        <v>9</v>
      </c>
      <c r="B582" s="71">
        <v>45231</v>
      </c>
      <c r="C582">
        <v>2023</v>
      </c>
      <c r="D582" s="11" t="s">
        <v>37</v>
      </c>
      <c r="E582" s="15">
        <v>11</v>
      </c>
      <c r="F582" s="78">
        <v>0.54</v>
      </c>
      <c r="G582" s="97">
        <v>9.9989999999999996E-4</v>
      </c>
    </row>
    <row r="583" spans="1:14">
      <c r="A583" s="8">
        <v>10</v>
      </c>
      <c r="B583" s="71">
        <v>45231</v>
      </c>
      <c r="C583">
        <v>2023</v>
      </c>
      <c r="D583" s="11" t="s">
        <v>37</v>
      </c>
      <c r="E583" s="15">
        <v>11</v>
      </c>
      <c r="F583" s="78">
        <v>0.312</v>
      </c>
      <c r="G583" s="97">
        <v>9.9989999999999996E-4</v>
      </c>
      <c r="I583" s="27">
        <f t="shared" ref="I583" si="115">AVERAGE(F582:F583)</f>
        <v>0.42600000000000005</v>
      </c>
      <c r="J583" s="27">
        <f t="shared" ref="J583" si="116">AVERAGE(G582:G583)</f>
        <v>9.9989999999999996E-4</v>
      </c>
      <c r="L583">
        <f t="shared" ref="L583" si="117">+J583/I583</f>
        <v>2.3471830985915491E-3</v>
      </c>
      <c r="M583">
        <f t="shared" ref="M583" si="118">+(L583-$L$614)/$L$615</f>
        <v>-6.7126572332411705E-2</v>
      </c>
      <c r="N583">
        <f t="shared" ref="N583" si="119">+N581+M583</f>
        <v>0.96591654965717777</v>
      </c>
    </row>
    <row r="584" spans="1:14">
      <c r="A584" s="8">
        <v>9</v>
      </c>
      <c r="B584" s="72">
        <v>45261</v>
      </c>
      <c r="C584">
        <v>2023</v>
      </c>
      <c r="D584" s="11" t="s">
        <v>38</v>
      </c>
      <c r="E584" s="15">
        <v>12</v>
      </c>
      <c r="F584" s="78">
        <v>0.71599999999999997</v>
      </c>
      <c r="G584" s="97">
        <v>1E-3</v>
      </c>
    </row>
    <row r="585" spans="1:14">
      <c r="A585" s="8">
        <v>10</v>
      </c>
      <c r="B585" s="71">
        <v>45261</v>
      </c>
      <c r="C585">
        <v>2023</v>
      </c>
      <c r="D585" s="11" t="s">
        <v>38</v>
      </c>
      <c r="E585" s="15">
        <v>12</v>
      </c>
      <c r="F585" s="78">
        <v>0.61599999999999999</v>
      </c>
      <c r="G585" s="97">
        <v>1E-3</v>
      </c>
      <c r="I585" s="27">
        <f t="shared" ref="I585" si="120">AVERAGE(F584:F585)</f>
        <v>0.66599999999999993</v>
      </c>
      <c r="J585" s="27">
        <f t="shared" ref="J585" si="121">AVERAGE(G584:G585)</f>
        <v>1E-3</v>
      </c>
      <c r="L585">
        <f t="shared" ref="L585" si="122">+J585/I585</f>
        <v>1.5015015015015017E-3</v>
      </c>
      <c r="M585">
        <f t="shared" ref="M585" si="123">+(L585-$L$614)/$L$615</f>
        <v>-0.12788645863396775</v>
      </c>
      <c r="N585">
        <f t="shared" ref="N585" si="124">+N583+M585</f>
        <v>0.83803009102321002</v>
      </c>
    </row>
    <row r="586" spans="1:14">
      <c r="A586" s="85">
        <v>9</v>
      </c>
      <c r="B586" s="88">
        <v>45292</v>
      </c>
      <c r="C586" s="89">
        <v>2024</v>
      </c>
      <c r="D586" s="90" t="s">
        <v>39</v>
      </c>
      <c r="E586" s="91">
        <v>1</v>
      </c>
      <c r="F586" s="78">
        <v>1.423</v>
      </c>
      <c r="G586" s="97">
        <v>9.9989999999999996E-4</v>
      </c>
    </row>
    <row r="587" spans="1:14">
      <c r="A587" s="8">
        <v>10</v>
      </c>
      <c r="B587" s="73">
        <v>45292</v>
      </c>
      <c r="C587">
        <v>2024</v>
      </c>
      <c r="D587" s="11" t="s">
        <v>39</v>
      </c>
      <c r="E587" s="15">
        <v>1</v>
      </c>
      <c r="F587" s="78">
        <v>1.786</v>
      </c>
      <c r="G587" s="97">
        <v>9.9989999999999996E-4</v>
      </c>
      <c r="I587" s="27">
        <f t="shared" ref="I587" si="125">AVERAGE(F586:F587)</f>
        <v>1.6045</v>
      </c>
      <c r="J587" s="27">
        <f t="shared" ref="J587" si="126">AVERAGE(G586:G587)</f>
        <v>9.9989999999999996E-4</v>
      </c>
      <c r="L587">
        <f t="shared" ref="L587" si="127">+J587/I587</f>
        <v>6.2318479277033336E-4</v>
      </c>
      <c r="M587">
        <f t="shared" ref="M587" si="128">+(L587-$L$614)/$L$615</f>
        <v>-0.1909910875426423</v>
      </c>
      <c r="N587">
        <f t="shared" ref="N587" si="129">+N585+M587</f>
        <v>0.64703900348056775</v>
      </c>
    </row>
    <row r="588" spans="1:14">
      <c r="A588" s="8">
        <v>9</v>
      </c>
      <c r="B588" s="71">
        <v>45323</v>
      </c>
      <c r="C588">
        <v>2024</v>
      </c>
      <c r="D588" s="11" t="s">
        <v>28</v>
      </c>
      <c r="E588" s="15">
        <v>2</v>
      </c>
      <c r="G588" s="27"/>
    </row>
    <row r="589" spans="1:14">
      <c r="A589" s="8">
        <v>10</v>
      </c>
      <c r="B589" s="71">
        <v>45323</v>
      </c>
      <c r="C589">
        <v>2024</v>
      </c>
      <c r="D589" s="11" t="s">
        <v>28</v>
      </c>
      <c r="E589" s="15">
        <v>2</v>
      </c>
      <c r="G589" s="27"/>
      <c r="I589" s="27"/>
      <c r="J589" s="27"/>
    </row>
    <row r="590" spans="1:14">
      <c r="A590" s="8">
        <v>9</v>
      </c>
      <c r="B590" s="71">
        <v>45352</v>
      </c>
      <c r="C590">
        <v>2024</v>
      </c>
      <c r="D590" s="11" t="s">
        <v>29</v>
      </c>
      <c r="E590" s="15">
        <v>3</v>
      </c>
      <c r="F590" s="78">
        <v>0.32</v>
      </c>
      <c r="G590" s="97">
        <v>9.9989999999999996E-4</v>
      </c>
    </row>
    <row r="591" spans="1:14">
      <c r="A591" s="8">
        <v>10</v>
      </c>
      <c r="B591" s="71">
        <v>45352</v>
      </c>
      <c r="C591">
        <v>2024</v>
      </c>
      <c r="D591" s="11" t="s">
        <v>29</v>
      </c>
      <c r="E591" s="15">
        <v>3</v>
      </c>
      <c r="F591" s="78">
        <v>0.51300000000000001</v>
      </c>
      <c r="G591" s="97">
        <v>9.9989999999999996E-4</v>
      </c>
      <c r="I591" s="27">
        <f t="shared" ref="I591" si="130">AVERAGE(F590:F591)</f>
        <v>0.41649999999999998</v>
      </c>
      <c r="J591" s="27">
        <f t="shared" ref="J591" si="131">AVERAGE(G590:G591)</f>
        <v>9.9989999999999996E-4</v>
      </c>
      <c r="L591">
        <f t="shared" ref="L591" si="132">+J591/I591</f>
        <v>2.4007202881152459E-3</v>
      </c>
      <c r="M591">
        <f t="shared" ref="M591" si="133">+(L591-$L$614)/$L$615</f>
        <v>-6.3280073177696974E-2</v>
      </c>
      <c r="N591">
        <f>+N587+M591</f>
        <v>0.58375893030287074</v>
      </c>
    </row>
    <row r="592" spans="1:14">
      <c r="A592" s="8">
        <v>9</v>
      </c>
      <c r="B592" s="71">
        <v>45383</v>
      </c>
      <c r="C592">
        <v>2024</v>
      </c>
      <c r="D592" s="11" t="s">
        <v>30</v>
      </c>
      <c r="E592" s="15">
        <v>4</v>
      </c>
      <c r="F592" s="78">
        <v>0.91900000000000004</v>
      </c>
      <c r="G592" s="97">
        <v>9.9989999999999996E-4</v>
      </c>
    </row>
    <row r="593" spans="1:14">
      <c r="A593" s="8">
        <v>10</v>
      </c>
      <c r="B593" s="71">
        <v>45383</v>
      </c>
      <c r="C593">
        <v>2024</v>
      </c>
      <c r="D593" s="11" t="s">
        <v>30</v>
      </c>
      <c r="E593" s="15">
        <v>4</v>
      </c>
      <c r="F593" s="78">
        <v>1.327</v>
      </c>
      <c r="G593" s="97">
        <v>9.9989999999999996E-4</v>
      </c>
      <c r="I593" s="27">
        <f t="shared" ref="I593" si="134">AVERAGE(F592:F593)</f>
        <v>1.123</v>
      </c>
      <c r="J593" s="27">
        <f t="shared" ref="J593" si="135">AVERAGE(G592:G593)</f>
        <v>9.9989999999999996E-4</v>
      </c>
      <c r="L593">
        <f t="shared" ref="L593" si="136">+J593/I593</f>
        <v>8.9038290293855737E-4</v>
      </c>
      <c r="M593">
        <f t="shared" ref="M593" si="137">+(L593-$L$614)/$L$615</f>
        <v>-0.17179364154207238</v>
      </c>
      <c r="N593">
        <f t="shared" ref="N593" si="138">+N591+M593</f>
        <v>0.41196528876079835</v>
      </c>
    </row>
    <row r="594" spans="1:14">
      <c r="A594" s="8">
        <v>9</v>
      </c>
      <c r="B594" s="71">
        <v>45413</v>
      </c>
      <c r="C594">
        <v>2024</v>
      </c>
      <c r="D594" s="11" t="s">
        <v>31</v>
      </c>
      <c r="E594" s="15">
        <v>5</v>
      </c>
      <c r="F594" s="78">
        <v>3.2970000000000002</v>
      </c>
      <c r="G594" s="97">
        <v>0.01</v>
      </c>
    </row>
    <row r="595" spans="1:14">
      <c r="A595" s="8">
        <v>10</v>
      </c>
      <c r="B595" s="71">
        <v>45413</v>
      </c>
      <c r="C595">
        <v>2024</v>
      </c>
      <c r="D595" s="11" t="s">
        <v>31</v>
      </c>
      <c r="E595" s="15">
        <v>5</v>
      </c>
      <c r="F595" s="78">
        <v>3.8849999999999998</v>
      </c>
      <c r="G595" s="97">
        <v>9.9989999999999996E-4</v>
      </c>
      <c r="I595" s="27">
        <f t="shared" ref="I595:J595" si="139">AVERAGE(F594:F595)</f>
        <v>3.5910000000000002</v>
      </c>
      <c r="J595" s="27">
        <f t="shared" si="139"/>
        <v>5.49995E-3</v>
      </c>
      <c r="L595">
        <f t="shared" ref="L595" si="140">+J595/I595</f>
        <v>1.5315928710665553E-3</v>
      </c>
      <c r="M595">
        <f t="shared" ref="M595" si="141">+(L595-$L$614)/$L$615</f>
        <v>-0.12572447686716329</v>
      </c>
      <c r="N595">
        <f t="shared" ref="N595" si="142">+N593+M595</f>
        <v>0.28624081189363504</v>
      </c>
    </row>
    <row r="596" spans="1:14">
      <c r="A596" s="8">
        <v>9</v>
      </c>
      <c r="B596" s="71">
        <v>45444</v>
      </c>
      <c r="C596">
        <v>2024</v>
      </c>
      <c r="D596" s="11" t="s">
        <v>32</v>
      </c>
      <c r="E596" s="15">
        <v>6</v>
      </c>
      <c r="H596" s="93" t="s">
        <v>98</v>
      </c>
    </row>
    <row r="597" spans="1:14">
      <c r="A597" s="8">
        <v>10</v>
      </c>
      <c r="B597" s="71">
        <v>45444</v>
      </c>
      <c r="C597">
        <v>2024</v>
      </c>
      <c r="D597" s="11" t="s">
        <v>32</v>
      </c>
      <c r="E597" s="15">
        <v>6</v>
      </c>
      <c r="H597" s="93" t="s">
        <v>99</v>
      </c>
    </row>
    <row r="598" spans="1:14">
      <c r="A598" s="8">
        <v>9</v>
      </c>
      <c r="B598" s="71">
        <v>45474</v>
      </c>
      <c r="C598">
        <v>2024</v>
      </c>
      <c r="D598" s="11" t="s">
        <v>33</v>
      </c>
      <c r="E598" s="15">
        <v>7</v>
      </c>
    </row>
    <row r="599" spans="1:14">
      <c r="A599" s="8">
        <v>10</v>
      </c>
      <c r="B599" s="71">
        <v>45474</v>
      </c>
      <c r="C599">
        <v>2024</v>
      </c>
      <c r="D599" s="11" t="s">
        <v>33</v>
      </c>
      <c r="E599" s="15">
        <v>7</v>
      </c>
    </row>
    <row r="600" spans="1:14">
      <c r="A600" s="8">
        <v>9</v>
      </c>
      <c r="B600" s="71">
        <v>45505</v>
      </c>
      <c r="C600">
        <v>2024</v>
      </c>
      <c r="D600" s="11" t="s">
        <v>34</v>
      </c>
      <c r="E600" s="15">
        <v>8</v>
      </c>
    </row>
    <row r="601" spans="1:14">
      <c r="A601" s="8">
        <v>10</v>
      </c>
      <c r="B601" s="71">
        <v>45505</v>
      </c>
      <c r="C601">
        <v>2024</v>
      </c>
      <c r="D601" s="11" t="s">
        <v>34</v>
      </c>
      <c r="E601" s="15">
        <v>8</v>
      </c>
    </row>
    <row r="602" spans="1:14">
      <c r="A602" s="8">
        <v>9</v>
      </c>
      <c r="B602" s="71">
        <v>45536</v>
      </c>
      <c r="C602">
        <v>2024</v>
      </c>
      <c r="D602" s="11" t="s">
        <v>40</v>
      </c>
      <c r="E602" s="15">
        <v>9</v>
      </c>
    </row>
    <row r="603" spans="1:14">
      <c r="A603" s="8">
        <v>10</v>
      </c>
      <c r="B603" s="71">
        <v>45536</v>
      </c>
      <c r="C603">
        <v>2024</v>
      </c>
      <c r="D603" s="11" t="s">
        <v>40</v>
      </c>
      <c r="E603" s="15">
        <v>9</v>
      </c>
    </row>
    <row r="604" spans="1:14">
      <c r="A604" s="8">
        <v>9</v>
      </c>
      <c r="B604" s="71">
        <v>45566</v>
      </c>
      <c r="C604">
        <v>2024</v>
      </c>
      <c r="D604" s="11" t="s">
        <v>36</v>
      </c>
      <c r="E604" s="15">
        <v>10</v>
      </c>
    </row>
    <row r="605" spans="1:14">
      <c r="A605" s="8">
        <v>10</v>
      </c>
      <c r="B605" s="71">
        <v>45566</v>
      </c>
      <c r="C605">
        <v>2024</v>
      </c>
      <c r="D605" s="11" t="s">
        <v>36</v>
      </c>
      <c r="E605" s="15">
        <v>10</v>
      </c>
    </row>
    <row r="606" spans="1:14">
      <c r="A606" s="8">
        <v>9</v>
      </c>
      <c r="B606" s="71">
        <v>45597</v>
      </c>
      <c r="C606">
        <v>2024</v>
      </c>
      <c r="D606" s="11" t="s">
        <v>37</v>
      </c>
      <c r="E606" s="15">
        <v>11</v>
      </c>
    </row>
    <row r="607" spans="1:14">
      <c r="A607" s="8">
        <v>10</v>
      </c>
      <c r="B607" s="71">
        <v>45597</v>
      </c>
      <c r="C607">
        <v>2024</v>
      </c>
      <c r="D607" s="11" t="s">
        <v>37</v>
      </c>
      <c r="E607" s="15">
        <v>11</v>
      </c>
    </row>
    <row r="608" spans="1:14">
      <c r="A608" s="8">
        <v>9</v>
      </c>
      <c r="B608" s="72">
        <v>45627</v>
      </c>
      <c r="C608">
        <v>2024</v>
      </c>
      <c r="D608" s="11" t="s">
        <v>38</v>
      </c>
      <c r="E608" s="15">
        <v>12</v>
      </c>
    </row>
    <row r="609" spans="1:12">
      <c r="A609" s="8">
        <v>10</v>
      </c>
      <c r="B609" s="71">
        <v>45627</v>
      </c>
      <c r="C609">
        <v>2024</v>
      </c>
      <c r="D609" s="11" t="s">
        <v>38</v>
      </c>
      <c r="E609" s="15">
        <v>12</v>
      </c>
    </row>
    <row r="610" spans="1:12">
      <c r="A610" s="15"/>
    </row>
    <row r="611" spans="1:12">
      <c r="A611" s="15"/>
    </row>
    <row r="612" spans="1:12">
      <c r="A612" s="15"/>
    </row>
    <row r="613" spans="1:12">
      <c r="A613" s="15"/>
    </row>
    <row r="614" spans="1:12">
      <c r="A614" s="15"/>
      <c r="K614" s="84" t="s">
        <v>89</v>
      </c>
      <c r="L614" s="84">
        <f>AVERAGE(L4:L609)</f>
        <v>3.281478903812645E-3</v>
      </c>
    </row>
    <row r="615" spans="1:12">
      <c r="A615" s="15"/>
      <c r="K615" s="84" t="s">
        <v>90</v>
      </c>
      <c r="L615" s="84">
        <f>STDEV(L4:L609)</f>
        <v>1.3918419677299329E-2</v>
      </c>
    </row>
    <row r="616" spans="1:12">
      <c r="A616" s="15"/>
    </row>
    <row r="617" spans="1:12">
      <c r="A617" s="15"/>
    </row>
    <row r="618" spans="1:12">
      <c r="A618" s="15"/>
    </row>
    <row r="619" spans="1:12">
      <c r="A619" s="15"/>
    </row>
    <row r="620" spans="1:12">
      <c r="A620" s="15"/>
    </row>
    <row r="621" spans="1:12">
      <c r="A621" s="1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7E0BE-9F02-5549-9060-4803BC39B2B7}">
  <sheetPr>
    <tabColor theme="9" tint="0.39997558519241921"/>
  </sheetPr>
  <dimension ref="A1:Q615"/>
  <sheetViews>
    <sheetView workbookViewId="0">
      <pane ySplit="2" topLeftCell="A489" activePane="bottomLeft" state="frozen"/>
      <selection pane="bottomLeft" activeCell="O491" sqref="O491"/>
    </sheetView>
  </sheetViews>
  <sheetFormatPr defaultColWidth="11.42578125" defaultRowHeight="15"/>
  <cols>
    <col min="2" max="2" width="10.85546875" style="70"/>
    <col min="14" max="14" width="12.7109375" bestFit="1" customWidth="1"/>
  </cols>
  <sheetData>
    <row r="1" spans="1:17" ht="18">
      <c r="F1" s="1" t="s">
        <v>0</v>
      </c>
      <c r="G1" s="1" t="s">
        <v>1</v>
      </c>
      <c r="I1" s="1" t="s">
        <v>81</v>
      </c>
    </row>
    <row r="2" spans="1:17">
      <c r="A2" s="2" t="s">
        <v>2</v>
      </c>
      <c r="B2" s="73" t="s">
        <v>3</v>
      </c>
      <c r="C2" s="4" t="s">
        <v>4</v>
      </c>
      <c r="D2" s="5" t="s">
        <v>5</v>
      </c>
      <c r="E2" s="4" t="s">
        <v>6</v>
      </c>
      <c r="F2" s="6" t="s">
        <v>7</v>
      </c>
      <c r="G2" s="6" t="s">
        <v>8</v>
      </c>
      <c r="I2" s="6" t="s">
        <v>7</v>
      </c>
      <c r="J2" s="6" t="s">
        <v>87</v>
      </c>
      <c r="L2" s="67" t="s">
        <v>88</v>
      </c>
      <c r="M2" s="69" t="s">
        <v>85</v>
      </c>
      <c r="N2" s="69" t="s">
        <v>86</v>
      </c>
    </row>
    <row r="3" spans="1:17">
      <c r="A3" s="8">
        <v>9</v>
      </c>
      <c r="B3" s="74">
        <v>36446</v>
      </c>
      <c r="C3" s="10">
        <v>1999</v>
      </c>
      <c r="D3" s="11" t="s">
        <v>14</v>
      </c>
      <c r="E3" s="12">
        <v>10</v>
      </c>
      <c r="F3" s="13">
        <v>0.81480390855350104</v>
      </c>
      <c r="G3" s="13">
        <v>0</v>
      </c>
      <c r="Q3" t="s">
        <v>92</v>
      </c>
    </row>
    <row r="4" spans="1:17">
      <c r="A4" s="8">
        <v>10</v>
      </c>
      <c r="B4" s="74">
        <v>36446</v>
      </c>
      <c r="C4" s="10">
        <v>1999</v>
      </c>
      <c r="D4" s="11" t="s">
        <v>14</v>
      </c>
      <c r="E4" s="12">
        <v>10</v>
      </c>
      <c r="F4" s="13">
        <v>1.0560991827525938</v>
      </c>
      <c r="G4" s="13">
        <v>0</v>
      </c>
      <c r="I4" s="27">
        <f>AVERAGE(F3:F4)</f>
        <v>0.93545154565304744</v>
      </c>
      <c r="J4" s="27">
        <f>AVERAGE(G3:G4)</f>
        <v>0</v>
      </c>
      <c r="L4">
        <f>+J4/I4</f>
        <v>0</v>
      </c>
      <c r="M4">
        <f>+(L4-$L$614)/$L$615</f>
        <v>-0.84323712792979022</v>
      </c>
      <c r="N4">
        <f>+M4</f>
        <v>-0.84323712792979022</v>
      </c>
    </row>
    <row r="5" spans="1:17">
      <c r="A5" s="8">
        <v>9</v>
      </c>
      <c r="B5" s="74">
        <v>36473</v>
      </c>
      <c r="C5" s="10">
        <v>1999</v>
      </c>
      <c r="D5" s="11" t="s">
        <v>16</v>
      </c>
      <c r="E5" s="10">
        <v>11</v>
      </c>
      <c r="F5" s="13">
        <v>0.50144492594905754</v>
      </c>
      <c r="G5" s="13">
        <v>0</v>
      </c>
    </row>
    <row r="6" spans="1:17">
      <c r="A6" s="8">
        <v>10</v>
      </c>
      <c r="B6" s="74">
        <v>36473</v>
      </c>
      <c r="C6" s="10">
        <v>1999</v>
      </c>
      <c r="D6" s="11" t="s">
        <v>16</v>
      </c>
      <c r="E6" s="10">
        <v>11</v>
      </c>
      <c r="F6" s="13">
        <v>0.60564519988186705</v>
      </c>
      <c r="G6" s="13">
        <v>0</v>
      </c>
      <c r="I6" s="27">
        <f>AVERAGE(F5:F6)</f>
        <v>0.55354506291546235</v>
      </c>
      <c r="J6" s="27">
        <f>AVERAGE(G5:G6)</f>
        <v>0</v>
      </c>
      <c r="L6">
        <f>+J6/I6</f>
        <v>0</v>
      </c>
      <c r="M6">
        <f>+(L6-$L$614)/$L$615</f>
        <v>-0.84323712792979022</v>
      </c>
      <c r="N6">
        <f>+N4+M6</f>
        <v>-1.6864742558595804</v>
      </c>
    </row>
    <row r="7" spans="1:17">
      <c r="A7" s="8">
        <v>9</v>
      </c>
      <c r="B7" s="74">
        <v>36502</v>
      </c>
      <c r="C7" s="10">
        <v>1999</v>
      </c>
      <c r="D7" s="11" t="s">
        <v>17</v>
      </c>
      <c r="E7" s="10">
        <v>12</v>
      </c>
      <c r="F7" s="13">
        <v>0.34286829680411729</v>
      </c>
      <c r="G7" s="13">
        <v>0</v>
      </c>
    </row>
    <row r="8" spans="1:17">
      <c r="A8" s="8">
        <v>10</v>
      </c>
      <c r="B8" s="74">
        <v>36502</v>
      </c>
      <c r="C8" s="10">
        <v>1999</v>
      </c>
      <c r="D8" s="11" t="s">
        <v>17</v>
      </c>
      <c r="E8" s="10">
        <v>12</v>
      </c>
      <c r="F8" s="13">
        <v>0.57065639539668933</v>
      </c>
      <c r="G8" s="13">
        <v>0</v>
      </c>
      <c r="I8" s="27">
        <f>AVERAGE(F7:F8)</f>
        <v>0.45676234610040334</v>
      </c>
      <c r="J8" s="27">
        <f>AVERAGE(G7:G8)</f>
        <v>0</v>
      </c>
      <c r="L8">
        <f>+J8/I8</f>
        <v>0</v>
      </c>
      <c r="M8">
        <f>+(L8-$L$614)/$L$615</f>
        <v>-0.84323712792979022</v>
      </c>
      <c r="N8">
        <f>+N6+M8</f>
        <v>-2.5297113837893708</v>
      </c>
    </row>
    <row r="9" spans="1:17">
      <c r="A9" s="8">
        <v>9</v>
      </c>
      <c r="B9" s="74">
        <v>36531</v>
      </c>
      <c r="C9" s="12">
        <v>2000</v>
      </c>
      <c r="D9" s="11" t="s">
        <v>18</v>
      </c>
      <c r="E9" s="10">
        <v>1</v>
      </c>
      <c r="F9" s="13">
        <v>0.68891194013953239</v>
      </c>
      <c r="G9" s="13">
        <v>3.8110795499999996E-2</v>
      </c>
    </row>
    <row r="10" spans="1:17">
      <c r="A10" s="8">
        <v>10</v>
      </c>
      <c r="B10" s="74">
        <v>36531</v>
      </c>
      <c r="C10" s="12">
        <v>2000</v>
      </c>
      <c r="D10" s="11" t="s">
        <v>18</v>
      </c>
      <c r="E10" s="10">
        <v>1</v>
      </c>
      <c r="F10" s="13">
        <v>1.3492125675996263</v>
      </c>
      <c r="G10" s="13">
        <v>8.8991653833333337E-2</v>
      </c>
      <c r="I10" s="27">
        <f>AVERAGE(F9:F10)</f>
        <v>1.0190622538695793</v>
      </c>
      <c r="J10" s="27">
        <f>AVERAGE(G9:G10)</f>
        <v>6.355122466666667E-2</v>
      </c>
      <c r="L10">
        <f>+J10/I10</f>
        <v>6.2362455704104633E-2</v>
      </c>
      <c r="M10">
        <f>+(L10-$L$614)/$L$615</f>
        <v>1.0627249407730719</v>
      </c>
      <c r="N10">
        <f>+N8+M10</f>
        <v>-1.4669864430162989</v>
      </c>
    </row>
    <row r="11" spans="1:17">
      <c r="A11" s="8">
        <v>9</v>
      </c>
      <c r="B11" s="74">
        <v>36578</v>
      </c>
      <c r="C11" s="12">
        <v>2000</v>
      </c>
      <c r="D11" s="11" t="s">
        <v>19</v>
      </c>
      <c r="E11" s="12">
        <v>2</v>
      </c>
      <c r="F11" s="13">
        <v>4.9123786024972533</v>
      </c>
      <c r="G11" s="13">
        <v>4.3543992666666663E-2</v>
      </c>
    </row>
    <row r="12" spans="1:17">
      <c r="A12" s="8">
        <v>10</v>
      </c>
      <c r="B12" s="74">
        <v>36578</v>
      </c>
      <c r="C12" s="12">
        <v>2000</v>
      </c>
      <c r="D12" s="11" t="s">
        <v>19</v>
      </c>
      <c r="E12" s="12">
        <v>2</v>
      </c>
      <c r="F12" s="13">
        <v>4.5288761327930205</v>
      </c>
      <c r="G12" s="13">
        <v>0.23005821766666665</v>
      </c>
      <c r="I12" s="27">
        <f>AVERAGE(F11:F12)</f>
        <v>4.7206273676451369</v>
      </c>
      <c r="J12" s="27">
        <f>AVERAGE(G11:G12)</f>
        <v>0.13680110516666666</v>
      </c>
      <c r="L12">
        <f>+J12/I12</f>
        <v>2.8979433137275832E-2</v>
      </c>
      <c r="M12">
        <f>+(L12-$L$614)/$L$615</f>
        <v>4.2451219466752219E-2</v>
      </c>
      <c r="N12">
        <f>+N10+M12</f>
        <v>-1.4245352235495468</v>
      </c>
    </row>
    <row r="13" spans="1:17">
      <c r="A13" s="8">
        <v>9</v>
      </c>
      <c r="B13" s="74">
        <v>36599</v>
      </c>
      <c r="C13" s="12">
        <v>2000</v>
      </c>
      <c r="D13" s="11" t="s">
        <v>20</v>
      </c>
      <c r="E13" s="12">
        <v>3</v>
      </c>
      <c r="F13" s="13">
        <v>0.85382744653759191</v>
      </c>
      <c r="G13" s="13">
        <v>3.034977416666667E-2</v>
      </c>
    </row>
    <row r="14" spans="1:17">
      <c r="A14" s="8">
        <v>10</v>
      </c>
      <c r="B14" s="74">
        <v>36599</v>
      </c>
      <c r="C14" s="12">
        <v>2000</v>
      </c>
      <c r="D14" s="11" t="s">
        <v>20</v>
      </c>
      <c r="E14" s="12">
        <v>3</v>
      </c>
      <c r="F14" s="13">
        <v>1.8556943782286839</v>
      </c>
      <c r="G14" s="13">
        <v>9.0233194999999988E-2</v>
      </c>
      <c r="I14" s="27">
        <f>AVERAGE(F13:F14)</f>
        <v>1.3547609123831379</v>
      </c>
      <c r="J14" s="27">
        <f>AVERAGE(G13:G14)</f>
        <v>6.0291484583333332E-2</v>
      </c>
      <c r="L14">
        <f>+J14/I14</f>
        <v>4.4503413135293046E-2</v>
      </c>
      <c r="M14">
        <f>+(L14-$L$614)/$L$615</f>
        <v>0.5169052270496397</v>
      </c>
      <c r="N14">
        <f>+N12+M14</f>
        <v>-0.90762999649990705</v>
      </c>
    </row>
    <row r="15" spans="1:17">
      <c r="A15" s="8">
        <v>9</v>
      </c>
      <c r="B15" s="74">
        <v>36626</v>
      </c>
      <c r="C15" s="12">
        <v>2000</v>
      </c>
      <c r="D15" s="15" t="s">
        <v>21</v>
      </c>
      <c r="E15" s="12">
        <v>4</v>
      </c>
      <c r="F15" s="13">
        <v>0.98931851157363693</v>
      </c>
      <c r="G15" s="13">
        <v>1.6802372166666666E-2</v>
      </c>
    </row>
    <row r="16" spans="1:17">
      <c r="A16" s="8">
        <v>10</v>
      </c>
      <c r="B16" s="74">
        <v>36626</v>
      </c>
      <c r="C16" s="12">
        <v>2000</v>
      </c>
      <c r="D16" s="15" t="s">
        <v>21</v>
      </c>
      <c r="E16" s="12">
        <v>4</v>
      </c>
      <c r="F16" s="13">
        <v>1.4558117858405109</v>
      </c>
      <c r="G16" s="13">
        <v>2.5804200833333332E-2</v>
      </c>
      <c r="I16" s="27">
        <f>AVERAGE(F15:F16)</f>
        <v>1.2225651487070739</v>
      </c>
      <c r="J16" s="27">
        <f>AVERAGE(G15:G16)</f>
        <v>2.1303286499999997E-2</v>
      </c>
      <c r="L16">
        <f>+J16/I16</f>
        <v>1.7425072620898222E-2</v>
      </c>
      <c r="M16">
        <f>+(L16-$L$614)/$L$615</f>
        <v>-0.31068068696143325</v>
      </c>
      <c r="N16">
        <f>+N14+M16</f>
        <v>-1.2183106834613402</v>
      </c>
    </row>
    <row r="17" spans="1:14">
      <c r="A17" s="8">
        <v>9</v>
      </c>
      <c r="B17" s="74">
        <v>36663</v>
      </c>
      <c r="C17" s="12">
        <v>2000</v>
      </c>
      <c r="D17" s="15" t="s">
        <v>22</v>
      </c>
      <c r="E17" s="12">
        <v>5</v>
      </c>
      <c r="F17" s="13">
        <v>2.0611459375832135</v>
      </c>
      <c r="G17" s="13">
        <v>0</v>
      </c>
    </row>
    <row r="18" spans="1:14">
      <c r="A18" s="8">
        <v>10</v>
      </c>
      <c r="B18" s="74">
        <v>36663</v>
      </c>
      <c r="C18" s="12">
        <v>2000</v>
      </c>
      <c r="D18" s="15" t="s">
        <v>22</v>
      </c>
      <c r="E18" s="12">
        <v>5</v>
      </c>
      <c r="F18" s="13">
        <v>2.2679517126852482</v>
      </c>
      <c r="G18" s="13">
        <v>0</v>
      </c>
      <c r="I18" s="27">
        <f>AVERAGE(F17:F18)</f>
        <v>2.1645488251342311</v>
      </c>
      <c r="J18" s="27">
        <f>AVERAGE(G17:G18)</f>
        <v>0</v>
      </c>
      <c r="L18">
        <f>+J18/I18</f>
        <v>0</v>
      </c>
      <c r="M18">
        <f>+(L18-$L$614)/$L$615</f>
        <v>-0.84323712792979022</v>
      </c>
      <c r="N18">
        <f>+N16+M18</f>
        <v>-2.0615478113911303</v>
      </c>
    </row>
    <row r="19" spans="1:14">
      <c r="A19" s="8">
        <v>9</v>
      </c>
      <c r="B19" s="74">
        <v>36692</v>
      </c>
      <c r="C19" s="12">
        <v>2000</v>
      </c>
      <c r="D19" s="15" t="s">
        <v>23</v>
      </c>
      <c r="E19" s="12">
        <v>6</v>
      </c>
      <c r="F19" s="13">
        <v>3.1162979370312809</v>
      </c>
      <c r="G19" s="13">
        <v>4.6100982499999998E-2</v>
      </c>
    </row>
    <row r="20" spans="1:14">
      <c r="A20" s="8">
        <v>10</v>
      </c>
      <c r="B20" s="74">
        <v>36692</v>
      </c>
      <c r="C20" s="12">
        <v>2000</v>
      </c>
      <c r="D20" s="15" t="s">
        <v>23</v>
      </c>
      <c r="E20" s="12">
        <v>6</v>
      </c>
      <c r="F20" s="13">
        <v>5.0290643195011295</v>
      </c>
      <c r="G20" s="13">
        <v>5.9274129500000008E-2</v>
      </c>
      <c r="I20" s="27">
        <f>AVERAGE(F19:F20)</f>
        <v>4.072681128266205</v>
      </c>
      <c r="J20" s="27">
        <f>AVERAGE(G19:G20)</f>
        <v>5.2687556000000003E-2</v>
      </c>
      <c r="L20">
        <f>+J20/I20</f>
        <v>1.2936823272100806E-2</v>
      </c>
      <c r="M20">
        <f>+(L20-$L$614)/$L$615</f>
        <v>-0.44785349257186324</v>
      </c>
      <c r="N20">
        <f>+N18+M20</f>
        <v>-2.5094013039629934</v>
      </c>
    </row>
    <row r="21" spans="1:14">
      <c r="A21" s="8">
        <v>9</v>
      </c>
      <c r="B21" s="74">
        <v>36719</v>
      </c>
      <c r="C21" s="12">
        <v>2000</v>
      </c>
      <c r="D21" s="15" t="s">
        <v>24</v>
      </c>
      <c r="E21" s="12">
        <v>7</v>
      </c>
      <c r="F21" s="13">
        <v>5.8162761812081509</v>
      </c>
      <c r="G21" s="13">
        <v>0.176551494</v>
      </c>
    </row>
    <row r="22" spans="1:14">
      <c r="A22" s="8">
        <v>10</v>
      </c>
      <c r="B22" s="74">
        <v>36719</v>
      </c>
      <c r="C22" s="12">
        <v>2000</v>
      </c>
      <c r="D22" s="15" t="s">
        <v>24</v>
      </c>
      <c r="E22" s="12">
        <v>7</v>
      </c>
      <c r="F22" s="13">
        <v>6.6924579211511181</v>
      </c>
      <c r="G22" s="13">
        <v>0.32168926033333334</v>
      </c>
      <c r="I22" s="27">
        <f>AVERAGE(F21:F22)</f>
        <v>6.254367051179635</v>
      </c>
      <c r="J22" s="27">
        <f>AVERAGE(G21:G22)</f>
        <v>0.24912037716666668</v>
      </c>
      <c r="L22">
        <f>+J22/I22</f>
        <v>3.9831429004423421E-2</v>
      </c>
      <c r="M22">
        <f>+(L22-$L$614)/$L$615</f>
        <v>0.37411699912497953</v>
      </c>
      <c r="N22">
        <f>+N20+M22</f>
        <v>-2.1352843048380139</v>
      </c>
    </row>
    <row r="23" spans="1:14">
      <c r="A23" s="8">
        <v>9</v>
      </c>
      <c r="B23" s="74">
        <v>36755</v>
      </c>
      <c r="C23" s="12">
        <v>2000</v>
      </c>
      <c r="D23" s="15" t="s">
        <v>25</v>
      </c>
      <c r="E23" s="12">
        <v>8</v>
      </c>
      <c r="F23" s="13">
        <v>0.84630613564951318</v>
      </c>
      <c r="G23" s="13">
        <v>0</v>
      </c>
    </row>
    <row r="24" spans="1:14">
      <c r="A24" s="8">
        <v>10</v>
      </c>
      <c r="B24" s="74">
        <v>36755</v>
      </c>
      <c r="C24" s="12">
        <v>2000</v>
      </c>
      <c r="D24" s="15" t="s">
        <v>25</v>
      </c>
      <c r="E24" s="12">
        <v>8</v>
      </c>
      <c r="F24" s="13">
        <v>3.5766022851941686</v>
      </c>
      <c r="G24" s="13">
        <v>3.3107205333333334E-2</v>
      </c>
      <c r="I24" s="27">
        <f>AVERAGE(F23:F24)</f>
        <v>2.2114542104218406</v>
      </c>
      <c r="J24" s="27">
        <f>AVERAGE(G23:G24)</f>
        <v>1.6553602666666667E-2</v>
      </c>
      <c r="L24">
        <f>+J24/I24</f>
        <v>7.485392457440493E-3</v>
      </c>
      <c r="M24">
        <f>+(L24-$L$614)/$L$615</f>
        <v>-0.61446367871013341</v>
      </c>
      <c r="N24">
        <f>+N22+M24</f>
        <v>-2.7497479835481471</v>
      </c>
    </row>
    <row r="25" spans="1:14">
      <c r="A25" s="8">
        <v>9</v>
      </c>
      <c r="B25" s="74">
        <v>36783</v>
      </c>
      <c r="C25" s="12">
        <v>2000</v>
      </c>
      <c r="D25" s="15" t="s">
        <v>26</v>
      </c>
      <c r="E25" s="12">
        <v>9</v>
      </c>
      <c r="F25" s="13">
        <v>1.2064864205241426</v>
      </c>
      <c r="G25" s="13">
        <v>0</v>
      </c>
    </row>
    <row r="26" spans="1:14">
      <c r="A26" s="8">
        <v>10</v>
      </c>
      <c r="B26" s="74">
        <v>36783</v>
      </c>
      <c r="C26" s="12">
        <v>2000</v>
      </c>
      <c r="D26" s="15" t="s">
        <v>26</v>
      </c>
      <c r="E26" s="12">
        <v>9</v>
      </c>
      <c r="F26" s="13">
        <v>1.8004016582666416</v>
      </c>
      <c r="G26" s="13">
        <v>0</v>
      </c>
      <c r="I26" s="27">
        <f>AVERAGE(F25:F26)</f>
        <v>1.5034440393953921</v>
      </c>
      <c r="J26" s="27">
        <f>AVERAGE(G25:G26)</f>
        <v>0</v>
      </c>
      <c r="L26">
        <f>+J26/I26</f>
        <v>0</v>
      </c>
      <c r="M26">
        <f>+(L26-$L$614)/$L$615</f>
        <v>-0.84323712792979022</v>
      </c>
      <c r="N26">
        <f>+N24+M26</f>
        <v>-3.5929851114779372</v>
      </c>
    </row>
    <row r="27" spans="1:14">
      <c r="A27" s="8">
        <v>9</v>
      </c>
      <c r="B27" s="74">
        <v>36815</v>
      </c>
      <c r="C27" s="12">
        <v>2000</v>
      </c>
      <c r="D27" s="15" t="s">
        <v>14</v>
      </c>
      <c r="E27" s="12">
        <v>10</v>
      </c>
      <c r="F27" s="14">
        <v>0.43998358844421992</v>
      </c>
      <c r="G27" s="14">
        <v>0</v>
      </c>
    </row>
    <row r="28" spans="1:14">
      <c r="A28" s="8">
        <v>10</v>
      </c>
      <c r="B28" s="74">
        <v>36815</v>
      </c>
      <c r="C28" s="12">
        <v>2000</v>
      </c>
      <c r="D28" s="15" t="s">
        <v>14</v>
      </c>
      <c r="E28" s="12">
        <v>10</v>
      </c>
      <c r="F28" s="14">
        <v>1.561920699400118</v>
      </c>
      <c r="G28" s="14">
        <v>0</v>
      </c>
      <c r="I28" s="27">
        <f>AVERAGE(F27:F28)</f>
        <v>1.0009521439221689</v>
      </c>
      <c r="J28" s="27">
        <f>AVERAGE(G27:G28)</f>
        <v>0</v>
      </c>
      <c r="L28">
        <f>+J28/I28</f>
        <v>0</v>
      </c>
      <c r="M28">
        <f>+(L28-$L$614)/$L$615</f>
        <v>-0.84323712792979022</v>
      </c>
      <c r="N28">
        <f>+N26+M28</f>
        <v>-4.4362222394077273</v>
      </c>
    </row>
    <row r="29" spans="1:14">
      <c r="A29" s="8">
        <v>9</v>
      </c>
      <c r="B29" s="74">
        <v>36846</v>
      </c>
      <c r="C29" s="12">
        <v>2000</v>
      </c>
      <c r="D29" s="15" t="s">
        <v>16</v>
      </c>
      <c r="E29" s="12">
        <v>11</v>
      </c>
      <c r="F29" s="14">
        <v>0.39527561709589693</v>
      </c>
      <c r="G29" s="14">
        <v>4.855355833333333E-2</v>
      </c>
    </row>
    <row r="30" spans="1:14">
      <c r="A30" s="8">
        <v>10</v>
      </c>
      <c r="B30" s="74">
        <v>36846</v>
      </c>
      <c r="C30" s="12">
        <v>2000</v>
      </c>
      <c r="D30" s="15" t="s">
        <v>16</v>
      </c>
      <c r="E30" s="12">
        <v>11</v>
      </c>
      <c r="F30" s="14">
        <v>0.53991698270694943</v>
      </c>
      <c r="G30" s="14">
        <v>7.6901120666666656E-2</v>
      </c>
      <c r="I30" s="27">
        <f>AVERAGE(F29:F30)</f>
        <v>0.46759629990142315</v>
      </c>
      <c r="J30" s="27">
        <f>AVERAGE(G29:G30)</f>
        <v>6.2727339499999993E-2</v>
      </c>
      <c r="L30">
        <f>+J30/I30</f>
        <v>0.13414849414596294</v>
      </c>
      <c r="M30">
        <f>+(L30-$L$614)/$L$615</f>
        <v>3.2566966948972764</v>
      </c>
      <c r="N30">
        <f>+N28+M30</f>
        <v>-1.1795255445104509</v>
      </c>
    </row>
    <row r="31" spans="1:14">
      <c r="A31" s="8">
        <v>9</v>
      </c>
      <c r="B31" s="74">
        <v>36873</v>
      </c>
      <c r="C31" s="12">
        <v>2000</v>
      </c>
      <c r="D31" s="15" t="s">
        <v>17</v>
      </c>
      <c r="E31" s="12">
        <v>12</v>
      </c>
      <c r="F31" s="16">
        <v>3.3021338846700647</v>
      </c>
      <c r="G31" s="14">
        <v>0.23999266899999999</v>
      </c>
    </row>
    <row r="32" spans="1:14">
      <c r="A32" s="8">
        <v>10</v>
      </c>
      <c r="B32" s="74">
        <v>36873</v>
      </c>
      <c r="C32" s="12">
        <v>2000</v>
      </c>
      <c r="D32" s="15" t="s">
        <v>17</v>
      </c>
      <c r="E32" s="12">
        <v>12</v>
      </c>
      <c r="F32" s="16">
        <v>3.3909891865182566</v>
      </c>
      <c r="G32" s="14">
        <v>0.47868713616666669</v>
      </c>
      <c r="I32" s="27">
        <f>AVERAGE(F31:F32)</f>
        <v>3.3465615355941605</v>
      </c>
      <c r="J32" s="27">
        <f>AVERAGE(G31:G32)</f>
        <v>0.35933990258333337</v>
      </c>
      <c r="L32">
        <f>+J32/I32</f>
        <v>0.10737585392092151</v>
      </c>
      <c r="M32">
        <f>+(L32-$L$614)/$L$615</f>
        <v>2.4384537926281338</v>
      </c>
      <c r="N32">
        <f>+N30+M32</f>
        <v>1.2589282481176829</v>
      </c>
    </row>
    <row r="33" spans="1:14">
      <c r="A33" s="8">
        <v>9</v>
      </c>
      <c r="B33" s="74">
        <v>36902</v>
      </c>
      <c r="C33" s="12">
        <v>2001</v>
      </c>
      <c r="D33" s="15" t="s">
        <v>18</v>
      </c>
      <c r="E33" s="12">
        <v>1</v>
      </c>
      <c r="F33" s="14">
        <v>3.9184009800716293</v>
      </c>
      <c r="G33" s="14">
        <v>0.14359535350000002</v>
      </c>
    </row>
    <row r="34" spans="1:14">
      <c r="A34" s="8">
        <v>10</v>
      </c>
      <c r="B34" s="74">
        <v>36902</v>
      </c>
      <c r="C34" s="12">
        <v>2001</v>
      </c>
      <c r="D34" s="15" t="s">
        <v>18</v>
      </c>
      <c r="E34" s="12">
        <v>1</v>
      </c>
      <c r="F34" s="14">
        <v>3.823692504941226</v>
      </c>
      <c r="G34" s="14">
        <v>0.19685372699999998</v>
      </c>
      <c r="I34" s="27">
        <f>AVERAGE(F33:F34)</f>
        <v>3.8710467425064277</v>
      </c>
      <c r="J34" s="27">
        <f>AVERAGE(G33:G34)</f>
        <v>0.17022454025</v>
      </c>
      <c r="L34">
        <f>+J34/I34</f>
        <v>4.3973775459963296E-2</v>
      </c>
      <c r="M34">
        <f>+(L34-$L$614)/$L$615</f>
        <v>0.50071809477691198</v>
      </c>
      <c r="N34">
        <f>+N32+M34</f>
        <v>1.759646342894595</v>
      </c>
    </row>
    <row r="35" spans="1:14">
      <c r="A35" s="12">
        <v>9</v>
      </c>
      <c r="B35" s="74">
        <v>36929</v>
      </c>
      <c r="C35" s="12">
        <v>2001</v>
      </c>
      <c r="D35" s="11" t="s">
        <v>19</v>
      </c>
      <c r="E35" s="12">
        <v>2</v>
      </c>
      <c r="F35" s="14">
        <v>3.8858306868674863</v>
      </c>
      <c r="G35" s="14">
        <v>0.178769977</v>
      </c>
    </row>
    <row r="36" spans="1:14">
      <c r="A36" s="12">
        <v>10</v>
      </c>
      <c r="B36" s="74">
        <v>36929</v>
      </c>
      <c r="C36" s="12">
        <v>2001</v>
      </c>
      <c r="D36" s="11" t="s">
        <v>19</v>
      </c>
      <c r="E36" s="12">
        <v>2</v>
      </c>
      <c r="F36" s="14">
        <v>2.3564985082205148</v>
      </c>
      <c r="G36" s="14">
        <v>5.2544144000000001E-2</v>
      </c>
      <c r="I36" s="27">
        <f>AVERAGE(F35:F36)</f>
        <v>3.1211645975440003</v>
      </c>
      <c r="J36" s="27">
        <f>AVERAGE(G35:G36)</f>
        <v>0.11565706049999999</v>
      </c>
      <c r="L36">
        <f>+J36/I36</f>
        <v>3.7055738935078554E-2</v>
      </c>
      <c r="M36">
        <f>+(L36-$L$614)/$L$615</f>
        <v>0.28928454782209845</v>
      </c>
      <c r="N36">
        <f>+N34+M36</f>
        <v>2.0489308907166937</v>
      </c>
    </row>
    <row r="37" spans="1:14">
      <c r="A37" s="8">
        <v>9</v>
      </c>
      <c r="B37" s="74">
        <v>36962</v>
      </c>
      <c r="C37" s="12">
        <v>2001</v>
      </c>
      <c r="D37" s="11" t="s">
        <v>20</v>
      </c>
      <c r="E37" s="12">
        <v>3</v>
      </c>
      <c r="F37" s="14">
        <v>5.6073203405111141</v>
      </c>
      <c r="G37" s="14">
        <v>0</v>
      </c>
    </row>
    <row r="38" spans="1:14">
      <c r="A38" s="8">
        <v>10</v>
      </c>
      <c r="B38" s="74">
        <v>36962</v>
      </c>
      <c r="C38" s="12">
        <v>2001</v>
      </c>
      <c r="D38" s="11" t="s">
        <v>20</v>
      </c>
      <c r="E38" s="12">
        <v>3</v>
      </c>
      <c r="F38" s="14">
        <v>8.9202021810742398</v>
      </c>
      <c r="G38" s="14">
        <v>0</v>
      </c>
      <c r="I38" s="27">
        <f>AVERAGE(F37:F38)</f>
        <v>7.2637612607926769</v>
      </c>
      <c r="J38" s="27">
        <f>AVERAGE(G37:G38)</f>
        <v>0</v>
      </c>
      <c r="L38">
        <f>+J38/I38</f>
        <v>0</v>
      </c>
      <c r="M38">
        <f>+(L38-$L$614)/$L$615</f>
        <v>-0.84323712792979022</v>
      </c>
      <c r="N38">
        <f>+N36+M38</f>
        <v>1.2056937627869035</v>
      </c>
    </row>
    <row r="39" spans="1:14">
      <c r="A39" s="8">
        <v>9</v>
      </c>
      <c r="B39" s="74">
        <v>36998</v>
      </c>
      <c r="C39" s="12">
        <v>2001</v>
      </c>
      <c r="D39" s="15" t="s">
        <v>21</v>
      </c>
      <c r="E39" s="12">
        <v>4</v>
      </c>
      <c r="F39" s="14">
        <v>0.8225617702714082</v>
      </c>
      <c r="G39" s="14">
        <v>0</v>
      </c>
    </row>
    <row r="40" spans="1:14">
      <c r="A40" s="8">
        <v>10</v>
      </c>
      <c r="B40" s="74">
        <v>36998</v>
      </c>
      <c r="C40" s="12">
        <v>2001</v>
      </c>
      <c r="D40" s="15" t="s">
        <v>21</v>
      </c>
      <c r="E40" s="12">
        <v>4</v>
      </c>
      <c r="F40" s="14">
        <v>1.6086673519985339</v>
      </c>
      <c r="G40" s="14">
        <v>5.0590574833333332E-2</v>
      </c>
      <c r="I40" s="27">
        <f>AVERAGE(F39:F40)</f>
        <v>1.2156145611349711</v>
      </c>
      <c r="J40" s="27">
        <f>AVERAGE(G39:G40)</f>
        <v>2.5295287416666666E-2</v>
      </c>
      <c r="L40">
        <f>+J40/I40</f>
        <v>2.0808641345205225E-2</v>
      </c>
      <c r="M40">
        <f>+(L40-$L$614)/$L$615</f>
        <v>-0.20726985150656813</v>
      </c>
      <c r="N40">
        <f>+N38+M40</f>
        <v>0.99842391128033547</v>
      </c>
    </row>
    <row r="41" spans="1:14">
      <c r="A41" s="8">
        <v>9</v>
      </c>
      <c r="B41" s="74">
        <v>37025</v>
      </c>
      <c r="C41" s="12">
        <v>2001</v>
      </c>
      <c r="D41" s="15" t="s">
        <v>22</v>
      </c>
      <c r="E41" s="12">
        <v>5</v>
      </c>
      <c r="F41" s="14">
        <v>0.28314253986417204</v>
      </c>
      <c r="G41" s="14">
        <v>0</v>
      </c>
    </row>
    <row r="42" spans="1:14">
      <c r="A42" s="8">
        <v>10</v>
      </c>
      <c r="B42" s="74">
        <v>37025</v>
      </c>
      <c r="C42" s="12">
        <v>2001</v>
      </c>
      <c r="D42" s="15" t="s">
        <v>22</v>
      </c>
      <c r="E42" s="12">
        <v>5</v>
      </c>
      <c r="F42" s="14">
        <v>0.65344968643652213</v>
      </c>
      <c r="G42" s="14">
        <v>0</v>
      </c>
      <c r="I42" s="27">
        <f>AVERAGE(F41:F42)</f>
        <v>0.46829611315034708</v>
      </c>
      <c r="J42" s="27">
        <f>AVERAGE(G41:G42)</f>
        <v>0</v>
      </c>
      <c r="L42">
        <f>+J42/I42</f>
        <v>0</v>
      </c>
      <c r="M42">
        <f>+(L42-$L$614)/$L$615</f>
        <v>-0.84323712792979022</v>
      </c>
      <c r="N42">
        <f>+N40+M42</f>
        <v>0.15518678335054525</v>
      </c>
    </row>
    <row r="43" spans="1:14">
      <c r="A43" s="8">
        <v>9</v>
      </c>
      <c r="B43" s="74">
        <v>37054</v>
      </c>
      <c r="C43" s="12">
        <v>2001</v>
      </c>
      <c r="D43" s="15" t="s">
        <v>23</v>
      </c>
      <c r="E43" s="12">
        <v>6</v>
      </c>
      <c r="F43" s="14">
        <v>1.6625532837477026</v>
      </c>
      <c r="G43" s="14">
        <v>1.8407894666666667E-2</v>
      </c>
    </row>
    <row r="44" spans="1:14">
      <c r="A44" s="8">
        <v>10</v>
      </c>
      <c r="B44" s="74">
        <v>37054</v>
      </c>
      <c r="C44" s="12">
        <v>2001</v>
      </c>
      <c r="D44" s="15" t="s">
        <v>23</v>
      </c>
      <c r="E44" s="12">
        <v>6</v>
      </c>
      <c r="F44" s="14">
        <v>3.5693979435090388</v>
      </c>
      <c r="G44" s="14">
        <v>0.14304497849999998</v>
      </c>
      <c r="I44" s="27">
        <f>AVERAGE(F43:F44)</f>
        <v>2.6159756136283709</v>
      </c>
      <c r="J44" s="27">
        <f>AVERAGE(G43:G44)</f>
        <v>8.0726436583333325E-2</v>
      </c>
      <c r="L44">
        <f>+J44/I44</f>
        <v>3.0859017248775253E-2</v>
      </c>
      <c r="M44">
        <f>+(L44-$L$614)/$L$615</f>
        <v>9.9896295691014436E-2</v>
      </c>
      <c r="N44">
        <f>+N42+M44</f>
        <v>0.25508307904155969</v>
      </c>
    </row>
    <row r="45" spans="1:14">
      <c r="A45" s="8">
        <v>9</v>
      </c>
      <c r="B45" s="74">
        <v>37090</v>
      </c>
      <c r="C45" s="12">
        <v>2001</v>
      </c>
      <c r="D45" s="15" t="s">
        <v>24</v>
      </c>
      <c r="E45" s="12">
        <v>7</v>
      </c>
      <c r="F45" s="14">
        <v>4.9985278325977225</v>
      </c>
      <c r="G45" s="14">
        <v>0.13826971533333332</v>
      </c>
    </row>
    <row r="46" spans="1:14">
      <c r="A46" s="8">
        <v>10</v>
      </c>
      <c r="B46" s="74">
        <v>37090</v>
      </c>
      <c r="C46" s="12">
        <v>2001</v>
      </c>
      <c r="D46" s="15" t="s">
        <v>24</v>
      </c>
      <c r="E46" s="12">
        <v>7</v>
      </c>
      <c r="F46" s="14">
        <v>3.9285171139776001</v>
      </c>
      <c r="G46" s="14">
        <v>0.27919601216666667</v>
      </c>
      <c r="I46" s="27">
        <f>AVERAGE(F45:F46)</f>
        <v>4.4635224732876608</v>
      </c>
      <c r="J46" s="27">
        <f>AVERAGE(G45:G46)</f>
        <v>0.20873286375</v>
      </c>
      <c r="L46">
        <f>+J46/I46</f>
        <v>4.6764156560021822E-2</v>
      </c>
      <c r="M46">
        <f>+(L46-$L$614)/$L$615</f>
        <v>0.58599954294776813</v>
      </c>
      <c r="N46">
        <f>+N44+M46</f>
        <v>0.84108262198932782</v>
      </c>
    </row>
    <row r="47" spans="1:14">
      <c r="A47" s="8">
        <v>9</v>
      </c>
      <c r="B47" s="74">
        <v>37117</v>
      </c>
      <c r="C47" s="12">
        <v>2001</v>
      </c>
      <c r="D47" s="15" t="s">
        <v>25</v>
      </c>
      <c r="E47" s="12">
        <v>8</v>
      </c>
      <c r="F47" s="14">
        <v>3.3041615557801189</v>
      </c>
      <c r="G47" s="14">
        <v>6.1606147000000007E-2</v>
      </c>
    </row>
    <row r="48" spans="1:14">
      <c r="A48" s="8">
        <v>10</v>
      </c>
      <c r="B48" s="74">
        <v>37117</v>
      </c>
      <c r="C48" s="12">
        <v>2001</v>
      </c>
      <c r="D48" s="15" t="s">
        <v>25</v>
      </c>
      <c r="E48" s="12">
        <v>8</v>
      </c>
      <c r="F48" s="14">
        <v>1.6653540946535696</v>
      </c>
      <c r="G48" s="14">
        <v>0</v>
      </c>
      <c r="I48" s="27">
        <f>AVERAGE(F47:F48)</f>
        <v>2.4847578252168443</v>
      </c>
      <c r="J48" s="27">
        <f>AVERAGE(G47:G48)</f>
        <v>3.0803073500000003E-2</v>
      </c>
      <c r="L48">
        <f>+J48/I48</f>
        <v>1.2396811144889674E-2</v>
      </c>
      <c r="M48">
        <f>+(L48-$L$614)/$L$615</f>
        <v>-0.46435769561331308</v>
      </c>
      <c r="N48">
        <f>+N46+M48</f>
        <v>0.37672492637601473</v>
      </c>
    </row>
    <row r="49" spans="1:14">
      <c r="A49" s="8">
        <v>9</v>
      </c>
      <c r="B49" s="74">
        <v>37145</v>
      </c>
      <c r="C49" s="12">
        <v>2001</v>
      </c>
      <c r="D49" s="15" t="s">
        <v>26</v>
      </c>
      <c r="E49" s="12">
        <v>9</v>
      </c>
      <c r="F49" s="14">
        <v>2.9347511423023387</v>
      </c>
      <c r="G49" s="14">
        <v>0</v>
      </c>
    </row>
    <row r="50" spans="1:14">
      <c r="A50" s="8">
        <v>10</v>
      </c>
      <c r="B50" s="74">
        <v>37145</v>
      </c>
      <c r="C50" s="12">
        <v>2001</v>
      </c>
      <c r="D50" s="15" t="s">
        <v>26</v>
      </c>
      <c r="E50" s="12">
        <v>9</v>
      </c>
      <c r="F50" s="14">
        <v>2.7943675451893024</v>
      </c>
      <c r="G50" s="14">
        <v>3.4259428500000001E-2</v>
      </c>
      <c r="I50" s="27">
        <f>AVERAGE(F49:F50)</f>
        <v>2.8645593437458206</v>
      </c>
      <c r="J50" s="27">
        <f>AVERAGE(G49:G50)</f>
        <v>1.7129714250000001E-2</v>
      </c>
      <c r="L50">
        <f>+J50/I50</f>
        <v>5.9798775987654883E-3</v>
      </c>
      <c r="M50">
        <f>+(L50-$L$614)/$L$615</f>
        <v>-0.66047620631356851</v>
      </c>
      <c r="N50">
        <f>+N48+M50</f>
        <v>-0.28375127993755378</v>
      </c>
    </row>
    <row r="51" spans="1:14">
      <c r="A51" s="8">
        <v>9</v>
      </c>
      <c r="B51" s="74">
        <v>37182</v>
      </c>
      <c r="C51" s="12">
        <v>2001</v>
      </c>
      <c r="D51" s="15" t="s">
        <v>14</v>
      </c>
      <c r="E51" s="12">
        <v>10</v>
      </c>
      <c r="F51" s="13">
        <v>0.4721011143849117</v>
      </c>
      <c r="G51" s="13">
        <v>0</v>
      </c>
    </row>
    <row r="52" spans="1:14">
      <c r="A52" s="8">
        <v>10</v>
      </c>
      <c r="B52" s="74">
        <v>37182</v>
      </c>
      <c r="C52" s="12">
        <v>2001</v>
      </c>
      <c r="D52" s="15" t="s">
        <v>14</v>
      </c>
      <c r="E52" s="12">
        <v>10</v>
      </c>
      <c r="F52" s="13">
        <v>1.2112738867058166</v>
      </c>
      <c r="G52" s="13">
        <v>0</v>
      </c>
      <c r="I52" s="27">
        <f>AVERAGE(F51:F52)</f>
        <v>0.84168750054536412</v>
      </c>
      <c r="J52" s="27">
        <f>AVERAGE(G51:G52)</f>
        <v>0</v>
      </c>
      <c r="L52">
        <f>+J52/I52</f>
        <v>0</v>
      </c>
      <c r="M52">
        <f>+(L52-$L$614)/$L$615</f>
        <v>-0.84323712792979022</v>
      </c>
      <c r="N52">
        <f>+N50+M52</f>
        <v>-1.126988407867344</v>
      </c>
    </row>
    <row r="53" spans="1:14">
      <c r="A53" s="8">
        <v>9</v>
      </c>
      <c r="B53" s="74">
        <v>37202</v>
      </c>
      <c r="C53" s="12">
        <v>2001</v>
      </c>
      <c r="D53" s="15" t="s">
        <v>16</v>
      </c>
      <c r="E53" s="12">
        <v>11</v>
      </c>
      <c r="F53" s="13">
        <v>0.47858704932321527</v>
      </c>
      <c r="G53" s="13">
        <v>0</v>
      </c>
    </row>
    <row r="54" spans="1:14">
      <c r="A54" s="8">
        <v>10</v>
      </c>
      <c r="B54" s="74">
        <v>37202</v>
      </c>
      <c r="C54" s="12">
        <v>2001</v>
      </c>
      <c r="D54" s="15" t="s">
        <v>16</v>
      </c>
      <c r="E54" s="12">
        <v>11</v>
      </c>
      <c r="F54" s="13">
        <v>0.30968197273470283</v>
      </c>
      <c r="G54" s="13">
        <v>0</v>
      </c>
      <c r="I54" s="27">
        <f>AVERAGE(F53:F54)</f>
        <v>0.39413451102895902</v>
      </c>
      <c r="J54" s="27">
        <f>AVERAGE(G53:G54)</f>
        <v>0</v>
      </c>
      <c r="L54">
        <f>+J54/I54</f>
        <v>0</v>
      </c>
      <c r="M54">
        <f>+(L54-$L$614)/$L$615</f>
        <v>-0.84323712792979022</v>
      </c>
      <c r="N54">
        <f>+N52+M54</f>
        <v>-1.9702255357971343</v>
      </c>
    </row>
    <row r="55" spans="1:14">
      <c r="A55" s="8">
        <v>9</v>
      </c>
      <c r="B55" s="74">
        <v>37230</v>
      </c>
      <c r="C55" s="12">
        <v>2001</v>
      </c>
      <c r="D55" s="15" t="s">
        <v>17</v>
      </c>
      <c r="E55" s="12">
        <v>12</v>
      </c>
      <c r="F55" s="13">
        <v>0.4186981867733931</v>
      </c>
      <c r="G55" s="13">
        <v>0</v>
      </c>
    </row>
    <row r="56" spans="1:14">
      <c r="A56" s="8">
        <v>10</v>
      </c>
      <c r="B56" s="74">
        <v>37230</v>
      </c>
      <c r="C56" s="12">
        <v>2001</v>
      </c>
      <c r="D56" s="15" t="s">
        <v>17</v>
      </c>
      <c r="E56" s="12">
        <v>12</v>
      </c>
      <c r="F56" s="13">
        <v>0.7572648443264195</v>
      </c>
      <c r="G56" s="13">
        <v>0</v>
      </c>
      <c r="I56" s="27">
        <f>AVERAGE(F55:F56)</f>
        <v>0.5879815155499063</v>
      </c>
      <c r="J56" s="27">
        <f>AVERAGE(G55:G56)</f>
        <v>0</v>
      </c>
      <c r="L56">
        <f>+J56/I56</f>
        <v>0</v>
      </c>
      <c r="M56">
        <f>+(L56-$L$614)/$L$615</f>
        <v>-0.84323712792979022</v>
      </c>
      <c r="N56">
        <f>+N54+M56</f>
        <v>-2.8134626637269244</v>
      </c>
    </row>
    <row r="57" spans="1:14">
      <c r="A57" s="8">
        <v>9</v>
      </c>
      <c r="B57" s="74">
        <v>37272</v>
      </c>
      <c r="C57" s="12">
        <v>2002</v>
      </c>
      <c r="D57" s="15" t="s">
        <v>18</v>
      </c>
      <c r="E57" s="12">
        <v>1</v>
      </c>
      <c r="F57" s="13">
        <v>1.147997067637754</v>
      </c>
      <c r="G57" s="13">
        <v>2.9213880920873701E-2</v>
      </c>
    </row>
    <row r="58" spans="1:14">
      <c r="A58" s="8">
        <v>10</v>
      </c>
      <c r="B58" s="74">
        <v>37272</v>
      </c>
      <c r="C58" s="12">
        <v>2002</v>
      </c>
      <c r="D58" s="15" t="s">
        <v>18</v>
      </c>
      <c r="E58" s="12">
        <v>1</v>
      </c>
      <c r="F58" s="13">
        <v>1.682021769965901</v>
      </c>
      <c r="G58" s="13">
        <v>4.3579449911026608E-2</v>
      </c>
      <c r="I58" s="27">
        <f>AVERAGE(F57:F58)</f>
        <v>1.4150094188018274</v>
      </c>
      <c r="J58" s="27">
        <f>AVERAGE(G57:G58)</f>
        <v>3.6396665415950158E-2</v>
      </c>
      <c r="L58">
        <f>+J58/I58</f>
        <v>2.5721853814068163E-2</v>
      </c>
      <c r="M58">
        <f>+(L58-$L$614)/$L$615</f>
        <v>-5.7109045691566419E-2</v>
      </c>
      <c r="N58">
        <f>+N56+M58</f>
        <v>-2.870571709418491</v>
      </c>
    </row>
    <row r="59" spans="1:14">
      <c r="A59" s="8">
        <v>9</v>
      </c>
      <c r="B59" s="74">
        <v>37301</v>
      </c>
      <c r="C59" s="12">
        <v>2002</v>
      </c>
      <c r="D59" s="11" t="s">
        <v>19</v>
      </c>
      <c r="E59" s="12">
        <v>2</v>
      </c>
      <c r="F59" s="13">
        <v>0.71297686444235664</v>
      </c>
      <c r="G59" s="13">
        <v>2.038087636988679E-2</v>
      </c>
    </row>
    <row r="60" spans="1:14">
      <c r="A60" s="8">
        <v>10</v>
      </c>
      <c r="B60" s="74">
        <v>37301</v>
      </c>
      <c r="C60" s="12">
        <v>2002</v>
      </c>
      <c r="D60" s="11" t="s">
        <v>19</v>
      </c>
      <c r="E60" s="12">
        <v>2</v>
      </c>
      <c r="F60" s="13">
        <v>0.9535940430726153</v>
      </c>
      <c r="G60" s="13">
        <v>6.6690834409059194E-2</v>
      </c>
      <c r="I60" s="27">
        <f>AVERAGE(F59:F60)</f>
        <v>0.83328545375748597</v>
      </c>
      <c r="J60" s="27">
        <f>AVERAGE(G59:G60)</f>
        <v>4.3535855389472994E-2</v>
      </c>
      <c r="L60">
        <f>+J60/I60</f>
        <v>5.2246028288576593E-2</v>
      </c>
      <c r="M60">
        <f>+(L60-$L$614)/$L$615</f>
        <v>0.75354008416209195</v>
      </c>
      <c r="N60">
        <f>+N58+M60</f>
        <v>-2.117031625256399</v>
      </c>
    </row>
    <row r="61" spans="1:14">
      <c r="A61" s="8">
        <v>9</v>
      </c>
      <c r="B61" s="70">
        <v>37336</v>
      </c>
      <c r="C61" s="12">
        <v>2002</v>
      </c>
      <c r="D61" s="11" t="s">
        <v>20</v>
      </c>
      <c r="E61" s="12">
        <v>3</v>
      </c>
      <c r="F61" s="13">
        <v>1.3481645884658155</v>
      </c>
      <c r="G61" s="13">
        <v>6.6137167934927008E-2</v>
      </c>
    </row>
    <row r="62" spans="1:14">
      <c r="A62" s="8">
        <v>10</v>
      </c>
      <c r="B62" s="70">
        <v>37336</v>
      </c>
      <c r="C62" s="12">
        <v>2002</v>
      </c>
      <c r="D62" s="11" t="s">
        <v>20</v>
      </c>
      <c r="E62" s="12">
        <v>3</v>
      </c>
      <c r="F62" s="13">
        <v>1.2886443731512156</v>
      </c>
      <c r="G62" s="13">
        <v>7.1877619827106359E-2</v>
      </c>
      <c r="I62" s="27">
        <f>AVERAGE(F61:F62)</f>
        <v>1.3184044808085156</v>
      </c>
      <c r="J62" s="27">
        <f>AVERAGE(G61:G62)</f>
        <v>6.9007393881016676E-2</v>
      </c>
      <c r="L62">
        <f>+J62/I62</f>
        <v>5.2341595379513335E-2</v>
      </c>
      <c r="M62">
        <f>+(L62-$L$614)/$L$615</f>
        <v>0.75646086796197876</v>
      </c>
      <c r="N62">
        <f>+N60+M62</f>
        <v>-1.3605707572944201</v>
      </c>
    </row>
    <row r="63" spans="1:14">
      <c r="A63" s="8">
        <v>9</v>
      </c>
      <c r="B63" s="70">
        <v>37363</v>
      </c>
      <c r="C63" s="12">
        <v>2002</v>
      </c>
      <c r="D63" s="15" t="s">
        <v>21</v>
      </c>
      <c r="E63" s="12">
        <v>4</v>
      </c>
      <c r="F63" s="13">
        <v>0.85757683671362128</v>
      </c>
      <c r="G63" s="13">
        <v>0</v>
      </c>
    </row>
    <row r="64" spans="1:14">
      <c r="A64" s="8">
        <v>10</v>
      </c>
      <c r="B64" s="70">
        <v>37363</v>
      </c>
      <c r="C64" s="12">
        <v>2002</v>
      </c>
      <c r="D64" s="15" t="s">
        <v>21</v>
      </c>
      <c r="E64" s="12">
        <v>4</v>
      </c>
      <c r="F64" s="13">
        <v>1.103174564508576</v>
      </c>
      <c r="G64" s="13">
        <v>2.7737062023399525E-2</v>
      </c>
      <c r="I64" s="27">
        <f>AVERAGE(F63:F64)</f>
        <v>0.98037570061109869</v>
      </c>
      <c r="J64" s="27">
        <f>AVERAGE(G63:G64)</f>
        <v>1.3868531011699763E-2</v>
      </c>
      <c r="L64">
        <f>+J64/I64</f>
        <v>1.4146139080206777E-2</v>
      </c>
      <c r="M64">
        <f>+(L64-$L$614)/$L$615</f>
        <v>-0.41089359365016276</v>
      </c>
      <c r="N64">
        <f>+N62+M64</f>
        <v>-1.7714643509445829</v>
      </c>
    </row>
    <row r="65" spans="1:14">
      <c r="A65" s="8">
        <v>9</v>
      </c>
      <c r="B65" s="70">
        <v>37391</v>
      </c>
      <c r="C65" s="12">
        <v>2002</v>
      </c>
      <c r="D65" s="15" t="s">
        <v>22</v>
      </c>
      <c r="E65" s="12">
        <v>5</v>
      </c>
      <c r="F65" s="13">
        <v>1.9396457396043549</v>
      </c>
      <c r="G65" s="19"/>
    </row>
    <row r="66" spans="1:14">
      <c r="A66" s="8">
        <v>10</v>
      </c>
      <c r="B66" s="70">
        <v>37391</v>
      </c>
      <c r="C66" s="12">
        <v>2002</v>
      </c>
      <c r="D66" s="15" t="s">
        <v>22</v>
      </c>
      <c r="E66" s="12">
        <v>5</v>
      </c>
      <c r="F66" s="13">
        <v>2.4335974169955601</v>
      </c>
      <c r="G66" s="19"/>
      <c r="I66" s="27">
        <f>AVERAGE(F65:F66)</f>
        <v>2.1866215782999574</v>
      </c>
      <c r="J66" s="27" t="e">
        <f>AVERAGE(G65:G66)</f>
        <v>#DIV/0!</v>
      </c>
    </row>
    <row r="67" spans="1:14">
      <c r="A67" s="8">
        <v>9</v>
      </c>
      <c r="B67" s="70">
        <v>37420</v>
      </c>
      <c r="C67" s="12">
        <v>2002</v>
      </c>
      <c r="D67" s="15" t="s">
        <v>23</v>
      </c>
      <c r="E67" s="12">
        <v>6</v>
      </c>
      <c r="F67" s="13">
        <v>5.3147026553096444</v>
      </c>
      <c r="G67" s="19"/>
    </row>
    <row r="68" spans="1:14">
      <c r="A68" s="8">
        <v>10</v>
      </c>
      <c r="B68" s="70">
        <v>37420</v>
      </c>
      <c r="C68" s="12">
        <v>2002</v>
      </c>
      <c r="D68" s="15" t="s">
        <v>23</v>
      </c>
      <c r="E68" s="12">
        <v>6</v>
      </c>
      <c r="F68" s="13">
        <v>4.260691903620927</v>
      </c>
      <c r="G68" s="19"/>
      <c r="I68" s="27">
        <f>AVERAGE(F67:F68)</f>
        <v>4.7876972794652861</v>
      </c>
      <c r="J68" s="27" t="e">
        <f>AVERAGE(G67:G68)</f>
        <v>#DIV/0!</v>
      </c>
    </row>
    <row r="69" spans="1:14">
      <c r="A69" s="8">
        <v>9</v>
      </c>
      <c r="B69" s="70">
        <v>37453</v>
      </c>
      <c r="C69" s="12">
        <v>2002</v>
      </c>
      <c r="D69" s="15" t="s">
        <v>24</v>
      </c>
      <c r="E69" s="12">
        <v>7</v>
      </c>
      <c r="F69" s="13">
        <v>10.683163546231519</v>
      </c>
      <c r="G69" s="19"/>
    </row>
    <row r="70" spans="1:14">
      <c r="A70" s="8">
        <v>10</v>
      </c>
      <c r="B70" s="70">
        <v>37453</v>
      </c>
      <c r="C70" s="12">
        <v>2002</v>
      </c>
      <c r="D70" s="15" t="s">
        <v>24</v>
      </c>
      <c r="E70" s="12">
        <v>7</v>
      </c>
      <c r="F70" s="13">
        <v>8.4764523140248631</v>
      </c>
      <c r="G70" s="19"/>
      <c r="I70" s="27">
        <f>AVERAGE(F69:F70)</f>
        <v>9.5798079301281902</v>
      </c>
      <c r="J70" s="27" t="e">
        <f>AVERAGE(G69:G70)</f>
        <v>#DIV/0!</v>
      </c>
    </row>
    <row r="71" spans="1:14">
      <c r="A71" s="8">
        <v>9</v>
      </c>
      <c r="B71" s="70">
        <v>37481</v>
      </c>
      <c r="C71" s="12">
        <v>2002</v>
      </c>
      <c r="D71" s="15" t="s">
        <v>25</v>
      </c>
      <c r="E71" s="12">
        <v>8</v>
      </c>
      <c r="F71" s="13">
        <v>7.9676668218483595</v>
      </c>
      <c r="G71" s="19"/>
    </row>
    <row r="72" spans="1:14">
      <c r="A72" s="8">
        <v>10</v>
      </c>
      <c r="B72" s="70">
        <v>37481</v>
      </c>
      <c r="C72" s="12">
        <v>2002</v>
      </c>
      <c r="D72" s="15" t="s">
        <v>25</v>
      </c>
      <c r="E72" s="12">
        <v>8</v>
      </c>
      <c r="F72" s="13">
        <v>4.6552995592289621</v>
      </c>
      <c r="G72" s="19"/>
      <c r="I72" s="27">
        <f>AVERAGE(F71:F72)</f>
        <v>6.3114831905386612</v>
      </c>
      <c r="J72" s="27" t="e">
        <f>AVERAGE(G71:G72)</f>
        <v>#DIV/0!</v>
      </c>
    </row>
    <row r="73" spans="1:14">
      <c r="A73" s="8">
        <v>9</v>
      </c>
      <c r="B73" s="70">
        <v>37518</v>
      </c>
      <c r="C73" s="12">
        <v>2002</v>
      </c>
      <c r="D73" s="15" t="s">
        <v>26</v>
      </c>
      <c r="E73" s="12">
        <v>9</v>
      </c>
      <c r="F73" s="13">
        <v>1.9085816221617367</v>
      </c>
      <c r="G73" s="19"/>
    </row>
    <row r="74" spans="1:14">
      <c r="A74" s="8">
        <v>10</v>
      </c>
      <c r="B74" s="70">
        <v>37518</v>
      </c>
      <c r="C74" s="12">
        <v>2002</v>
      </c>
      <c r="D74" s="15" t="s">
        <v>26</v>
      </c>
      <c r="E74" s="12">
        <v>9</v>
      </c>
      <c r="F74" s="13">
        <v>1.7816744587190372</v>
      </c>
      <c r="G74" s="19"/>
      <c r="I74" s="27">
        <f>AVERAGE(F73:F74)</f>
        <v>1.8451280404403869</v>
      </c>
      <c r="J74" s="27" t="e">
        <f>AVERAGE(G73:G74)</f>
        <v>#DIV/0!</v>
      </c>
    </row>
    <row r="75" spans="1:14">
      <c r="A75" s="8">
        <v>9</v>
      </c>
      <c r="B75" s="70">
        <v>37546</v>
      </c>
      <c r="C75" s="12">
        <v>2002</v>
      </c>
      <c r="D75" s="15" t="s">
        <v>14</v>
      </c>
      <c r="E75" s="12">
        <v>10</v>
      </c>
      <c r="F75" s="14">
        <v>1.2929485390832829</v>
      </c>
      <c r="G75" s="14">
        <v>1.8722281901882808E-2</v>
      </c>
    </row>
    <row r="76" spans="1:14">
      <c r="A76" s="8">
        <v>10</v>
      </c>
      <c r="B76" s="70">
        <v>37546</v>
      </c>
      <c r="C76" s="12">
        <v>2002</v>
      </c>
      <c r="D76" s="15" t="s">
        <v>14</v>
      </c>
      <c r="E76" s="12">
        <v>10</v>
      </c>
      <c r="F76" s="14">
        <v>2.4992786733570096</v>
      </c>
      <c r="G76" s="14">
        <v>5.7485243041669583E-2</v>
      </c>
      <c r="I76" s="27">
        <f>AVERAGE(F75:F76)</f>
        <v>1.8961136062201462</v>
      </c>
      <c r="J76" s="27">
        <f>AVERAGE(G75:G76)</f>
        <v>3.8103762471776194E-2</v>
      </c>
      <c r="L76">
        <f>+J76/I76</f>
        <v>2.0095717021795474E-2</v>
      </c>
      <c r="M76">
        <f>+(L76-$L$614)/$L$615</f>
        <v>-0.22905870993000577</v>
      </c>
      <c r="N76">
        <f>+N64+M76</f>
        <v>-2.0005230608745888</v>
      </c>
    </row>
    <row r="77" spans="1:14">
      <c r="A77" s="8">
        <v>9</v>
      </c>
      <c r="B77" s="70">
        <v>37574</v>
      </c>
      <c r="C77" s="12">
        <v>2002</v>
      </c>
      <c r="D77" s="15" t="s">
        <v>16</v>
      </c>
      <c r="E77" s="12">
        <v>11</v>
      </c>
      <c r="F77" s="14">
        <v>1.0867194293237217</v>
      </c>
      <c r="G77" s="14">
        <v>1.4166699142119831E-2</v>
      </c>
    </row>
    <row r="78" spans="1:14">
      <c r="A78" s="8">
        <v>10</v>
      </c>
      <c r="B78" s="70">
        <v>37574</v>
      </c>
      <c r="C78" s="12">
        <v>2002</v>
      </c>
      <c r="D78" s="15" t="s">
        <v>16</v>
      </c>
      <c r="E78" s="12">
        <v>11</v>
      </c>
      <c r="F78" s="14">
        <v>1.0767334892909848</v>
      </c>
      <c r="G78" s="14">
        <v>2.2527259686535531E-2</v>
      </c>
      <c r="I78" s="27">
        <f>AVERAGE(F77:F78)</f>
        <v>1.0817264593073532</v>
      </c>
      <c r="J78" s="27">
        <f>AVERAGE(G77:G78)</f>
        <v>1.8346979414327683E-2</v>
      </c>
      <c r="L78">
        <f>+J78/I78</f>
        <v>1.6960830768691326E-2</v>
      </c>
      <c r="M78">
        <f>+(L78-$L$614)/$L$615</f>
        <v>-0.32486914941084361</v>
      </c>
      <c r="N78">
        <f>+N76+M78</f>
        <v>-2.3253922102854325</v>
      </c>
    </row>
    <row r="79" spans="1:14">
      <c r="A79" s="8">
        <v>9</v>
      </c>
      <c r="B79" s="70">
        <v>37608</v>
      </c>
      <c r="C79" s="12">
        <v>2002</v>
      </c>
      <c r="D79" s="15" t="s">
        <v>17</v>
      </c>
      <c r="E79" s="12">
        <v>12</v>
      </c>
      <c r="F79" s="14">
        <v>2.5888372076756232</v>
      </c>
      <c r="G79" s="14">
        <v>0.1633068328491224</v>
      </c>
    </row>
    <row r="80" spans="1:14">
      <c r="A80" s="8">
        <v>10</v>
      </c>
      <c r="B80" s="70">
        <v>37608</v>
      </c>
      <c r="C80" s="12">
        <v>2002</v>
      </c>
      <c r="D80" s="15" t="s">
        <v>17</v>
      </c>
      <c r="E80" s="12">
        <v>12</v>
      </c>
      <c r="F80" s="14">
        <v>2.8423970265451763</v>
      </c>
      <c r="G80" s="14">
        <v>0.16842165950168098</v>
      </c>
      <c r="I80" s="27">
        <f>AVERAGE(F79:F80)</f>
        <v>2.7156171171103995</v>
      </c>
      <c r="J80" s="27">
        <f>AVERAGE(G79:G80)</f>
        <v>0.16586424617540169</v>
      </c>
      <c r="L80">
        <f>+J80/I80</f>
        <v>6.1077920421967462E-2</v>
      </c>
      <c r="M80">
        <f>+(L80-$L$614)/$L$615</f>
        <v>1.02346613519812</v>
      </c>
      <c r="N80">
        <f>+N78+M80</f>
        <v>-1.3019260750873125</v>
      </c>
    </row>
    <row r="81" spans="1:14">
      <c r="A81" s="8">
        <v>9</v>
      </c>
      <c r="B81" s="70">
        <v>37636</v>
      </c>
      <c r="C81" s="12">
        <v>2003</v>
      </c>
      <c r="D81" s="15" t="s">
        <v>18</v>
      </c>
      <c r="E81" s="12">
        <v>1</v>
      </c>
      <c r="F81" s="14">
        <v>3.1264525681107216</v>
      </c>
      <c r="G81" s="14">
        <v>0.22474307330159174</v>
      </c>
    </row>
    <row r="82" spans="1:14">
      <c r="A82" s="8">
        <v>10</v>
      </c>
      <c r="B82" s="70">
        <v>37636</v>
      </c>
      <c r="C82" s="12">
        <v>2003</v>
      </c>
      <c r="D82" s="15" t="s">
        <v>18</v>
      </c>
      <c r="E82" s="12">
        <v>1</v>
      </c>
      <c r="F82" s="14">
        <v>3.2980055779066113</v>
      </c>
      <c r="G82" s="14">
        <v>0.38729187575649598</v>
      </c>
      <c r="I82" s="27">
        <f>AVERAGE(F81:F82)</f>
        <v>3.2122290730086664</v>
      </c>
      <c r="J82" s="27">
        <f>AVERAGE(G81:G82)</f>
        <v>0.30601747452904388</v>
      </c>
      <c r="L82">
        <f>+J82/I82</f>
        <v>9.5266392145071738E-2</v>
      </c>
      <c r="M82">
        <f>+(L82-$L$614)/$L$615</f>
        <v>2.0683565192512332</v>
      </c>
      <c r="N82">
        <f>+N80+M82</f>
        <v>0.7664304441639207</v>
      </c>
    </row>
    <row r="83" spans="1:14">
      <c r="A83" s="8">
        <v>9</v>
      </c>
      <c r="B83" s="70">
        <v>37663</v>
      </c>
      <c r="C83" s="12">
        <v>2003</v>
      </c>
      <c r="D83" s="11" t="s">
        <v>19</v>
      </c>
      <c r="E83" s="12">
        <v>2</v>
      </c>
      <c r="F83" s="14">
        <v>3.1713906033163646</v>
      </c>
      <c r="G83" s="14">
        <v>0</v>
      </c>
    </row>
    <row r="84" spans="1:14">
      <c r="A84" s="8">
        <v>10</v>
      </c>
      <c r="B84" s="70">
        <v>37663</v>
      </c>
      <c r="C84" s="12">
        <v>2003</v>
      </c>
      <c r="D84" s="11" t="s">
        <v>19</v>
      </c>
      <c r="E84" s="12">
        <v>2</v>
      </c>
      <c r="F84" s="14">
        <v>4.0365013086057164</v>
      </c>
      <c r="G84" s="14">
        <v>0.51566150686817191</v>
      </c>
      <c r="I84" s="27">
        <f>AVERAGE(F83:F84)</f>
        <v>3.6039459559610405</v>
      </c>
      <c r="J84" s="27">
        <f>AVERAGE(G83:G84)</f>
        <v>0.25783075343408596</v>
      </c>
      <c r="L84">
        <f>+J84/I84</f>
        <v>7.1541237461573398E-2</v>
      </c>
      <c r="M84">
        <f>+(L84-$L$614)/$L$615</f>
        <v>1.3432528588788657</v>
      </c>
      <c r="N84">
        <f>+N82+M84</f>
        <v>2.1096833030427864</v>
      </c>
    </row>
    <row r="85" spans="1:14">
      <c r="A85" s="8">
        <v>9</v>
      </c>
      <c r="B85" s="70">
        <v>37691</v>
      </c>
      <c r="C85" s="12">
        <v>2003</v>
      </c>
      <c r="D85" s="11" t="s">
        <v>20</v>
      </c>
      <c r="E85" s="12">
        <v>3</v>
      </c>
      <c r="F85" s="14">
        <v>5.0388886297177624</v>
      </c>
      <c r="G85" s="14">
        <v>0.15865869710360214</v>
      </c>
    </row>
    <row r="86" spans="1:14">
      <c r="A86" s="8">
        <v>10</v>
      </c>
      <c r="B86" s="70">
        <v>37691</v>
      </c>
      <c r="C86" s="12">
        <v>2003</v>
      </c>
      <c r="D86" s="11" t="s">
        <v>20</v>
      </c>
      <c r="E86" s="12">
        <v>3</v>
      </c>
      <c r="F86" s="14">
        <v>7.6414041120201084</v>
      </c>
      <c r="G86" s="14">
        <v>0.28616137174384559</v>
      </c>
      <c r="I86" s="27">
        <f>AVERAGE(F85:F86)</f>
        <v>6.3401463708689354</v>
      </c>
      <c r="J86" s="27">
        <f>AVERAGE(G85:G86)</f>
        <v>0.22241003442372387</v>
      </c>
      <c r="L86">
        <f>+J86/I86</f>
        <v>3.5079637190338547E-2</v>
      </c>
      <c r="M86">
        <f>+(L86-$L$614)/$L$615</f>
        <v>0.22888963670373949</v>
      </c>
      <c r="N86">
        <f>+N84+M86</f>
        <v>2.338572939746526</v>
      </c>
    </row>
    <row r="87" spans="1:14">
      <c r="A87" s="8">
        <v>9</v>
      </c>
      <c r="B87" s="70">
        <v>37727</v>
      </c>
      <c r="C87" s="12">
        <v>2003</v>
      </c>
      <c r="D87" s="11" t="s">
        <v>21</v>
      </c>
      <c r="E87" s="12">
        <v>4</v>
      </c>
      <c r="F87" s="14">
        <v>12.053436115301217</v>
      </c>
      <c r="G87" s="14">
        <v>6.8553864762860503E-2</v>
      </c>
    </row>
    <row r="88" spans="1:14">
      <c r="A88" s="8">
        <v>10</v>
      </c>
      <c r="B88" s="70">
        <v>37727</v>
      </c>
      <c r="C88" s="12">
        <v>2003</v>
      </c>
      <c r="D88" s="11" t="s">
        <v>21</v>
      </c>
      <c r="E88" s="12">
        <v>4</v>
      </c>
      <c r="F88" s="14">
        <v>13.397116729720528</v>
      </c>
      <c r="G88" s="14">
        <v>6.0391319469281203E-2</v>
      </c>
      <c r="I88" s="27">
        <f>AVERAGE(F87:F88)</f>
        <v>12.725276422510873</v>
      </c>
      <c r="J88" s="27">
        <f>AVERAGE(G87:G88)</f>
        <v>6.4472592116070856E-2</v>
      </c>
      <c r="L88">
        <f>+J88/I88</f>
        <v>5.0664983592827546E-3</v>
      </c>
      <c r="M88">
        <f>+(L88-$L$614)/$L$615</f>
        <v>-0.68839149869805627</v>
      </c>
      <c r="N88">
        <f>+N86+M88</f>
        <v>1.6501814410484696</v>
      </c>
    </row>
    <row r="89" spans="1:14">
      <c r="A89" s="8">
        <v>9</v>
      </c>
      <c r="B89" s="70">
        <v>37756</v>
      </c>
      <c r="C89" s="12">
        <v>2003</v>
      </c>
      <c r="D89" s="11" t="s">
        <v>22</v>
      </c>
      <c r="E89" s="12">
        <v>5</v>
      </c>
      <c r="F89" s="14">
        <v>1.8476474728478067</v>
      </c>
      <c r="G89" s="14">
        <v>0</v>
      </c>
    </row>
    <row r="90" spans="1:14">
      <c r="A90" s="8">
        <v>10</v>
      </c>
      <c r="B90" s="70">
        <v>37756</v>
      </c>
      <c r="C90" s="12">
        <v>2003</v>
      </c>
      <c r="D90" s="11" t="s">
        <v>22</v>
      </c>
      <c r="E90" s="12">
        <v>5</v>
      </c>
      <c r="F90" s="14">
        <v>4.152192391345797</v>
      </c>
      <c r="G90" s="14">
        <v>4.1134502865808588E-2</v>
      </c>
      <c r="I90" s="27">
        <f>AVERAGE(F89:F90)</f>
        <v>2.9999199320968017</v>
      </c>
      <c r="J90" s="27">
        <f>AVERAGE(G89:G90)</f>
        <v>2.0567251432904294E-2</v>
      </c>
      <c r="L90">
        <f>+J90/I90</f>
        <v>6.855933457706906E-3</v>
      </c>
      <c r="M90">
        <f>+(L90-$L$614)/$L$615</f>
        <v>-0.633701615442264</v>
      </c>
      <c r="N90">
        <f>+N88+M90</f>
        <v>1.0164798256062055</v>
      </c>
    </row>
    <row r="91" spans="1:14">
      <c r="A91" s="8">
        <v>9</v>
      </c>
      <c r="B91" s="70">
        <v>37790</v>
      </c>
      <c r="C91" s="12">
        <v>2003</v>
      </c>
      <c r="D91" s="11" t="s">
        <v>23</v>
      </c>
      <c r="E91" s="12">
        <v>6</v>
      </c>
      <c r="F91" s="14">
        <v>25.687010217391375</v>
      </c>
      <c r="G91" s="14">
        <v>0</v>
      </c>
    </row>
    <row r="92" spans="1:14">
      <c r="A92" s="8">
        <v>10</v>
      </c>
      <c r="B92" s="70">
        <v>37790</v>
      </c>
      <c r="C92" s="12">
        <v>2003</v>
      </c>
      <c r="D92" s="11" t="s">
        <v>23</v>
      </c>
      <c r="E92" s="12">
        <v>6</v>
      </c>
      <c r="F92" s="14">
        <v>23.761915212820931</v>
      </c>
      <c r="G92" s="14">
        <v>4.809305880543209E-2</v>
      </c>
      <c r="I92" s="27">
        <f>AVERAGE(F91:F92)</f>
        <v>24.724462715106153</v>
      </c>
      <c r="J92" s="27">
        <f>AVERAGE(G91:G92)</f>
        <v>2.4046529402716045E-2</v>
      </c>
      <c r="L92">
        <f>+J92/I92</f>
        <v>9.7258046331676583E-4</v>
      </c>
      <c r="M92">
        <f>+(L92-$L$614)/$L$615</f>
        <v>-0.81351248910801921</v>
      </c>
      <c r="N92">
        <f>+N90+M92</f>
        <v>0.20296733649818632</v>
      </c>
    </row>
    <row r="93" spans="1:14">
      <c r="A93" s="8">
        <v>9</v>
      </c>
      <c r="B93" s="70">
        <v>37818</v>
      </c>
      <c r="C93" s="12">
        <v>2003</v>
      </c>
      <c r="D93" s="15" t="s">
        <v>24</v>
      </c>
      <c r="E93" s="12">
        <v>7</v>
      </c>
      <c r="F93" s="14">
        <v>17.655619443896327</v>
      </c>
      <c r="G93" s="14">
        <v>0.41232402340940155</v>
      </c>
    </row>
    <row r="94" spans="1:14">
      <c r="A94" s="8">
        <v>10</v>
      </c>
      <c r="B94" s="70">
        <v>37818</v>
      </c>
      <c r="C94" s="12">
        <v>2003</v>
      </c>
      <c r="D94" s="15" t="s">
        <v>24</v>
      </c>
      <c r="E94" s="12">
        <v>7</v>
      </c>
      <c r="F94" s="14">
        <v>16.888009174651454</v>
      </c>
      <c r="G94" s="14">
        <v>0.37246919419727226</v>
      </c>
      <c r="I94" s="27">
        <f>AVERAGE(F93:F94)</f>
        <v>17.271814309273893</v>
      </c>
      <c r="J94" s="27">
        <f>AVERAGE(G93:G94)</f>
        <v>0.39239660880333693</v>
      </c>
      <c r="L94">
        <f>+J94/I94</f>
        <v>2.2718899229517787E-2</v>
      </c>
      <c r="M94">
        <f>+(L94-$L$614)/$L$615</f>
        <v>-0.14888730342001666</v>
      </c>
      <c r="N94">
        <f>+N92+M94</f>
        <v>5.4080033078169665E-2</v>
      </c>
    </row>
    <row r="95" spans="1:14">
      <c r="A95" s="8">
        <v>9</v>
      </c>
      <c r="B95" s="70">
        <v>37846</v>
      </c>
      <c r="C95" s="12">
        <v>2003</v>
      </c>
      <c r="D95" s="15" t="s">
        <v>25</v>
      </c>
      <c r="E95" s="12">
        <v>8</v>
      </c>
      <c r="F95" s="14">
        <v>24.113811290922982</v>
      </c>
      <c r="G95" s="14">
        <v>0.20884273998192615</v>
      </c>
    </row>
    <row r="96" spans="1:14">
      <c r="A96" s="8">
        <v>10</v>
      </c>
      <c r="B96" s="70">
        <v>37846</v>
      </c>
      <c r="C96" s="12">
        <v>2003</v>
      </c>
      <c r="D96" s="15" t="s">
        <v>25</v>
      </c>
      <c r="E96" s="12">
        <v>8</v>
      </c>
      <c r="F96" s="14">
        <v>18.957917819459027</v>
      </c>
      <c r="G96" s="14">
        <v>0.42092298984771331</v>
      </c>
      <c r="I96" s="27">
        <f>AVERAGE(F95:F96)</f>
        <v>21.535864555191004</v>
      </c>
      <c r="J96" s="27">
        <f>AVERAGE(G95:G96)</f>
        <v>0.31488286491481976</v>
      </c>
      <c r="L96">
        <f>+J96/I96</f>
        <v>1.4621324540180598E-2</v>
      </c>
      <c r="M96">
        <f>+(L96-$L$614)/$L$615</f>
        <v>-0.3963706655184277</v>
      </c>
      <c r="N96">
        <f>+N94+M96</f>
        <v>-0.34229063244025804</v>
      </c>
    </row>
    <row r="97" spans="1:14">
      <c r="A97" s="8">
        <v>9</v>
      </c>
      <c r="B97" s="70">
        <v>37886</v>
      </c>
      <c r="C97" s="12">
        <v>2003</v>
      </c>
      <c r="D97" s="15" t="s">
        <v>26</v>
      </c>
      <c r="E97" s="12">
        <v>9</v>
      </c>
      <c r="F97" s="14">
        <v>13.35583266019621</v>
      </c>
      <c r="G97" s="14">
        <v>0.17459944359270016</v>
      </c>
    </row>
    <row r="98" spans="1:14">
      <c r="A98" s="8">
        <v>10</v>
      </c>
      <c r="B98" s="70">
        <v>37886</v>
      </c>
      <c r="C98" s="12">
        <v>2003</v>
      </c>
      <c r="D98" s="15" t="s">
        <v>26</v>
      </c>
      <c r="E98" s="12">
        <v>9</v>
      </c>
      <c r="F98" s="14">
        <v>11.568462130128601</v>
      </c>
      <c r="G98" s="14">
        <v>0.18705665201886312</v>
      </c>
      <c r="I98" s="27">
        <f>AVERAGE(F97:F98)</f>
        <v>12.462147395162406</v>
      </c>
      <c r="J98" s="27">
        <f>AVERAGE(G97:G98)</f>
        <v>0.18082804780578166</v>
      </c>
      <c r="L98">
        <f>+J98/I98</f>
        <v>1.4510183684392631E-2</v>
      </c>
      <c r="M98">
        <f>+(L98-$L$614)/$L$615</f>
        <v>-0.39976742488307054</v>
      </c>
      <c r="N98">
        <f>+N96+M98</f>
        <v>-0.74205805732332863</v>
      </c>
    </row>
    <row r="99" spans="1:14">
      <c r="A99" s="8">
        <v>9</v>
      </c>
      <c r="B99" s="70">
        <v>37910</v>
      </c>
      <c r="C99" s="12">
        <v>2003</v>
      </c>
      <c r="D99" s="15" t="s">
        <v>14</v>
      </c>
      <c r="E99" s="12">
        <v>10</v>
      </c>
      <c r="F99" s="13">
        <v>1.7733000000000001</v>
      </c>
      <c r="G99" s="14">
        <v>5.6155726344922642E-2</v>
      </c>
    </row>
    <row r="100" spans="1:14">
      <c r="A100" s="8">
        <v>10</v>
      </c>
      <c r="B100" s="70">
        <v>37910</v>
      </c>
      <c r="C100" s="12">
        <v>2003</v>
      </c>
      <c r="D100" s="15" t="s">
        <v>14</v>
      </c>
      <c r="E100" s="12">
        <v>10</v>
      </c>
      <c r="F100" s="13">
        <v>2.1722999999999999</v>
      </c>
      <c r="G100" s="14">
        <v>5.9617784121938994E-2</v>
      </c>
      <c r="I100" s="27">
        <f>AVERAGE(F99:F100)</f>
        <v>1.9727999999999999</v>
      </c>
      <c r="J100" s="27">
        <f>AVERAGE(G99:G100)</f>
        <v>5.7886755233430814E-2</v>
      </c>
      <c r="L100">
        <f>+J100/I100</f>
        <v>2.9342434729030219E-2</v>
      </c>
      <c r="M100">
        <f>+(L100-$L$614)/$L$615</f>
        <v>5.3545511007248511E-2</v>
      </c>
      <c r="N100">
        <f>+N98+M100</f>
        <v>-0.68851254631608017</v>
      </c>
    </row>
    <row r="101" spans="1:14">
      <c r="A101" s="8">
        <v>9</v>
      </c>
      <c r="B101" s="70">
        <v>37942</v>
      </c>
      <c r="C101" s="12">
        <v>2003</v>
      </c>
      <c r="D101" s="15" t="s">
        <v>16</v>
      </c>
      <c r="E101" s="12">
        <v>11</v>
      </c>
      <c r="F101" s="13">
        <v>0.86929999999999996</v>
      </c>
      <c r="G101" s="14">
        <v>0</v>
      </c>
    </row>
    <row r="102" spans="1:14">
      <c r="A102" s="8">
        <v>10</v>
      </c>
      <c r="B102" s="70">
        <v>37942</v>
      </c>
      <c r="C102" s="12">
        <v>2003</v>
      </c>
      <c r="D102" s="15" t="s">
        <v>16</v>
      </c>
      <c r="E102" s="12">
        <v>11</v>
      </c>
      <c r="F102" s="13">
        <v>1.3080000000000001</v>
      </c>
      <c r="G102" s="14">
        <v>3.0651887917626811E-2</v>
      </c>
      <c r="I102" s="27">
        <f>AVERAGE(F101:F102)</f>
        <v>1.0886499999999999</v>
      </c>
      <c r="J102" s="27">
        <f>AVERAGE(G101:G102)</f>
        <v>1.5325943958813405E-2</v>
      </c>
      <c r="L102">
        <f>+J102/I102</f>
        <v>1.4077935019348189E-2</v>
      </c>
      <c r="M102">
        <f>+(L102-$L$614)/$L$615</f>
        <v>-0.41297809066780372</v>
      </c>
      <c r="N102">
        <f>+N100+M102</f>
        <v>-1.1014906369838839</v>
      </c>
    </row>
    <row r="103" spans="1:14">
      <c r="A103" s="8">
        <v>9</v>
      </c>
      <c r="B103" s="70">
        <v>37971</v>
      </c>
      <c r="C103" s="12">
        <v>2003</v>
      </c>
      <c r="D103" s="15" t="s">
        <v>17</v>
      </c>
      <c r="E103" s="12">
        <v>12</v>
      </c>
      <c r="F103" s="13">
        <v>3.5051000000000001</v>
      </c>
      <c r="G103" s="14">
        <v>0.23214528792514044</v>
      </c>
    </row>
    <row r="104" spans="1:14">
      <c r="A104" s="8">
        <v>10</v>
      </c>
      <c r="B104" s="70">
        <v>37971</v>
      </c>
      <c r="C104" s="12">
        <v>2003</v>
      </c>
      <c r="D104" s="15" t="s">
        <v>17</v>
      </c>
      <c r="E104" s="12">
        <v>12</v>
      </c>
      <c r="F104" s="13">
        <v>4.6539000000000001</v>
      </c>
      <c r="G104" s="14">
        <v>7.4387634591547999E-2</v>
      </c>
      <c r="I104" s="27">
        <f>AVERAGE(F103:F104)</f>
        <v>4.0795000000000003</v>
      </c>
      <c r="J104" s="27">
        <f>AVERAGE(G103:G104)</f>
        <v>0.15326646125834423</v>
      </c>
      <c r="L104">
        <f>+J104/I104</f>
        <v>3.7569913287987304E-2</v>
      </c>
      <c r="M104">
        <f>+(L104-$L$614)/$L$615</f>
        <v>0.30499907994369696</v>
      </c>
      <c r="N104">
        <f>+N102+M104</f>
        <v>-0.79649155704018693</v>
      </c>
    </row>
    <row r="105" spans="1:14">
      <c r="A105" s="8">
        <v>9</v>
      </c>
      <c r="B105" s="70">
        <v>37998</v>
      </c>
      <c r="C105" s="12">
        <v>2004</v>
      </c>
      <c r="D105" s="15" t="s">
        <v>18</v>
      </c>
      <c r="E105" s="12">
        <v>1</v>
      </c>
      <c r="F105" s="13">
        <v>5.7762000000000002</v>
      </c>
      <c r="G105" s="13">
        <v>5.3633708253288878E-2</v>
      </c>
    </row>
    <row r="106" spans="1:14">
      <c r="A106" s="8">
        <v>10</v>
      </c>
      <c r="B106" s="70">
        <v>37998</v>
      </c>
      <c r="C106" s="12">
        <v>2004</v>
      </c>
      <c r="D106" s="15" t="s">
        <v>18</v>
      </c>
      <c r="E106" s="12">
        <v>1</v>
      </c>
      <c r="F106" s="13">
        <v>5.8978000000000002</v>
      </c>
      <c r="G106" s="13">
        <v>5.6402743883644996E-2</v>
      </c>
      <c r="I106" s="27">
        <f>AVERAGE(F105:F106)</f>
        <v>5.8369999999999997</v>
      </c>
      <c r="J106" s="27">
        <f>AVERAGE(G105:G106)</f>
        <v>5.5018226068466937E-2</v>
      </c>
      <c r="L106">
        <f>+J106/I106</f>
        <v>9.4257711270287724E-3</v>
      </c>
      <c r="M106">
        <f>+(L106-$L$614)/$L$615</f>
        <v>-0.55516055952728882</v>
      </c>
      <c r="N106">
        <f>+N104+M106</f>
        <v>-1.3516521165674757</v>
      </c>
    </row>
    <row r="107" spans="1:14">
      <c r="A107" s="8">
        <v>9</v>
      </c>
      <c r="B107" s="70">
        <v>38026</v>
      </c>
      <c r="C107" s="12">
        <v>2004</v>
      </c>
      <c r="D107" s="11" t="s">
        <v>19</v>
      </c>
      <c r="E107" s="12">
        <v>2</v>
      </c>
      <c r="F107" s="13">
        <v>13.942399999999999</v>
      </c>
      <c r="G107" s="13">
        <v>8.7540418959693389E-2</v>
      </c>
    </row>
    <row r="108" spans="1:14">
      <c r="A108" s="8">
        <v>10</v>
      </c>
      <c r="B108" s="70">
        <v>38026</v>
      </c>
      <c r="C108" s="12">
        <v>2004</v>
      </c>
      <c r="D108" s="11" t="s">
        <v>19</v>
      </c>
      <c r="E108" s="12">
        <v>2</v>
      </c>
      <c r="F108" s="13">
        <v>27.691099999999999</v>
      </c>
      <c r="G108" s="13">
        <v>0.72842183782826986</v>
      </c>
      <c r="I108" s="27">
        <f>AVERAGE(F107:F108)</f>
        <v>20.816749999999999</v>
      </c>
      <c r="J108" s="27">
        <f>AVERAGE(G107:G108)</f>
        <v>0.4079811283939816</v>
      </c>
      <c r="L108">
        <f>+J108/I108</f>
        <v>1.9598694723911351E-2</v>
      </c>
      <c r="M108">
        <f>+(L108-$L$614)/$L$615</f>
        <v>-0.24424902975258331</v>
      </c>
      <c r="N108">
        <f>+N106+M108</f>
        <v>-1.595901146320059</v>
      </c>
    </row>
    <row r="109" spans="1:14">
      <c r="A109" s="8">
        <v>9</v>
      </c>
      <c r="B109" s="70">
        <v>38061</v>
      </c>
      <c r="C109" s="12">
        <v>2004</v>
      </c>
      <c r="D109" s="11" t="s">
        <v>20</v>
      </c>
      <c r="E109" s="12">
        <v>3</v>
      </c>
      <c r="F109" s="13">
        <v>10.276</v>
      </c>
      <c r="G109" s="13">
        <v>0.1114203618211103</v>
      </c>
    </row>
    <row r="110" spans="1:14">
      <c r="A110" s="8">
        <v>10</v>
      </c>
      <c r="B110" s="70">
        <v>38061</v>
      </c>
      <c r="C110" s="12">
        <v>2004</v>
      </c>
      <c r="D110" s="11" t="s">
        <v>20</v>
      </c>
      <c r="E110" s="12">
        <v>3</v>
      </c>
      <c r="F110" s="13">
        <v>9.8984000000000005</v>
      </c>
      <c r="G110" s="13">
        <v>0.12649634824400433</v>
      </c>
      <c r="I110" s="27">
        <f>AVERAGE(F109:F110)</f>
        <v>10.087199999999999</v>
      </c>
      <c r="J110" s="27">
        <f>AVERAGE(G109:G110)</f>
        <v>0.11895835503255731</v>
      </c>
      <c r="L110">
        <f>+J110/I110</f>
        <v>1.1793000538559492E-2</v>
      </c>
      <c r="M110">
        <f>+(L110-$L$614)/$L$615</f>
        <v>-0.48281174940821614</v>
      </c>
      <c r="N110">
        <f>+N108+M110</f>
        <v>-2.078712895728275</v>
      </c>
    </row>
    <row r="111" spans="1:14">
      <c r="A111" s="8">
        <v>9</v>
      </c>
      <c r="B111" s="70">
        <v>38093</v>
      </c>
      <c r="C111" s="12">
        <v>2004</v>
      </c>
      <c r="D111" s="11" t="s">
        <v>21</v>
      </c>
      <c r="E111" s="12">
        <v>4</v>
      </c>
      <c r="F111" s="13">
        <v>1.6172</v>
      </c>
      <c r="G111" s="20">
        <v>7.0470172818559662E-2</v>
      </c>
    </row>
    <row r="112" spans="1:14">
      <c r="A112" s="8">
        <v>10</v>
      </c>
      <c r="B112" s="70">
        <v>38093</v>
      </c>
      <c r="C112" s="12">
        <v>2004</v>
      </c>
      <c r="D112" s="11" t="s">
        <v>21</v>
      </c>
      <c r="E112" s="12">
        <v>4</v>
      </c>
      <c r="F112" s="13">
        <v>1.2706999999999999</v>
      </c>
      <c r="G112" s="20">
        <v>0.10592715972744166</v>
      </c>
      <c r="I112" s="27">
        <f>AVERAGE(F111:F112)</f>
        <v>1.4439500000000001</v>
      </c>
      <c r="J112" s="27">
        <f>AVERAGE(G111:G112)</f>
        <v>8.8198666273000659E-2</v>
      </c>
      <c r="L112">
        <f>+J112/I112</f>
        <v>6.1081523787527722E-2</v>
      </c>
      <c r="M112">
        <f>+(L112-$L$614)/$L$615</f>
        <v>1.023576263607914</v>
      </c>
      <c r="N112">
        <f>+N110+M112</f>
        <v>-1.055136632120361</v>
      </c>
    </row>
    <row r="113" spans="1:14">
      <c r="A113" s="8">
        <v>9</v>
      </c>
      <c r="B113" s="70">
        <v>38117</v>
      </c>
      <c r="C113" s="12">
        <v>2004</v>
      </c>
      <c r="D113" s="11" t="s">
        <v>22</v>
      </c>
      <c r="E113" s="12">
        <v>5</v>
      </c>
      <c r="F113" s="13">
        <v>2.1907000000000001</v>
      </c>
      <c r="G113" s="20">
        <v>1.467912115628991E-2</v>
      </c>
    </row>
    <row r="114" spans="1:14">
      <c r="A114" s="8">
        <v>10</v>
      </c>
      <c r="B114" s="70">
        <v>38117</v>
      </c>
      <c r="C114" s="12">
        <v>2004</v>
      </c>
      <c r="D114" s="11" t="s">
        <v>22</v>
      </c>
      <c r="E114" s="12">
        <v>5</v>
      </c>
      <c r="F114" s="13">
        <v>2.0653000000000001</v>
      </c>
      <c r="G114" s="20">
        <v>2.3139791584241665E-2</v>
      </c>
      <c r="I114" s="27">
        <f>AVERAGE(F113:F114)</f>
        <v>2.1280000000000001</v>
      </c>
      <c r="J114" s="27">
        <f>AVERAGE(G113:G114)</f>
        <v>1.8909456370265788E-2</v>
      </c>
      <c r="L114">
        <f>+J114/I114</f>
        <v>8.8860227303880577E-3</v>
      </c>
      <c r="M114">
        <f>+(L114-$L$614)/$L$615</f>
        <v>-0.57165670226293597</v>
      </c>
      <c r="N114">
        <f>+N112+M114</f>
        <v>-1.626793334383297</v>
      </c>
    </row>
    <row r="115" spans="1:14">
      <c r="A115" s="8">
        <v>9</v>
      </c>
      <c r="B115" s="70">
        <v>38160</v>
      </c>
      <c r="C115" s="12">
        <v>2004</v>
      </c>
      <c r="D115" s="11" t="s">
        <v>23</v>
      </c>
      <c r="E115" s="12">
        <v>6</v>
      </c>
      <c r="F115" s="13">
        <v>26.334599999999998</v>
      </c>
      <c r="G115" s="20">
        <v>8.4493461118098995E-2</v>
      </c>
    </row>
    <row r="116" spans="1:14">
      <c r="A116" s="8">
        <v>10</v>
      </c>
      <c r="B116" s="70">
        <v>38160</v>
      </c>
      <c r="C116" s="12">
        <v>2004</v>
      </c>
      <c r="D116" s="11" t="s">
        <v>23</v>
      </c>
      <c r="E116" s="12">
        <v>6</v>
      </c>
      <c r="F116" s="13">
        <v>21.081700000000001</v>
      </c>
      <c r="G116" s="20">
        <v>0</v>
      </c>
      <c r="I116" s="27">
        <f>AVERAGE(F115:F116)</f>
        <v>23.70815</v>
      </c>
      <c r="J116" s="27">
        <f>AVERAGE(G115:G116)</f>
        <v>4.2246730559049497E-2</v>
      </c>
      <c r="L116">
        <f>+J116/I116</f>
        <v>1.7819496906780789E-3</v>
      </c>
      <c r="M116">
        <f>+(L116-$L$614)/$L$615</f>
        <v>-0.78877601859047874</v>
      </c>
      <c r="N116">
        <f>+N114+M116</f>
        <v>-2.4155693529737756</v>
      </c>
    </row>
    <row r="117" spans="1:14">
      <c r="A117" s="8">
        <v>9</v>
      </c>
      <c r="B117" s="70">
        <v>38182</v>
      </c>
      <c r="C117" s="12">
        <v>2004</v>
      </c>
      <c r="D117" s="15" t="s">
        <v>24</v>
      </c>
      <c r="E117" s="12">
        <v>7</v>
      </c>
      <c r="F117" s="13">
        <v>14.373200000000001</v>
      </c>
      <c r="G117" s="20">
        <v>0.5420050617654516</v>
      </c>
    </row>
    <row r="118" spans="1:14">
      <c r="A118" s="8">
        <v>10</v>
      </c>
      <c r="B118" s="70">
        <v>38183</v>
      </c>
      <c r="C118" s="12">
        <v>2004</v>
      </c>
      <c r="D118" s="15" t="s">
        <v>24</v>
      </c>
      <c r="E118" s="12">
        <v>7</v>
      </c>
      <c r="F118" s="13">
        <v>11.0466</v>
      </c>
      <c r="G118" s="20">
        <v>0.53802927588318072</v>
      </c>
      <c r="I118" s="27">
        <f>AVERAGE(F117:F118)</f>
        <v>12.709900000000001</v>
      </c>
      <c r="J118" s="27">
        <f>AVERAGE(G117:G118)</f>
        <v>0.54001716882431616</v>
      </c>
      <c r="L118">
        <f>+J118/I118</f>
        <v>4.2487916413529309E-2</v>
      </c>
      <c r="M118">
        <f>+(L118-$L$614)/$L$615</f>
        <v>0.45530630093448654</v>
      </c>
      <c r="N118">
        <f>+N116+M118</f>
        <v>-1.9602630520392892</v>
      </c>
    </row>
    <row r="119" spans="1:14">
      <c r="A119" s="8">
        <v>9</v>
      </c>
      <c r="B119" s="70">
        <v>38218</v>
      </c>
      <c r="C119" s="12">
        <v>2004</v>
      </c>
      <c r="D119" s="15" t="s">
        <v>25</v>
      </c>
      <c r="E119" s="12">
        <v>8</v>
      </c>
      <c r="F119" s="13">
        <v>20.988299999999999</v>
      </c>
      <c r="G119" s="20">
        <v>9.2789099255482538E-2</v>
      </c>
    </row>
    <row r="120" spans="1:14">
      <c r="A120" s="8">
        <v>10</v>
      </c>
      <c r="B120" s="70">
        <v>38218</v>
      </c>
      <c r="C120" s="12">
        <v>2004</v>
      </c>
      <c r="D120" s="15" t="s">
        <v>25</v>
      </c>
      <c r="E120" s="12">
        <v>8</v>
      </c>
      <c r="F120" s="13">
        <v>21.952300000000001</v>
      </c>
      <c r="G120" s="20">
        <v>0.56466536508723086</v>
      </c>
      <c r="I120" s="27">
        <f>AVERAGE(F119:F120)</f>
        <v>21.470300000000002</v>
      </c>
      <c r="J120" s="27">
        <f>AVERAGE(G119:G120)</f>
        <v>0.32872723217135669</v>
      </c>
      <c r="L120">
        <f>+J120/I120</f>
        <v>1.5310788958298517E-2</v>
      </c>
      <c r="M120">
        <f>+(L120-$L$614)/$L$615</f>
        <v>-0.37529880403035365</v>
      </c>
      <c r="N120">
        <f>+N118+M120</f>
        <v>-2.3355618560696429</v>
      </c>
    </row>
    <row r="121" spans="1:14">
      <c r="A121" s="8">
        <v>9</v>
      </c>
      <c r="B121" s="70">
        <v>38246</v>
      </c>
      <c r="C121" s="12">
        <v>2004</v>
      </c>
      <c r="D121" s="15" t="s">
        <v>26</v>
      </c>
      <c r="E121" s="12">
        <v>9</v>
      </c>
      <c r="F121" s="13">
        <v>3.903</v>
      </c>
      <c r="G121" s="20">
        <v>9.1809678542013277E-3</v>
      </c>
    </row>
    <row r="122" spans="1:14">
      <c r="A122" s="8">
        <v>10</v>
      </c>
      <c r="B122" s="70">
        <v>38246</v>
      </c>
      <c r="C122" s="12">
        <v>2004</v>
      </c>
      <c r="D122" s="15" t="s">
        <v>26</v>
      </c>
      <c r="E122" s="12">
        <v>9</v>
      </c>
      <c r="F122" s="13">
        <v>3.9117999999999999</v>
      </c>
      <c r="G122" s="20">
        <v>3.9154291958455566E-2</v>
      </c>
      <c r="I122" s="27">
        <f>AVERAGE(F121:F122)</f>
        <v>3.9074</v>
      </c>
      <c r="J122" s="27">
        <f>AVERAGE(G121:G122)</f>
        <v>2.4167629906328446E-2</v>
      </c>
      <c r="L122">
        <f>+J122/I122</f>
        <v>6.1850923648278768E-3</v>
      </c>
      <c r="M122">
        <f>+(L122-$L$614)/$L$615</f>
        <v>-0.65420429871088404</v>
      </c>
      <c r="N122">
        <f>+N120+M122</f>
        <v>-2.989766154780527</v>
      </c>
    </row>
    <row r="123" spans="1:14">
      <c r="A123" s="8">
        <v>9</v>
      </c>
      <c r="B123" s="70">
        <v>38274</v>
      </c>
      <c r="C123" s="12">
        <v>2004</v>
      </c>
      <c r="D123" s="15" t="s">
        <v>14</v>
      </c>
      <c r="E123" s="12">
        <v>10</v>
      </c>
      <c r="F123" s="14">
        <v>1.80636</v>
      </c>
      <c r="G123" s="14">
        <v>1.8853760023822223E-2</v>
      </c>
    </row>
    <row r="124" spans="1:14">
      <c r="A124" s="8">
        <v>10</v>
      </c>
      <c r="B124" s="70">
        <v>38274</v>
      </c>
      <c r="C124" s="12">
        <v>2004</v>
      </c>
      <c r="D124" s="15" t="s">
        <v>14</v>
      </c>
      <c r="E124" s="12">
        <v>10</v>
      </c>
      <c r="F124" s="14">
        <v>1.2798799999999999</v>
      </c>
      <c r="G124" s="14">
        <v>1.3219363063041249E-2</v>
      </c>
      <c r="I124" s="27">
        <f>AVERAGE(F123:F124)</f>
        <v>1.54312</v>
      </c>
      <c r="J124" s="27">
        <f>AVERAGE(G123:G124)</f>
        <v>1.6036561543431735E-2</v>
      </c>
      <c r="L124">
        <f>+J124/I124</f>
        <v>1.039229712752847E-2</v>
      </c>
      <c r="M124">
        <f>+(L124-$L$614)/$L$615</f>
        <v>-0.52562096114924961</v>
      </c>
      <c r="N124">
        <f>+N122+M124</f>
        <v>-3.5153871159297765</v>
      </c>
    </row>
    <row r="125" spans="1:14">
      <c r="A125" s="8">
        <v>9</v>
      </c>
      <c r="B125" s="70">
        <v>38309</v>
      </c>
      <c r="C125" s="12">
        <v>2004</v>
      </c>
      <c r="D125" s="15" t="s">
        <v>16</v>
      </c>
      <c r="E125" s="12">
        <v>11</v>
      </c>
      <c r="F125" s="14">
        <v>1.70296</v>
      </c>
      <c r="G125" s="14">
        <v>3.7696741702325419E-2</v>
      </c>
    </row>
    <row r="126" spans="1:14">
      <c r="A126" s="8">
        <v>10</v>
      </c>
      <c r="B126" s="70">
        <v>38309</v>
      </c>
      <c r="C126" s="12">
        <v>2004</v>
      </c>
      <c r="D126" s="15" t="s">
        <v>16</v>
      </c>
      <c r="E126" s="12">
        <v>11</v>
      </c>
      <c r="F126" s="14">
        <v>1.3072299999999999</v>
      </c>
      <c r="G126" s="14">
        <v>3.5953069555033842E-2</v>
      </c>
      <c r="I126" s="27">
        <f>AVERAGE(F125:F126)</f>
        <v>1.5050949999999998</v>
      </c>
      <c r="J126" s="27">
        <f>AVERAGE(G125:G126)</f>
        <v>3.6824905628679627E-2</v>
      </c>
      <c r="L126">
        <f>+J126/I126</f>
        <v>2.4466831415079868E-2</v>
      </c>
      <c r="M126">
        <f>+(L126-$L$614)/$L$615</f>
        <v>-9.546585927173977E-2</v>
      </c>
      <c r="N126">
        <f>+N124+M126</f>
        <v>-3.6108529752015164</v>
      </c>
    </row>
    <row r="127" spans="1:14">
      <c r="A127" s="8">
        <v>9</v>
      </c>
      <c r="B127" s="70">
        <v>38337</v>
      </c>
      <c r="C127" s="12">
        <v>2004</v>
      </c>
      <c r="D127" s="15" t="s">
        <v>17</v>
      </c>
      <c r="E127" s="12">
        <v>12</v>
      </c>
      <c r="F127" s="14">
        <v>3.14832</v>
      </c>
      <c r="G127" s="14">
        <v>9.1800270058392641E-2</v>
      </c>
    </row>
    <row r="128" spans="1:14">
      <c r="A128" s="8">
        <v>10</v>
      </c>
      <c r="B128" s="70">
        <v>38337</v>
      </c>
      <c r="C128" s="12">
        <v>2004</v>
      </c>
      <c r="D128" s="15" t="s">
        <v>17</v>
      </c>
      <c r="E128" s="12">
        <v>12</v>
      </c>
      <c r="F128" s="14">
        <v>2.37168</v>
      </c>
      <c r="G128" s="14">
        <v>9.2767456383079649E-2</v>
      </c>
      <c r="I128" s="27">
        <f>AVERAGE(F127:F128)</f>
        <v>2.76</v>
      </c>
      <c r="J128" s="27">
        <f>AVERAGE(G127:G128)</f>
        <v>9.2283863220736145E-2</v>
      </c>
      <c r="L128">
        <f>+J128/I128</f>
        <v>3.3436182326353675E-2</v>
      </c>
      <c r="M128">
        <f>+(L128-$L$614)/$L$615</f>
        <v>0.17866129663896205</v>
      </c>
      <c r="N128">
        <f>+N126+M128</f>
        <v>-3.4321916785625541</v>
      </c>
    </row>
    <row r="129" spans="1:14">
      <c r="A129" s="8">
        <v>9</v>
      </c>
      <c r="B129" s="75">
        <v>38364</v>
      </c>
      <c r="C129" s="12">
        <v>2005</v>
      </c>
      <c r="D129" s="15" t="s">
        <v>18</v>
      </c>
      <c r="E129" s="12">
        <v>1</v>
      </c>
      <c r="F129" s="14">
        <v>4.34213</v>
      </c>
      <c r="G129" s="14">
        <v>6.3695933908416422E-2</v>
      </c>
    </row>
    <row r="130" spans="1:14">
      <c r="A130" s="8">
        <v>10</v>
      </c>
      <c r="B130" s="75">
        <v>38364</v>
      </c>
      <c r="C130" s="12">
        <v>2005</v>
      </c>
      <c r="D130" s="15" t="s">
        <v>18</v>
      </c>
      <c r="E130" s="12">
        <v>1</v>
      </c>
      <c r="F130" s="14">
        <v>2.0388500000000001</v>
      </c>
      <c r="G130" s="14">
        <v>1.7819292074381946E-2</v>
      </c>
      <c r="I130" s="27">
        <f>AVERAGE(F129:F130)</f>
        <v>3.19049</v>
      </c>
      <c r="J130" s="27">
        <f>AVERAGE(G129:G130)</f>
        <v>4.0757612991399184E-2</v>
      </c>
      <c r="L130">
        <f>+J130/I130</f>
        <v>1.2774718927625281E-2</v>
      </c>
      <c r="M130">
        <f>+(L130-$L$614)/$L$615</f>
        <v>-0.45280783133633168</v>
      </c>
      <c r="N130">
        <f>+N128+M130</f>
        <v>-3.8849995098988859</v>
      </c>
    </row>
    <row r="131" spans="1:14">
      <c r="A131" s="8">
        <v>9</v>
      </c>
      <c r="B131" s="75">
        <v>38398</v>
      </c>
      <c r="C131" s="12">
        <v>2005</v>
      </c>
      <c r="D131" s="11" t="s">
        <v>19</v>
      </c>
      <c r="E131" s="12">
        <v>2</v>
      </c>
      <c r="F131" s="14">
        <v>4.7915900000000002</v>
      </c>
      <c r="G131" s="14">
        <v>6.0540292227620369E-2</v>
      </c>
    </row>
    <row r="132" spans="1:14">
      <c r="A132" s="8">
        <v>10</v>
      </c>
      <c r="B132" s="75">
        <v>38398</v>
      </c>
      <c r="C132" s="12">
        <v>2005</v>
      </c>
      <c r="D132" s="11" t="s">
        <v>19</v>
      </c>
      <c r="E132" s="12">
        <v>2</v>
      </c>
      <c r="F132" s="14">
        <v>5.6125600000000002</v>
      </c>
      <c r="G132" s="14">
        <v>0.58194594743345318</v>
      </c>
      <c r="I132" s="27">
        <f>AVERAGE(F131:F132)</f>
        <v>5.2020750000000007</v>
      </c>
      <c r="J132" s="27">
        <f>AVERAGE(G131:G132)</f>
        <v>0.32124311983053677</v>
      </c>
      <c r="L132">
        <f>+J132/I132</f>
        <v>6.1752881269596598E-2</v>
      </c>
      <c r="M132">
        <f>+(L132-$L$614)/$L$615</f>
        <v>1.0440947290999474</v>
      </c>
      <c r="N132">
        <f>+N130+M132</f>
        <v>-2.8409047807989385</v>
      </c>
    </row>
    <row r="133" spans="1:14">
      <c r="A133" s="8">
        <v>9</v>
      </c>
      <c r="B133" s="75">
        <v>38427</v>
      </c>
      <c r="C133" s="12">
        <v>2005</v>
      </c>
      <c r="D133" s="11" t="s">
        <v>20</v>
      </c>
      <c r="E133" s="12">
        <v>3</v>
      </c>
      <c r="F133" s="14">
        <v>3.0385599999999999</v>
      </c>
      <c r="G133" s="14">
        <v>8.7593611644994351E-2</v>
      </c>
    </row>
    <row r="134" spans="1:14">
      <c r="A134" s="8">
        <v>10</v>
      </c>
      <c r="B134" s="75">
        <v>38427</v>
      </c>
      <c r="C134" s="12">
        <v>2005</v>
      </c>
      <c r="D134" s="11" t="s">
        <v>20</v>
      </c>
      <c r="E134" s="12">
        <v>3</v>
      </c>
      <c r="F134" s="14">
        <v>2.036</v>
      </c>
      <c r="G134" s="14">
        <v>6.4977315615343464E-2</v>
      </c>
      <c r="I134" s="27">
        <f>AVERAGE(F133:F134)</f>
        <v>2.53728</v>
      </c>
      <c r="J134" s="27">
        <f>AVERAGE(G133:G134)</f>
        <v>7.6285463630168915E-2</v>
      </c>
      <c r="L134">
        <f>+J134/I134</f>
        <v>3.0065843592417436E-2</v>
      </c>
      <c r="M134">
        <f>+(L134-$L$614)/$L$615</f>
        <v>7.5654804783643795E-2</v>
      </c>
      <c r="N134">
        <f>+N132+M134</f>
        <v>-2.7652499760152947</v>
      </c>
    </row>
    <row r="135" spans="1:14">
      <c r="A135" s="8">
        <v>9</v>
      </c>
      <c r="B135" s="75">
        <v>38470</v>
      </c>
      <c r="C135" s="12">
        <v>2005</v>
      </c>
      <c r="D135" s="11" t="s">
        <v>21</v>
      </c>
      <c r="E135" s="12">
        <v>4</v>
      </c>
      <c r="F135" s="14">
        <v>3.6966299999999999</v>
      </c>
      <c r="G135" s="14">
        <v>3.836324480844773E-2</v>
      </c>
    </row>
    <row r="136" spans="1:14">
      <c r="A136" s="8">
        <v>10</v>
      </c>
      <c r="B136" s="75">
        <v>38470</v>
      </c>
      <c r="C136" s="12">
        <v>2005</v>
      </c>
      <c r="D136" s="11" t="s">
        <v>21</v>
      </c>
      <c r="E136" s="12">
        <v>4</v>
      </c>
      <c r="F136" s="14">
        <v>3.004</v>
      </c>
      <c r="G136" s="14">
        <v>2.2029147235972421E-2</v>
      </c>
      <c r="I136" s="27">
        <f>AVERAGE(F135:F136)</f>
        <v>3.3503150000000002</v>
      </c>
      <c r="J136" s="27">
        <f>AVERAGE(G135:G136)</f>
        <v>3.0196196022210076E-2</v>
      </c>
      <c r="L136">
        <f>+J136/I136</f>
        <v>9.0129423717501406E-3</v>
      </c>
      <c r="M136">
        <f>+(L136-$L$614)/$L$615</f>
        <v>-0.56777770135640859</v>
      </c>
      <c r="N136">
        <f>+N134+M136</f>
        <v>-3.3330276773717031</v>
      </c>
    </row>
    <row r="137" spans="1:14">
      <c r="A137" s="8">
        <v>9</v>
      </c>
      <c r="B137" s="75">
        <v>38488</v>
      </c>
      <c r="C137" s="12">
        <v>2005</v>
      </c>
      <c r="D137" s="11" t="s">
        <v>22</v>
      </c>
      <c r="E137" s="12">
        <v>5</v>
      </c>
      <c r="F137" s="14">
        <v>6.0048199999999996</v>
      </c>
      <c r="G137" s="14">
        <v>3.338895227798129E-2</v>
      </c>
    </row>
    <row r="138" spans="1:14">
      <c r="A138" s="8">
        <v>10</v>
      </c>
      <c r="B138" s="75">
        <v>38488</v>
      </c>
      <c r="C138" s="12">
        <v>2005</v>
      </c>
      <c r="D138" s="11" t="s">
        <v>22</v>
      </c>
      <c r="E138" s="12">
        <v>5</v>
      </c>
      <c r="F138" s="14">
        <v>4.00244</v>
      </c>
      <c r="G138" s="14">
        <v>8.7859767273540473E-2</v>
      </c>
      <c r="I138" s="27">
        <f>AVERAGE(F137:F138)</f>
        <v>5.0036299999999994</v>
      </c>
      <c r="J138" s="27">
        <f>AVERAGE(G137:G138)</f>
        <v>6.0624359775760882E-2</v>
      </c>
      <c r="L138">
        <f>+J138/I138</f>
        <v>1.2116075684205444E-2</v>
      </c>
      <c r="M138">
        <f>+(L138-$L$614)/$L$615</f>
        <v>-0.47293771596951506</v>
      </c>
      <c r="N138">
        <f>+N136+M138</f>
        <v>-3.8059653933412183</v>
      </c>
    </row>
    <row r="139" spans="1:14">
      <c r="A139" s="8">
        <v>9</v>
      </c>
      <c r="B139" s="75">
        <v>38525</v>
      </c>
      <c r="C139" s="12">
        <v>2005</v>
      </c>
      <c r="D139" s="11" t="s">
        <v>23</v>
      </c>
      <c r="E139" s="12">
        <v>6</v>
      </c>
      <c r="F139" s="14">
        <v>15.88509</v>
      </c>
      <c r="G139" s="14">
        <v>5.994724295335499E-2</v>
      </c>
    </row>
    <row r="140" spans="1:14">
      <c r="A140" s="8">
        <v>10</v>
      </c>
      <c r="B140" s="75">
        <v>38525</v>
      </c>
      <c r="C140" s="12">
        <v>2005</v>
      </c>
      <c r="D140" s="11" t="s">
        <v>23</v>
      </c>
      <c r="E140" s="12">
        <v>6</v>
      </c>
      <c r="F140" s="14">
        <v>6.5588699999999998</v>
      </c>
      <c r="G140" s="14">
        <v>9.7946303293355547E-2</v>
      </c>
      <c r="I140" s="27">
        <f>AVERAGE(F139:F140)</f>
        <v>11.22198</v>
      </c>
      <c r="J140" s="27">
        <f>AVERAGE(G139:G140)</f>
        <v>7.8946773123355268E-2</v>
      </c>
      <c r="L140">
        <f>+J140/I140</f>
        <v>7.0350128162191758E-3</v>
      </c>
      <c r="M140">
        <f>+(L140-$L$614)/$L$615</f>
        <v>-0.62822847522098235</v>
      </c>
      <c r="N140">
        <f>+N138+M140</f>
        <v>-4.4341938685622004</v>
      </c>
    </row>
    <row r="141" spans="1:14">
      <c r="A141" s="8">
        <v>9</v>
      </c>
      <c r="B141" s="75">
        <v>38546</v>
      </c>
      <c r="C141" s="12">
        <v>2005</v>
      </c>
      <c r="D141" s="15" t="s">
        <v>24</v>
      </c>
      <c r="E141" s="12">
        <v>7</v>
      </c>
      <c r="F141" s="14">
        <v>15.474449999999999</v>
      </c>
      <c r="G141" s="14">
        <v>0.49919472691675482</v>
      </c>
    </row>
    <row r="142" spans="1:14">
      <c r="A142" s="8">
        <v>10</v>
      </c>
      <c r="B142" s="75">
        <v>38546</v>
      </c>
      <c r="C142" s="12">
        <v>2005</v>
      </c>
      <c r="D142" s="15" t="s">
        <v>24</v>
      </c>
      <c r="E142" s="12">
        <v>7</v>
      </c>
      <c r="F142" s="14">
        <v>17.4208</v>
      </c>
      <c r="G142" s="14">
        <v>3.3598984960462861</v>
      </c>
      <c r="I142" s="27">
        <f>AVERAGE(F141:F142)</f>
        <v>16.447624999999999</v>
      </c>
      <c r="J142" s="27">
        <f>AVERAGE(G141:G142)</f>
        <v>1.9295466114815205</v>
      </c>
      <c r="L142">
        <f>+J142/I142</f>
        <v>0.11731460387025608</v>
      </c>
      <c r="M142">
        <f>+(L142-$L$614)/$L$615</f>
        <v>2.7422083545657481</v>
      </c>
      <c r="N142">
        <f>+N140+M142</f>
        <v>-1.6919855139964524</v>
      </c>
    </row>
    <row r="143" spans="1:14">
      <c r="A143" s="8">
        <v>9</v>
      </c>
      <c r="B143" s="75">
        <v>38594</v>
      </c>
      <c r="C143" s="12">
        <v>2005</v>
      </c>
      <c r="D143" s="15" t="s">
        <v>25</v>
      </c>
      <c r="E143" s="12">
        <v>8</v>
      </c>
      <c r="F143" s="14">
        <v>23.904499999999999</v>
      </c>
      <c r="G143" s="14">
        <v>0.47921651811919214</v>
      </c>
    </row>
    <row r="144" spans="1:14">
      <c r="A144" s="8">
        <v>10</v>
      </c>
      <c r="B144" s="75">
        <v>38594</v>
      </c>
      <c r="C144" s="12">
        <v>2005</v>
      </c>
      <c r="D144" s="15" t="s">
        <v>25</v>
      </c>
      <c r="E144" s="12">
        <v>8</v>
      </c>
      <c r="F144" s="14">
        <v>39.264499999999998</v>
      </c>
      <c r="G144" s="14">
        <v>1.4067729395441375</v>
      </c>
      <c r="I144" s="27">
        <f>AVERAGE(F143:F144)</f>
        <v>31.584499999999998</v>
      </c>
      <c r="J144" s="27">
        <f>AVERAGE(G143:G144)</f>
        <v>0.9429947288316648</v>
      </c>
      <c r="L144">
        <f>+J144/I144</f>
        <v>2.9856250022373788E-2</v>
      </c>
      <c r="M144">
        <f>+(L144-$L$614)/$L$615</f>
        <v>6.9249069316095216E-2</v>
      </c>
      <c r="N144">
        <f>+N142+M144</f>
        <v>-1.6227364446803572</v>
      </c>
    </row>
    <row r="145" spans="1:14">
      <c r="A145" s="8">
        <v>9</v>
      </c>
      <c r="B145" s="75">
        <v>38609</v>
      </c>
      <c r="C145" s="12">
        <v>2005</v>
      </c>
      <c r="D145" s="15" t="s">
        <v>26</v>
      </c>
      <c r="E145" s="12">
        <v>9</v>
      </c>
      <c r="F145" s="14">
        <v>20.782630000000001</v>
      </c>
      <c r="G145" s="14">
        <v>0.10607993757876612</v>
      </c>
    </row>
    <row r="146" spans="1:14">
      <c r="A146" s="8">
        <v>10</v>
      </c>
      <c r="B146" s="75">
        <v>38609</v>
      </c>
      <c r="C146" s="12">
        <v>2005</v>
      </c>
      <c r="D146" s="15" t="s">
        <v>26</v>
      </c>
      <c r="E146" s="12">
        <v>9</v>
      </c>
      <c r="F146" s="14">
        <v>17.379480000000001</v>
      </c>
      <c r="G146" s="14">
        <v>0.11596435690491087</v>
      </c>
      <c r="I146" s="27">
        <f>AVERAGE(F145:F146)</f>
        <v>19.081054999999999</v>
      </c>
      <c r="J146" s="27">
        <f>AVERAGE(G145:G146)</f>
        <v>0.1110221472418385</v>
      </c>
      <c r="L146">
        <f>+J146/I146</f>
        <v>5.8184490973815913E-3</v>
      </c>
      <c r="M146">
        <f>+(L146-$L$614)/$L$615</f>
        <v>-0.66540988952041813</v>
      </c>
      <c r="N146">
        <f>+N144+M146</f>
        <v>-2.2881463342007753</v>
      </c>
    </row>
    <row r="147" spans="1:14">
      <c r="A147" s="8">
        <v>9</v>
      </c>
      <c r="B147" s="75">
        <v>38643</v>
      </c>
      <c r="C147" s="12">
        <v>2005</v>
      </c>
      <c r="D147" s="15" t="s">
        <v>14</v>
      </c>
      <c r="E147" s="12">
        <v>10</v>
      </c>
      <c r="F147" s="14">
        <v>3.8508</v>
      </c>
      <c r="G147" s="14">
        <v>0.01</v>
      </c>
    </row>
    <row r="148" spans="1:14">
      <c r="A148" s="8">
        <v>10</v>
      </c>
      <c r="B148" s="75">
        <v>38643</v>
      </c>
      <c r="C148" s="12">
        <v>2005</v>
      </c>
      <c r="D148" s="15" t="s">
        <v>14</v>
      </c>
      <c r="E148" s="12">
        <v>10</v>
      </c>
      <c r="F148" s="14">
        <v>3.9016000000000002</v>
      </c>
      <c r="G148" s="14">
        <v>2.23E-2</v>
      </c>
      <c r="I148" s="27">
        <f>AVERAGE(F147:F148)</f>
        <v>3.8761999999999999</v>
      </c>
      <c r="J148" s="27">
        <f>AVERAGE(G147:G148)</f>
        <v>1.6150000000000001E-2</v>
      </c>
      <c r="L148">
        <f>+J148/I148</f>
        <v>4.1664516794799036E-3</v>
      </c>
      <c r="M148">
        <f>+(L148-$L$614)/$L$615</f>
        <v>-0.7158993126928358</v>
      </c>
      <c r="N148">
        <f>+N146+M148</f>
        <v>-3.0040456468936112</v>
      </c>
    </row>
    <row r="149" spans="1:14">
      <c r="A149" s="8">
        <v>9</v>
      </c>
      <c r="B149" s="75">
        <v>38670</v>
      </c>
      <c r="C149" s="12">
        <v>2005</v>
      </c>
      <c r="D149" s="15" t="s">
        <v>16</v>
      </c>
      <c r="E149" s="12">
        <v>11</v>
      </c>
      <c r="F149" s="14">
        <v>0.92330000000000001</v>
      </c>
      <c r="G149" s="14">
        <v>1E-4</v>
      </c>
    </row>
    <row r="150" spans="1:14">
      <c r="A150" s="8">
        <v>10</v>
      </c>
      <c r="B150" s="75">
        <v>38670</v>
      </c>
      <c r="C150" s="12">
        <v>2005</v>
      </c>
      <c r="D150" s="15" t="s">
        <v>16</v>
      </c>
      <c r="E150" s="12">
        <v>11</v>
      </c>
      <c r="F150" s="14">
        <v>1.599</v>
      </c>
      <c r="G150" s="14">
        <v>1E-4</v>
      </c>
      <c r="I150" s="27">
        <f>AVERAGE(F149:F150)</f>
        <v>1.26115</v>
      </c>
      <c r="J150" s="27">
        <f>AVERAGE(G149:G150)</f>
        <v>1E-4</v>
      </c>
      <c r="L150">
        <f>+J150/I150</f>
        <v>7.92927090354042E-5</v>
      </c>
      <c r="M150">
        <f>+(L150-$L$614)/$L$615</f>
        <v>-0.84081373241016466</v>
      </c>
      <c r="N150">
        <f>+N148+M150</f>
        <v>-3.844859379303776</v>
      </c>
    </row>
    <row r="151" spans="1:14">
      <c r="A151" s="8">
        <v>9</v>
      </c>
      <c r="B151" s="75">
        <v>38706</v>
      </c>
      <c r="C151" s="12">
        <v>2005</v>
      </c>
      <c r="D151" s="15" t="s">
        <v>17</v>
      </c>
      <c r="E151" s="12">
        <v>12</v>
      </c>
      <c r="F151" s="14">
        <v>1.6493</v>
      </c>
      <c r="G151" s="14">
        <v>1.3299999999999999E-2</v>
      </c>
    </row>
    <row r="152" spans="1:14">
      <c r="A152" s="8">
        <v>10</v>
      </c>
      <c r="B152" s="75">
        <v>38706</v>
      </c>
      <c r="C152" s="12">
        <v>2005</v>
      </c>
      <c r="D152" s="15" t="s">
        <v>17</v>
      </c>
      <c r="E152" s="12">
        <v>12</v>
      </c>
      <c r="F152" s="14">
        <v>2.7669999999999999</v>
      </c>
      <c r="G152" s="14">
        <v>2.6499999999999999E-2</v>
      </c>
      <c r="I152" s="27">
        <f>AVERAGE(F151:F152)</f>
        <v>2.2081499999999998</v>
      </c>
      <c r="J152" s="27">
        <f>AVERAGE(G151:G152)</f>
        <v>1.9900000000000001E-2</v>
      </c>
      <c r="L152">
        <f>+J152/I152</f>
        <v>9.0120689264769158E-3</v>
      </c>
      <c r="M152">
        <f>+(L152-$L$614)/$L$615</f>
        <v>-0.56780439616085554</v>
      </c>
      <c r="N152">
        <f>+N150+M152</f>
        <v>-4.4126637754646314</v>
      </c>
    </row>
    <row r="153" spans="1:14">
      <c r="A153" s="12">
        <v>9</v>
      </c>
      <c r="B153" s="75">
        <v>38737</v>
      </c>
      <c r="C153" s="12">
        <v>2006</v>
      </c>
      <c r="D153" s="11" t="s">
        <v>18</v>
      </c>
      <c r="E153" s="12">
        <v>1</v>
      </c>
      <c r="F153" s="14">
        <v>4.6208</v>
      </c>
      <c r="G153" s="14">
        <v>5.5300000000000002E-2</v>
      </c>
    </row>
    <row r="154" spans="1:14">
      <c r="A154" s="12">
        <v>10</v>
      </c>
      <c r="B154" s="75">
        <v>38737</v>
      </c>
      <c r="C154" s="12">
        <v>2006</v>
      </c>
      <c r="D154" s="11" t="s">
        <v>18</v>
      </c>
      <c r="E154" s="12">
        <v>1</v>
      </c>
      <c r="F154" s="14">
        <v>3.3401000000000001</v>
      </c>
      <c r="G154" s="14">
        <v>0.20130000000000001</v>
      </c>
      <c r="I154" s="27">
        <f>AVERAGE(F153:F154)</f>
        <v>3.9804500000000003</v>
      </c>
      <c r="J154" s="27">
        <f>AVERAGE(G153:G154)</f>
        <v>0.1283</v>
      </c>
      <c r="L154">
        <f>+J154/I154</f>
        <v>3.2232536522252504E-2</v>
      </c>
      <c r="M154">
        <f>+(L154-$L$614)/$L$615</f>
        <v>0.14187468807987683</v>
      </c>
      <c r="N154">
        <f>+N152+M154</f>
        <v>-4.2707890873847543</v>
      </c>
    </row>
    <row r="155" spans="1:14">
      <c r="A155" s="12">
        <v>9</v>
      </c>
      <c r="B155" s="75">
        <v>38763</v>
      </c>
      <c r="C155" s="15">
        <v>2006</v>
      </c>
      <c r="D155" s="11" t="s">
        <v>28</v>
      </c>
      <c r="E155" s="15">
        <v>2</v>
      </c>
      <c r="F155" s="14">
        <v>2.9337</v>
      </c>
      <c r="G155" s="14">
        <v>7.6799999999999993E-2</v>
      </c>
    </row>
    <row r="156" spans="1:14">
      <c r="A156" s="12">
        <v>10</v>
      </c>
      <c r="B156" s="75">
        <v>38763</v>
      </c>
      <c r="C156" s="15">
        <v>2006</v>
      </c>
      <c r="D156" s="11" t="s">
        <v>28</v>
      </c>
      <c r="E156" s="15">
        <v>2</v>
      </c>
      <c r="F156" s="14">
        <v>6.0673000000000004</v>
      </c>
      <c r="G156" s="14">
        <v>0.50509999999999999</v>
      </c>
      <c r="I156" s="27">
        <f>AVERAGE(F155:F156)</f>
        <v>4.5005000000000006</v>
      </c>
      <c r="J156" s="27">
        <f>AVERAGE(G155:G156)</f>
        <v>0.29094999999999999</v>
      </c>
      <c r="L156">
        <f>+J156/I156</f>
        <v>6.4648372403066312E-2</v>
      </c>
      <c r="M156">
        <f>+(L156-$L$614)/$L$615</f>
        <v>1.1325886187062784</v>
      </c>
      <c r="N156">
        <f>+N154+M156</f>
        <v>-3.1382004686784759</v>
      </c>
    </row>
    <row r="157" spans="1:14">
      <c r="A157" s="12">
        <v>9</v>
      </c>
      <c r="B157" s="75">
        <v>38792</v>
      </c>
      <c r="C157" s="12">
        <v>2006</v>
      </c>
      <c r="D157" s="11" t="s">
        <v>29</v>
      </c>
      <c r="E157" s="15">
        <v>3</v>
      </c>
      <c r="F157" s="14">
        <v>0.81259999999999999</v>
      </c>
      <c r="G157" s="14">
        <v>9.7999999999999997E-3</v>
      </c>
    </row>
    <row r="158" spans="1:14">
      <c r="A158" s="12">
        <v>10</v>
      </c>
      <c r="B158" s="75">
        <v>38792</v>
      </c>
      <c r="C158" s="12">
        <v>2006</v>
      </c>
      <c r="D158" s="11" t="s">
        <v>29</v>
      </c>
      <c r="E158" s="15">
        <v>3</v>
      </c>
      <c r="F158" s="14">
        <v>1.3021</v>
      </c>
      <c r="G158" s="14">
        <v>6.0600000000000001E-2</v>
      </c>
      <c r="I158" s="27">
        <f>AVERAGE(F157:F158)</f>
        <v>1.05735</v>
      </c>
      <c r="J158" s="27">
        <f>AVERAGE(G157:G158)</f>
        <v>3.5200000000000002E-2</v>
      </c>
      <c r="L158">
        <f>+J158/I158</f>
        <v>3.3290774105074007E-2</v>
      </c>
      <c r="M158">
        <f>+(L158-$L$614)/$L$615</f>
        <v>0.17421723568742453</v>
      </c>
      <c r="N158">
        <f>+N156+M158</f>
        <v>-2.9639832329910512</v>
      </c>
    </row>
    <row r="159" spans="1:14">
      <c r="A159" s="12">
        <v>9</v>
      </c>
      <c r="B159" s="74">
        <v>38826</v>
      </c>
      <c r="C159" s="12">
        <v>2006</v>
      </c>
      <c r="D159" s="11" t="s">
        <v>30</v>
      </c>
      <c r="E159" s="12">
        <v>4</v>
      </c>
      <c r="F159" s="14">
        <v>1.1544000000000001</v>
      </c>
      <c r="G159" s="14">
        <v>5.8400000000000001E-2</v>
      </c>
    </row>
    <row r="160" spans="1:14">
      <c r="A160" s="12">
        <v>10</v>
      </c>
      <c r="B160" s="74">
        <v>38826</v>
      </c>
      <c r="C160" s="12">
        <v>2006</v>
      </c>
      <c r="D160" s="11" t="s">
        <v>30</v>
      </c>
      <c r="E160" s="12">
        <v>4</v>
      </c>
      <c r="F160" s="14">
        <v>0.94199999999999995</v>
      </c>
      <c r="G160" s="14">
        <v>2.5600000000000001E-2</v>
      </c>
      <c r="I160" s="27">
        <f>AVERAGE(F159:F160)</f>
        <v>1.0482</v>
      </c>
      <c r="J160" s="27">
        <f>AVERAGE(G159:G160)</f>
        <v>4.2000000000000003E-2</v>
      </c>
      <c r="L160">
        <f>+J160/I160</f>
        <v>4.0068689181453926E-2</v>
      </c>
      <c r="M160">
        <f>+(L160-$L$614)/$L$615</f>
        <v>0.38136829949037077</v>
      </c>
      <c r="N160">
        <f>+N158+M160</f>
        <v>-2.5826149335006803</v>
      </c>
    </row>
    <row r="161" spans="1:14">
      <c r="A161" s="12">
        <v>9</v>
      </c>
      <c r="B161" s="74">
        <v>38853</v>
      </c>
      <c r="C161" s="12">
        <v>2006</v>
      </c>
      <c r="D161" s="11" t="s">
        <v>31</v>
      </c>
      <c r="E161" s="12">
        <v>5</v>
      </c>
      <c r="F161" s="14">
        <v>1.7291000000000001</v>
      </c>
      <c r="G161" s="14">
        <v>1.14E-2</v>
      </c>
    </row>
    <row r="162" spans="1:14">
      <c r="A162" s="12">
        <v>10</v>
      </c>
      <c r="B162" s="74">
        <v>38853</v>
      </c>
      <c r="C162" s="12">
        <v>2006</v>
      </c>
      <c r="D162" s="11" t="s">
        <v>31</v>
      </c>
      <c r="E162" s="12">
        <v>5</v>
      </c>
      <c r="F162" s="14">
        <v>4.9337999999999997</v>
      </c>
      <c r="G162" s="14">
        <v>2.5499999999999998E-2</v>
      </c>
      <c r="I162" s="27">
        <f>AVERAGE(F161:F162)</f>
        <v>3.3314499999999998</v>
      </c>
      <c r="J162" s="27">
        <f>AVERAGE(G161:G162)</f>
        <v>1.8450000000000001E-2</v>
      </c>
      <c r="L162">
        <f>+J162/I162</f>
        <v>5.538129042909244E-3</v>
      </c>
      <c r="M162">
        <f>+(L162-$L$614)/$L$615</f>
        <v>-0.67397721396088028</v>
      </c>
      <c r="N162">
        <f>+N160+M162</f>
        <v>-3.2565921474615607</v>
      </c>
    </row>
    <row r="163" spans="1:14">
      <c r="A163" s="12">
        <v>9</v>
      </c>
      <c r="B163" s="74">
        <v>38884</v>
      </c>
      <c r="C163" s="12">
        <v>2006</v>
      </c>
      <c r="D163" s="11" t="s">
        <v>32</v>
      </c>
      <c r="E163" s="12">
        <v>6</v>
      </c>
      <c r="F163" s="14">
        <v>14.875500000000001</v>
      </c>
      <c r="G163" s="14">
        <v>3.09E-2</v>
      </c>
    </row>
    <row r="164" spans="1:14">
      <c r="A164" s="12">
        <v>10</v>
      </c>
      <c r="B164" s="74">
        <v>38884</v>
      </c>
      <c r="C164" s="12">
        <v>2006</v>
      </c>
      <c r="D164" s="11" t="s">
        <v>32</v>
      </c>
      <c r="E164" s="12">
        <v>6</v>
      </c>
      <c r="F164" s="14">
        <v>18.331600000000002</v>
      </c>
      <c r="G164" s="14">
        <v>3.4000000000000002E-2</v>
      </c>
      <c r="I164" s="27">
        <f>AVERAGE(F163:F164)</f>
        <v>16.603550000000002</v>
      </c>
      <c r="J164" s="27">
        <f>AVERAGE(G163:G164)</f>
        <v>3.245E-2</v>
      </c>
      <c r="L164">
        <f>+J164/I164</f>
        <v>1.9544013177904725E-3</v>
      </c>
      <c r="M164">
        <f>+(L164-$L$614)/$L$615</f>
        <v>-0.78350543942146944</v>
      </c>
      <c r="N164">
        <f>+N162+M164</f>
        <v>-4.0400975868830304</v>
      </c>
    </row>
    <row r="165" spans="1:14">
      <c r="A165" s="12">
        <v>9</v>
      </c>
      <c r="B165" s="74">
        <v>38915</v>
      </c>
      <c r="C165" s="12">
        <v>2006</v>
      </c>
      <c r="D165" s="11" t="s">
        <v>33</v>
      </c>
      <c r="E165" s="12">
        <v>7</v>
      </c>
      <c r="F165" s="14">
        <v>15.460800000000001</v>
      </c>
      <c r="G165" s="14">
        <v>3.56E-2</v>
      </c>
    </row>
    <row r="166" spans="1:14">
      <c r="A166" s="12">
        <v>10</v>
      </c>
      <c r="B166" s="74">
        <v>38915</v>
      </c>
      <c r="C166" s="12">
        <v>2006</v>
      </c>
      <c r="D166" s="11" t="s">
        <v>33</v>
      </c>
      <c r="E166" s="12">
        <v>7</v>
      </c>
      <c r="F166" s="14">
        <v>15.3445</v>
      </c>
      <c r="G166" s="14">
        <v>0.1497</v>
      </c>
      <c r="I166" s="27">
        <f>AVERAGE(F165:F166)</f>
        <v>15.402650000000001</v>
      </c>
      <c r="J166" s="27">
        <f>AVERAGE(G165:G166)</f>
        <v>9.2649999999999996E-2</v>
      </c>
      <c r="L166">
        <f>+J166/I166</f>
        <v>6.0151986833434498E-3</v>
      </c>
      <c r="M166">
        <f>+(L166-$L$614)/$L$615</f>
        <v>-0.65939670027630681</v>
      </c>
      <c r="N166">
        <f>+N164+M166</f>
        <v>-4.6994942871593377</v>
      </c>
    </row>
    <row r="167" spans="1:14">
      <c r="A167" s="12">
        <v>9</v>
      </c>
      <c r="B167" s="74">
        <v>38952</v>
      </c>
      <c r="C167" s="12">
        <v>2006</v>
      </c>
      <c r="D167" s="11" t="s">
        <v>34</v>
      </c>
      <c r="E167" s="12">
        <v>8</v>
      </c>
      <c r="F167" s="14">
        <v>15.3225</v>
      </c>
      <c r="G167" s="14">
        <v>2.7699999999999999E-2</v>
      </c>
    </row>
    <row r="168" spans="1:14">
      <c r="A168" s="12">
        <v>10</v>
      </c>
      <c r="B168" s="74">
        <v>38952</v>
      </c>
      <c r="C168" s="12">
        <v>2006</v>
      </c>
      <c r="D168" s="11" t="s">
        <v>34</v>
      </c>
      <c r="E168" s="12">
        <v>8</v>
      </c>
      <c r="F168" s="14">
        <v>10.6037</v>
      </c>
      <c r="G168" s="14">
        <v>7.8299999999999995E-2</v>
      </c>
      <c r="I168" s="27">
        <f>AVERAGE(F167:F168)</f>
        <v>12.963100000000001</v>
      </c>
      <c r="J168" s="27">
        <f>AVERAGE(G167:G168)</f>
        <v>5.2999999999999999E-2</v>
      </c>
      <c r="L168">
        <f>+J168/I168</f>
        <v>4.0885282069875262E-3</v>
      </c>
      <c r="M168">
        <f>+(L168-$L$614)/$L$615</f>
        <v>-0.71828086071167541</v>
      </c>
      <c r="N168">
        <f>+N166+M168</f>
        <v>-5.417775147871013</v>
      </c>
    </row>
    <row r="169" spans="1:14">
      <c r="A169" s="12">
        <v>9</v>
      </c>
      <c r="B169" s="74">
        <v>38975</v>
      </c>
      <c r="C169" s="12">
        <v>2006</v>
      </c>
      <c r="D169" s="11" t="s">
        <v>35</v>
      </c>
      <c r="E169" s="12">
        <v>9</v>
      </c>
      <c r="F169" s="14">
        <v>9.8229000000000006</v>
      </c>
      <c r="G169" s="14">
        <v>1.29E-2</v>
      </c>
    </row>
    <row r="170" spans="1:14">
      <c r="A170" s="12">
        <v>10</v>
      </c>
      <c r="B170" s="74">
        <v>38975</v>
      </c>
      <c r="C170" s="12">
        <v>2006</v>
      </c>
      <c r="D170" s="11" t="s">
        <v>35</v>
      </c>
      <c r="E170" s="12">
        <v>9</v>
      </c>
      <c r="F170" s="14">
        <v>5.9092000000000002</v>
      </c>
      <c r="G170" s="14">
        <v>1.46E-2</v>
      </c>
      <c r="I170" s="27">
        <f>AVERAGE(F169:F170)</f>
        <v>7.8660500000000004</v>
      </c>
      <c r="J170" s="27">
        <f>AVERAGE(G169:G170)</f>
        <v>1.375E-2</v>
      </c>
      <c r="L170">
        <f>+J170/I170</f>
        <v>1.7480183827969565E-3</v>
      </c>
      <c r="M170">
        <f>+(L170-$L$614)/$L$615</f>
        <v>-0.78981304936536911</v>
      </c>
      <c r="N170">
        <f>+N168+M170</f>
        <v>-6.2075881972363822</v>
      </c>
    </row>
    <row r="171" spans="1:14">
      <c r="A171" s="12">
        <v>9</v>
      </c>
      <c r="B171" s="74">
        <v>39006</v>
      </c>
      <c r="C171" s="12">
        <v>2006</v>
      </c>
      <c r="D171" s="11" t="s">
        <v>36</v>
      </c>
      <c r="E171" s="12">
        <v>10</v>
      </c>
      <c r="F171" s="14">
        <v>1.724</v>
      </c>
      <c r="G171" s="14">
        <v>3.3000000000000002E-2</v>
      </c>
    </row>
    <row r="172" spans="1:14">
      <c r="A172" s="12">
        <v>10</v>
      </c>
      <c r="B172" s="74">
        <v>39006</v>
      </c>
      <c r="C172" s="12">
        <v>2006</v>
      </c>
      <c r="D172" s="11" t="s">
        <v>36</v>
      </c>
      <c r="E172" s="12">
        <v>10</v>
      </c>
      <c r="F172" s="14">
        <v>1.37</v>
      </c>
      <c r="G172" s="14">
        <v>9.9989999999999996E-4</v>
      </c>
      <c r="I172" s="27">
        <f>AVERAGE(F171:F172)</f>
        <v>1.5470000000000002</v>
      </c>
      <c r="J172" s="27">
        <f>AVERAGE(G171:G172)</f>
        <v>1.699995E-2</v>
      </c>
      <c r="L172">
        <f>+J172/I172</f>
        <v>1.0988978668390431E-2</v>
      </c>
      <c r="M172">
        <f>+(L172-$L$614)/$L$615</f>
        <v>-0.50738479050558416</v>
      </c>
      <c r="N172">
        <f>+N170+M172</f>
        <v>-6.7149729877419659</v>
      </c>
    </row>
    <row r="173" spans="1:14">
      <c r="A173" s="12">
        <v>9</v>
      </c>
      <c r="B173" s="74">
        <v>39041</v>
      </c>
      <c r="C173" s="12">
        <v>2006</v>
      </c>
      <c r="D173" s="11" t="s">
        <v>37</v>
      </c>
      <c r="E173" s="12">
        <v>11</v>
      </c>
      <c r="F173" s="14">
        <v>1.1399999999999999</v>
      </c>
      <c r="G173" s="14">
        <v>2.1999999999999999E-2</v>
      </c>
    </row>
    <row r="174" spans="1:14">
      <c r="A174" s="12">
        <v>10</v>
      </c>
      <c r="B174" s="74">
        <v>39041</v>
      </c>
      <c r="C174" s="12">
        <v>2006</v>
      </c>
      <c r="D174" s="11" t="s">
        <v>37</v>
      </c>
      <c r="E174" s="12">
        <v>11</v>
      </c>
      <c r="F174" s="14">
        <v>0.89600000000000002</v>
      </c>
      <c r="G174" s="14">
        <v>0.02</v>
      </c>
      <c r="I174" s="27">
        <f>AVERAGE(F173:F174)</f>
        <v>1.018</v>
      </c>
      <c r="J174" s="27">
        <f>AVERAGE(G173:G174)</f>
        <v>2.0999999999999998E-2</v>
      </c>
      <c r="L174">
        <f>+J174/I174</f>
        <v>2.0628683693516697E-2</v>
      </c>
      <c r="M174">
        <f>+(L174-$L$614)/$L$615</f>
        <v>-0.21276983469707292</v>
      </c>
      <c r="N174">
        <f>+N172+M174</f>
        <v>-6.9277428224390389</v>
      </c>
    </row>
    <row r="175" spans="1:14">
      <c r="A175" s="12">
        <v>9</v>
      </c>
      <c r="B175" s="75">
        <v>39062</v>
      </c>
      <c r="C175" s="15">
        <v>2006</v>
      </c>
      <c r="D175" s="11" t="s">
        <v>38</v>
      </c>
      <c r="E175" s="15">
        <v>12</v>
      </c>
      <c r="F175" s="14">
        <v>2.0030000000000001</v>
      </c>
      <c r="G175" s="14">
        <v>5.8999999999999997E-2</v>
      </c>
    </row>
    <row r="176" spans="1:14">
      <c r="A176" s="12">
        <v>10</v>
      </c>
      <c r="B176" s="75">
        <v>39062</v>
      </c>
      <c r="C176" s="15">
        <v>2006</v>
      </c>
      <c r="D176" s="11" t="s">
        <v>38</v>
      </c>
      <c r="E176" s="15">
        <v>12</v>
      </c>
      <c r="F176" s="14">
        <v>0.76300000000000001</v>
      </c>
      <c r="G176" s="14">
        <v>7.0000000000000001E-3</v>
      </c>
      <c r="I176" s="27">
        <f>AVERAGE(F175:F176)</f>
        <v>1.383</v>
      </c>
      <c r="J176" s="27">
        <f>AVERAGE(G175:G176)</f>
        <v>3.3000000000000002E-2</v>
      </c>
      <c r="L176">
        <f>+J176/I176</f>
        <v>2.3861171366594359E-2</v>
      </c>
      <c r="M176">
        <f>+(L176-$L$614)/$L$615</f>
        <v>-0.11397643692473197</v>
      </c>
      <c r="N176">
        <f>+N174+M176</f>
        <v>-7.041719259363771</v>
      </c>
    </row>
    <row r="177" spans="1:14">
      <c r="A177" s="15">
        <v>9</v>
      </c>
      <c r="B177" s="75">
        <v>39100</v>
      </c>
      <c r="C177" s="15">
        <v>2007</v>
      </c>
      <c r="D177" s="11" t="s">
        <v>39</v>
      </c>
      <c r="E177" s="15">
        <v>1</v>
      </c>
      <c r="F177" s="14">
        <v>0.98499999999999999</v>
      </c>
      <c r="G177" s="14">
        <v>4.1000000000000002E-2</v>
      </c>
    </row>
    <row r="178" spans="1:14">
      <c r="A178" s="15">
        <v>10</v>
      </c>
      <c r="B178" s="75">
        <v>39100</v>
      </c>
      <c r="C178" s="15">
        <v>2007</v>
      </c>
      <c r="D178" s="11" t="s">
        <v>39</v>
      </c>
      <c r="E178" s="15">
        <v>1</v>
      </c>
      <c r="F178" s="14">
        <v>2.0190000000000001</v>
      </c>
      <c r="G178" s="14">
        <v>0.24099999999999999</v>
      </c>
      <c r="I178" s="27">
        <f>AVERAGE(F177:F178)</f>
        <v>1.502</v>
      </c>
      <c r="J178" s="27">
        <f>AVERAGE(G177:G178)</f>
        <v>0.14099999999999999</v>
      </c>
      <c r="L178">
        <f>+J178/I178</f>
        <v>9.3874833555259649E-2</v>
      </c>
      <c r="M178">
        <f>+(L178-$L$614)/$L$615</f>
        <v>2.0258267975041639</v>
      </c>
      <c r="N178">
        <f>+N176+M178</f>
        <v>-5.0158924618596075</v>
      </c>
    </row>
    <row r="179" spans="1:14">
      <c r="A179" s="15">
        <v>9</v>
      </c>
      <c r="B179" s="75">
        <v>39135</v>
      </c>
      <c r="C179" s="15">
        <v>2007</v>
      </c>
      <c r="D179" s="11" t="s">
        <v>28</v>
      </c>
      <c r="E179" s="15">
        <v>2</v>
      </c>
      <c r="F179" s="14">
        <v>6.2530000000000001</v>
      </c>
      <c r="G179" s="14">
        <v>0.112</v>
      </c>
    </row>
    <row r="180" spans="1:14">
      <c r="A180" s="15">
        <v>10</v>
      </c>
      <c r="B180" s="75">
        <v>39135</v>
      </c>
      <c r="C180" s="15">
        <v>2007</v>
      </c>
      <c r="D180" s="11" t="s">
        <v>28</v>
      </c>
      <c r="E180" s="15">
        <v>2</v>
      </c>
      <c r="F180" s="14">
        <v>5.2530000000000001</v>
      </c>
      <c r="G180" s="14">
        <v>3.9E-2</v>
      </c>
      <c r="I180" s="27">
        <f>AVERAGE(F179:F180)</f>
        <v>5.7530000000000001</v>
      </c>
      <c r="J180" s="27">
        <f>AVERAGE(G179:G180)</f>
        <v>7.5499999999999998E-2</v>
      </c>
      <c r="L180">
        <f>+J180/I180</f>
        <v>1.3123587693377368E-2</v>
      </c>
      <c r="M180">
        <f>+(L180-$L$614)/$L$615</f>
        <v>-0.44214547644713997</v>
      </c>
      <c r="N180">
        <f>+N178+M180</f>
        <v>-5.458037938306747</v>
      </c>
    </row>
    <row r="181" spans="1:14">
      <c r="A181" s="15">
        <v>9</v>
      </c>
      <c r="B181" s="75">
        <v>39153</v>
      </c>
      <c r="C181" s="15">
        <v>2007</v>
      </c>
      <c r="D181" s="11" t="s">
        <v>29</v>
      </c>
      <c r="E181" s="15">
        <v>3</v>
      </c>
      <c r="F181" s="14">
        <v>1.6619999999999999</v>
      </c>
      <c r="G181" s="14">
        <v>3.4000000000000002E-2</v>
      </c>
    </row>
    <row r="182" spans="1:14">
      <c r="A182" s="15">
        <v>10</v>
      </c>
      <c r="B182" s="75">
        <v>39153</v>
      </c>
      <c r="C182" s="15">
        <v>2007</v>
      </c>
      <c r="D182" s="11" t="s">
        <v>29</v>
      </c>
      <c r="E182" s="15">
        <v>3</v>
      </c>
      <c r="F182" s="14">
        <v>3.25</v>
      </c>
      <c r="G182" s="14">
        <v>0.14099999999999999</v>
      </c>
      <c r="I182" s="27">
        <f>AVERAGE(F181:F182)</f>
        <v>2.456</v>
      </c>
      <c r="J182" s="27">
        <f>AVERAGE(G181:G182)</f>
        <v>8.7499999999999994E-2</v>
      </c>
      <c r="L182">
        <f>+J182/I182</f>
        <v>3.5627035830618888E-2</v>
      </c>
      <c r="M182">
        <f>+(L182-$L$614)/$L$615</f>
        <v>0.24561959117801752</v>
      </c>
      <c r="N182">
        <f>+N180+M182</f>
        <v>-5.2124183471287298</v>
      </c>
    </row>
    <row r="183" spans="1:14">
      <c r="A183" s="15">
        <v>9</v>
      </c>
      <c r="B183" s="75">
        <v>39191</v>
      </c>
      <c r="C183" s="15">
        <v>2007</v>
      </c>
      <c r="D183" s="11" t="s">
        <v>30</v>
      </c>
      <c r="E183" s="15">
        <v>4</v>
      </c>
      <c r="F183" s="14">
        <v>1.63</v>
      </c>
      <c r="G183" s="14">
        <v>2.3E-2</v>
      </c>
    </row>
    <row r="184" spans="1:14">
      <c r="A184" s="15">
        <v>10</v>
      </c>
      <c r="B184" s="75">
        <v>39191</v>
      </c>
      <c r="C184" s="15">
        <v>2007</v>
      </c>
      <c r="D184" s="11" t="s">
        <v>30</v>
      </c>
      <c r="E184" s="15">
        <v>4</v>
      </c>
      <c r="F184" s="14">
        <v>1.3720000000000001</v>
      </c>
      <c r="G184" s="14">
        <v>9.9989999999999996E-4</v>
      </c>
      <c r="I184" s="27">
        <f>AVERAGE(F183:F184)</f>
        <v>1.5009999999999999</v>
      </c>
      <c r="J184" s="27">
        <f>AVERAGE(G183:G184)</f>
        <v>1.1999950000000001E-2</v>
      </c>
      <c r="L184">
        <f>+J184/I184</f>
        <v>7.9946369087275163E-3</v>
      </c>
      <c r="M184">
        <f>+(L184-$L$614)/$L$615</f>
        <v>-0.59889981745913101</v>
      </c>
      <c r="N184">
        <f>+N182+M184</f>
        <v>-5.8113181645878607</v>
      </c>
    </row>
    <row r="185" spans="1:14">
      <c r="A185" s="15">
        <v>9</v>
      </c>
      <c r="B185" s="75">
        <v>39216</v>
      </c>
      <c r="C185" s="15">
        <v>2007</v>
      </c>
      <c r="D185" s="11" t="s">
        <v>31</v>
      </c>
      <c r="E185" s="15">
        <v>5</v>
      </c>
      <c r="F185" s="14">
        <v>10.595000000000001</v>
      </c>
      <c r="G185" s="14">
        <v>4.9000000000000002E-2</v>
      </c>
    </row>
    <row r="186" spans="1:14">
      <c r="A186" s="15">
        <v>10</v>
      </c>
      <c r="B186" s="75">
        <v>39216</v>
      </c>
      <c r="C186" s="15">
        <v>2007</v>
      </c>
      <c r="D186" s="11" t="s">
        <v>31</v>
      </c>
      <c r="E186" s="15">
        <v>5</v>
      </c>
      <c r="F186" s="14">
        <v>10.763999999999999</v>
      </c>
      <c r="G186" s="14">
        <v>0.10299999999999999</v>
      </c>
      <c r="I186" s="27">
        <f>AVERAGE(F185:F186)</f>
        <v>10.679500000000001</v>
      </c>
      <c r="J186" s="27">
        <f>AVERAGE(G185:G186)</f>
        <v>7.5999999999999998E-2</v>
      </c>
      <c r="L186">
        <f>+J186/I186</f>
        <v>7.1164380354885523E-3</v>
      </c>
      <c r="M186">
        <f>+(L186-$L$614)/$L$615</f>
        <v>-0.62573990453191908</v>
      </c>
      <c r="N186">
        <f>+N184+M186</f>
        <v>-6.4370580691197796</v>
      </c>
    </row>
    <row r="187" spans="1:14">
      <c r="A187" s="15">
        <v>9</v>
      </c>
      <c r="B187" s="75">
        <v>39248</v>
      </c>
      <c r="C187" s="15">
        <v>2007</v>
      </c>
      <c r="D187" s="11" t="s">
        <v>32</v>
      </c>
      <c r="E187" s="15">
        <v>6</v>
      </c>
      <c r="F187" s="14">
        <v>25.084</v>
      </c>
      <c r="G187" s="14">
        <v>7.1999999999999995E-2</v>
      </c>
    </row>
    <row r="188" spans="1:14">
      <c r="A188" s="15">
        <v>10</v>
      </c>
      <c r="B188" s="75">
        <v>39248</v>
      </c>
      <c r="C188" s="15">
        <v>2007</v>
      </c>
      <c r="D188" s="11" t="s">
        <v>32</v>
      </c>
      <c r="E188" s="15">
        <v>6</v>
      </c>
      <c r="F188" s="14">
        <v>17.117000000000001</v>
      </c>
      <c r="G188" s="14">
        <v>0.13</v>
      </c>
      <c r="I188" s="27">
        <f>AVERAGE(F187:F188)</f>
        <v>21.1005</v>
      </c>
      <c r="J188" s="27">
        <f>AVERAGE(G187:G188)</f>
        <v>0.10100000000000001</v>
      </c>
      <c r="L188">
        <f>+J188/I188</f>
        <v>4.7866164308902632E-3</v>
      </c>
      <c r="M188">
        <f>+(L188-$L$614)/$L$615</f>
        <v>-0.69694543284334665</v>
      </c>
      <c r="N188">
        <f>+N186+M188</f>
        <v>-7.134003501963126</v>
      </c>
    </row>
    <row r="189" spans="1:14">
      <c r="A189" s="15">
        <v>9</v>
      </c>
      <c r="B189" s="75">
        <v>39279</v>
      </c>
      <c r="C189" s="15">
        <v>2007</v>
      </c>
      <c r="D189" s="11" t="s">
        <v>33</v>
      </c>
      <c r="E189" s="15">
        <v>7</v>
      </c>
      <c r="F189" s="14">
        <v>18.765999999999998</v>
      </c>
      <c r="G189" s="14">
        <v>0.82199999999999995</v>
      </c>
    </row>
    <row r="190" spans="1:14">
      <c r="A190" s="15">
        <v>10</v>
      </c>
      <c r="B190" s="75">
        <v>39279</v>
      </c>
      <c r="C190" s="15">
        <v>2007</v>
      </c>
      <c r="D190" s="11" t="s">
        <v>33</v>
      </c>
      <c r="E190" s="15">
        <v>7</v>
      </c>
      <c r="F190" s="14">
        <v>18.003</v>
      </c>
      <c r="G190" s="14">
        <v>1.0369999999999999</v>
      </c>
      <c r="I190" s="27">
        <f>AVERAGE(F189:F190)</f>
        <v>18.384499999999999</v>
      </c>
      <c r="J190" s="27">
        <f>AVERAGE(G189:G190)</f>
        <v>0.92949999999999999</v>
      </c>
      <c r="L190">
        <f>+J190/I190</f>
        <v>5.0558894721096578E-2</v>
      </c>
      <c r="M190">
        <f>+(L190-$L$614)/$L$615</f>
        <v>0.7019768070565594</v>
      </c>
      <c r="N190">
        <f>+N188+M190</f>
        <v>-6.4320266949065665</v>
      </c>
    </row>
    <row r="191" spans="1:14">
      <c r="A191" s="15">
        <v>9</v>
      </c>
      <c r="B191" s="75">
        <v>39308</v>
      </c>
      <c r="C191" s="15">
        <v>2007</v>
      </c>
      <c r="D191" s="11" t="s">
        <v>34</v>
      </c>
      <c r="E191" s="15">
        <v>8</v>
      </c>
      <c r="F191" s="14">
        <v>10.6</v>
      </c>
      <c r="G191" s="14">
        <v>9.9989999999999996E-4</v>
      </c>
    </row>
    <row r="192" spans="1:14">
      <c r="A192" s="15">
        <v>10</v>
      </c>
      <c r="B192" s="75">
        <v>39308</v>
      </c>
      <c r="C192" s="15">
        <v>2007</v>
      </c>
      <c r="D192" s="11" t="s">
        <v>34</v>
      </c>
      <c r="E192" s="15">
        <v>8</v>
      </c>
      <c r="F192" s="14">
        <v>11.553000000000001</v>
      </c>
      <c r="G192" s="14">
        <v>9.9989999999999996E-4</v>
      </c>
      <c r="I192" s="27">
        <f>AVERAGE(F191:F192)</f>
        <v>11.076499999999999</v>
      </c>
      <c r="J192" s="27">
        <f>AVERAGE(G191:G192)</f>
        <v>9.9989999999999996E-4</v>
      </c>
      <c r="L192">
        <f>+J192/I192</f>
        <v>9.0272197896447431E-5</v>
      </c>
      <c r="M192">
        <f>+(L192-$L$614)/$L$615</f>
        <v>-0.84047817010642567</v>
      </c>
      <c r="N192">
        <f>+N190+M192</f>
        <v>-7.2725048650129924</v>
      </c>
    </row>
    <row r="193" spans="1:14">
      <c r="A193" s="15">
        <v>9</v>
      </c>
      <c r="B193" s="75">
        <v>39335</v>
      </c>
      <c r="C193" s="15">
        <v>2007</v>
      </c>
      <c r="D193" s="11" t="s">
        <v>40</v>
      </c>
      <c r="E193" s="15">
        <v>9</v>
      </c>
      <c r="F193" s="14">
        <v>13.128</v>
      </c>
      <c r="G193" s="14">
        <v>9.9989999999999996E-4</v>
      </c>
    </row>
    <row r="194" spans="1:14">
      <c r="A194" s="15">
        <v>10</v>
      </c>
      <c r="B194" s="75">
        <v>39335</v>
      </c>
      <c r="C194" s="15">
        <v>2007</v>
      </c>
      <c r="D194" s="11" t="s">
        <v>40</v>
      </c>
      <c r="E194" s="15">
        <v>9</v>
      </c>
      <c r="F194" s="14">
        <v>8.6809999999999992</v>
      </c>
      <c r="G194" s="14">
        <v>6.4000000000000001E-2</v>
      </c>
      <c r="I194" s="27">
        <f>AVERAGE(F193:F194)</f>
        <v>10.904499999999999</v>
      </c>
      <c r="J194" s="27">
        <f>AVERAGE(G193:G194)</f>
        <v>3.249995E-2</v>
      </c>
      <c r="L194">
        <f>+J194/I194</f>
        <v>2.9804163418772072E-3</v>
      </c>
      <c r="M194">
        <f>+(L194-$L$614)/$L$615</f>
        <v>-0.75214769868227893</v>
      </c>
      <c r="N194">
        <f>+N192+M194</f>
        <v>-8.0246525636952715</v>
      </c>
    </row>
    <row r="195" spans="1:14">
      <c r="A195" s="15">
        <v>9</v>
      </c>
      <c r="B195" s="75">
        <v>39370</v>
      </c>
      <c r="C195" s="15">
        <v>2007</v>
      </c>
      <c r="D195" s="11" t="s">
        <v>36</v>
      </c>
      <c r="E195" s="15">
        <v>10</v>
      </c>
      <c r="F195" s="14">
        <v>1.5980000000000001</v>
      </c>
      <c r="G195" s="14">
        <v>1.2999999999999999E-2</v>
      </c>
    </row>
    <row r="196" spans="1:14">
      <c r="A196" s="15">
        <v>10</v>
      </c>
      <c r="B196" s="75">
        <v>39370</v>
      </c>
      <c r="C196" s="15">
        <v>2007</v>
      </c>
      <c r="D196" s="11" t="s">
        <v>36</v>
      </c>
      <c r="E196" s="15">
        <v>10</v>
      </c>
      <c r="F196" s="14">
        <v>1.01</v>
      </c>
      <c r="G196" s="14">
        <v>9.9989999999999996E-4</v>
      </c>
      <c r="I196" s="27">
        <f>AVERAGE(F195:F196)</f>
        <v>1.304</v>
      </c>
      <c r="J196" s="27">
        <f>AVERAGE(G195:G196)</f>
        <v>6.9999499999999996E-3</v>
      </c>
      <c r="L196">
        <f>+J196/I196</f>
        <v>5.3680598159509194E-3</v>
      </c>
      <c r="M196">
        <f>+(L196-$L$614)/$L$615</f>
        <v>-0.67917498066163662</v>
      </c>
      <c r="N196">
        <f>+N194+M196</f>
        <v>-8.7038275443569084</v>
      </c>
    </row>
    <row r="197" spans="1:14">
      <c r="A197" s="15">
        <v>9</v>
      </c>
      <c r="B197" s="75">
        <v>39400</v>
      </c>
      <c r="C197" s="15">
        <v>2007</v>
      </c>
      <c r="D197" s="11" t="s">
        <v>37</v>
      </c>
      <c r="E197" s="15">
        <v>11</v>
      </c>
      <c r="F197" s="14">
        <v>1.105</v>
      </c>
      <c r="G197" s="14">
        <v>9.9989999999999996E-4</v>
      </c>
    </row>
    <row r="198" spans="1:14">
      <c r="A198" s="15">
        <v>10</v>
      </c>
      <c r="B198" s="75">
        <v>39400</v>
      </c>
      <c r="C198" s="15">
        <v>2007</v>
      </c>
      <c r="D198" s="11" t="s">
        <v>37</v>
      </c>
      <c r="E198" s="15">
        <v>11</v>
      </c>
      <c r="F198" s="14">
        <v>1.29</v>
      </c>
      <c r="G198" s="14">
        <v>9.9989999999999996E-4</v>
      </c>
      <c r="I198" s="27">
        <f>AVERAGE(F197:F198)</f>
        <v>1.1975</v>
      </c>
      <c r="J198" s="27">
        <f>AVERAGE(G197:G198)</f>
        <v>9.9989999999999996E-4</v>
      </c>
      <c r="L198">
        <f>+J198/I198</f>
        <v>8.349895615866388E-4</v>
      </c>
      <c r="M198">
        <f>+(L198-$L$614)/$L$615</f>
        <v>-0.81771763203793402</v>
      </c>
      <c r="N198">
        <f>+N196+M198</f>
        <v>-9.5215451763948415</v>
      </c>
    </row>
    <row r="199" spans="1:14">
      <c r="A199" s="15">
        <v>9</v>
      </c>
      <c r="B199" s="75">
        <v>39434</v>
      </c>
      <c r="C199" s="15">
        <v>2007</v>
      </c>
      <c r="D199" s="11" t="s">
        <v>38</v>
      </c>
      <c r="E199" s="15">
        <v>12</v>
      </c>
      <c r="F199" s="14">
        <v>2.456</v>
      </c>
      <c r="G199" s="14">
        <v>6.7000000000000004E-2</v>
      </c>
    </row>
    <row r="200" spans="1:14">
      <c r="A200" s="15">
        <v>10</v>
      </c>
      <c r="B200" s="75">
        <v>39434</v>
      </c>
      <c r="C200" s="15">
        <v>2007</v>
      </c>
      <c r="D200" s="11" t="s">
        <v>38</v>
      </c>
      <c r="E200" s="15">
        <v>12</v>
      </c>
      <c r="F200" s="14">
        <v>2.827</v>
      </c>
      <c r="G200" s="14">
        <v>0.112</v>
      </c>
      <c r="I200" s="27">
        <f>AVERAGE(F199:F200)</f>
        <v>2.6414999999999997</v>
      </c>
      <c r="J200" s="27">
        <f>AVERAGE(G199:G200)</f>
        <v>8.9499999999999996E-2</v>
      </c>
      <c r="L200">
        <f>+J200/I200</f>
        <v>3.3882263865228093E-2</v>
      </c>
      <c r="M200">
        <f>+(L200-$L$614)/$L$615</f>
        <v>0.19229473174096176</v>
      </c>
      <c r="N200">
        <f>+N198+M200</f>
        <v>-9.32925044465388</v>
      </c>
    </row>
    <row r="201" spans="1:14">
      <c r="A201" s="15">
        <v>9</v>
      </c>
      <c r="B201" s="75">
        <v>39463</v>
      </c>
      <c r="C201" s="15">
        <v>2008</v>
      </c>
      <c r="D201" s="11" t="s">
        <v>39</v>
      </c>
      <c r="E201" s="15">
        <v>1</v>
      </c>
      <c r="F201" s="23">
        <v>1.5149999999999999</v>
      </c>
      <c r="G201" s="23">
        <v>7.8E-2</v>
      </c>
    </row>
    <row r="202" spans="1:14">
      <c r="A202" s="15">
        <v>10</v>
      </c>
      <c r="B202" s="75">
        <v>39463</v>
      </c>
      <c r="C202" s="15">
        <v>2008</v>
      </c>
      <c r="D202" s="11" t="s">
        <v>39</v>
      </c>
      <c r="E202" s="15">
        <v>1</v>
      </c>
      <c r="F202" s="23">
        <v>1.718</v>
      </c>
      <c r="G202" s="23">
        <v>5.7000000000000002E-2</v>
      </c>
      <c r="I202" s="27">
        <f>AVERAGE(F201:F202)</f>
        <v>1.6164999999999998</v>
      </c>
      <c r="J202" s="27">
        <f>AVERAGE(G201:G202)</f>
        <v>6.7500000000000004E-2</v>
      </c>
      <c r="L202">
        <f>+J202/I202</f>
        <v>4.1756882152799261E-2</v>
      </c>
      <c r="M202">
        <f>+(L202-$L$614)/$L$615</f>
        <v>0.43296395478819777</v>
      </c>
      <c r="N202">
        <f>+N200+M202</f>
        <v>-8.8962864898656822</v>
      </c>
    </row>
    <row r="203" spans="1:14">
      <c r="A203" s="15">
        <v>9</v>
      </c>
      <c r="B203" s="75">
        <v>39493</v>
      </c>
      <c r="C203" s="15">
        <v>2008</v>
      </c>
      <c r="D203" s="11" t="s">
        <v>28</v>
      </c>
      <c r="E203" s="15">
        <v>2</v>
      </c>
      <c r="F203" s="23">
        <v>1.8859999999999999</v>
      </c>
      <c r="G203" s="23">
        <v>5.8000000000000003E-2</v>
      </c>
    </row>
    <row r="204" spans="1:14">
      <c r="A204" s="15">
        <v>10</v>
      </c>
      <c r="B204" s="75">
        <v>39493</v>
      </c>
      <c r="C204" s="15">
        <v>2008</v>
      </c>
      <c r="D204" s="11" t="s">
        <v>28</v>
      </c>
      <c r="E204" s="15">
        <v>2</v>
      </c>
      <c r="F204" s="23">
        <v>1.6619999999999999</v>
      </c>
      <c r="G204" s="23">
        <v>2.4E-2</v>
      </c>
      <c r="I204" s="27">
        <f>AVERAGE(F203:F204)</f>
        <v>1.774</v>
      </c>
      <c r="J204" s="27">
        <f>AVERAGE(G203:G204)</f>
        <v>4.1000000000000002E-2</v>
      </c>
      <c r="L204">
        <f>+J204/I204</f>
        <v>2.3111612175873732E-2</v>
      </c>
      <c r="M204">
        <f>+(L204-$L$614)/$L$615</f>
        <v>-0.1368849540706836</v>
      </c>
      <c r="N204">
        <f>+N202+M204</f>
        <v>-9.0331714439363662</v>
      </c>
    </row>
    <row r="205" spans="1:14">
      <c r="A205" s="15">
        <v>9</v>
      </c>
      <c r="B205" s="75">
        <v>39517</v>
      </c>
      <c r="C205" s="15">
        <v>2008</v>
      </c>
      <c r="D205" s="11" t="s">
        <v>29</v>
      </c>
      <c r="E205" s="15">
        <v>3</v>
      </c>
      <c r="F205" s="24">
        <v>1.875</v>
      </c>
      <c r="G205" s="23">
        <v>5.0999999999999997E-2</v>
      </c>
    </row>
    <row r="206" spans="1:14">
      <c r="A206" s="15">
        <v>10</v>
      </c>
      <c r="B206" s="75">
        <v>39517</v>
      </c>
      <c r="C206" s="15">
        <v>2008</v>
      </c>
      <c r="D206" s="11" t="s">
        <v>29</v>
      </c>
      <c r="E206" s="15">
        <v>3</v>
      </c>
      <c r="F206" s="24">
        <v>1.5249999999999999</v>
      </c>
      <c r="G206" s="23">
        <v>6.2E-2</v>
      </c>
      <c r="I206" s="27">
        <f>AVERAGE(F205:F206)</f>
        <v>1.7</v>
      </c>
      <c r="J206" s="27">
        <f>AVERAGE(G205:G206)</f>
        <v>5.6499999999999995E-2</v>
      </c>
      <c r="L206">
        <f>+J206/I206</f>
        <v>3.3235294117647057E-2</v>
      </c>
      <c r="M206">
        <f>+(L206-$L$614)/$L$615</f>
        <v>0.17252162010567768</v>
      </c>
      <c r="N206">
        <f>+N204+M206</f>
        <v>-8.8606498238306877</v>
      </c>
    </row>
    <row r="207" spans="1:14">
      <c r="A207" s="15">
        <v>9</v>
      </c>
      <c r="B207" s="75">
        <v>39552</v>
      </c>
      <c r="C207" s="15">
        <v>2008</v>
      </c>
      <c r="D207" s="11" t="s">
        <v>30</v>
      </c>
      <c r="E207" s="15">
        <v>4</v>
      </c>
      <c r="F207" s="24">
        <v>1.222</v>
      </c>
      <c r="G207" s="23">
        <v>3.5000000000000003E-2</v>
      </c>
    </row>
    <row r="208" spans="1:14">
      <c r="A208" s="15">
        <v>10</v>
      </c>
      <c r="B208" s="75">
        <v>39552</v>
      </c>
      <c r="C208" s="15">
        <v>2008</v>
      </c>
      <c r="D208" s="11" t="s">
        <v>30</v>
      </c>
      <c r="E208" s="15">
        <v>4</v>
      </c>
      <c r="F208" s="24">
        <v>1.135</v>
      </c>
      <c r="G208" s="23">
        <v>0.04</v>
      </c>
      <c r="I208" s="27">
        <f>AVERAGE(F207:F208)</f>
        <v>1.1785000000000001</v>
      </c>
      <c r="J208" s="27">
        <f>AVERAGE(G207:G208)</f>
        <v>3.7500000000000006E-2</v>
      </c>
      <c r="L208">
        <f>+J208/I208</f>
        <v>3.1820110309715745E-2</v>
      </c>
      <c r="M208">
        <f>+(L208-$L$614)/$L$615</f>
        <v>0.12926984902473182</v>
      </c>
      <c r="N208">
        <f>+N206+M208</f>
        <v>-8.7313799748059555</v>
      </c>
    </row>
    <row r="209" spans="1:14">
      <c r="A209" s="15">
        <v>9</v>
      </c>
      <c r="B209" s="75">
        <v>39583</v>
      </c>
      <c r="C209" s="15">
        <v>2008</v>
      </c>
      <c r="D209" s="11" t="s">
        <v>31</v>
      </c>
      <c r="E209" s="15">
        <v>5</v>
      </c>
      <c r="F209" s="24">
        <v>3.5169999999999999</v>
      </c>
      <c r="G209" s="23">
        <v>9.9989999999999996E-4</v>
      </c>
    </row>
    <row r="210" spans="1:14">
      <c r="A210" s="15">
        <v>10</v>
      </c>
      <c r="B210" s="75">
        <v>39583</v>
      </c>
      <c r="C210" s="15">
        <v>2008</v>
      </c>
      <c r="D210" s="11" t="s">
        <v>31</v>
      </c>
      <c r="E210" s="15">
        <v>5</v>
      </c>
      <c r="F210" s="24">
        <v>3.0009999999999999</v>
      </c>
      <c r="G210" s="23">
        <v>9.9989999999999996E-4</v>
      </c>
      <c r="I210" s="27">
        <f>AVERAGE(F209:F210)</f>
        <v>3.2589999999999999</v>
      </c>
      <c r="J210" s="27">
        <f>AVERAGE(G209:G210)</f>
        <v>9.9989999999999996E-4</v>
      </c>
      <c r="L210">
        <f>+J210/I210</f>
        <v>3.0681190549248236E-4</v>
      </c>
      <c r="M210">
        <f>+(L210-$L$614)/$L$615</f>
        <v>-0.83386014224998106</v>
      </c>
      <c r="N210">
        <f>+N208+M210</f>
        <v>-9.5652401170559358</v>
      </c>
    </row>
    <row r="211" spans="1:14">
      <c r="A211" s="15">
        <v>9</v>
      </c>
      <c r="B211" s="75">
        <v>39617</v>
      </c>
      <c r="C211" s="15">
        <v>2008</v>
      </c>
      <c r="D211" s="11" t="s">
        <v>32</v>
      </c>
      <c r="E211" s="15">
        <v>6</v>
      </c>
      <c r="F211" s="24">
        <v>10.605</v>
      </c>
      <c r="G211" s="23">
        <v>3.4000000000000002E-2</v>
      </c>
    </row>
    <row r="212" spans="1:14">
      <c r="A212" s="15">
        <v>10</v>
      </c>
      <c r="B212" s="75">
        <v>39617</v>
      </c>
      <c r="C212" s="15">
        <v>2008</v>
      </c>
      <c r="D212" s="11" t="s">
        <v>32</v>
      </c>
      <c r="E212" s="15">
        <v>6</v>
      </c>
      <c r="F212" s="24">
        <v>4.0430000000000001</v>
      </c>
      <c r="G212" s="23">
        <v>9.6000000000000002E-2</v>
      </c>
      <c r="I212" s="27">
        <f>AVERAGE(F211:F212)</f>
        <v>7.3239999999999998</v>
      </c>
      <c r="J212" s="27">
        <f>AVERAGE(G211:G212)</f>
        <v>6.5000000000000002E-2</v>
      </c>
      <c r="L212">
        <f>+J212/I212</f>
        <v>8.8749317312943748E-3</v>
      </c>
      <c r="M212">
        <f>+(L212-$L$614)/$L$615</f>
        <v>-0.57199567261517614</v>
      </c>
      <c r="N212">
        <f>+N210+M212</f>
        <v>-10.137235789671111</v>
      </c>
    </row>
    <row r="213" spans="1:14">
      <c r="A213" s="15">
        <v>9</v>
      </c>
      <c r="B213" s="75">
        <v>39645</v>
      </c>
      <c r="C213" s="15">
        <v>2008</v>
      </c>
      <c r="D213" s="11" t="s">
        <v>33</v>
      </c>
      <c r="E213" s="15">
        <v>7</v>
      </c>
      <c r="F213" s="24">
        <v>10.544</v>
      </c>
      <c r="G213" s="23">
        <v>0.36399999999999999</v>
      </c>
    </row>
    <row r="214" spans="1:14">
      <c r="A214" s="15">
        <v>10</v>
      </c>
      <c r="B214" s="75">
        <v>39645</v>
      </c>
      <c r="C214" s="15">
        <v>2008</v>
      </c>
      <c r="D214" s="11" t="s">
        <v>33</v>
      </c>
      <c r="E214" s="15">
        <v>7</v>
      </c>
      <c r="F214" s="24">
        <v>4.6070000000000002</v>
      </c>
      <c r="G214" s="23">
        <v>1.2070000000000001</v>
      </c>
      <c r="I214" s="27">
        <f>AVERAGE(F213:F214)</f>
        <v>7.5754999999999999</v>
      </c>
      <c r="J214" s="27">
        <f>AVERAGE(G213:G214)</f>
        <v>0.78550000000000009</v>
      </c>
      <c r="L214">
        <f>+J214/I214</f>
        <v>0.1036895254438651</v>
      </c>
      <c r="M214">
        <f>+(L214-$L$614)/$L$615</f>
        <v>2.325789816030011</v>
      </c>
      <c r="N214">
        <f>+N212+M214</f>
        <v>-7.8114459736411002</v>
      </c>
    </row>
    <row r="215" spans="1:14">
      <c r="A215" s="15">
        <v>9</v>
      </c>
      <c r="B215" s="75">
        <v>39672</v>
      </c>
      <c r="C215" s="15">
        <v>2008</v>
      </c>
      <c r="D215" s="11" t="s">
        <v>34</v>
      </c>
      <c r="E215" s="15">
        <v>8</v>
      </c>
      <c r="F215" s="24">
        <v>10.702999999999999</v>
      </c>
      <c r="G215" s="23">
        <v>0.45900000000000002</v>
      </c>
    </row>
    <row r="216" spans="1:14">
      <c r="A216" s="15">
        <v>10</v>
      </c>
      <c r="B216" s="75">
        <v>39672</v>
      </c>
      <c r="C216" s="15">
        <v>2008</v>
      </c>
      <c r="D216" s="11" t="s">
        <v>34</v>
      </c>
      <c r="E216" s="15">
        <v>8</v>
      </c>
      <c r="F216" s="24">
        <v>8.69</v>
      </c>
      <c r="G216" s="23">
        <v>0.114</v>
      </c>
      <c r="I216" s="27">
        <f>AVERAGE(F215:F216)</f>
        <v>9.6965000000000003</v>
      </c>
      <c r="J216" s="27">
        <f>AVERAGE(G215:G216)</f>
        <v>0.28650000000000003</v>
      </c>
      <c r="L216">
        <f>+J216/I216</f>
        <v>2.9546743670396537E-2</v>
      </c>
      <c r="M216">
        <f>+(L216-$L$614)/$L$615</f>
        <v>5.9789734204434279E-2</v>
      </c>
      <c r="N216">
        <f>+N214+M216</f>
        <v>-7.7516562394366657</v>
      </c>
    </row>
    <row r="217" spans="1:14">
      <c r="A217" s="15">
        <v>9</v>
      </c>
      <c r="B217" s="75">
        <v>39709</v>
      </c>
      <c r="C217" s="15">
        <v>2008</v>
      </c>
      <c r="D217" s="11" t="s">
        <v>40</v>
      </c>
      <c r="E217" s="15">
        <v>9</v>
      </c>
      <c r="F217" s="23">
        <v>1.73</v>
      </c>
      <c r="G217" s="23">
        <v>1.9E-2</v>
      </c>
    </row>
    <row r="218" spans="1:14">
      <c r="A218" s="15">
        <v>10</v>
      </c>
      <c r="B218" s="75">
        <v>39709</v>
      </c>
      <c r="C218" s="15">
        <v>2008</v>
      </c>
      <c r="D218" s="11" t="s">
        <v>40</v>
      </c>
      <c r="E218" s="15">
        <v>9</v>
      </c>
      <c r="F218" s="23">
        <v>1.7969999999999999</v>
      </c>
      <c r="G218" s="23">
        <v>2.7E-2</v>
      </c>
      <c r="I218" s="27">
        <f>AVERAGE(F217:F218)</f>
        <v>1.7635000000000001</v>
      </c>
      <c r="J218" s="27">
        <f>AVERAGE(G217:G218)</f>
        <v>2.3E-2</v>
      </c>
      <c r="L218">
        <f>+J218/I218</f>
        <v>1.3042245534448538E-2</v>
      </c>
      <c r="M218">
        <f>+(L218-$L$614)/$L$615</f>
        <v>-0.44463150859187073</v>
      </c>
      <c r="N218">
        <f>+N216+M218</f>
        <v>-8.1962877480285368</v>
      </c>
    </row>
    <row r="219" spans="1:14">
      <c r="A219" s="15">
        <v>9</v>
      </c>
      <c r="B219" s="75">
        <v>39735</v>
      </c>
      <c r="C219" s="15">
        <v>2008</v>
      </c>
      <c r="D219" s="11" t="s">
        <v>36</v>
      </c>
      <c r="E219" s="15">
        <v>10</v>
      </c>
      <c r="F219" s="23">
        <v>3.992</v>
      </c>
      <c r="G219" s="23">
        <v>1.0999999999999999E-2</v>
      </c>
    </row>
    <row r="220" spans="1:14">
      <c r="A220" s="15">
        <v>10</v>
      </c>
      <c r="B220" s="75">
        <v>39735</v>
      </c>
      <c r="C220" s="15">
        <v>2008</v>
      </c>
      <c r="D220" s="11" t="s">
        <v>36</v>
      </c>
      <c r="E220" s="15">
        <v>10</v>
      </c>
      <c r="F220" s="23">
        <v>1.3120000000000001</v>
      </c>
      <c r="G220" s="23">
        <v>4.5999999999999999E-2</v>
      </c>
      <c r="I220" s="27">
        <f>AVERAGE(F219:F220)</f>
        <v>2.6520000000000001</v>
      </c>
      <c r="J220" s="27">
        <f>AVERAGE(G219:G220)</f>
        <v>2.8499999999999998E-2</v>
      </c>
      <c r="L220">
        <f>+J220/I220</f>
        <v>1.0746606334841627E-2</v>
      </c>
      <c r="M220">
        <f>+(L220-$L$614)/$L$615</f>
        <v>-0.51479233193465934</v>
      </c>
      <c r="N220">
        <f>+N218+M220</f>
        <v>-8.711080079963196</v>
      </c>
    </row>
    <row r="221" spans="1:14">
      <c r="A221" s="15">
        <v>9</v>
      </c>
      <c r="B221" s="75">
        <v>39769</v>
      </c>
      <c r="C221" s="15">
        <v>2008</v>
      </c>
      <c r="D221" s="11" t="s">
        <v>37</v>
      </c>
      <c r="E221" s="15">
        <v>11</v>
      </c>
      <c r="F221" s="23">
        <v>0.627</v>
      </c>
      <c r="G221" s="23">
        <v>1.9E-2</v>
      </c>
    </row>
    <row r="222" spans="1:14">
      <c r="A222" s="15">
        <v>10</v>
      </c>
      <c r="B222" s="75">
        <v>39769</v>
      </c>
      <c r="C222" s="15">
        <v>2008</v>
      </c>
      <c r="D222" s="11" t="s">
        <v>37</v>
      </c>
      <c r="E222" s="15">
        <v>11</v>
      </c>
      <c r="F222" s="23">
        <v>0.77200000000000002</v>
      </c>
      <c r="G222" s="23">
        <v>4.2000000000000003E-2</v>
      </c>
      <c r="I222" s="27">
        <f>AVERAGE(F221:F222)</f>
        <v>0.69950000000000001</v>
      </c>
      <c r="J222" s="27">
        <f>AVERAGE(G221:G222)</f>
        <v>3.0499999999999999E-2</v>
      </c>
      <c r="L222">
        <f>+J222/I222</f>
        <v>4.360257326661901E-2</v>
      </c>
      <c r="M222">
        <f>+(L222-$L$614)/$L$615</f>
        <v>0.48937317109894735</v>
      </c>
      <c r="N222">
        <f>+N220+M222</f>
        <v>-8.2217069088642489</v>
      </c>
    </row>
    <row r="223" spans="1:14">
      <c r="A223" s="15">
        <v>9</v>
      </c>
      <c r="B223" s="75">
        <v>39797</v>
      </c>
      <c r="C223" s="15">
        <v>2008</v>
      </c>
      <c r="D223" s="11" t="s">
        <v>38</v>
      </c>
      <c r="E223" s="15">
        <v>12</v>
      </c>
      <c r="F223" s="23">
        <v>1.2150000000000001</v>
      </c>
      <c r="G223" s="23">
        <v>4.3999999999999997E-2</v>
      </c>
    </row>
    <row r="224" spans="1:14">
      <c r="A224" s="15">
        <v>10</v>
      </c>
      <c r="B224" s="75">
        <v>39797</v>
      </c>
      <c r="C224" s="15">
        <v>2008</v>
      </c>
      <c r="D224" s="11" t="s">
        <v>38</v>
      </c>
      <c r="E224" s="15">
        <v>12</v>
      </c>
      <c r="F224" s="23">
        <v>4.3120000000000003</v>
      </c>
      <c r="G224" s="23">
        <v>0.35699999999999998</v>
      </c>
      <c r="I224" s="27">
        <f>AVERAGE(F223:F224)</f>
        <v>2.7635000000000001</v>
      </c>
      <c r="J224" s="27">
        <f>AVERAGE(G223:G224)</f>
        <v>0.20049999999999998</v>
      </c>
      <c r="L224">
        <f>+J224/I224</f>
        <v>7.2552922019178567E-2</v>
      </c>
      <c r="M224">
        <f>+(L224-$L$614)/$L$615</f>
        <v>1.3741726225494451</v>
      </c>
      <c r="N224">
        <f>+N222+M224</f>
        <v>-6.8475342863148043</v>
      </c>
    </row>
    <row r="225" spans="1:14">
      <c r="A225" s="15">
        <v>9</v>
      </c>
      <c r="B225" s="75">
        <v>39826</v>
      </c>
      <c r="C225" s="15">
        <v>2009</v>
      </c>
      <c r="D225" s="11" t="s">
        <v>39</v>
      </c>
      <c r="E225" s="12">
        <v>1</v>
      </c>
      <c r="F225" s="23">
        <v>2.718</v>
      </c>
      <c r="G225" s="23">
        <v>3.4000000000000002E-2</v>
      </c>
    </row>
    <row r="226" spans="1:14">
      <c r="A226" s="15">
        <v>10</v>
      </c>
      <c r="B226" s="75">
        <v>39826</v>
      </c>
      <c r="C226" s="15">
        <v>2009</v>
      </c>
      <c r="D226" s="11" t="s">
        <v>39</v>
      </c>
      <c r="E226" s="12">
        <v>1</v>
      </c>
      <c r="F226" s="23">
        <v>2.0840000000000001</v>
      </c>
      <c r="G226" s="23">
        <v>2.1999999999999999E-2</v>
      </c>
      <c r="I226" s="27">
        <f>AVERAGE(F225:F226)</f>
        <v>2.4009999999999998</v>
      </c>
      <c r="J226" s="27">
        <f>AVERAGE(G225:G226)</f>
        <v>2.8000000000000001E-2</v>
      </c>
      <c r="L226">
        <f>+J226/I226</f>
        <v>1.1661807580174929E-2</v>
      </c>
      <c r="M226">
        <f>+(L226-$L$614)/$L$615</f>
        <v>-0.48682135421833311</v>
      </c>
      <c r="N226">
        <f>+N224+M226</f>
        <v>-7.3343556405331372</v>
      </c>
    </row>
    <row r="227" spans="1:14">
      <c r="A227" s="12">
        <v>9</v>
      </c>
      <c r="B227" s="75">
        <v>39861</v>
      </c>
      <c r="C227" s="15">
        <v>2009</v>
      </c>
      <c r="D227" s="11" t="s">
        <v>28</v>
      </c>
      <c r="E227" s="12">
        <v>2</v>
      </c>
      <c r="F227" s="23">
        <v>2.077</v>
      </c>
      <c r="G227" s="23">
        <v>9.9989999999999996E-4</v>
      </c>
    </row>
    <row r="228" spans="1:14">
      <c r="A228" s="12">
        <v>10</v>
      </c>
      <c r="B228" s="75">
        <v>39861</v>
      </c>
      <c r="C228" s="15">
        <v>2009</v>
      </c>
      <c r="D228" s="11" t="s">
        <v>28</v>
      </c>
      <c r="E228" s="12">
        <v>2</v>
      </c>
      <c r="F228" s="23">
        <v>1.7310000000000001</v>
      </c>
      <c r="G228" s="23">
        <v>9.9989999999999996E-4</v>
      </c>
      <c r="I228" s="27">
        <f>AVERAGE(F227:F228)</f>
        <v>1.9039999999999999</v>
      </c>
      <c r="J228" s="27">
        <f>AVERAGE(G227:G228)</f>
        <v>9.9989999999999996E-4</v>
      </c>
      <c r="L228">
        <f>+J228/I228</f>
        <v>5.2515756302521006E-4</v>
      </c>
      <c r="M228">
        <f>+(L228-$L$614)/$L$615</f>
        <v>-0.82718691977301606</v>
      </c>
      <c r="N228">
        <f>+N226+M228</f>
        <v>-8.1615425603061524</v>
      </c>
    </row>
    <row r="229" spans="1:14">
      <c r="A229" s="12">
        <v>9</v>
      </c>
      <c r="B229" s="75">
        <v>39888</v>
      </c>
      <c r="C229" s="15">
        <v>2009</v>
      </c>
      <c r="D229" s="11" t="s">
        <v>29</v>
      </c>
      <c r="E229" s="12">
        <v>3</v>
      </c>
      <c r="F229" s="23">
        <v>3.859</v>
      </c>
      <c r="G229" s="25">
        <v>5.1999999999999998E-2</v>
      </c>
    </row>
    <row r="230" spans="1:14">
      <c r="A230" s="12">
        <v>10</v>
      </c>
      <c r="B230" s="75">
        <v>39888</v>
      </c>
      <c r="C230" s="15">
        <v>2009</v>
      </c>
      <c r="D230" s="11" t="s">
        <v>29</v>
      </c>
      <c r="E230" s="12">
        <v>3</v>
      </c>
      <c r="F230" s="23">
        <v>3.5259999999999998</v>
      </c>
      <c r="G230" s="25">
        <v>5.2999999999999999E-2</v>
      </c>
      <c r="I230" s="27">
        <f>AVERAGE(F229:F230)</f>
        <v>3.6924999999999999</v>
      </c>
      <c r="J230" s="27">
        <f>AVERAGE(G229:G230)</f>
        <v>5.2499999999999998E-2</v>
      </c>
      <c r="L230">
        <f>+J230/I230</f>
        <v>1.4218009478672985E-2</v>
      </c>
      <c r="M230">
        <f>+(L230-$L$614)/$L$615</f>
        <v>-0.40869704362992143</v>
      </c>
      <c r="N230">
        <f>+N228+M230</f>
        <v>-8.5702396039360735</v>
      </c>
    </row>
    <row r="231" spans="1:14">
      <c r="A231" s="12">
        <v>9</v>
      </c>
      <c r="B231" s="75">
        <v>39916</v>
      </c>
      <c r="C231" s="15">
        <v>2009</v>
      </c>
      <c r="D231" s="11" t="s">
        <v>30</v>
      </c>
      <c r="E231" s="12">
        <v>4</v>
      </c>
      <c r="F231" s="23">
        <v>0.66500000000000004</v>
      </c>
      <c r="G231" s="25">
        <v>1.2E-2</v>
      </c>
    </row>
    <row r="232" spans="1:14">
      <c r="A232" s="12">
        <v>10</v>
      </c>
      <c r="B232" s="75">
        <v>39916</v>
      </c>
      <c r="C232" s="15">
        <v>2009</v>
      </c>
      <c r="D232" s="11" t="s">
        <v>30</v>
      </c>
      <c r="E232" s="12">
        <v>4</v>
      </c>
      <c r="F232" s="23">
        <v>0.52800000000000002</v>
      </c>
      <c r="G232" s="25">
        <v>8.0000000000000002E-3</v>
      </c>
      <c r="I232" s="27">
        <f>AVERAGE(F231:F232)</f>
        <v>0.59650000000000003</v>
      </c>
      <c r="J232" s="27">
        <f>AVERAGE(G231:G232)</f>
        <v>0.01</v>
      </c>
      <c r="L232">
        <f>+J232/I232</f>
        <v>1.6764459346186086E-2</v>
      </c>
      <c r="M232">
        <f>+(L232-$L$614)/$L$615</f>
        <v>-0.33087078097660594</v>
      </c>
      <c r="N232">
        <f>+N230+M232</f>
        <v>-8.9011103849126787</v>
      </c>
    </row>
    <row r="233" spans="1:14">
      <c r="A233" s="12">
        <v>9</v>
      </c>
      <c r="B233" s="75">
        <v>39946</v>
      </c>
      <c r="C233" s="15">
        <v>2009</v>
      </c>
      <c r="D233" s="11" t="s">
        <v>31</v>
      </c>
      <c r="E233" s="12">
        <v>5</v>
      </c>
      <c r="F233" s="23">
        <v>0.59599999999999997</v>
      </c>
      <c r="G233" s="25">
        <v>7.0000000000000001E-3</v>
      </c>
    </row>
    <row r="234" spans="1:14">
      <c r="A234" s="12">
        <v>10</v>
      </c>
      <c r="B234" s="75">
        <v>39946</v>
      </c>
      <c r="C234" s="15">
        <v>2009</v>
      </c>
      <c r="D234" s="11" t="s">
        <v>31</v>
      </c>
      <c r="E234" s="12">
        <v>5</v>
      </c>
      <c r="F234" s="23">
        <v>0.85199999999999998</v>
      </c>
      <c r="G234" s="25">
        <v>2.1000000000000001E-2</v>
      </c>
      <c r="I234" s="27">
        <f>AVERAGE(F233:F234)</f>
        <v>0.72399999999999998</v>
      </c>
      <c r="J234" s="27">
        <f>AVERAGE(G233:G234)</f>
        <v>1.4E-2</v>
      </c>
      <c r="L234">
        <f>+J234/I234</f>
        <v>1.9337016574585638E-2</v>
      </c>
      <c r="M234">
        <f>+(L234-$L$614)/$L$615</f>
        <v>-0.2522466081223258</v>
      </c>
      <c r="N234">
        <f>+N232+M234</f>
        <v>-9.1533569930350041</v>
      </c>
    </row>
    <row r="235" spans="1:14">
      <c r="A235" s="15">
        <v>9</v>
      </c>
      <c r="B235" s="75">
        <v>39983</v>
      </c>
      <c r="C235" s="15">
        <v>2009</v>
      </c>
      <c r="D235" s="11" t="s">
        <v>32</v>
      </c>
      <c r="E235" s="12">
        <v>6</v>
      </c>
      <c r="F235" s="23">
        <v>3.1190000000000002</v>
      </c>
      <c r="G235" s="25">
        <v>1.2999999999999999E-2</v>
      </c>
    </row>
    <row r="236" spans="1:14">
      <c r="A236" s="15">
        <v>10</v>
      </c>
      <c r="B236" s="75">
        <v>39983</v>
      </c>
      <c r="C236" s="15">
        <v>2009</v>
      </c>
      <c r="D236" s="11" t="s">
        <v>32</v>
      </c>
      <c r="E236" s="12">
        <v>6</v>
      </c>
      <c r="F236" s="23">
        <v>2.516</v>
      </c>
      <c r="G236" s="25">
        <v>9.9989999999999996E-4</v>
      </c>
      <c r="I236" s="27">
        <f>AVERAGE(F235:F236)</f>
        <v>2.8174999999999999</v>
      </c>
      <c r="J236" s="27">
        <f>AVERAGE(G235:G236)</f>
        <v>6.9999499999999996E-3</v>
      </c>
      <c r="L236">
        <f>+J236/I236</f>
        <v>2.4844543034605146E-3</v>
      </c>
      <c r="M236">
        <f>+(L236-$L$614)/$L$615</f>
        <v>-0.76730561416309206</v>
      </c>
      <c r="N236">
        <f>+N234+M236</f>
        <v>-9.9206626071980963</v>
      </c>
    </row>
    <row r="237" spans="1:14">
      <c r="A237" s="15">
        <v>9</v>
      </c>
      <c r="B237" s="75">
        <v>40007</v>
      </c>
      <c r="C237" s="15">
        <v>2009</v>
      </c>
      <c r="D237" s="11" t="s">
        <v>33</v>
      </c>
      <c r="E237" s="12">
        <v>7</v>
      </c>
      <c r="F237" s="23">
        <v>4.57</v>
      </c>
      <c r="G237" s="25">
        <v>8.5999999999999993E-2</v>
      </c>
    </row>
    <row r="238" spans="1:14">
      <c r="A238" s="15">
        <v>10</v>
      </c>
      <c r="B238" s="75">
        <v>40007</v>
      </c>
      <c r="C238" s="15">
        <v>2009</v>
      </c>
      <c r="D238" s="11" t="s">
        <v>33</v>
      </c>
      <c r="E238" s="12">
        <v>7</v>
      </c>
      <c r="F238" s="23">
        <v>3.2389999999999999</v>
      </c>
      <c r="G238" s="25">
        <v>0.11799999999999999</v>
      </c>
      <c r="I238" s="27">
        <f>AVERAGE(F237:F238)</f>
        <v>3.9045000000000001</v>
      </c>
      <c r="J238" s="27">
        <f>AVERAGE(G237:G238)</f>
        <v>0.10199999999999999</v>
      </c>
      <c r="L238">
        <f>+J238/I238</f>
        <v>2.6123703419131769E-2</v>
      </c>
      <c r="M238">
        <f>+(L238-$L$614)/$L$615</f>
        <v>-4.4827455816265099E-2</v>
      </c>
      <c r="N238">
        <f>+N236+M238</f>
        <v>-9.9654900630143608</v>
      </c>
    </row>
    <row r="239" spans="1:14">
      <c r="A239" s="15">
        <v>9</v>
      </c>
      <c r="B239" s="75">
        <v>40042</v>
      </c>
      <c r="C239" s="15">
        <v>2009</v>
      </c>
      <c r="D239" s="11" t="s">
        <v>34</v>
      </c>
      <c r="E239" s="12">
        <v>8</v>
      </c>
      <c r="F239" s="23">
        <v>5.7190000000000003</v>
      </c>
      <c r="G239" s="25">
        <v>9.7000000000000003E-2</v>
      </c>
    </row>
    <row r="240" spans="1:14">
      <c r="A240" s="15">
        <v>10</v>
      </c>
      <c r="B240" s="75">
        <v>40042</v>
      </c>
      <c r="C240" s="15">
        <v>2009</v>
      </c>
      <c r="D240" s="11" t="s">
        <v>34</v>
      </c>
      <c r="E240" s="12">
        <v>8</v>
      </c>
      <c r="F240" s="23">
        <v>13.336</v>
      </c>
      <c r="G240" s="25">
        <v>0.77300000000000002</v>
      </c>
      <c r="I240" s="27">
        <f>AVERAGE(F239:F240)</f>
        <v>9.5274999999999999</v>
      </c>
      <c r="J240" s="27">
        <f>AVERAGE(G239:G240)</f>
        <v>0.435</v>
      </c>
      <c r="L240">
        <f>+J240/I240</f>
        <v>4.5657307793230122E-2</v>
      </c>
      <c r="M240">
        <f>+(L240-$L$614)/$L$615</f>
        <v>0.55217130861227082</v>
      </c>
      <c r="N240">
        <f>+N238+M240</f>
        <v>-9.4133187544020895</v>
      </c>
    </row>
    <row r="241" spans="1:14">
      <c r="A241" s="15">
        <v>9</v>
      </c>
      <c r="B241" s="75">
        <v>40071</v>
      </c>
      <c r="C241" s="15">
        <v>2009</v>
      </c>
      <c r="D241" s="11" t="s">
        <v>40</v>
      </c>
      <c r="E241" s="12">
        <v>9</v>
      </c>
      <c r="F241" s="23">
        <v>3.0950000000000002</v>
      </c>
      <c r="G241" s="25">
        <v>2.1999999999999999E-2</v>
      </c>
    </row>
    <row r="242" spans="1:14">
      <c r="A242" s="15">
        <v>10</v>
      </c>
      <c r="B242" s="75">
        <v>40071</v>
      </c>
      <c r="C242" s="15">
        <v>2009</v>
      </c>
      <c r="D242" s="11" t="s">
        <v>40</v>
      </c>
      <c r="E242" s="12">
        <v>9</v>
      </c>
      <c r="F242" s="23">
        <v>3.5539999999999998</v>
      </c>
      <c r="G242" s="25">
        <v>4.8000000000000001E-2</v>
      </c>
      <c r="I242" s="27">
        <f>AVERAGE(F241:F242)</f>
        <v>3.3245</v>
      </c>
      <c r="J242" s="27">
        <f>AVERAGE(G241:G242)</f>
        <v>3.5000000000000003E-2</v>
      </c>
      <c r="L242">
        <f>+J242/I242</f>
        <v>1.0527898932170252E-2</v>
      </c>
      <c r="M242">
        <f>+(L242-$L$614)/$L$615</f>
        <v>-0.52147661030262504</v>
      </c>
      <c r="N242">
        <f>+N240+M242</f>
        <v>-9.9347953647047138</v>
      </c>
    </row>
    <row r="243" spans="1:14">
      <c r="A243" s="15">
        <v>9</v>
      </c>
      <c r="B243" s="75">
        <v>40100</v>
      </c>
      <c r="C243" s="15">
        <v>2009</v>
      </c>
      <c r="D243" s="11" t="s">
        <v>36</v>
      </c>
      <c r="E243" s="12">
        <v>10</v>
      </c>
      <c r="F243" s="23">
        <v>0.78600000000000003</v>
      </c>
      <c r="G243" s="25">
        <v>0.01</v>
      </c>
    </row>
    <row r="244" spans="1:14">
      <c r="A244" s="15">
        <v>10</v>
      </c>
      <c r="B244" s="75">
        <v>40100</v>
      </c>
      <c r="C244" s="15">
        <v>2009</v>
      </c>
      <c r="D244" s="11" t="s">
        <v>36</v>
      </c>
      <c r="E244" s="12">
        <v>10</v>
      </c>
      <c r="F244" s="23">
        <v>1.147</v>
      </c>
      <c r="G244" s="25">
        <v>1.2999999999999999E-2</v>
      </c>
      <c r="I244" s="27">
        <f>AVERAGE(F243:F244)</f>
        <v>0.96650000000000003</v>
      </c>
      <c r="J244" s="27">
        <f>AVERAGE(G243:G244)</f>
        <v>1.15E-2</v>
      </c>
      <c r="L244">
        <f>+J244/I244</f>
        <v>1.189860320744956E-2</v>
      </c>
      <c r="M244">
        <f>+(L244-$L$614)/$L$615</f>
        <v>-0.47958425172574404</v>
      </c>
      <c r="N244">
        <f>+N242+M244</f>
        <v>-10.414379616430457</v>
      </c>
    </row>
    <row r="245" spans="1:14">
      <c r="A245" s="15">
        <v>9</v>
      </c>
      <c r="B245" s="75">
        <v>40133</v>
      </c>
      <c r="C245" s="15">
        <v>2009</v>
      </c>
      <c r="D245" s="11" t="s">
        <v>37</v>
      </c>
      <c r="E245" s="12">
        <v>11</v>
      </c>
      <c r="F245" s="23">
        <v>1.613</v>
      </c>
      <c r="G245" s="25">
        <v>4.2000000000000003E-2</v>
      </c>
    </row>
    <row r="246" spans="1:14">
      <c r="A246" s="15">
        <v>10</v>
      </c>
      <c r="B246" s="75">
        <v>40133</v>
      </c>
      <c r="C246" s="15">
        <v>2009</v>
      </c>
      <c r="D246" s="11" t="s">
        <v>37</v>
      </c>
      <c r="E246" s="12">
        <v>11</v>
      </c>
      <c r="F246" s="23">
        <v>1.095</v>
      </c>
      <c r="G246" s="25">
        <v>2.9000000000000001E-2</v>
      </c>
      <c r="I246" s="27">
        <f>AVERAGE(F245:F246)</f>
        <v>1.3540000000000001</v>
      </c>
      <c r="J246" s="27">
        <f>AVERAGE(G245:G246)</f>
        <v>3.5500000000000004E-2</v>
      </c>
      <c r="L246">
        <f>+J246/I246</f>
        <v>2.6218611521418023E-2</v>
      </c>
      <c r="M246">
        <f>+(L246-$L$614)/$L$615</f>
        <v>-4.1926812457567714E-2</v>
      </c>
      <c r="N246">
        <f>+N244+M246</f>
        <v>-10.456306428888025</v>
      </c>
    </row>
    <row r="247" spans="1:14">
      <c r="A247" s="15">
        <v>9</v>
      </c>
      <c r="B247" s="75">
        <v>40161</v>
      </c>
      <c r="C247" s="15">
        <v>2009</v>
      </c>
      <c r="D247" s="11" t="s">
        <v>38</v>
      </c>
      <c r="E247" s="12">
        <v>12</v>
      </c>
      <c r="F247" s="23">
        <v>1.8680000000000001</v>
      </c>
      <c r="G247" s="25">
        <v>4.4999999999999998E-2</v>
      </c>
    </row>
    <row r="248" spans="1:14">
      <c r="A248" s="15">
        <v>10</v>
      </c>
      <c r="B248" s="75">
        <v>40161</v>
      </c>
      <c r="C248" s="15">
        <v>2009</v>
      </c>
      <c r="D248" s="11" t="s">
        <v>38</v>
      </c>
      <c r="E248" s="12">
        <v>12</v>
      </c>
      <c r="F248" s="23">
        <v>1.395</v>
      </c>
      <c r="G248" s="25">
        <v>9.9989999999999996E-4</v>
      </c>
      <c r="I248" s="27">
        <f>AVERAGE(F247:F248)</f>
        <v>1.6315</v>
      </c>
      <c r="J248" s="27">
        <f>AVERAGE(G247:G248)</f>
        <v>2.2999949999999998E-2</v>
      </c>
      <c r="L248">
        <f>+J248/I248</f>
        <v>1.4097425681887833E-2</v>
      </c>
      <c r="M248">
        <f>+(L248-$L$614)/$L$615</f>
        <v>-0.41238240431974343</v>
      </c>
      <c r="N248">
        <f>+N246+M248</f>
        <v>-10.868688833207768</v>
      </c>
    </row>
    <row r="249" spans="1:14">
      <c r="A249" s="15">
        <v>9</v>
      </c>
      <c r="B249" s="70">
        <v>40197</v>
      </c>
      <c r="C249" s="15">
        <v>2010</v>
      </c>
      <c r="D249" s="11" t="s">
        <v>39</v>
      </c>
      <c r="E249" s="15">
        <v>1</v>
      </c>
      <c r="F249" s="26">
        <v>9.4469999999999992</v>
      </c>
      <c r="G249" s="27">
        <v>0.48309225</v>
      </c>
    </row>
    <row r="250" spans="1:14">
      <c r="A250" s="15">
        <v>10</v>
      </c>
      <c r="B250" s="70">
        <v>40197</v>
      </c>
      <c r="C250" s="15">
        <v>2010</v>
      </c>
      <c r="D250" s="11" t="s">
        <v>39</v>
      </c>
      <c r="E250" s="15">
        <v>1</v>
      </c>
      <c r="F250" s="26">
        <v>7.7149999999999999</v>
      </c>
      <c r="G250" s="27">
        <v>0.12673324999999999</v>
      </c>
      <c r="I250" s="27">
        <f>AVERAGE(F249:F250)</f>
        <v>8.5809999999999995</v>
      </c>
      <c r="J250" s="27">
        <f>AVERAGE(G249:G250)</f>
        <v>0.30491275000000001</v>
      </c>
      <c r="L250">
        <f>+J250/I250</f>
        <v>3.5533475119449952E-2</v>
      </c>
      <c r="M250">
        <f>+(L250-$L$614)/$L$615</f>
        <v>0.24276012766594934</v>
      </c>
      <c r="N250">
        <f>+N248+M250</f>
        <v>-10.625928705541819</v>
      </c>
    </row>
    <row r="251" spans="1:14">
      <c r="A251" s="15">
        <v>9</v>
      </c>
      <c r="B251" s="70">
        <v>40225</v>
      </c>
      <c r="C251" s="15">
        <v>2010</v>
      </c>
      <c r="D251" s="11" t="s">
        <v>28</v>
      </c>
      <c r="E251" s="15">
        <v>2</v>
      </c>
      <c r="F251" s="26">
        <v>5.3949999999999996</v>
      </c>
      <c r="G251" s="27">
        <v>3.2409500000000001E-2</v>
      </c>
    </row>
    <row r="252" spans="1:14">
      <c r="A252" s="15">
        <v>10</v>
      </c>
      <c r="B252" s="70">
        <v>40225</v>
      </c>
      <c r="C252" s="15">
        <v>2010</v>
      </c>
      <c r="D252" s="11" t="s">
        <v>28</v>
      </c>
      <c r="E252" s="15">
        <v>2</v>
      </c>
      <c r="F252" s="26">
        <v>3.2669999999999999</v>
      </c>
      <c r="G252" s="27">
        <v>0</v>
      </c>
      <c r="I252" s="27">
        <f>AVERAGE(F251:F252)</f>
        <v>4.3309999999999995</v>
      </c>
      <c r="J252" s="27">
        <f>AVERAGE(G251:G252)</f>
        <v>1.620475E-2</v>
      </c>
      <c r="L252">
        <f>+J252/I252</f>
        <v>3.7415723851304552E-3</v>
      </c>
      <c r="M252">
        <f>+(L252-$L$614)/$L$615</f>
        <v>-0.72888475096116856</v>
      </c>
      <c r="N252">
        <f>+N250+M252</f>
        <v>-11.354813456502987</v>
      </c>
    </row>
    <row r="253" spans="1:14">
      <c r="A253" s="15">
        <v>9</v>
      </c>
      <c r="B253" s="70">
        <v>40255</v>
      </c>
      <c r="C253" s="15">
        <v>2010</v>
      </c>
      <c r="D253" s="11" t="s">
        <v>29</v>
      </c>
      <c r="E253" s="15">
        <v>3</v>
      </c>
      <c r="F253" s="26">
        <v>9.5939999999999994</v>
      </c>
      <c r="G253" s="27">
        <v>8.229874999999999E-2</v>
      </c>
    </row>
    <row r="254" spans="1:14">
      <c r="A254" s="15">
        <v>10</v>
      </c>
      <c r="B254" s="70">
        <v>40255</v>
      </c>
      <c r="C254" s="15">
        <v>2010</v>
      </c>
      <c r="D254" s="11" t="s">
        <v>29</v>
      </c>
      <c r="E254" s="15">
        <v>3</v>
      </c>
      <c r="F254" s="26">
        <v>8.5579999999999998</v>
      </c>
      <c r="G254" s="27">
        <v>6.6795875000000005E-2</v>
      </c>
      <c r="I254" s="27">
        <f>AVERAGE(F253:F254)</f>
        <v>9.0760000000000005</v>
      </c>
      <c r="J254" s="27">
        <f>AVERAGE(G253:G254)</f>
        <v>7.454731249999999E-2</v>
      </c>
      <c r="L254">
        <f>+J254/I254</f>
        <v>8.2136748016747446E-3</v>
      </c>
      <c r="M254">
        <f>+(L254-$L$614)/$L$615</f>
        <v>-0.59220543843167817</v>
      </c>
      <c r="N254">
        <f>+N252+M254</f>
        <v>-11.947018894934665</v>
      </c>
    </row>
    <row r="255" spans="1:14">
      <c r="A255" s="15">
        <v>9</v>
      </c>
      <c r="B255" s="70">
        <v>40281</v>
      </c>
      <c r="C255" s="15">
        <v>2010</v>
      </c>
      <c r="D255" s="11" t="s">
        <v>30</v>
      </c>
      <c r="E255" s="15">
        <v>4</v>
      </c>
      <c r="F255" s="26">
        <v>2.2589999999999999</v>
      </c>
      <c r="G255" s="27">
        <v>0</v>
      </c>
    </row>
    <row r="256" spans="1:14">
      <c r="A256" s="15">
        <v>10</v>
      </c>
      <c r="B256" s="70">
        <v>40281</v>
      </c>
      <c r="C256" s="15">
        <v>2010</v>
      </c>
      <c r="D256" s="11" t="s">
        <v>30</v>
      </c>
      <c r="E256" s="15">
        <v>4</v>
      </c>
      <c r="F256" s="26">
        <v>2.4209999999999998</v>
      </c>
      <c r="G256" s="27">
        <v>2.8224249999999999E-2</v>
      </c>
      <c r="I256" s="27">
        <f>AVERAGE(F255:F256)</f>
        <v>2.34</v>
      </c>
      <c r="J256" s="27">
        <f>AVERAGE(G255:G256)</f>
        <v>1.4112125E-2</v>
      </c>
      <c r="L256">
        <f>+J256/I256</f>
        <v>6.0308226495726499E-3</v>
      </c>
      <c r="M256">
        <f>+(L256-$L$614)/$L$615</f>
        <v>-0.65891919042427594</v>
      </c>
      <c r="N256">
        <f>+N254+M256</f>
        <v>-12.605938085358941</v>
      </c>
    </row>
    <row r="257" spans="1:14">
      <c r="A257" s="15">
        <v>9</v>
      </c>
      <c r="B257" s="75">
        <v>40317</v>
      </c>
      <c r="C257" s="15">
        <v>2010</v>
      </c>
      <c r="D257" s="11" t="s">
        <v>31</v>
      </c>
      <c r="E257" s="15">
        <v>5</v>
      </c>
      <c r="F257" s="28">
        <v>2.9220000000000002</v>
      </c>
      <c r="G257" s="27">
        <v>0</v>
      </c>
    </row>
    <row r="258" spans="1:14">
      <c r="A258" s="15">
        <v>10</v>
      </c>
      <c r="B258" s="75">
        <v>40317</v>
      </c>
      <c r="C258" s="15">
        <v>2010</v>
      </c>
      <c r="D258" s="11" t="s">
        <v>31</v>
      </c>
      <c r="E258" s="15">
        <v>5</v>
      </c>
      <c r="F258" s="28">
        <v>3.617</v>
      </c>
      <c r="G258" s="27">
        <v>5.0706499999999995E-2</v>
      </c>
      <c r="I258" s="27">
        <f>AVERAGE(F257:F258)</f>
        <v>3.2694999999999999</v>
      </c>
      <c r="J258" s="27">
        <f>AVERAGE(G257:G258)</f>
        <v>2.5353249999999997E-2</v>
      </c>
      <c r="L258">
        <f>+J258/I258</f>
        <v>7.754473161033797E-3</v>
      </c>
      <c r="M258">
        <f>+(L258-$L$614)/$L$615</f>
        <v>-0.60623985864598917</v>
      </c>
      <c r="N258">
        <f>+N256+M258</f>
        <v>-13.21217794400493</v>
      </c>
    </row>
    <row r="259" spans="1:14">
      <c r="A259" s="15">
        <v>9</v>
      </c>
      <c r="B259" s="75">
        <v>40345</v>
      </c>
      <c r="C259" s="15">
        <v>2010</v>
      </c>
      <c r="D259" s="11" t="s">
        <v>32</v>
      </c>
      <c r="E259" s="15">
        <v>6</v>
      </c>
      <c r="F259" s="28">
        <v>7.1379999999999999</v>
      </c>
      <c r="G259" s="27">
        <v>0.23377012499999994</v>
      </c>
    </row>
    <row r="260" spans="1:14">
      <c r="A260" s="15">
        <v>10</v>
      </c>
      <c r="B260" s="75">
        <v>40345</v>
      </c>
      <c r="C260" s="15">
        <v>2010</v>
      </c>
      <c r="D260" s="11" t="s">
        <v>32</v>
      </c>
      <c r="E260" s="15">
        <v>6</v>
      </c>
      <c r="F260" s="28">
        <v>9.1150000000000002</v>
      </c>
      <c r="G260" s="27">
        <v>0.76834649999999993</v>
      </c>
      <c r="I260" s="27">
        <f>AVERAGE(F259:F260)</f>
        <v>8.1265000000000001</v>
      </c>
      <c r="J260" s="27">
        <f>AVERAGE(G259:G260)</f>
        <v>0.50105831249999988</v>
      </c>
      <c r="L260">
        <f>+J260/I260</f>
        <v>6.1657332492462913E-2</v>
      </c>
      <c r="M260">
        <f>+(L260-$L$614)/$L$615</f>
        <v>1.0411745050184613</v>
      </c>
      <c r="N260">
        <f>+N258+M260</f>
        <v>-12.171003438986469</v>
      </c>
    </row>
    <row r="261" spans="1:14">
      <c r="A261" s="15">
        <v>9</v>
      </c>
      <c r="B261" s="75">
        <v>40373</v>
      </c>
      <c r="C261" s="15">
        <v>2010</v>
      </c>
      <c r="D261" s="11" t="s">
        <v>33</v>
      </c>
      <c r="E261" s="15">
        <v>7</v>
      </c>
      <c r="F261" s="28">
        <v>6.0940000000000003</v>
      </c>
      <c r="G261" s="27">
        <v>0.211145</v>
      </c>
    </row>
    <row r="262" spans="1:14">
      <c r="A262" s="15">
        <v>10</v>
      </c>
      <c r="B262" s="75">
        <v>40373</v>
      </c>
      <c r="C262" s="15">
        <v>2010</v>
      </c>
      <c r="D262" s="11" t="s">
        <v>33</v>
      </c>
      <c r="E262" s="15">
        <v>7</v>
      </c>
      <c r="F262" s="28">
        <v>12.361000000000001</v>
      </c>
      <c r="G262" s="27">
        <v>0.33589524999999992</v>
      </c>
      <c r="I262" s="27">
        <f>AVERAGE(F261:F262)</f>
        <v>9.2275000000000009</v>
      </c>
      <c r="J262" s="27">
        <f>AVERAGE(G261:G262)</f>
        <v>0.27352012499999995</v>
      </c>
      <c r="L262">
        <f>+J262/I262</f>
        <v>2.9641845028447567E-2</v>
      </c>
      <c r="M262">
        <f>+(L262-$L$614)/$L$615</f>
        <v>6.2696283971932651E-2</v>
      </c>
      <c r="N262">
        <f>+N260+M262</f>
        <v>-12.108307155014536</v>
      </c>
    </row>
    <row r="263" spans="1:14">
      <c r="A263" s="15">
        <v>9</v>
      </c>
      <c r="B263" s="75">
        <v>40409</v>
      </c>
      <c r="C263" s="15">
        <v>2010</v>
      </c>
      <c r="D263" s="11" t="s">
        <v>34</v>
      </c>
      <c r="E263" s="15">
        <v>8</v>
      </c>
      <c r="F263" s="28">
        <v>4.22</v>
      </c>
      <c r="G263" s="27">
        <v>0.20964037499999996</v>
      </c>
    </row>
    <row r="264" spans="1:14">
      <c r="A264" s="15">
        <v>10</v>
      </c>
      <c r="B264" s="75">
        <v>40409</v>
      </c>
      <c r="C264" s="15">
        <v>2010</v>
      </c>
      <c r="D264" s="11" t="s">
        <v>34</v>
      </c>
      <c r="E264" s="15">
        <v>8</v>
      </c>
      <c r="F264" s="28">
        <v>8.1379999999999999</v>
      </c>
      <c r="G264" s="27">
        <v>0.14692775</v>
      </c>
      <c r="I264" s="27">
        <f>AVERAGE(F263:F264)</f>
        <v>6.1790000000000003</v>
      </c>
      <c r="J264" s="27">
        <f>AVERAGE(G263:G264)</f>
        <v>0.17828406249999998</v>
      </c>
      <c r="L264">
        <f>+J264/I264</f>
        <v>2.8853222608836375E-2</v>
      </c>
      <c r="M264">
        <f>+(L264-$L$614)/$L$615</f>
        <v>3.8593890932130129E-2</v>
      </c>
      <c r="N264">
        <f>+N262+M264</f>
        <v>-12.069713264082406</v>
      </c>
    </row>
    <row r="265" spans="1:14">
      <c r="A265" s="15">
        <v>9</v>
      </c>
      <c r="B265" s="75">
        <v>40434</v>
      </c>
      <c r="C265" s="15">
        <v>2010</v>
      </c>
      <c r="D265" s="11" t="s">
        <v>40</v>
      </c>
      <c r="E265" s="15">
        <v>9</v>
      </c>
      <c r="F265" s="28">
        <v>2.3079999999999998</v>
      </c>
      <c r="G265" s="27">
        <v>0</v>
      </c>
    </row>
    <row r="266" spans="1:14">
      <c r="A266" s="15">
        <v>10</v>
      </c>
      <c r="B266" s="75">
        <v>40434</v>
      </c>
      <c r="C266" s="15">
        <v>2010</v>
      </c>
      <c r="D266" s="11" t="s">
        <v>40</v>
      </c>
      <c r="E266" s="15">
        <v>9</v>
      </c>
      <c r="F266" s="28">
        <v>1.877</v>
      </c>
      <c r="G266" s="27">
        <v>3.2257874999999998E-2</v>
      </c>
      <c r="I266" s="27">
        <f>AVERAGE(F265:F266)</f>
        <v>2.0924999999999998</v>
      </c>
      <c r="J266" s="27">
        <f>AVERAGE(G265:G266)</f>
        <v>1.6128937499999999E-2</v>
      </c>
      <c r="L266">
        <f>+J266/I266</f>
        <v>7.7079749103942654E-3</v>
      </c>
      <c r="M266">
        <f>+(L266-$L$614)/$L$615</f>
        <v>-0.60766096852659568</v>
      </c>
      <c r="N266">
        <f>+N264+M266</f>
        <v>-12.677374232609001</v>
      </c>
    </row>
    <row r="267" spans="1:14">
      <c r="A267" s="15">
        <v>9</v>
      </c>
      <c r="B267" s="75">
        <v>40463</v>
      </c>
      <c r="C267" s="15">
        <v>2010</v>
      </c>
      <c r="D267" s="11" t="s">
        <v>36</v>
      </c>
      <c r="E267" s="15">
        <v>10</v>
      </c>
      <c r="F267" s="26">
        <v>1.004</v>
      </c>
      <c r="G267" s="27">
        <v>0</v>
      </c>
    </row>
    <row r="268" spans="1:14">
      <c r="A268" s="15">
        <v>10</v>
      </c>
      <c r="B268" s="75">
        <v>40463</v>
      </c>
      <c r="C268" s="15">
        <v>2010</v>
      </c>
      <c r="D268" s="11" t="s">
        <v>36</v>
      </c>
      <c r="E268" s="15">
        <v>10</v>
      </c>
      <c r="F268" s="26">
        <v>0.58599999999999997</v>
      </c>
      <c r="G268" s="27">
        <v>0</v>
      </c>
      <c r="I268" s="27">
        <f>AVERAGE(F267:F268)</f>
        <v>0.79499999999999993</v>
      </c>
      <c r="J268" s="27">
        <f>AVERAGE(G267:G268)</f>
        <v>0</v>
      </c>
      <c r="L268">
        <f>+J268/I268</f>
        <v>0</v>
      </c>
      <c r="M268">
        <f>+(L268-$L$614)/$L$615</f>
        <v>-0.84323712792979022</v>
      </c>
      <c r="N268">
        <f>+N266+M268</f>
        <v>-13.520611360538791</v>
      </c>
    </row>
    <row r="269" spans="1:14">
      <c r="A269" s="15">
        <v>9</v>
      </c>
      <c r="B269" s="75">
        <v>40500</v>
      </c>
      <c r="C269" s="15">
        <v>2010</v>
      </c>
      <c r="D269" s="11" t="s">
        <v>37</v>
      </c>
      <c r="E269" s="15">
        <v>11</v>
      </c>
      <c r="F269" s="26">
        <v>0.45400000000000001</v>
      </c>
      <c r="G269" s="27">
        <v>1.6427750000000001E-2</v>
      </c>
    </row>
    <row r="270" spans="1:14">
      <c r="A270" s="15">
        <v>10</v>
      </c>
      <c r="B270" s="75">
        <v>40500</v>
      </c>
      <c r="C270" s="15">
        <v>2010</v>
      </c>
      <c r="D270" s="11" t="s">
        <v>37</v>
      </c>
      <c r="E270" s="15">
        <v>11</v>
      </c>
      <c r="F270" s="26">
        <v>1.268</v>
      </c>
      <c r="G270" s="27">
        <v>6.9105374999999997E-2</v>
      </c>
      <c r="I270" s="27">
        <f>AVERAGE(F269:F270)</f>
        <v>0.86099999999999999</v>
      </c>
      <c r="J270" s="27">
        <f>AVERAGE(G269:G270)</f>
        <v>4.2766562500000001E-2</v>
      </c>
      <c r="L270">
        <f>+J270/I270</f>
        <v>4.9670804297328688E-2</v>
      </c>
      <c r="M270">
        <f>+(L270-$L$614)/$L$615</f>
        <v>0.67483440796132232</v>
      </c>
      <c r="N270">
        <f>+N268+M270</f>
        <v>-12.845776952577468</v>
      </c>
    </row>
    <row r="271" spans="1:14">
      <c r="A271" s="15">
        <v>9</v>
      </c>
      <c r="B271" s="75">
        <v>40521</v>
      </c>
      <c r="C271" s="15">
        <v>2010</v>
      </c>
      <c r="D271" s="11" t="s">
        <v>38</v>
      </c>
      <c r="E271" s="15">
        <v>12</v>
      </c>
      <c r="F271" s="26">
        <v>4.319</v>
      </c>
      <c r="G271" s="27">
        <v>1.0640499999999999E-2</v>
      </c>
    </row>
    <row r="272" spans="1:14">
      <c r="A272" s="15">
        <v>10</v>
      </c>
      <c r="B272" s="75">
        <v>40521</v>
      </c>
      <c r="C272" s="15">
        <v>2010</v>
      </c>
      <c r="D272" s="11" t="s">
        <v>38</v>
      </c>
      <c r="E272" s="15">
        <v>12</v>
      </c>
      <c r="F272" s="26">
        <v>0.81299999999999994</v>
      </c>
      <c r="G272" s="27">
        <v>3.3998124999999997E-2</v>
      </c>
      <c r="I272" s="27">
        <f>AVERAGE(F271:F272)</f>
        <v>2.5659999999999998</v>
      </c>
      <c r="J272" s="27">
        <f>AVERAGE(G271:G272)</f>
        <v>2.2319312499999997E-2</v>
      </c>
      <c r="L272">
        <f>+J272/I272</f>
        <v>8.6980952844894766E-3</v>
      </c>
      <c r="M272">
        <f>+(L272-$L$614)/$L$615</f>
        <v>-0.5774002635051424</v>
      </c>
      <c r="N272">
        <f>+N270+M272</f>
        <v>-13.42317721608261</v>
      </c>
    </row>
    <row r="273" spans="1:14">
      <c r="A273" s="15">
        <v>9</v>
      </c>
      <c r="B273" s="75">
        <v>40563</v>
      </c>
      <c r="C273" s="15">
        <v>2011</v>
      </c>
      <c r="D273" s="11" t="s">
        <v>39</v>
      </c>
      <c r="E273" s="15">
        <v>1</v>
      </c>
      <c r="F273" s="26">
        <v>4.4939999999999998</v>
      </c>
      <c r="G273" s="27">
        <v>8.1903124999999979E-2</v>
      </c>
    </row>
    <row r="274" spans="1:14">
      <c r="A274" s="15">
        <v>10</v>
      </c>
      <c r="B274" s="75">
        <v>40563</v>
      </c>
      <c r="C274" s="15">
        <v>2011</v>
      </c>
      <c r="D274" s="11" t="s">
        <v>39</v>
      </c>
      <c r="E274" s="15">
        <v>1</v>
      </c>
      <c r="F274" s="26">
        <v>5.173</v>
      </c>
      <c r="G274" s="27">
        <v>7.4278874999999994E-2</v>
      </c>
      <c r="I274" s="27">
        <f>AVERAGE(F273:F274)</f>
        <v>4.8334999999999999</v>
      </c>
      <c r="J274" s="27">
        <f>AVERAGE(G273:G274)</f>
        <v>7.8090999999999994E-2</v>
      </c>
      <c r="L274">
        <f>+J274/I274</f>
        <v>1.6156201510292748E-2</v>
      </c>
      <c r="M274">
        <f>+(L274-$L$614)/$L$615</f>
        <v>-0.34946075390366127</v>
      </c>
      <c r="N274">
        <f>+N272+M274</f>
        <v>-13.772637969986272</v>
      </c>
    </row>
    <row r="275" spans="1:14">
      <c r="A275" s="15">
        <v>9</v>
      </c>
      <c r="B275" s="75">
        <v>40598</v>
      </c>
      <c r="C275" s="15">
        <v>2011</v>
      </c>
      <c r="D275" s="11" t="s">
        <v>28</v>
      </c>
      <c r="E275" s="15">
        <v>2</v>
      </c>
      <c r="F275" s="26">
        <v>5.968</v>
      </c>
      <c r="G275" s="27">
        <v>7.5401374999999993E-2</v>
      </c>
    </row>
    <row r="276" spans="1:14">
      <c r="A276" s="15">
        <v>10</v>
      </c>
      <c r="B276" s="75">
        <v>40598</v>
      </c>
      <c r="C276" s="15">
        <v>2011</v>
      </c>
      <c r="D276" s="11" t="s">
        <v>28</v>
      </c>
      <c r="E276" s="15">
        <v>2</v>
      </c>
      <c r="F276" s="26">
        <v>7.6689999999999996</v>
      </c>
      <c r="G276" s="27">
        <v>3.7018750000000003E-2</v>
      </c>
      <c r="I276" s="27">
        <f>AVERAGE(F275:F276)</f>
        <v>6.8185000000000002</v>
      </c>
      <c r="J276" s="27">
        <f>AVERAGE(G275:G276)</f>
        <v>5.6210062499999998E-2</v>
      </c>
      <c r="L276">
        <f>+J276/I276</f>
        <v>8.2437577913030725E-3</v>
      </c>
      <c r="M276">
        <f>+(L276-$L$614)/$L$615</f>
        <v>-0.59128602247062578</v>
      </c>
      <c r="N276">
        <f>+N274+M276</f>
        <v>-14.363923992456899</v>
      </c>
    </row>
    <row r="277" spans="1:14">
      <c r="A277" s="15">
        <v>9</v>
      </c>
      <c r="B277" s="75">
        <v>40617</v>
      </c>
      <c r="C277" s="15">
        <v>2011</v>
      </c>
      <c r="D277" s="11" t="s">
        <v>29</v>
      </c>
      <c r="E277" s="15">
        <v>3</v>
      </c>
      <c r="F277" s="26">
        <v>3.0249999999999999</v>
      </c>
      <c r="G277" s="27">
        <v>4.8845499999999986E-2</v>
      </c>
    </row>
    <row r="278" spans="1:14">
      <c r="A278" s="15">
        <v>10</v>
      </c>
      <c r="B278" s="75">
        <v>40617</v>
      </c>
      <c r="C278" s="15">
        <v>2011</v>
      </c>
      <c r="D278" s="11" t="s">
        <v>29</v>
      </c>
      <c r="E278" s="15">
        <v>3</v>
      </c>
      <c r="F278" s="26">
        <v>6.4660000000000002</v>
      </c>
      <c r="G278" s="27">
        <v>0.20694287500000003</v>
      </c>
      <c r="I278" s="27">
        <f>AVERAGE(F277:F278)</f>
        <v>4.7454999999999998</v>
      </c>
      <c r="J278" s="27">
        <f>AVERAGE(G277:G278)</f>
        <v>0.12789418750000001</v>
      </c>
      <c r="L278">
        <f>+J278/I278</f>
        <v>2.6950624275629546E-2</v>
      </c>
      <c r="M278">
        <f>+(L278-$L$614)/$L$615</f>
        <v>-1.9554560954937336E-2</v>
      </c>
      <c r="N278">
        <f>+N276+M278</f>
        <v>-14.383478553411836</v>
      </c>
    </row>
    <row r="279" spans="1:14">
      <c r="A279" s="15">
        <v>9</v>
      </c>
      <c r="B279" s="75">
        <v>40647</v>
      </c>
      <c r="C279" s="15">
        <v>2011</v>
      </c>
      <c r="D279" s="11" t="s">
        <v>30</v>
      </c>
      <c r="E279" s="15">
        <v>4</v>
      </c>
      <c r="F279" s="26">
        <v>0.82199999999999995</v>
      </c>
      <c r="G279" s="27">
        <v>0</v>
      </c>
    </row>
    <row r="280" spans="1:14">
      <c r="A280" s="15">
        <v>10</v>
      </c>
      <c r="B280" s="75">
        <v>40647</v>
      </c>
      <c r="C280" s="15">
        <v>2011</v>
      </c>
      <c r="D280" s="11" t="s">
        <v>30</v>
      </c>
      <c r="E280" s="15">
        <v>4</v>
      </c>
      <c r="F280" s="26">
        <v>1.1830000000000001</v>
      </c>
      <c r="G280" s="27">
        <v>1.7122249999999999E-2</v>
      </c>
      <c r="I280" s="27">
        <f>AVERAGE(F279:F280)</f>
        <v>1.0024999999999999</v>
      </c>
      <c r="J280" s="27">
        <f>AVERAGE(G279:G280)</f>
        <v>8.5611249999999993E-3</v>
      </c>
      <c r="L280">
        <f>+J280/I280</f>
        <v>8.5397755610972566E-3</v>
      </c>
      <c r="M280">
        <f>+(L280-$L$614)/$L$615</f>
        <v>-0.5822389342102352</v>
      </c>
      <c r="N280">
        <f>+N278+M280</f>
        <v>-14.96571748762207</v>
      </c>
    </row>
    <row r="281" spans="1:14">
      <c r="A281" s="15">
        <v>9</v>
      </c>
      <c r="B281" s="75">
        <v>40682</v>
      </c>
      <c r="C281" s="15">
        <v>2011</v>
      </c>
      <c r="D281" s="11" t="s">
        <v>31</v>
      </c>
      <c r="E281" s="15">
        <v>5</v>
      </c>
      <c r="F281" s="26">
        <v>4.0890000000000004</v>
      </c>
      <c r="G281" s="27">
        <v>4.8167750000000002E-2</v>
      </c>
    </row>
    <row r="282" spans="1:14">
      <c r="A282" s="15">
        <v>10</v>
      </c>
      <c r="B282" s="75">
        <v>40682</v>
      </c>
      <c r="C282" s="15">
        <v>2011</v>
      </c>
      <c r="D282" s="11" t="s">
        <v>31</v>
      </c>
      <c r="E282" s="15">
        <v>5</v>
      </c>
      <c r="F282" s="26">
        <v>2.3570000000000002</v>
      </c>
      <c r="G282" s="27">
        <v>3.4743625E-2</v>
      </c>
      <c r="I282" s="27">
        <f>AVERAGE(F281:F282)</f>
        <v>3.2230000000000003</v>
      </c>
      <c r="J282" s="27">
        <f>AVERAGE(G281:G282)</f>
        <v>4.1455687500000005E-2</v>
      </c>
      <c r="L282">
        <f>+J282/I282</f>
        <v>1.2862453459509773E-2</v>
      </c>
      <c r="M282">
        <f>+(L282-$L$614)/$L$615</f>
        <v>-0.45012643131769459</v>
      </c>
      <c r="N282">
        <f>+N280+M282</f>
        <v>-15.415843918939766</v>
      </c>
    </row>
    <row r="283" spans="1:14">
      <c r="A283" s="15">
        <v>9</v>
      </c>
      <c r="B283" s="75">
        <v>40709</v>
      </c>
      <c r="C283" s="15">
        <v>2011</v>
      </c>
      <c r="D283" s="11" t="s">
        <v>32</v>
      </c>
      <c r="E283" s="15">
        <v>6</v>
      </c>
      <c r="F283" s="26">
        <v>2.9489999999999998</v>
      </c>
      <c r="G283" s="27">
        <v>1.8820374999999997E-2</v>
      </c>
    </row>
    <row r="284" spans="1:14">
      <c r="A284" s="15">
        <v>10</v>
      </c>
      <c r="B284" s="75">
        <v>40709</v>
      </c>
      <c r="C284" s="15">
        <v>2011</v>
      </c>
      <c r="D284" s="11" t="s">
        <v>32</v>
      </c>
      <c r="E284" s="15">
        <v>6</v>
      </c>
      <c r="F284" s="26">
        <v>3.8260000000000001</v>
      </c>
      <c r="G284" s="27">
        <v>5.5624999999999994E-2</v>
      </c>
      <c r="I284" s="27">
        <f>AVERAGE(F283:F284)</f>
        <v>3.3875000000000002</v>
      </c>
      <c r="J284" s="27">
        <f>AVERAGE(G283:G284)</f>
        <v>3.7222687499999997E-2</v>
      </c>
      <c r="L284">
        <f>+J284/I284</f>
        <v>1.0988247232472324E-2</v>
      </c>
      <c r="M284">
        <f>+(L284-$L$614)/$L$615</f>
        <v>-0.50740714512744545</v>
      </c>
      <c r="N284">
        <f>+N282+M284</f>
        <v>-15.923251064067211</v>
      </c>
    </row>
    <row r="285" spans="1:14">
      <c r="A285" s="15">
        <v>9</v>
      </c>
      <c r="B285" s="75">
        <v>40736</v>
      </c>
      <c r="C285" s="15">
        <v>2011</v>
      </c>
      <c r="D285" s="11" t="s">
        <v>33</v>
      </c>
      <c r="E285" s="15">
        <v>7</v>
      </c>
      <c r="F285" s="26">
        <v>12.976000000000001</v>
      </c>
      <c r="G285" s="27">
        <v>0.68255262500000002</v>
      </c>
    </row>
    <row r="286" spans="1:14">
      <c r="A286" s="15">
        <v>10</v>
      </c>
      <c r="B286" s="75">
        <v>40736</v>
      </c>
      <c r="C286" s="15">
        <v>2011</v>
      </c>
      <c r="D286" s="11" t="s">
        <v>33</v>
      </c>
      <c r="E286" s="15">
        <v>7</v>
      </c>
      <c r="F286" s="26">
        <v>10.025</v>
      </c>
      <c r="G286" s="27">
        <v>1.78315275</v>
      </c>
      <c r="I286" s="27">
        <f>AVERAGE(F285:F286)</f>
        <v>11.500500000000001</v>
      </c>
      <c r="J286" s="27">
        <f>AVERAGE(G285:G286)</f>
        <v>1.2328526874999999</v>
      </c>
      <c r="L286">
        <f>+J286/I286</f>
        <v>0.10719992065562366</v>
      </c>
      <c r="M286">
        <f>+(L286-$L$614)/$L$615</f>
        <v>2.4330768053607983</v>
      </c>
      <c r="N286">
        <f>+N284+M286</f>
        <v>-13.490174258706412</v>
      </c>
    </row>
    <row r="287" spans="1:14">
      <c r="A287" s="15">
        <v>9</v>
      </c>
      <c r="B287" s="75">
        <v>40772</v>
      </c>
      <c r="C287" s="15">
        <v>2011</v>
      </c>
      <c r="D287" s="11" t="s">
        <v>34</v>
      </c>
      <c r="E287" s="15">
        <v>8</v>
      </c>
      <c r="F287" s="26">
        <v>4.3159999999999998</v>
      </c>
      <c r="G287" s="27">
        <v>4.3903249999999991E-2</v>
      </c>
    </row>
    <row r="288" spans="1:14">
      <c r="A288" s="15">
        <v>10</v>
      </c>
      <c r="B288" s="75">
        <v>40772</v>
      </c>
      <c r="C288" s="15">
        <v>2011</v>
      </c>
      <c r="D288" s="11" t="s">
        <v>34</v>
      </c>
      <c r="E288" s="15">
        <v>8</v>
      </c>
      <c r="F288" s="26">
        <v>6.4589999999999996</v>
      </c>
      <c r="G288" s="27">
        <v>9.4766249999999982E-2</v>
      </c>
      <c r="I288" s="27">
        <f>AVERAGE(F287:F288)</f>
        <v>5.3874999999999993</v>
      </c>
      <c r="J288" s="27">
        <f>AVERAGE(G287:G288)</f>
        <v>6.9334749999999987E-2</v>
      </c>
      <c r="L288">
        <f>+J288/I288</f>
        <v>1.2869559164733178E-2</v>
      </c>
      <c r="M288">
        <f>+(L288-$L$614)/$L$615</f>
        <v>-0.44990926211750382</v>
      </c>
      <c r="N288">
        <f>+N286+M288</f>
        <v>-13.940083520823917</v>
      </c>
    </row>
    <row r="289" spans="1:14">
      <c r="A289" s="15">
        <v>9</v>
      </c>
      <c r="B289" s="75">
        <v>40798</v>
      </c>
      <c r="C289" s="15">
        <v>2011</v>
      </c>
      <c r="D289" s="11" t="s">
        <v>40</v>
      </c>
      <c r="E289" s="15">
        <v>9</v>
      </c>
      <c r="F289" s="26">
        <v>1.679</v>
      </c>
      <c r="G289" s="27">
        <v>1.3299625000000001E-2</v>
      </c>
    </row>
    <row r="290" spans="1:14">
      <c r="A290" s="15">
        <v>10</v>
      </c>
      <c r="B290" s="75">
        <v>40798</v>
      </c>
      <c r="C290" s="15">
        <v>2011</v>
      </c>
      <c r="D290" s="11" t="s">
        <v>40</v>
      </c>
      <c r="E290" s="15">
        <v>9</v>
      </c>
      <c r="F290" s="26">
        <v>2.7109999999999999</v>
      </c>
      <c r="G290" s="27">
        <v>0</v>
      </c>
      <c r="I290" s="27">
        <f>AVERAGE(F289:F290)</f>
        <v>2.1949999999999998</v>
      </c>
      <c r="J290" s="27">
        <f>AVERAGE(G289:G290)</f>
        <v>6.6498125000000003E-3</v>
      </c>
      <c r="L290">
        <f>+J290/I290</f>
        <v>3.0295273348519367E-3</v>
      </c>
      <c r="M290">
        <f>+(L290-$L$614)/$L$615</f>
        <v>-0.75064673646535951</v>
      </c>
      <c r="N290">
        <f>+N288+M290</f>
        <v>-14.690730257289276</v>
      </c>
    </row>
    <row r="291" spans="1:14">
      <c r="A291" s="15">
        <v>9</v>
      </c>
      <c r="B291" s="75">
        <v>40829</v>
      </c>
      <c r="C291" s="15">
        <v>2011</v>
      </c>
      <c r="D291" s="11" t="s">
        <v>36</v>
      </c>
      <c r="E291" s="15">
        <v>10</v>
      </c>
      <c r="F291" s="28">
        <v>1.6930000000000001</v>
      </c>
      <c r="G291" s="27">
        <v>8.0790625000000005E-2</v>
      </c>
    </row>
    <row r="292" spans="1:14">
      <c r="A292" s="15">
        <v>10</v>
      </c>
      <c r="B292" s="75">
        <v>40829</v>
      </c>
      <c r="C292" s="15">
        <v>2011</v>
      </c>
      <c r="D292" s="11" t="s">
        <v>36</v>
      </c>
      <c r="E292" s="15">
        <v>10</v>
      </c>
      <c r="F292" s="28">
        <v>1.528</v>
      </c>
      <c r="G292" s="27">
        <v>4.7426124999999993E-2</v>
      </c>
      <c r="I292" s="27">
        <f>AVERAGE(F291:F292)</f>
        <v>1.6105</v>
      </c>
      <c r="J292" s="27">
        <f>AVERAGE(G291:G292)</f>
        <v>6.4108374999999995E-2</v>
      </c>
      <c r="L292">
        <f>+J292/I292</f>
        <v>3.980650419124495E-2</v>
      </c>
      <c r="M292">
        <f>+(L292-$L$614)/$L$615</f>
        <v>0.37335523071879173</v>
      </c>
      <c r="N292">
        <f>+N290+M292</f>
        <v>-14.317375026570485</v>
      </c>
    </row>
    <row r="293" spans="1:14">
      <c r="A293" s="15">
        <v>9</v>
      </c>
      <c r="B293" s="76">
        <v>40877</v>
      </c>
      <c r="C293" s="15">
        <v>2011</v>
      </c>
      <c r="D293" s="11" t="s">
        <v>37</v>
      </c>
      <c r="E293" s="15">
        <v>11</v>
      </c>
      <c r="F293" s="28">
        <v>0.92700000000000005</v>
      </c>
      <c r="G293" s="27">
        <v>5.4507249999999986E-2</v>
      </c>
    </row>
    <row r="294" spans="1:14">
      <c r="A294" s="15">
        <v>10</v>
      </c>
      <c r="B294" s="76">
        <v>40877</v>
      </c>
      <c r="C294" s="15">
        <v>2011</v>
      </c>
      <c r="D294" s="11" t="s">
        <v>37</v>
      </c>
      <c r="E294" s="15">
        <v>11</v>
      </c>
      <c r="F294" s="28">
        <v>0.66600000000000004</v>
      </c>
      <c r="G294" s="27">
        <v>0</v>
      </c>
      <c r="I294" s="27">
        <f>AVERAGE(F293:F294)</f>
        <v>0.79649999999999999</v>
      </c>
      <c r="J294" s="27">
        <f>AVERAGE(G293:G294)</f>
        <v>2.7253624999999993E-2</v>
      </c>
      <c r="L294">
        <f>+J294/I294</f>
        <v>3.4216729441305702E-2</v>
      </c>
      <c r="M294">
        <f>+(L294-$L$614)/$L$615</f>
        <v>0.20251688694786157</v>
      </c>
      <c r="N294">
        <f>+N292+M294</f>
        <v>-14.114858139622623</v>
      </c>
    </row>
    <row r="295" spans="1:14">
      <c r="A295" s="15">
        <v>9</v>
      </c>
      <c r="B295" s="76">
        <v>40891</v>
      </c>
      <c r="C295" s="15">
        <v>2011</v>
      </c>
      <c r="D295" s="11" t="s">
        <v>38</v>
      </c>
      <c r="E295" s="15">
        <v>12</v>
      </c>
      <c r="F295" s="28">
        <v>0.36799999999999999</v>
      </c>
      <c r="G295" s="27">
        <v>4.2205999999999987E-2</v>
      </c>
    </row>
    <row r="296" spans="1:14">
      <c r="A296" s="15">
        <v>10</v>
      </c>
      <c r="B296" s="76">
        <v>40891</v>
      </c>
      <c r="C296" s="15">
        <v>2011</v>
      </c>
      <c r="D296" s="11" t="s">
        <v>38</v>
      </c>
      <c r="E296" s="15">
        <v>12</v>
      </c>
      <c r="F296" s="28">
        <v>0.41299999999999998</v>
      </c>
      <c r="G296" s="27">
        <v>0</v>
      </c>
      <c r="I296" s="27">
        <f>AVERAGE(F295:F296)</f>
        <v>0.39049999999999996</v>
      </c>
      <c r="J296" s="27">
        <f>AVERAGE(G295:G296)</f>
        <v>2.1102999999999993E-2</v>
      </c>
      <c r="L296">
        <f>+J296/I296</f>
        <v>5.4040973111395635E-2</v>
      </c>
      <c r="M296">
        <f>+(L296-$L$614)/$L$615</f>
        <v>0.80839835921046377</v>
      </c>
      <c r="N296">
        <f>+N294+M296</f>
        <v>-13.306459780412158</v>
      </c>
    </row>
    <row r="297" spans="1:14">
      <c r="A297" s="15">
        <v>9</v>
      </c>
      <c r="B297" s="75">
        <v>40919</v>
      </c>
      <c r="C297" s="15">
        <v>2012</v>
      </c>
      <c r="D297" s="11" t="s">
        <v>39</v>
      </c>
      <c r="E297" s="15">
        <v>1</v>
      </c>
      <c r="F297" s="30">
        <v>1.2430000000000001</v>
      </c>
      <c r="G297" s="27">
        <v>7.5330875000000005E-2</v>
      </c>
    </row>
    <row r="298" spans="1:14">
      <c r="A298" s="15">
        <v>10</v>
      </c>
      <c r="B298" s="75">
        <v>40919</v>
      </c>
      <c r="C298" s="15">
        <v>2012</v>
      </c>
      <c r="D298" s="11" t="s">
        <v>39</v>
      </c>
      <c r="E298" s="15">
        <v>1</v>
      </c>
      <c r="F298" s="30">
        <v>1.21</v>
      </c>
      <c r="G298" s="27">
        <v>9.153399999999999E-2</v>
      </c>
      <c r="I298" s="27">
        <f>AVERAGE(F297:F298)</f>
        <v>1.2265000000000001</v>
      </c>
      <c r="J298" s="27">
        <f>AVERAGE(G297:G298)</f>
        <v>8.3432437499999998E-2</v>
      </c>
      <c r="L298">
        <f>+J298/I298</f>
        <v>6.8024816551161826E-2</v>
      </c>
      <c r="M298">
        <f>+(L298-$L$614)/$L$615</f>
        <v>1.2357817082134996</v>
      </c>
      <c r="N298">
        <f>+N296+M298</f>
        <v>-12.070678072198659</v>
      </c>
    </row>
    <row r="299" spans="1:14">
      <c r="A299" s="15">
        <v>9</v>
      </c>
      <c r="B299" s="75">
        <v>40960</v>
      </c>
      <c r="C299" s="15">
        <v>2012</v>
      </c>
      <c r="D299" s="11" t="s">
        <v>28</v>
      </c>
      <c r="E299" s="15">
        <v>2</v>
      </c>
      <c r="F299" s="30">
        <v>1.022</v>
      </c>
      <c r="G299" s="27">
        <v>8.276887500000002E-2</v>
      </c>
    </row>
    <row r="300" spans="1:14">
      <c r="A300" s="15">
        <v>10</v>
      </c>
      <c r="B300" s="75">
        <v>40960</v>
      </c>
      <c r="C300" s="15">
        <v>2012</v>
      </c>
      <c r="D300" s="11" t="s">
        <v>28</v>
      </c>
      <c r="E300" s="15">
        <v>2</v>
      </c>
      <c r="F300" s="30">
        <v>2.6539999999999999</v>
      </c>
      <c r="G300" s="27">
        <v>0.31740937499999994</v>
      </c>
      <c r="I300" s="27">
        <f>AVERAGE(F299:F300)</f>
        <v>1.8380000000000001</v>
      </c>
      <c r="J300" s="27">
        <f>AVERAGE(G299:G300)</f>
        <v>0.20008912499999998</v>
      </c>
      <c r="L300">
        <f>+J300/I300</f>
        <v>0.10886241838955385</v>
      </c>
      <c r="M300">
        <f>+(L300-$L$614)/$L$615</f>
        <v>2.4838871460441405</v>
      </c>
      <c r="N300">
        <f>+N298+M300</f>
        <v>-9.5867909261545172</v>
      </c>
    </row>
    <row r="301" spans="1:14">
      <c r="A301" s="15">
        <v>9</v>
      </c>
      <c r="B301" s="75">
        <v>40982</v>
      </c>
      <c r="C301" s="15">
        <v>2012</v>
      </c>
      <c r="D301" s="11" t="s">
        <v>29</v>
      </c>
      <c r="E301" s="15">
        <v>3</v>
      </c>
      <c r="F301" s="30">
        <v>0.80700000000000005</v>
      </c>
      <c r="G301" s="27">
        <v>5.3095875000000001E-2</v>
      </c>
    </row>
    <row r="302" spans="1:14">
      <c r="A302" s="15">
        <v>10</v>
      </c>
      <c r="B302" s="75">
        <v>40982</v>
      </c>
      <c r="C302" s="15">
        <v>2012</v>
      </c>
      <c r="D302" s="11" t="s">
        <v>29</v>
      </c>
      <c r="E302" s="15">
        <v>3</v>
      </c>
      <c r="F302" s="30">
        <v>1.095</v>
      </c>
      <c r="G302" s="27">
        <v>0.12330587499999998</v>
      </c>
      <c r="I302" s="27">
        <f>AVERAGE(F301:F302)</f>
        <v>0.95100000000000007</v>
      </c>
      <c r="J302" s="27">
        <f>AVERAGE(G301:G302)</f>
        <v>8.8200874999999984E-2</v>
      </c>
      <c r="L302">
        <f>+J302/I302</f>
        <v>9.2745399579390098E-2</v>
      </c>
      <c r="M302">
        <f>+(L302-$L$614)/$L$615</f>
        <v>1.9913082992698179</v>
      </c>
      <c r="N302">
        <f>+N300+M302</f>
        <v>-7.5954826268846993</v>
      </c>
    </row>
    <row r="303" spans="1:14">
      <c r="A303" s="15">
        <v>9</v>
      </c>
      <c r="B303" s="75">
        <v>41016</v>
      </c>
      <c r="C303" s="15">
        <v>2012</v>
      </c>
      <c r="D303" s="11" t="s">
        <v>30</v>
      </c>
      <c r="E303" s="15">
        <v>4</v>
      </c>
      <c r="F303" s="26">
        <v>1.5580000000000001</v>
      </c>
      <c r="G303" s="27">
        <v>6.1180499999999985E-2</v>
      </c>
    </row>
    <row r="304" spans="1:14">
      <c r="A304" s="15">
        <v>10</v>
      </c>
      <c r="B304" s="75">
        <v>41016</v>
      </c>
      <c r="C304" s="15">
        <v>2012</v>
      </c>
      <c r="D304" s="11" t="s">
        <v>30</v>
      </c>
      <c r="E304" s="15">
        <v>4</v>
      </c>
      <c r="F304" s="26">
        <v>0.84899999999999998</v>
      </c>
      <c r="G304" s="27">
        <v>3.2672624999999997E-2</v>
      </c>
      <c r="I304" s="27">
        <f>AVERAGE(F303:F304)</f>
        <v>1.2035</v>
      </c>
      <c r="J304" s="27">
        <f>AVERAGE(G303:G304)</f>
        <v>4.6926562499999991E-2</v>
      </c>
      <c r="L304">
        <f>+J304/I304</f>
        <v>3.8991742833402565E-2</v>
      </c>
      <c r="M304">
        <f>+(L304-$L$614)/$L$615</f>
        <v>0.34845396239060733</v>
      </c>
      <c r="N304">
        <f>+N302+M304</f>
        <v>-7.247028664494092</v>
      </c>
    </row>
    <row r="305" spans="1:14">
      <c r="A305" s="15">
        <v>9</v>
      </c>
      <c r="B305" s="75">
        <v>41051</v>
      </c>
      <c r="C305" s="15">
        <v>2012</v>
      </c>
      <c r="D305" s="11" t="s">
        <v>31</v>
      </c>
      <c r="E305" s="15">
        <v>5</v>
      </c>
      <c r="F305" s="26">
        <v>3.21</v>
      </c>
      <c r="G305" s="27">
        <v>0</v>
      </c>
    </row>
    <row r="306" spans="1:14">
      <c r="A306" s="15">
        <v>10</v>
      </c>
      <c r="B306" s="75">
        <v>41051</v>
      </c>
      <c r="C306" s="15">
        <v>2012</v>
      </c>
      <c r="D306" s="11" t="s">
        <v>31</v>
      </c>
      <c r="E306" s="15">
        <v>5</v>
      </c>
      <c r="F306" s="26">
        <v>3.669</v>
      </c>
      <c r="G306" s="27">
        <v>2.6873000000000001E-2</v>
      </c>
      <c r="I306" s="27">
        <f>AVERAGE(F305:F306)</f>
        <v>3.4394999999999998</v>
      </c>
      <c r="J306" s="27">
        <f>AVERAGE(G305:G306)</f>
        <v>1.3436500000000001E-2</v>
      </c>
      <c r="L306">
        <f>+J306/I306</f>
        <v>3.906527111498765E-3</v>
      </c>
      <c r="M306">
        <f>+(L306-$L$614)/$L$615</f>
        <v>-0.72384329696514571</v>
      </c>
      <c r="N306">
        <f>+N304+M306</f>
        <v>-7.9708719614592374</v>
      </c>
    </row>
    <row r="307" spans="1:14">
      <c r="A307" s="15">
        <v>9</v>
      </c>
      <c r="B307" s="75">
        <v>41080</v>
      </c>
      <c r="C307" s="15">
        <v>2012</v>
      </c>
      <c r="D307" s="11" t="s">
        <v>32</v>
      </c>
      <c r="E307" s="15">
        <v>6</v>
      </c>
      <c r="F307" s="26">
        <v>5.1959999999999997</v>
      </c>
      <c r="G307" s="27">
        <v>0.15164050000000001</v>
      </c>
    </row>
    <row r="308" spans="1:14">
      <c r="A308" s="15">
        <v>10</v>
      </c>
      <c r="B308" s="75">
        <v>41080</v>
      </c>
      <c r="C308" s="15">
        <v>2012</v>
      </c>
      <c r="D308" s="11" t="s">
        <v>32</v>
      </c>
      <c r="E308" s="15">
        <v>6</v>
      </c>
      <c r="F308" s="26">
        <v>3.335</v>
      </c>
      <c r="G308" s="27">
        <v>0.19485387499999998</v>
      </c>
      <c r="I308" s="27">
        <f>AVERAGE(F307:F308)</f>
        <v>4.2654999999999994</v>
      </c>
      <c r="J308" s="27">
        <f>AVERAGE(G307:G308)</f>
        <v>0.17324718750000001</v>
      </c>
      <c r="L308">
        <f>+J308/I308</f>
        <v>4.0615915484702857E-2</v>
      </c>
      <c r="M308">
        <f>+(L308-$L$614)/$L$615</f>
        <v>0.39809298688782846</v>
      </c>
      <c r="N308">
        <f>+N306+M308</f>
        <v>-7.5727789745714089</v>
      </c>
    </row>
    <row r="309" spans="1:14">
      <c r="A309" s="15">
        <v>9</v>
      </c>
      <c r="B309" s="75">
        <v>41106</v>
      </c>
      <c r="C309" s="15">
        <v>2012</v>
      </c>
      <c r="D309" s="11" t="s">
        <v>33</v>
      </c>
      <c r="E309" s="15">
        <v>7</v>
      </c>
      <c r="F309" s="26">
        <v>8.5009999999999994</v>
      </c>
      <c r="G309" s="27">
        <v>0.53465762500000003</v>
      </c>
    </row>
    <row r="310" spans="1:14">
      <c r="A310" s="15">
        <v>10</v>
      </c>
      <c r="B310" s="75">
        <v>41106</v>
      </c>
      <c r="C310" s="15">
        <v>2012</v>
      </c>
      <c r="D310" s="11" t="s">
        <v>33</v>
      </c>
      <c r="E310" s="15">
        <v>7</v>
      </c>
      <c r="F310" s="26">
        <v>4.3010000000000002</v>
      </c>
      <c r="G310" s="27">
        <v>0.18813775000000002</v>
      </c>
      <c r="I310" s="27">
        <f>AVERAGE(F309:F310)</f>
        <v>6.4009999999999998</v>
      </c>
      <c r="J310" s="27">
        <f>AVERAGE(G309:G310)</f>
        <v>0.36139768750000001</v>
      </c>
      <c r="L310">
        <f>+J310/I310</f>
        <v>5.6459566864552418E-2</v>
      </c>
      <c r="M310">
        <f>+(L310-$L$614)/$L$615</f>
        <v>0.88231699985846368</v>
      </c>
      <c r="N310">
        <f>+N308+M310</f>
        <v>-6.690461974712945</v>
      </c>
    </row>
    <row r="311" spans="1:14">
      <c r="A311" s="15">
        <v>9</v>
      </c>
      <c r="B311" s="75">
        <v>41137</v>
      </c>
      <c r="C311" s="15">
        <v>2012</v>
      </c>
      <c r="D311" s="11" t="s">
        <v>34</v>
      </c>
      <c r="E311" s="15">
        <v>8</v>
      </c>
      <c r="F311" s="26">
        <v>4.9180000000000001</v>
      </c>
      <c r="G311" s="27">
        <v>9.4007499999999994E-2</v>
      </c>
    </row>
    <row r="312" spans="1:14">
      <c r="A312" s="15">
        <v>10</v>
      </c>
      <c r="B312" s="75">
        <v>41137</v>
      </c>
      <c r="C312" s="15">
        <v>2012</v>
      </c>
      <c r="D312" s="11" t="s">
        <v>34</v>
      </c>
      <c r="E312" s="15">
        <v>8</v>
      </c>
      <c r="F312" s="26">
        <v>2.9590000000000001</v>
      </c>
      <c r="G312" s="27">
        <v>2.9003250000000001E-2</v>
      </c>
      <c r="I312" s="27">
        <f>AVERAGE(F311:F312)</f>
        <v>3.9385000000000003</v>
      </c>
      <c r="J312" s="27">
        <f>AVERAGE(G311:G312)</f>
        <v>6.1505375000000001E-2</v>
      </c>
      <c r="L312">
        <f>+J312/I312</f>
        <v>1.5616446616732258E-2</v>
      </c>
      <c r="M312">
        <f>+(L312-$L$614)/$L$615</f>
        <v>-0.36595709520241054</v>
      </c>
      <c r="N312">
        <f>+N310+M312</f>
        <v>-7.0564190699153553</v>
      </c>
    </row>
    <row r="313" spans="1:14">
      <c r="A313" s="15">
        <v>9</v>
      </c>
      <c r="B313" s="75">
        <v>41163</v>
      </c>
      <c r="C313" s="15">
        <v>2012</v>
      </c>
      <c r="D313" s="11" t="s">
        <v>40</v>
      </c>
      <c r="E313" s="15">
        <v>9</v>
      </c>
      <c r="F313" s="26">
        <v>5.3540000000000001</v>
      </c>
      <c r="G313" s="27">
        <v>0.95435712499999992</v>
      </c>
    </row>
    <row r="314" spans="1:14">
      <c r="A314" s="15">
        <v>10</v>
      </c>
      <c r="B314" s="75">
        <v>41163</v>
      </c>
      <c r="C314" s="15">
        <v>2012</v>
      </c>
      <c r="D314" s="11" t="s">
        <v>40</v>
      </c>
      <c r="E314" s="15">
        <v>9</v>
      </c>
      <c r="F314" s="26">
        <v>2.87</v>
      </c>
      <c r="G314" s="27">
        <v>8.0739249999999985E-2</v>
      </c>
      <c r="I314" s="27">
        <f>AVERAGE(F313:F314)</f>
        <v>4.1120000000000001</v>
      </c>
      <c r="J314" s="27">
        <f>AVERAGE(G313:G314)</f>
        <v>0.51754818749999998</v>
      </c>
      <c r="L314">
        <f>+J314/I314</f>
        <v>0.12586288606517509</v>
      </c>
      <c r="M314">
        <f>+(L314-$L$614)/$L$615</f>
        <v>3.003466533579557</v>
      </c>
      <c r="N314">
        <f>+N312+M314</f>
        <v>-4.0529525363357983</v>
      </c>
    </row>
    <row r="315" spans="1:14">
      <c r="A315" s="15">
        <v>9</v>
      </c>
      <c r="B315" s="75">
        <v>41199</v>
      </c>
      <c r="C315" s="15">
        <v>2012</v>
      </c>
      <c r="D315" s="11" t="s">
        <v>36</v>
      </c>
      <c r="E315" s="15">
        <v>10</v>
      </c>
      <c r="F315" s="26">
        <v>0.81899999999999995</v>
      </c>
      <c r="G315" s="27">
        <v>0</v>
      </c>
    </row>
    <row r="316" spans="1:14">
      <c r="A316" s="15">
        <v>10</v>
      </c>
      <c r="B316" s="75">
        <v>41199</v>
      </c>
      <c r="C316" s="15">
        <v>2012</v>
      </c>
      <c r="D316" s="11" t="s">
        <v>36</v>
      </c>
      <c r="E316" s="15">
        <v>10</v>
      </c>
      <c r="F316" s="26">
        <v>0.44900000000000001</v>
      </c>
      <c r="G316" s="27">
        <v>0</v>
      </c>
      <c r="I316" s="27">
        <f>AVERAGE(F315:F316)</f>
        <v>0.63400000000000001</v>
      </c>
      <c r="J316" s="27">
        <f>AVERAGE(G315:G316)</f>
        <v>0</v>
      </c>
      <c r="L316">
        <f>+J316/I316</f>
        <v>0</v>
      </c>
      <c r="M316">
        <f>+(L316-$L$614)/$L$615</f>
        <v>-0.84323712792979022</v>
      </c>
      <c r="N316">
        <f>+N314+M316</f>
        <v>-4.8961896642655889</v>
      </c>
    </row>
    <row r="317" spans="1:14">
      <c r="A317" s="15">
        <v>9</v>
      </c>
      <c r="B317" s="75">
        <v>41225</v>
      </c>
      <c r="C317" s="15">
        <v>2012</v>
      </c>
      <c r="D317" s="11" t="s">
        <v>37</v>
      </c>
      <c r="E317" s="15">
        <v>11</v>
      </c>
      <c r="F317" s="26">
        <v>0.96099999999999997</v>
      </c>
      <c r="G317" s="27">
        <v>0</v>
      </c>
    </row>
    <row r="318" spans="1:14">
      <c r="A318" s="15">
        <v>10</v>
      </c>
      <c r="B318" s="75">
        <v>41225</v>
      </c>
      <c r="C318" s="15">
        <v>2012</v>
      </c>
      <c r="D318" s="11" t="s">
        <v>37</v>
      </c>
      <c r="E318" s="15">
        <v>11</v>
      </c>
      <c r="F318" s="26">
        <v>1.843</v>
      </c>
      <c r="G318" s="27">
        <v>0</v>
      </c>
      <c r="I318" s="27">
        <f>AVERAGE(F317:F318)</f>
        <v>1.4019999999999999</v>
      </c>
      <c r="J318" s="27">
        <f>AVERAGE(G317:G318)</f>
        <v>0</v>
      </c>
      <c r="L318">
        <f>+J318/I318</f>
        <v>0</v>
      </c>
      <c r="M318">
        <f>+(L318-$L$614)/$L$615</f>
        <v>-0.84323712792979022</v>
      </c>
      <c r="N318">
        <f>+N316+M318</f>
        <v>-5.7394267921953794</v>
      </c>
    </row>
    <row r="319" spans="1:14">
      <c r="A319" s="15">
        <v>9</v>
      </c>
      <c r="B319" s="75">
        <v>41255</v>
      </c>
      <c r="C319" s="15">
        <v>2012</v>
      </c>
      <c r="D319" s="11" t="s">
        <v>38</v>
      </c>
      <c r="E319" s="15">
        <v>12</v>
      </c>
      <c r="F319" s="26">
        <v>0.89900000000000002</v>
      </c>
      <c r="G319" s="27">
        <v>0.10483737499999998</v>
      </c>
    </row>
    <row r="320" spans="1:14">
      <c r="A320" s="15">
        <v>10</v>
      </c>
      <c r="B320" s="75">
        <v>41255</v>
      </c>
      <c r="C320" s="15">
        <v>2012</v>
      </c>
      <c r="D320" s="11" t="s">
        <v>38</v>
      </c>
      <c r="E320" s="15">
        <v>12</v>
      </c>
      <c r="F320" s="26">
        <v>1.2509999999999999</v>
      </c>
      <c r="G320" s="27">
        <v>0.20592574999999996</v>
      </c>
      <c r="I320" s="27">
        <f>AVERAGE(F319:F320)</f>
        <v>1.075</v>
      </c>
      <c r="J320" s="27">
        <f>AVERAGE(G319:G320)</f>
        <v>0.15538156249999996</v>
      </c>
      <c r="L320">
        <f>+J320/I320</f>
        <v>0.144540988372093</v>
      </c>
      <c r="M320">
        <f>+(L320-$L$614)/$L$615</f>
        <v>3.5743188855339043</v>
      </c>
      <c r="N320">
        <f>+N318+M320</f>
        <v>-2.1651079066614751</v>
      </c>
    </row>
    <row r="321" spans="1:14">
      <c r="A321" s="15">
        <v>9</v>
      </c>
      <c r="B321" s="75">
        <v>41297</v>
      </c>
      <c r="C321" s="15">
        <v>2013</v>
      </c>
      <c r="D321" s="11" t="s">
        <v>39</v>
      </c>
      <c r="E321" s="15">
        <v>1</v>
      </c>
      <c r="F321" s="26">
        <v>1.665</v>
      </c>
      <c r="G321" s="27">
        <v>0.1039455</v>
      </c>
    </row>
    <row r="322" spans="1:14">
      <c r="A322" s="15">
        <v>10</v>
      </c>
      <c r="B322" s="75">
        <v>41297</v>
      </c>
      <c r="C322" s="15">
        <v>2013</v>
      </c>
      <c r="D322" s="11" t="s">
        <v>39</v>
      </c>
      <c r="E322" s="15">
        <v>1</v>
      </c>
      <c r="F322" s="26">
        <v>1.169</v>
      </c>
      <c r="G322" s="27">
        <v>9.547799999999998E-2</v>
      </c>
      <c r="I322" s="27">
        <f>AVERAGE(F321:F322)</f>
        <v>1.417</v>
      </c>
      <c r="J322" s="27">
        <f>AVERAGE(G321:G322)</f>
        <v>9.9711749999999988E-2</v>
      </c>
      <c r="L322">
        <f>+J322/I322</f>
        <v>7.036820748059279E-2</v>
      </c>
      <c r="M322">
        <f>+(L322-$L$614)/$L$615</f>
        <v>1.3074019510857473</v>
      </c>
      <c r="N322">
        <f>+N320+M322</f>
        <v>-0.85770595557572782</v>
      </c>
    </row>
    <row r="323" spans="1:14">
      <c r="A323" s="15">
        <v>9</v>
      </c>
      <c r="B323" s="75">
        <v>41319</v>
      </c>
      <c r="C323" s="15">
        <v>2013</v>
      </c>
      <c r="D323" s="11" t="s">
        <v>28</v>
      </c>
      <c r="E323" s="15">
        <v>2</v>
      </c>
      <c r="F323" s="31">
        <v>2.944</v>
      </c>
      <c r="G323" s="27">
        <v>0.13853750000000001</v>
      </c>
    </row>
    <row r="324" spans="1:14">
      <c r="A324" s="15">
        <v>10</v>
      </c>
      <c r="B324" s="75">
        <v>41319</v>
      </c>
      <c r="C324" s="15">
        <v>2013</v>
      </c>
      <c r="D324" s="11" t="s">
        <v>28</v>
      </c>
      <c r="E324" s="15">
        <v>2</v>
      </c>
      <c r="F324" s="31">
        <v>2.371</v>
      </c>
      <c r="G324" s="27">
        <v>6.0640124999999996E-2</v>
      </c>
      <c r="I324" s="27">
        <f>AVERAGE(F323:F324)</f>
        <v>2.6574999999999998</v>
      </c>
      <c r="J324" s="27">
        <f>AVERAGE(G323:G324)</f>
        <v>9.9588812499999999E-2</v>
      </c>
      <c r="L324">
        <f>+J324/I324</f>
        <v>3.7474623706491066E-2</v>
      </c>
      <c r="M324">
        <f>+(L324-$L$614)/$L$615</f>
        <v>0.30208677756843233</v>
      </c>
      <c r="N324">
        <f>+N322+M324</f>
        <v>-0.55561917800729543</v>
      </c>
    </row>
    <row r="325" spans="1:14">
      <c r="A325" s="15">
        <v>9</v>
      </c>
      <c r="B325" s="75">
        <v>41346</v>
      </c>
      <c r="C325" s="15">
        <v>2013</v>
      </c>
      <c r="D325" s="11" t="s">
        <v>29</v>
      </c>
      <c r="E325" s="15">
        <v>3</v>
      </c>
      <c r="F325" s="31">
        <v>8.3840000000000003</v>
      </c>
      <c r="G325" s="27">
        <v>0</v>
      </c>
    </row>
    <row r="326" spans="1:14">
      <c r="A326" s="15">
        <v>10</v>
      </c>
      <c r="B326" s="75">
        <v>41346</v>
      </c>
      <c r="C326" s="15">
        <v>2013</v>
      </c>
      <c r="D326" s="11" t="s">
        <v>29</v>
      </c>
      <c r="E326" s="15">
        <v>3</v>
      </c>
      <c r="F326" s="31">
        <v>8.6709999999999994</v>
      </c>
      <c r="G326" s="27">
        <v>0</v>
      </c>
      <c r="I326" s="27">
        <f>AVERAGE(F325:F326)</f>
        <v>8.5274999999999999</v>
      </c>
      <c r="J326" s="27">
        <f>AVERAGE(G325:G326)</f>
        <v>0</v>
      </c>
      <c r="L326">
        <f>+J326/I326</f>
        <v>0</v>
      </c>
      <c r="M326">
        <f>+(L326-$L$614)/$L$615</f>
        <v>-0.84323712792979022</v>
      </c>
      <c r="N326">
        <f>+N324+M326</f>
        <v>-1.3988563059370858</v>
      </c>
    </row>
    <row r="327" spans="1:14">
      <c r="A327" s="15">
        <v>9</v>
      </c>
      <c r="B327" s="75">
        <v>41380</v>
      </c>
      <c r="C327" s="15">
        <v>2013</v>
      </c>
      <c r="D327" s="11" t="s">
        <v>30</v>
      </c>
      <c r="E327" s="15">
        <v>4</v>
      </c>
      <c r="F327" s="32">
        <v>0.495</v>
      </c>
      <c r="G327" s="27">
        <v>0</v>
      </c>
    </row>
    <row r="328" spans="1:14">
      <c r="A328" s="15">
        <v>10</v>
      </c>
      <c r="B328" s="75">
        <v>41380</v>
      </c>
      <c r="C328" s="15">
        <v>2013</v>
      </c>
      <c r="D328" s="11" t="s">
        <v>30</v>
      </c>
      <c r="E328" s="15">
        <v>4</v>
      </c>
      <c r="F328" s="32">
        <v>0.755</v>
      </c>
      <c r="G328" s="27">
        <v>0</v>
      </c>
      <c r="I328" s="27"/>
      <c r="J328" s="27"/>
    </row>
    <row r="329" spans="1:14">
      <c r="A329" s="15">
        <v>10</v>
      </c>
      <c r="B329" s="75">
        <v>41380</v>
      </c>
      <c r="C329" s="15">
        <v>2013</v>
      </c>
      <c r="D329" s="11" t="s">
        <v>30</v>
      </c>
      <c r="E329" s="15">
        <v>4</v>
      </c>
      <c r="F329" s="32">
        <v>0.755</v>
      </c>
      <c r="G329" s="27">
        <v>0</v>
      </c>
      <c r="I329" s="27">
        <f>AVERAGE(F327:F329)</f>
        <v>0.66833333333333333</v>
      </c>
      <c r="J329" s="27">
        <f>AVERAGE(G327:G329)</f>
        <v>0</v>
      </c>
      <c r="L329">
        <f>+J329/I329</f>
        <v>0</v>
      </c>
      <c r="M329">
        <f>+(L329-$L$614)/$L$615</f>
        <v>-0.84323712792979022</v>
      </c>
      <c r="N329">
        <f>+N326+M329</f>
        <v>-2.2420934338668759</v>
      </c>
    </row>
    <row r="330" spans="1:14">
      <c r="A330" s="15">
        <v>9</v>
      </c>
      <c r="B330" s="75">
        <v>41407</v>
      </c>
      <c r="C330" s="15">
        <v>2013</v>
      </c>
      <c r="D330" s="11" t="s">
        <v>31</v>
      </c>
      <c r="E330" s="15">
        <v>5</v>
      </c>
      <c r="F330" s="32">
        <v>0.65900000000000003</v>
      </c>
      <c r="G330" s="27">
        <v>1.9669624999999996E-2</v>
      </c>
      <c r="I330" s="27"/>
      <c r="J330" s="27"/>
    </row>
    <row r="331" spans="1:14">
      <c r="A331" s="15">
        <v>10</v>
      </c>
      <c r="B331" s="75">
        <v>41407</v>
      </c>
      <c r="C331" s="15">
        <v>2013</v>
      </c>
      <c r="D331" s="11" t="s">
        <v>31</v>
      </c>
      <c r="E331" s="15">
        <v>5</v>
      </c>
      <c r="F331" s="32">
        <v>2.657</v>
      </c>
      <c r="G331" s="27">
        <v>6.6039374999999997E-2</v>
      </c>
      <c r="I331" s="27">
        <f>AVERAGE(F330:F331)</f>
        <v>1.6579999999999999</v>
      </c>
      <c r="J331" s="27">
        <f>AVERAGE(G330:G331)</f>
        <v>4.2854499999999997E-2</v>
      </c>
      <c r="L331">
        <f>+J331/I331</f>
        <v>2.5847104945717733E-2</v>
      </c>
      <c r="M331">
        <f>+(L331-$L$614)/$L$615</f>
        <v>-5.328103886773515E-2</v>
      </c>
      <c r="N331">
        <f>+N329+M331</f>
        <v>-2.2953744727346108</v>
      </c>
    </row>
    <row r="332" spans="1:14">
      <c r="A332" s="15">
        <v>9</v>
      </c>
      <c r="B332" s="75">
        <v>41437</v>
      </c>
      <c r="C332" s="15">
        <v>2013</v>
      </c>
      <c r="D332" s="11" t="s">
        <v>32</v>
      </c>
      <c r="E332" s="15">
        <v>6</v>
      </c>
      <c r="F332" s="32">
        <v>4.7809999999999997</v>
      </c>
      <c r="G332" s="27">
        <v>6.2047625000000009E-2</v>
      </c>
    </row>
    <row r="333" spans="1:14">
      <c r="A333" s="15">
        <v>10</v>
      </c>
      <c r="B333" s="75">
        <v>41437</v>
      </c>
      <c r="C333" s="15">
        <v>2013</v>
      </c>
      <c r="D333" s="11" t="s">
        <v>32</v>
      </c>
      <c r="E333" s="15">
        <v>6</v>
      </c>
      <c r="F333" s="32">
        <v>3.68</v>
      </c>
      <c r="G333" s="27">
        <v>5.6067874999999989E-2</v>
      </c>
      <c r="I333" s="27">
        <f>AVERAGE(F332:F333)</f>
        <v>4.2305000000000001</v>
      </c>
      <c r="J333" s="27">
        <f>AVERAGE(G332:G333)</f>
        <v>5.9057749999999999E-2</v>
      </c>
      <c r="L333">
        <f>+J333/I333</f>
        <v>1.395999290863964E-2</v>
      </c>
      <c r="M333">
        <f>+(L333-$L$614)/$L$615</f>
        <v>-0.41658271442379946</v>
      </c>
      <c r="N333">
        <f>+N331+M333</f>
        <v>-2.7119571871584105</v>
      </c>
    </row>
    <row r="334" spans="1:14">
      <c r="A334" s="15">
        <v>9</v>
      </c>
      <c r="B334" s="75">
        <v>41470</v>
      </c>
      <c r="C334" s="15">
        <v>2013</v>
      </c>
      <c r="D334" s="11" t="s">
        <v>33</v>
      </c>
      <c r="E334" s="15">
        <v>7</v>
      </c>
      <c r="F334" s="32">
        <v>7.8250000000000002</v>
      </c>
      <c r="G334" s="27">
        <v>0.61174775000000003</v>
      </c>
    </row>
    <row r="335" spans="1:14">
      <c r="A335" s="15">
        <v>10</v>
      </c>
      <c r="B335" s="75">
        <v>41470</v>
      </c>
      <c r="C335" s="15">
        <v>2013</v>
      </c>
      <c r="D335" s="11" t="s">
        <v>33</v>
      </c>
      <c r="E335" s="15">
        <v>7</v>
      </c>
      <c r="F335" s="32">
        <v>10.163</v>
      </c>
      <c r="G335" s="27">
        <v>2.9929784999999995</v>
      </c>
      <c r="I335" s="27">
        <f>AVERAGE(F334:F335)</f>
        <v>8.9939999999999998</v>
      </c>
      <c r="J335" s="27">
        <f>AVERAGE(G334:G335)</f>
        <v>1.8023631249999998</v>
      </c>
      <c r="L335">
        <f>+J335/I335</f>
        <v>0.20039616688903714</v>
      </c>
      <c r="M335">
        <f>+(L335-$L$614)/$L$615</f>
        <v>5.2814013022212816</v>
      </c>
      <c r="N335">
        <f>+N333+M335</f>
        <v>2.5694441150628711</v>
      </c>
    </row>
    <row r="336" spans="1:14">
      <c r="A336" s="15">
        <v>9</v>
      </c>
      <c r="B336" s="75">
        <v>41498</v>
      </c>
      <c r="C336" s="15">
        <v>2013</v>
      </c>
      <c r="D336" s="11" t="s">
        <v>34</v>
      </c>
      <c r="E336" s="15">
        <v>8</v>
      </c>
      <c r="F336" s="32">
        <v>3.544</v>
      </c>
      <c r="G336" s="27">
        <v>8.8444749999999989E-2</v>
      </c>
    </row>
    <row r="337" spans="1:14">
      <c r="A337" s="15">
        <v>10</v>
      </c>
      <c r="B337" s="75">
        <v>41498</v>
      </c>
      <c r="C337" s="15">
        <v>2013</v>
      </c>
      <c r="D337" s="11" t="s">
        <v>34</v>
      </c>
      <c r="E337" s="15">
        <v>8</v>
      </c>
      <c r="F337" s="32">
        <v>3.4510000000000001</v>
      </c>
      <c r="G337" s="27">
        <v>0.13545699999999999</v>
      </c>
      <c r="I337" s="27">
        <f>AVERAGE(F336:F337)</f>
        <v>3.4975000000000001</v>
      </c>
      <c r="J337" s="27">
        <f>AVERAGE(G336:G337)</f>
        <v>0.11195087499999999</v>
      </c>
      <c r="L337">
        <f>+J337/I337</f>
        <v>3.2008827734095781E-2</v>
      </c>
      <c r="M337">
        <f>+(L337-$L$614)/$L$615</f>
        <v>0.13503755410482499</v>
      </c>
      <c r="N337">
        <f>+N335+M337</f>
        <v>2.7044816691676958</v>
      </c>
    </row>
    <row r="338" spans="1:14">
      <c r="A338" s="15">
        <v>9</v>
      </c>
      <c r="B338" s="75">
        <v>41535</v>
      </c>
      <c r="C338" s="15">
        <v>2013</v>
      </c>
      <c r="D338" s="11" t="s">
        <v>40</v>
      </c>
      <c r="E338" s="15">
        <v>9</v>
      </c>
      <c r="F338" s="32">
        <v>1.6279999999999999</v>
      </c>
      <c r="G338" s="27">
        <v>0</v>
      </c>
    </row>
    <row r="339" spans="1:14">
      <c r="A339" s="15">
        <v>10</v>
      </c>
      <c r="B339" s="75">
        <v>41535</v>
      </c>
      <c r="C339" s="15">
        <v>2013</v>
      </c>
      <c r="D339" s="11" t="s">
        <v>40</v>
      </c>
      <c r="E339" s="15">
        <v>9</v>
      </c>
      <c r="F339" s="32">
        <v>1.2649999999999999</v>
      </c>
      <c r="G339" s="27">
        <v>0</v>
      </c>
      <c r="I339" s="27">
        <f>AVERAGE(F338:F339)</f>
        <v>1.4464999999999999</v>
      </c>
      <c r="J339" s="27">
        <f>AVERAGE(G338:G339)</f>
        <v>0</v>
      </c>
      <c r="L339">
        <f>+J339/I339</f>
        <v>0</v>
      </c>
      <c r="M339">
        <f>+(L339-$L$614)/$L$615</f>
        <v>-0.84323712792979022</v>
      </c>
      <c r="N339">
        <f>+N337+M339</f>
        <v>1.8612445412379057</v>
      </c>
    </row>
    <row r="340" spans="1:14">
      <c r="A340" s="15">
        <v>9</v>
      </c>
      <c r="B340" s="75">
        <v>406810</v>
      </c>
      <c r="C340" s="15">
        <v>2013</v>
      </c>
      <c r="D340" s="11" t="s">
        <v>36</v>
      </c>
      <c r="E340" s="15">
        <v>10</v>
      </c>
      <c r="F340" s="26">
        <v>0.60099999999999998</v>
      </c>
      <c r="G340" s="27">
        <v>0</v>
      </c>
    </row>
    <row r="341" spans="1:14">
      <c r="A341" s="15">
        <v>10</v>
      </c>
      <c r="B341" s="75">
        <v>406810</v>
      </c>
      <c r="C341" s="15">
        <v>2013</v>
      </c>
      <c r="D341" s="11" t="s">
        <v>36</v>
      </c>
      <c r="E341" s="15">
        <v>10</v>
      </c>
      <c r="F341" s="26">
        <v>0.93</v>
      </c>
      <c r="G341" s="27">
        <v>0</v>
      </c>
      <c r="I341" s="27">
        <f>AVERAGE(F340:F341)</f>
        <v>0.76550000000000007</v>
      </c>
      <c r="J341" s="27">
        <f>AVERAGE(G340:G341)</f>
        <v>0</v>
      </c>
      <c r="L341">
        <f>+J341/I341</f>
        <v>0</v>
      </c>
      <c r="M341">
        <f>+(L341-$L$614)/$L$615</f>
        <v>-0.84323712792979022</v>
      </c>
      <c r="N341">
        <f>+N339+M341</f>
        <v>1.0180074133081156</v>
      </c>
    </row>
    <row r="342" spans="1:14">
      <c r="A342" s="15">
        <v>9</v>
      </c>
      <c r="B342" s="75">
        <v>41599</v>
      </c>
      <c r="C342" s="15">
        <v>2013</v>
      </c>
      <c r="D342" s="11" t="s">
        <v>37</v>
      </c>
      <c r="E342" s="15">
        <v>11</v>
      </c>
      <c r="F342" s="26">
        <v>0.249</v>
      </c>
      <c r="G342" s="27">
        <v>0</v>
      </c>
    </row>
    <row r="343" spans="1:14">
      <c r="A343" s="15">
        <v>10</v>
      </c>
      <c r="B343" s="75">
        <v>41599</v>
      </c>
      <c r="C343" s="15">
        <v>2013</v>
      </c>
      <c r="D343" s="11" t="s">
        <v>37</v>
      </c>
      <c r="E343" s="15">
        <v>11</v>
      </c>
      <c r="F343" s="26">
        <v>0.36599999999999999</v>
      </c>
      <c r="G343" s="27">
        <v>0</v>
      </c>
      <c r="I343" s="27">
        <f>AVERAGE(F342:F343)</f>
        <v>0.3075</v>
      </c>
      <c r="J343" s="27">
        <f>AVERAGE(G342:G343)</f>
        <v>0</v>
      </c>
      <c r="L343">
        <f>+J343/I343</f>
        <v>0</v>
      </c>
      <c r="M343">
        <f>+(L343-$L$614)/$L$615</f>
        <v>-0.84323712792979022</v>
      </c>
      <c r="N343">
        <f>+N341+M343</f>
        <v>0.1747702853783254</v>
      </c>
    </row>
    <row r="344" spans="1:14">
      <c r="A344" s="15">
        <v>9</v>
      </c>
      <c r="B344" s="75">
        <v>41627</v>
      </c>
      <c r="C344" s="15">
        <v>2013</v>
      </c>
      <c r="D344" s="11" t="s">
        <v>38</v>
      </c>
      <c r="E344" s="15">
        <v>12</v>
      </c>
      <c r="F344" s="26">
        <v>0.96</v>
      </c>
      <c r="G344" s="27">
        <v>0.106555</v>
      </c>
    </row>
    <row r="345" spans="1:14">
      <c r="A345" s="15">
        <v>10</v>
      </c>
      <c r="B345" s="75">
        <v>41627</v>
      </c>
      <c r="C345" s="15">
        <v>2013</v>
      </c>
      <c r="D345" s="11" t="s">
        <v>38</v>
      </c>
      <c r="E345" s="15">
        <v>12</v>
      </c>
      <c r="F345" s="26">
        <v>1.0349999999999999</v>
      </c>
      <c r="G345" s="27">
        <v>0.10052262499999999</v>
      </c>
      <c r="I345" s="27">
        <f>AVERAGE(F344:F345)</f>
        <v>0.99749999999999994</v>
      </c>
      <c r="J345" s="27">
        <f>AVERAGE(G344:G345)</f>
        <v>0.10353881249999999</v>
      </c>
      <c r="L345">
        <f>+J345/I345</f>
        <v>0.1037983082706767</v>
      </c>
      <c r="M345">
        <f>+(L345-$L$614)/$L$615</f>
        <v>2.3291145077742383</v>
      </c>
      <c r="N345">
        <f>+N343+M345</f>
        <v>2.5038847931525638</v>
      </c>
    </row>
    <row r="346" spans="1:14">
      <c r="A346" s="15">
        <v>9</v>
      </c>
      <c r="B346" s="75">
        <v>41655</v>
      </c>
      <c r="C346" s="15">
        <v>2014</v>
      </c>
      <c r="D346" s="11" t="s">
        <v>39</v>
      </c>
      <c r="E346" s="15">
        <v>1</v>
      </c>
      <c r="F346" s="26">
        <v>1.9850000000000001</v>
      </c>
      <c r="G346" s="27">
        <v>6.830512499999998E-2</v>
      </c>
    </row>
    <row r="347" spans="1:14">
      <c r="A347" s="15">
        <v>10</v>
      </c>
      <c r="B347" s="75">
        <v>41655</v>
      </c>
      <c r="C347" s="15">
        <v>2014</v>
      </c>
      <c r="D347" s="11" t="s">
        <v>39</v>
      </c>
      <c r="E347" s="15">
        <v>1</v>
      </c>
      <c r="F347" s="26">
        <v>1.8129999999999999</v>
      </c>
      <c r="G347" s="27">
        <v>6.598649999999999E-2</v>
      </c>
      <c r="I347" s="27">
        <f>AVERAGE(F346:F347)</f>
        <v>1.899</v>
      </c>
      <c r="J347" s="27">
        <f>AVERAGE(G346:G347)</f>
        <v>6.7145812499999985E-2</v>
      </c>
      <c r="L347">
        <f>+J347/I347</f>
        <v>3.5358511058451808E-2</v>
      </c>
      <c r="M347">
        <f>+(L347-$L$614)/$L$615</f>
        <v>0.23741276185292015</v>
      </c>
      <c r="N347">
        <f>+N345+M347</f>
        <v>2.7412975550054841</v>
      </c>
    </row>
    <row r="348" spans="1:14">
      <c r="A348" s="15">
        <v>9</v>
      </c>
      <c r="B348" s="75">
        <v>41690</v>
      </c>
      <c r="C348" s="15">
        <v>2014</v>
      </c>
      <c r="D348" s="11" t="s">
        <v>28</v>
      </c>
      <c r="E348" s="15">
        <v>2</v>
      </c>
      <c r="F348" s="26">
        <v>3.0960000000000001</v>
      </c>
      <c r="G348" s="27">
        <v>3.5241124999999991E-2</v>
      </c>
    </row>
    <row r="349" spans="1:14">
      <c r="A349" s="15">
        <v>10</v>
      </c>
      <c r="B349" s="75">
        <v>41690</v>
      </c>
      <c r="C349" s="15">
        <v>2014</v>
      </c>
      <c r="D349" s="11" t="s">
        <v>28</v>
      </c>
      <c r="E349" s="15">
        <v>2</v>
      </c>
      <c r="F349" s="26">
        <v>4.5090000000000003</v>
      </c>
      <c r="G349" s="27">
        <v>0.18684400000000001</v>
      </c>
      <c r="I349" s="27">
        <f>AVERAGE(F348:F349)</f>
        <v>3.8025000000000002</v>
      </c>
      <c r="J349" s="27">
        <f>AVERAGE(G348:G349)</f>
        <v>0.1110425625</v>
      </c>
      <c r="L349">
        <f>+J349/I349</f>
        <v>2.9202514792899405E-2</v>
      </c>
      <c r="M349">
        <f>+(L349-$L$614)/$L$615</f>
        <v>4.9269186608061871E-2</v>
      </c>
      <c r="N349">
        <f>+N347+M349</f>
        <v>2.7905667416135458</v>
      </c>
    </row>
    <row r="350" spans="1:14">
      <c r="A350" s="15">
        <v>9</v>
      </c>
      <c r="B350" s="75">
        <v>41718</v>
      </c>
      <c r="C350" s="15">
        <v>2014</v>
      </c>
      <c r="D350" s="11" t="s">
        <v>29</v>
      </c>
      <c r="E350" s="15">
        <v>3</v>
      </c>
      <c r="F350" s="26">
        <v>6.6929999999999996</v>
      </c>
      <c r="G350" s="27">
        <v>0.183051625</v>
      </c>
    </row>
    <row r="351" spans="1:14">
      <c r="A351" s="15">
        <v>10</v>
      </c>
      <c r="B351" s="75">
        <v>41718</v>
      </c>
      <c r="C351" s="15">
        <v>2014</v>
      </c>
      <c r="D351" s="11" t="s">
        <v>29</v>
      </c>
      <c r="E351" s="15">
        <v>3</v>
      </c>
      <c r="F351" s="26">
        <v>4.5419999999999998</v>
      </c>
      <c r="G351" s="27">
        <v>8.6282624999999988E-2</v>
      </c>
      <c r="I351" s="27">
        <f>AVERAGE(F350:F351)</f>
        <v>5.6174999999999997</v>
      </c>
      <c r="J351" s="27">
        <f>AVERAGE(G350:G351)</f>
        <v>0.134667125</v>
      </c>
      <c r="L351">
        <f>+J351/I351</f>
        <v>2.397278593680463E-2</v>
      </c>
      <c r="M351">
        <f>+(L351-$L$614)/$L$615</f>
        <v>-0.11056519959077069</v>
      </c>
      <c r="N351">
        <f>+N349+M351</f>
        <v>2.680001542022775</v>
      </c>
    </row>
    <row r="352" spans="1:14">
      <c r="A352" s="15">
        <v>9</v>
      </c>
      <c r="B352" s="75">
        <v>41750</v>
      </c>
      <c r="C352" s="15">
        <v>2014</v>
      </c>
      <c r="D352" s="11" t="s">
        <v>30</v>
      </c>
      <c r="E352" s="15">
        <v>4</v>
      </c>
      <c r="F352" s="33">
        <v>2.2000000000000002</v>
      </c>
      <c r="G352" s="27">
        <v>7.7988125000000005E-2</v>
      </c>
    </row>
    <row r="353" spans="1:14">
      <c r="A353" s="15">
        <v>10</v>
      </c>
      <c r="B353" s="75">
        <v>41750</v>
      </c>
      <c r="C353" s="15">
        <v>2014</v>
      </c>
      <c r="D353" s="11" t="s">
        <v>30</v>
      </c>
      <c r="E353" s="15">
        <v>4</v>
      </c>
      <c r="F353" s="33">
        <v>1.27</v>
      </c>
      <c r="G353" s="27">
        <v>3.6122624999999992E-2</v>
      </c>
      <c r="I353" s="27">
        <f>AVERAGE(F352:F353)</f>
        <v>1.7350000000000001</v>
      </c>
      <c r="J353" s="27">
        <f>AVERAGE(G352:G353)</f>
        <v>5.7055374999999998E-2</v>
      </c>
      <c r="L353">
        <f>+J353/I353</f>
        <v>3.2884942363112388E-2</v>
      </c>
      <c r="M353">
        <f>+(L353-$L$614)/$L$615</f>
        <v>0.16181394114552047</v>
      </c>
      <c r="N353">
        <f>+N351+M353</f>
        <v>2.8418154831682956</v>
      </c>
    </row>
    <row r="354" spans="1:14">
      <c r="A354" s="15">
        <v>9</v>
      </c>
      <c r="B354" s="75">
        <v>41406</v>
      </c>
      <c r="C354" s="15">
        <v>2014</v>
      </c>
      <c r="D354" s="11" t="s">
        <v>31</v>
      </c>
      <c r="E354" s="15">
        <v>5</v>
      </c>
      <c r="F354" s="33">
        <v>0.90700000000000003</v>
      </c>
      <c r="G354" s="27">
        <v>0</v>
      </c>
    </row>
    <row r="355" spans="1:14">
      <c r="A355" s="15">
        <v>10</v>
      </c>
      <c r="B355" s="75">
        <v>41406</v>
      </c>
      <c r="C355" s="15">
        <v>2014</v>
      </c>
      <c r="D355" s="11" t="s">
        <v>31</v>
      </c>
      <c r="E355" s="15">
        <v>5</v>
      </c>
      <c r="F355" s="33">
        <v>3.2</v>
      </c>
      <c r="G355" s="27">
        <v>0.12266775000000001</v>
      </c>
      <c r="I355" s="27">
        <f>AVERAGE(F354:F355)</f>
        <v>2.0535000000000001</v>
      </c>
      <c r="J355" s="27">
        <f>AVERAGE(G354:G355)</f>
        <v>6.1333875000000003E-2</v>
      </c>
      <c r="L355">
        <f>+J355/I355</f>
        <v>2.9867969320672025E-2</v>
      </c>
      <c r="M355">
        <f>+(L355-$L$614)/$L$615</f>
        <v>6.9607242158650287E-2</v>
      </c>
      <c r="N355">
        <f>+N353+M355</f>
        <v>2.911422725326946</v>
      </c>
    </row>
    <row r="356" spans="1:14">
      <c r="A356" s="15">
        <v>9</v>
      </c>
      <c r="B356" s="75">
        <v>41807</v>
      </c>
      <c r="C356" s="15">
        <v>2014</v>
      </c>
      <c r="D356" s="11" t="s">
        <v>32</v>
      </c>
      <c r="E356" s="15">
        <v>6</v>
      </c>
      <c r="F356" s="33">
        <v>3.6440000000000001</v>
      </c>
      <c r="G356" s="27">
        <v>8.2667749999999984E-2</v>
      </c>
    </row>
    <row r="357" spans="1:14">
      <c r="A357" s="15">
        <v>10</v>
      </c>
      <c r="B357" s="75">
        <v>41807</v>
      </c>
      <c r="C357" s="15">
        <v>2014</v>
      </c>
      <c r="D357" s="11" t="s">
        <v>32</v>
      </c>
      <c r="E357" s="15">
        <v>6</v>
      </c>
      <c r="F357" s="33">
        <v>5.5940000000000003</v>
      </c>
      <c r="G357" s="27">
        <v>3.141737499999999E-2</v>
      </c>
      <c r="I357" s="27">
        <f>AVERAGE(F356:F357)</f>
        <v>4.6189999999999998</v>
      </c>
      <c r="J357" s="27">
        <f>AVERAGE(G356:G357)</f>
        <v>5.7042562499999991E-2</v>
      </c>
      <c r="L357">
        <f>+J357/I357</f>
        <v>1.2349548062351157E-2</v>
      </c>
      <c r="M357">
        <f>+(L357-$L$614)/$L$615</f>
        <v>-0.46580218078554236</v>
      </c>
      <c r="N357">
        <f>+N355+M357</f>
        <v>2.4456205445414039</v>
      </c>
    </row>
    <row r="358" spans="1:14">
      <c r="A358" s="15">
        <v>9</v>
      </c>
      <c r="B358" s="75">
        <v>41837</v>
      </c>
      <c r="C358" s="15">
        <v>2014</v>
      </c>
      <c r="D358" s="11" t="s">
        <v>33</v>
      </c>
      <c r="E358" s="15">
        <v>7</v>
      </c>
      <c r="F358" s="33">
        <v>5.2190000000000003</v>
      </c>
      <c r="G358" s="27">
        <v>0.13660899999999998</v>
      </c>
    </row>
    <row r="359" spans="1:14">
      <c r="A359" s="15">
        <v>10</v>
      </c>
      <c r="B359" s="75">
        <v>41837</v>
      </c>
      <c r="C359" s="15">
        <v>2014</v>
      </c>
      <c r="D359" s="11" t="s">
        <v>33</v>
      </c>
      <c r="E359" s="15">
        <v>7</v>
      </c>
      <c r="F359" s="33">
        <v>6.8840000000000003</v>
      </c>
      <c r="G359" s="27">
        <v>5.9347124999999994E-2</v>
      </c>
      <c r="I359" s="27">
        <f>AVERAGE(F358:F359)</f>
        <v>6.0515000000000008</v>
      </c>
      <c r="J359" s="27">
        <f>AVERAGE(G358:G359)</f>
        <v>9.7978062499999991E-2</v>
      </c>
      <c r="L359">
        <f>+J359/I359</f>
        <v>1.6190706849541433E-2</v>
      </c>
      <c r="M359">
        <f>+(L359-$L$614)/$L$615</f>
        <v>-0.34840617920750494</v>
      </c>
      <c r="N359">
        <f>+N357+M359</f>
        <v>2.0972143653338988</v>
      </c>
    </row>
    <row r="360" spans="1:14">
      <c r="A360" s="15">
        <v>9</v>
      </c>
      <c r="B360" s="75">
        <v>41862</v>
      </c>
      <c r="C360" s="15">
        <v>2014</v>
      </c>
      <c r="D360" s="11" t="s">
        <v>34</v>
      </c>
      <c r="E360" s="15">
        <v>8</v>
      </c>
      <c r="F360" s="33">
        <v>9.9480000000000004</v>
      </c>
      <c r="G360" s="27">
        <v>0.42253825</v>
      </c>
    </row>
    <row r="361" spans="1:14">
      <c r="A361" s="15">
        <v>10</v>
      </c>
      <c r="B361" s="75">
        <v>41862</v>
      </c>
      <c r="C361" s="15">
        <v>2014</v>
      </c>
      <c r="D361" s="11" t="s">
        <v>34</v>
      </c>
      <c r="E361" s="15">
        <v>8</v>
      </c>
      <c r="F361" s="33">
        <v>6.9889999999999999</v>
      </c>
      <c r="G361" s="27">
        <v>0.154294875</v>
      </c>
      <c r="I361" s="27">
        <f>AVERAGE(F360:F361)</f>
        <v>8.4685000000000006</v>
      </c>
      <c r="J361" s="27">
        <f>AVERAGE(G360:G361)</f>
        <v>0.28841656250000003</v>
      </c>
      <c r="L361">
        <f>+J361/I361</f>
        <v>3.4057573655310862E-2</v>
      </c>
      <c r="M361">
        <f>+(L361-$L$614)/$L$615</f>
        <v>0.19765266395189657</v>
      </c>
      <c r="N361">
        <f>+N359+M361</f>
        <v>2.2948670292857956</v>
      </c>
    </row>
    <row r="362" spans="1:14">
      <c r="A362" s="15">
        <v>9</v>
      </c>
      <c r="B362" s="75">
        <v>41897</v>
      </c>
      <c r="C362" s="15">
        <v>2014</v>
      </c>
      <c r="D362" s="11" t="s">
        <v>40</v>
      </c>
      <c r="E362" s="15">
        <v>9</v>
      </c>
      <c r="F362" s="33">
        <v>1.9710000000000001</v>
      </c>
      <c r="G362" s="27">
        <v>5.0098124999999993E-2</v>
      </c>
    </row>
    <row r="363" spans="1:14">
      <c r="A363" s="15">
        <v>10</v>
      </c>
      <c r="B363" s="75">
        <v>41897</v>
      </c>
      <c r="C363" s="15">
        <v>2014</v>
      </c>
      <c r="D363" s="11" t="s">
        <v>40</v>
      </c>
      <c r="E363" s="15">
        <v>9</v>
      </c>
      <c r="F363" s="33">
        <v>2.0739999999999998</v>
      </c>
      <c r="G363" s="27">
        <v>0</v>
      </c>
      <c r="I363" s="27">
        <f>AVERAGE(F362:F363)</f>
        <v>2.0225</v>
      </c>
      <c r="J363" s="27">
        <f>AVERAGE(G362:G363)</f>
        <v>2.5049062499999997E-2</v>
      </c>
      <c r="L363">
        <f>+J363/I363</f>
        <v>1.2385197775030901E-2</v>
      </c>
      <c r="M363">
        <f>+(L363-$L$614)/$L$615</f>
        <v>-0.46471263100177279</v>
      </c>
      <c r="N363">
        <f>+N361+M363</f>
        <v>1.8301543982840227</v>
      </c>
    </row>
    <row r="364" spans="1:14">
      <c r="A364" s="15">
        <v>9</v>
      </c>
      <c r="B364" s="75">
        <v>41928</v>
      </c>
      <c r="C364" s="15">
        <v>2014</v>
      </c>
      <c r="D364" s="11" t="s">
        <v>36</v>
      </c>
      <c r="E364" s="15">
        <v>10</v>
      </c>
      <c r="F364" s="26">
        <v>1.5629999999999999</v>
      </c>
      <c r="G364" s="27">
        <v>0</v>
      </c>
    </row>
    <row r="365" spans="1:14">
      <c r="A365" s="15">
        <v>10</v>
      </c>
      <c r="B365" s="75">
        <v>41928</v>
      </c>
      <c r="C365" s="15">
        <v>2014</v>
      </c>
      <c r="D365" s="11" t="s">
        <v>36</v>
      </c>
      <c r="E365" s="15">
        <v>10</v>
      </c>
      <c r="F365" s="26">
        <v>1.704</v>
      </c>
      <c r="G365" s="27">
        <v>0</v>
      </c>
      <c r="I365" s="27">
        <f>AVERAGE(F364:F365)</f>
        <v>1.6335</v>
      </c>
      <c r="J365" s="27">
        <f>AVERAGE(G364:G365)</f>
        <v>0</v>
      </c>
      <c r="L365">
        <f>+J365/I365</f>
        <v>0</v>
      </c>
      <c r="M365">
        <f>+(L365-$L$614)/$L$615</f>
        <v>-0.84323712792979022</v>
      </c>
      <c r="N365">
        <f>+N363+M365</f>
        <v>0.98691727035423249</v>
      </c>
    </row>
    <row r="366" spans="1:14">
      <c r="A366" s="15">
        <v>9</v>
      </c>
      <c r="B366" s="75">
        <v>41955</v>
      </c>
      <c r="C366" s="15">
        <v>2014</v>
      </c>
      <c r="D366" s="11" t="s">
        <v>37</v>
      </c>
      <c r="E366" s="15">
        <v>11</v>
      </c>
      <c r="F366" s="26">
        <v>0.51700000000000002</v>
      </c>
      <c r="G366" s="27">
        <v>0</v>
      </c>
    </row>
    <row r="367" spans="1:14">
      <c r="A367" s="15">
        <v>10</v>
      </c>
      <c r="B367" s="75">
        <v>41955</v>
      </c>
      <c r="C367" s="15">
        <v>2014</v>
      </c>
      <c r="D367" s="11" t="s">
        <v>37</v>
      </c>
      <c r="E367" s="15">
        <v>11</v>
      </c>
      <c r="F367" s="26">
        <v>0.57899999999999996</v>
      </c>
      <c r="G367" s="27">
        <v>0</v>
      </c>
      <c r="I367" s="27">
        <f>AVERAGE(F366:F367)</f>
        <v>0.54800000000000004</v>
      </c>
      <c r="J367" s="27">
        <f>AVERAGE(G366:G367)</f>
        <v>0</v>
      </c>
      <c r="L367">
        <f>+J367/I367</f>
        <v>0</v>
      </c>
      <c r="M367">
        <f>+(L367-$L$614)/$L$615</f>
        <v>-0.84323712792979022</v>
      </c>
      <c r="N367">
        <f>+N365+M367</f>
        <v>0.14368014242444227</v>
      </c>
    </row>
    <row r="368" spans="1:14">
      <c r="A368" s="15">
        <v>9</v>
      </c>
      <c r="B368" s="75">
        <v>41992</v>
      </c>
      <c r="C368" s="15">
        <v>2014</v>
      </c>
      <c r="D368" s="11" t="s">
        <v>38</v>
      </c>
      <c r="E368" s="15">
        <v>12</v>
      </c>
      <c r="F368" s="26">
        <v>0.72499999999999998</v>
      </c>
      <c r="G368" s="27">
        <v>8.8569499999999968E-2</v>
      </c>
    </row>
    <row r="369" spans="1:14">
      <c r="A369" s="15">
        <v>10</v>
      </c>
      <c r="B369" s="75">
        <v>41992</v>
      </c>
      <c r="C369" s="15">
        <v>2014</v>
      </c>
      <c r="D369" s="11" t="s">
        <v>38</v>
      </c>
      <c r="E369" s="15">
        <v>12</v>
      </c>
      <c r="F369" s="26">
        <v>1.506</v>
      </c>
      <c r="G369" s="27">
        <v>0.29615825000000001</v>
      </c>
      <c r="I369" s="27">
        <f>AVERAGE(F368:F369)</f>
        <v>1.1154999999999999</v>
      </c>
      <c r="J369" s="27">
        <f>AVERAGE(G368:G369)</f>
        <v>0.19236387499999999</v>
      </c>
      <c r="L369">
        <f>+J369/I369</f>
        <v>0.17244632451815328</v>
      </c>
      <c r="M369">
        <f>+(L369-$L$614)/$L$615</f>
        <v>4.4271799797337774</v>
      </c>
      <c r="N369">
        <f>+N367+M369</f>
        <v>4.5708601221582192</v>
      </c>
    </row>
    <row r="370" spans="1:14">
      <c r="A370" s="8">
        <v>9</v>
      </c>
      <c r="B370" s="70">
        <v>42014</v>
      </c>
      <c r="E370" s="15">
        <v>1</v>
      </c>
      <c r="F370" s="80">
        <v>3.976</v>
      </c>
      <c r="G370" s="80">
        <v>5.0999999999999997E-2</v>
      </c>
    </row>
    <row r="371" spans="1:14">
      <c r="A371" s="8">
        <v>10</v>
      </c>
      <c r="B371" s="70">
        <v>42009</v>
      </c>
      <c r="E371" s="15">
        <v>1</v>
      </c>
      <c r="F371" s="80">
        <v>6.22</v>
      </c>
      <c r="G371" s="80">
        <v>9.1999999999999998E-2</v>
      </c>
      <c r="I371" s="27">
        <f>AVERAGE(F370:F371)</f>
        <v>5.0979999999999999</v>
      </c>
      <c r="J371" s="27">
        <f>AVERAGE(G370:G371)</f>
        <v>7.1499999999999994E-2</v>
      </c>
      <c r="L371">
        <f>+J371/I371</f>
        <v>1.4025107885445271E-2</v>
      </c>
      <c r="M371">
        <f>+(L371-$L$614)/$L$615</f>
        <v>-0.41459262800890817</v>
      </c>
      <c r="N371">
        <f>+N369+M371</f>
        <v>4.1562674941493114</v>
      </c>
    </row>
    <row r="372" spans="1:14">
      <c r="A372" s="8">
        <v>9</v>
      </c>
      <c r="B372" s="71">
        <v>42036</v>
      </c>
      <c r="E372" s="15">
        <v>2</v>
      </c>
    </row>
    <row r="373" spans="1:14">
      <c r="A373" s="8">
        <v>10</v>
      </c>
      <c r="B373" s="71">
        <v>42036</v>
      </c>
      <c r="E373" s="15">
        <v>2</v>
      </c>
      <c r="I373" s="27"/>
      <c r="J373" s="27"/>
    </row>
    <row r="374" spans="1:14">
      <c r="A374" s="8">
        <v>9</v>
      </c>
      <c r="B374" s="71">
        <v>42064</v>
      </c>
      <c r="E374" s="15">
        <v>3</v>
      </c>
      <c r="F374" s="80">
        <v>9.702</v>
      </c>
      <c r="G374" s="80">
        <v>7.3999999999999996E-2</v>
      </c>
    </row>
    <row r="375" spans="1:14">
      <c r="A375" s="8">
        <v>10</v>
      </c>
      <c r="B375" s="71">
        <v>42064</v>
      </c>
      <c r="E375" s="15">
        <v>3</v>
      </c>
      <c r="F375" s="80">
        <v>9.532</v>
      </c>
      <c r="G375" s="80">
        <v>0.05</v>
      </c>
      <c r="I375" s="27">
        <f>AVERAGE(F374:F375)</f>
        <v>9.6170000000000009</v>
      </c>
      <c r="J375" s="27">
        <f>AVERAGE(G374:G375)</f>
        <v>6.2E-2</v>
      </c>
      <c r="L375">
        <f>+J375/I375</f>
        <v>6.4469169179577823E-3</v>
      </c>
      <c r="M375">
        <f>+(L375-$L$614)/$L$615</f>
        <v>-0.64620224585253527</v>
      </c>
      <c r="N375">
        <f>+N371+M375</f>
        <v>3.510065248296776</v>
      </c>
    </row>
    <row r="376" spans="1:14">
      <c r="A376" s="8">
        <v>9</v>
      </c>
      <c r="B376" s="71">
        <v>42095</v>
      </c>
      <c r="E376" s="15">
        <v>4</v>
      </c>
      <c r="F376" s="80">
        <v>1.2410000000000001</v>
      </c>
      <c r="G376" s="80">
        <v>8.0000000000000002E-3</v>
      </c>
    </row>
    <row r="377" spans="1:14">
      <c r="A377" s="8">
        <v>10</v>
      </c>
      <c r="B377" s="71">
        <v>42095</v>
      </c>
      <c r="E377" s="15">
        <v>4</v>
      </c>
      <c r="F377" s="80">
        <v>1.5940000000000001</v>
      </c>
      <c r="G377" s="80">
        <v>8.9999999999999993E-3</v>
      </c>
      <c r="I377" s="27">
        <f>AVERAGE(F376:F377)</f>
        <v>1.4175</v>
      </c>
      <c r="J377" s="27">
        <f>AVERAGE(G376:G377)</f>
        <v>8.5000000000000006E-3</v>
      </c>
      <c r="L377">
        <f>+J377/I377</f>
        <v>5.99647266313933E-3</v>
      </c>
      <c r="M377">
        <f>+(L377-$L$614)/$L$615</f>
        <v>-0.6599690171263064</v>
      </c>
      <c r="N377">
        <f>+N375+M377</f>
        <v>2.8500962311704696</v>
      </c>
    </row>
    <row r="378" spans="1:14">
      <c r="A378" s="8">
        <v>9</v>
      </c>
      <c r="B378" s="71">
        <v>42125</v>
      </c>
      <c r="E378" s="15">
        <v>5</v>
      </c>
      <c r="F378" s="80">
        <v>2.585</v>
      </c>
      <c r="G378" s="80">
        <v>1.9E-2</v>
      </c>
    </row>
    <row r="379" spans="1:14">
      <c r="A379" s="8">
        <v>10</v>
      </c>
      <c r="B379" s="71">
        <v>42125</v>
      </c>
      <c r="E379" s="15">
        <v>5</v>
      </c>
      <c r="F379" s="80">
        <v>1.6220000000000001</v>
      </c>
      <c r="G379" s="80">
        <v>9.9989999999999996E-4</v>
      </c>
      <c r="I379" s="27">
        <f>AVERAGE(F378:F379)</f>
        <v>2.1034999999999999</v>
      </c>
      <c r="J379" s="27">
        <f>AVERAGE(G378:G379)</f>
        <v>9.9999500000000005E-3</v>
      </c>
      <c r="L379">
        <f>+J379/I379</f>
        <v>4.7539576895650115E-3</v>
      </c>
      <c r="M379">
        <f>+(L379-$L$614)/$L$615</f>
        <v>-0.69794357060868506</v>
      </c>
      <c r="N379">
        <f>+N377+M379</f>
        <v>2.1521526605617844</v>
      </c>
    </row>
    <row r="380" spans="1:14">
      <c r="A380" s="8">
        <v>9</v>
      </c>
      <c r="B380" s="71">
        <v>42156</v>
      </c>
      <c r="E380" s="15">
        <v>6</v>
      </c>
      <c r="F380" s="80">
        <v>5.1520000000000001</v>
      </c>
      <c r="G380" s="80">
        <v>0.219</v>
      </c>
    </row>
    <row r="381" spans="1:14">
      <c r="A381" s="8">
        <v>10</v>
      </c>
      <c r="B381" s="71">
        <v>42156</v>
      </c>
      <c r="E381" s="15">
        <v>6</v>
      </c>
      <c r="F381" s="80">
        <v>4.38</v>
      </c>
      <c r="G381" s="80">
        <v>7.5999999999999998E-2</v>
      </c>
      <c r="I381" s="27">
        <f>AVERAGE(F380:F381)</f>
        <v>4.766</v>
      </c>
      <c r="J381" s="27">
        <f>AVERAGE(G380:G381)</f>
        <v>0.14749999999999999</v>
      </c>
      <c r="L381">
        <f>+J381/I381</f>
        <v>3.0948384389425092E-2</v>
      </c>
      <c r="M381">
        <f>+(L381-$L$614)/$L$615</f>
        <v>0.10262759256417166</v>
      </c>
      <c r="N381">
        <f>+N379+M381</f>
        <v>2.254780253125956</v>
      </c>
    </row>
    <row r="382" spans="1:14">
      <c r="A382" s="8">
        <v>9</v>
      </c>
      <c r="B382" s="71">
        <v>42186</v>
      </c>
      <c r="E382" s="15">
        <v>7</v>
      </c>
      <c r="F382" s="80">
        <v>11.952999999999999</v>
      </c>
      <c r="G382" s="80">
        <v>0.97799999999999998</v>
      </c>
    </row>
    <row r="383" spans="1:14">
      <c r="A383" s="8">
        <v>10</v>
      </c>
      <c r="B383" s="71">
        <v>42186</v>
      </c>
      <c r="E383" s="15">
        <v>7</v>
      </c>
      <c r="F383" s="80">
        <v>4.7160000000000002</v>
      </c>
      <c r="G383" s="80">
        <v>0.49099999999999999</v>
      </c>
      <c r="I383" s="27">
        <f>AVERAGE(F382:F383)</f>
        <v>8.3345000000000002</v>
      </c>
      <c r="J383" s="27">
        <f>AVERAGE(G382:G383)</f>
        <v>0.73449999999999993</v>
      </c>
      <c r="L383">
        <f>+J383/I383</f>
        <v>8.8127662127302164E-2</v>
      </c>
      <c r="M383">
        <f>+(L383-$L$614)/$L$615</f>
        <v>1.8501779937432363</v>
      </c>
      <c r="N383">
        <f>+N381+M383</f>
        <v>4.1049582468691925</v>
      </c>
    </row>
    <row r="384" spans="1:14">
      <c r="A384" s="8">
        <v>9</v>
      </c>
      <c r="B384" s="71">
        <v>42217</v>
      </c>
      <c r="E384" s="15">
        <v>8</v>
      </c>
      <c r="F384" s="80">
        <v>7.1840000000000002</v>
      </c>
      <c r="G384" s="80">
        <v>3.3000000000000002E-2</v>
      </c>
    </row>
    <row r="385" spans="1:14">
      <c r="A385" s="8">
        <v>10</v>
      </c>
      <c r="B385" s="71">
        <v>42217</v>
      </c>
      <c r="E385" s="15">
        <v>8</v>
      </c>
      <c r="F385" s="80">
        <v>3.6680000000000001</v>
      </c>
      <c r="G385" s="80">
        <v>1.9E-2</v>
      </c>
      <c r="I385" s="27">
        <f>AVERAGE(F384:F385)</f>
        <v>5.4260000000000002</v>
      </c>
      <c r="J385" s="27">
        <f>AVERAGE(G384:G385)</f>
        <v>2.6000000000000002E-2</v>
      </c>
      <c r="L385">
        <f>+J385/I385</f>
        <v>4.7917434574272022E-3</v>
      </c>
      <c r="M385">
        <f>+(L385-$L$614)/$L$615</f>
        <v>-0.69678873731244906</v>
      </c>
      <c r="N385">
        <f>+N383+M385</f>
        <v>3.4081695095567435</v>
      </c>
    </row>
    <row r="386" spans="1:14">
      <c r="A386" s="8">
        <v>9</v>
      </c>
      <c r="B386" s="71">
        <v>42248</v>
      </c>
      <c r="E386" s="15">
        <v>9</v>
      </c>
      <c r="F386" s="80">
        <v>3.6819999999999999</v>
      </c>
      <c r="G386" s="80">
        <v>1.2E-2</v>
      </c>
    </row>
    <row r="387" spans="1:14">
      <c r="A387" s="8">
        <v>10</v>
      </c>
      <c r="B387" s="71">
        <v>42248</v>
      </c>
      <c r="E387" s="15">
        <v>9</v>
      </c>
      <c r="F387" s="80">
        <v>1.704</v>
      </c>
      <c r="G387" s="80">
        <v>8.0000000000000002E-3</v>
      </c>
      <c r="I387" s="27">
        <f>AVERAGE(F386:F387)</f>
        <v>2.6930000000000001</v>
      </c>
      <c r="J387" s="27">
        <f>AVERAGE(G386:G387)</f>
        <v>0.01</v>
      </c>
      <c r="L387">
        <f>+J387/I387</f>
        <v>3.7133308577794281E-3</v>
      </c>
      <c r="M387">
        <f>+(L387-$L$614)/$L$615</f>
        <v>-0.72974788695037163</v>
      </c>
      <c r="N387">
        <f>+N385+M387</f>
        <v>2.678421622606372</v>
      </c>
    </row>
    <row r="388" spans="1:14">
      <c r="A388" s="8">
        <v>9</v>
      </c>
      <c r="B388" s="71">
        <v>42278</v>
      </c>
      <c r="E388" s="15">
        <v>10</v>
      </c>
      <c r="F388" s="80">
        <v>1.911</v>
      </c>
      <c r="G388" s="80">
        <v>9.9989999999999996E-4</v>
      </c>
    </row>
    <row r="389" spans="1:14">
      <c r="A389" s="8">
        <v>10</v>
      </c>
      <c r="B389" s="71">
        <v>42278</v>
      </c>
      <c r="E389" s="15">
        <v>10</v>
      </c>
      <c r="F389" s="80">
        <v>1.5549999999999999</v>
      </c>
      <c r="G389" s="80">
        <v>1.2E-2</v>
      </c>
      <c r="I389" s="27">
        <f>AVERAGE(F388:F389)</f>
        <v>1.7330000000000001</v>
      </c>
      <c r="J389" s="27">
        <f>AVERAGE(G388:G389)</f>
        <v>6.49995E-3</v>
      </c>
      <c r="L389">
        <f>+J389/I389</f>
        <v>3.7506924408540103E-3</v>
      </c>
      <c r="M389">
        <f>+(L389-$L$614)/$L$615</f>
        <v>-0.72860601786643564</v>
      </c>
      <c r="N389">
        <f>+N387+M389</f>
        <v>1.9498156047399364</v>
      </c>
    </row>
    <row r="390" spans="1:14">
      <c r="A390" s="8">
        <v>9</v>
      </c>
      <c r="B390" s="71">
        <v>42309</v>
      </c>
      <c r="E390" s="15">
        <v>11</v>
      </c>
      <c r="F390" s="80">
        <v>0.35599999999999998</v>
      </c>
      <c r="G390" s="80">
        <v>9.9989999999999996E-4</v>
      </c>
    </row>
    <row r="391" spans="1:14">
      <c r="A391" s="8">
        <v>10</v>
      </c>
      <c r="B391" s="71">
        <v>42309</v>
      </c>
      <c r="E391" s="15">
        <v>11</v>
      </c>
      <c r="F391" s="80">
        <v>0.47799999999999998</v>
      </c>
      <c r="G391" s="80">
        <v>1.7000000000000001E-2</v>
      </c>
      <c r="I391" s="27">
        <f>AVERAGE(F390:F391)</f>
        <v>0.41699999999999998</v>
      </c>
      <c r="J391" s="27">
        <f>AVERAGE(G390:G391)</f>
        <v>8.9999500000000014E-3</v>
      </c>
      <c r="L391">
        <f>+J391/I391</f>
        <v>2.1582613908872905E-2</v>
      </c>
      <c r="M391">
        <f>+(L391-$L$614)/$L$615</f>
        <v>-0.18361519692454509</v>
      </c>
      <c r="N391">
        <f>+N389+M391</f>
        <v>1.7662004078153912</v>
      </c>
    </row>
    <row r="392" spans="1:14">
      <c r="A392" s="8">
        <v>9</v>
      </c>
      <c r="B392" s="72">
        <v>42339</v>
      </c>
      <c r="E392" s="15">
        <v>12</v>
      </c>
      <c r="F392" s="80">
        <v>1.258</v>
      </c>
      <c r="G392" s="80">
        <v>9.0999999999999998E-2</v>
      </c>
    </row>
    <row r="393" spans="1:14">
      <c r="A393" s="8">
        <v>10</v>
      </c>
      <c r="B393" s="71">
        <v>42339</v>
      </c>
      <c r="E393" s="15">
        <v>12</v>
      </c>
      <c r="F393" s="80">
        <v>2.3940000000000001</v>
      </c>
      <c r="G393" s="80">
        <v>0.36899999999999999</v>
      </c>
      <c r="I393" s="27">
        <f>AVERAGE(F392:F393)</f>
        <v>1.8260000000000001</v>
      </c>
      <c r="J393" s="27">
        <f>AVERAGE(G392:G393)</f>
        <v>0.22999999999999998</v>
      </c>
      <c r="L393">
        <f>+J393/I393</f>
        <v>0.12595837897042714</v>
      </c>
      <c r="M393">
        <f>+(L393-$L$614)/$L$615</f>
        <v>3.0063850500681344</v>
      </c>
      <c r="N393">
        <f>+N391+M393</f>
        <v>4.7725854578835261</v>
      </c>
    </row>
    <row r="394" spans="1:14">
      <c r="A394" s="8">
        <v>9</v>
      </c>
      <c r="B394" s="70">
        <v>42379</v>
      </c>
      <c r="E394" s="15">
        <v>1</v>
      </c>
      <c r="F394" s="81">
        <v>1.8260000000000001</v>
      </c>
      <c r="G394" s="79">
        <v>1.2999999999999999E-2</v>
      </c>
    </row>
    <row r="395" spans="1:14">
      <c r="A395" s="8">
        <v>10</v>
      </c>
      <c r="B395" s="70">
        <v>42374</v>
      </c>
      <c r="E395" s="15">
        <v>1</v>
      </c>
      <c r="F395" s="82">
        <v>3.1139999999999999</v>
      </c>
      <c r="G395" s="79">
        <v>3.7999999999999999E-2</v>
      </c>
      <c r="I395" s="27">
        <f>AVERAGE(F394:F395)</f>
        <v>2.4699999999999998</v>
      </c>
      <c r="J395" s="27">
        <f>AVERAGE(G394:G395)</f>
        <v>2.5499999999999998E-2</v>
      </c>
      <c r="L395">
        <f>+J395/I395</f>
        <v>1.0323886639676113E-2</v>
      </c>
      <c r="M395">
        <f>+(L395-$L$614)/$L$615</f>
        <v>-0.52771176712338752</v>
      </c>
      <c r="N395">
        <f>+N393+M395</f>
        <v>4.244873690760139</v>
      </c>
    </row>
    <row r="396" spans="1:14">
      <c r="A396" s="8">
        <v>9</v>
      </c>
      <c r="B396" s="71">
        <v>42401</v>
      </c>
      <c r="E396" s="15">
        <v>2</v>
      </c>
      <c r="F396" s="82">
        <v>6.7649999999999997</v>
      </c>
      <c r="G396" s="79">
        <v>0.35499999999999998</v>
      </c>
    </row>
    <row r="397" spans="1:14">
      <c r="A397" s="8">
        <v>10</v>
      </c>
      <c r="B397" s="71">
        <v>42401</v>
      </c>
      <c r="E397" s="15">
        <v>2</v>
      </c>
      <c r="F397" s="82">
        <v>4.335</v>
      </c>
      <c r="G397" s="79">
        <v>0.33</v>
      </c>
      <c r="I397" s="27">
        <f>AVERAGE(F396:F397)</f>
        <v>5.55</v>
      </c>
      <c r="J397" s="27">
        <f>AVERAGE(G396:G397)</f>
        <v>0.34250000000000003</v>
      </c>
      <c r="L397">
        <f>+J397/I397</f>
        <v>6.171171171171172E-2</v>
      </c>
      <c r="M397">
        <f>+(L397-$L$614)/$L$615</f>
        <v>1.042836478204791</v>
      </c>
      <c r="N397">
        <f>+N395+M397</f>
        <v>5.2877101689649297</v>
      </c>
    </row>
    <row r="398" spans="1:14">
      <c r="A398" s="8">
        <v>9</v>
      </c>
      <c r="B398" s="71">
        <v>42430</v>
      </c>
      <c r="E398" s="15">
        <v>3</v>
      </c>
      <c r="F398" s="82">
        <v>2.052</v>
      </c>
      <c r="G398" s="79">
        <v>2.9000000000000001E-2</v>
      </c>
    </row>
    <row r="399" spans="1:14">
      <c r="A399" s="8">
        <v>10</v>
      </c>
      <c r="B399" s="71">
        <v>42430</v>
      </c>
      <c r="E399" s="15">
        <v>3</v>
      </c>
      <c r="F399" s="82">
        <v>1.5209999999999999</v>
      </c>
      <c r="G399" s="79">
        <v>0.01</v>
      </c>
      <c r="I399" s="27">
        <f>AVERAGE(F398:F399)</f>
        <v>1.7865</v>
      </c>
      <c r="J399" s="27">
        <f>AVERAGE(G398:G399)</f>
        <v>1.95E-2</v>
      </c>
      <c r="L399">
        <f>+J399/I399</f>
        <v>1.09151973131822E-2</v>
      </c>
      <c r="M399">
        <f>+(L399-$L$614)/$L$615</f>
        <v>-0.50963974443285764</v>
      </c>
      <c r="N399">
        <f>+N397+M399</f>
        <v>4.7780704245320722</v>
      </c>
    </row>
    <row r="400" spans="1:14">
      <c r="A400" s="8">
        <v>9</v>
      </c>
      <c r="B400" s="71">
        <v>42461</v>
      </c>
      <c r="E400" s="15">
        <v>4</v>
      </c>
      <c r="F400" s="82">
        <v>1.613</v>
      </c>
      <c r="G400" s="79">
        <v>1.6E-2</v>
      </c>
    </row>
    <row r="401" spans="1:14">
      <c r="A401" s="8">
        <v>10</v>
      </c>
      <c r="B401" s="71">
        <v>42461</v>
      </c>
      <c r="E401" s="15">
        <v>4</v>
      </c>
      <c r="F401" s="82">
        <v>1.4419999999999999</v>
      </c>
      <c r="G401" s="79">
        <v>0.01</v>
      </c>
      <c r="I401" s="27">
        <f>AVERAGE(F400:F401)</f>
        <v>1.5274999999999999</v>
      </c>
      <c r="J401" s="27">
        <f>AVERAGE(G400:G401)</f>
        <v>1.3000000000000001E-2</v>
      </c>
      <c r="L401">
        <f>+J401/I401</f>
        <v>8.5106382978723423E-3</v>
      </c>
      <c r="M401">
        <f>+(L401-$L$614)/$L$615</f>
        <v>-0.58312944626376939</v>
      </c>
      <c r="N401">
        <f>+N399+M401</f>
        <v>4.1949409782683027</v>
      </c>
    </row>
    <row r="402" spans="1:14">
      <c r="A402" s="12">
        <v>9</v>
      </c>
      <c r="B402" s="71">
        <v>42491</v>
      </c>
      <c r="E402" s="15">
        <v>5</v>
      </c>
      <c r="F402" s="82">
        <v>1.478</v>
      </c>
      <c r="G402" s="79">
        <v>1.2E-2</v>
      </c>
    </row>
    <row r="403" spans="1:14">
      <c r="A403" s="12">
        <v>10</v>
      </c>
      <c r="B403" s="71">
        <v>42491</v>
      </c>
      <c r="E403" s="15">
        <v>5</v>
      </c>
      <c r="F403" s="82">
        <v>1.6819999999999999</v>
      </c>
      <c r="G403" s="79">
        <v>0.01</v>
      </c>
      <c r="I403" s="27">
        <f>AVERAGE(F402:F403)</f>
        <v>1.58</v>
      </c>
      <c r="J403" s="27">
        <f>AVERAGE(G402:G403)</f>
        <v>1.0999999999999999E-2</v>
      </c>
      <c r="L403">
        <f>+J403/I403</f>
        <v>6.9620253164556951E-3</v>
      </c>
      <c r="M403">
        <f>+(L403-$L$614)/$L$615</f>
        <v>-0.63045916682008651</v>
      </c>
      <c r="N403">
        <f>+N401+M403</f>
        <v>3.564481811448216</v>
      </c>
    </row>
    <row r="404" spans="1:14">
      <c r="A404" s="8">
        <v>9</v>
      </c>
      <c r="B404" s="71">
        <v>42522</v>
      </c>
      <c r="E404" s="15">
        <v>6</v>
      </c>
      <c r="F404" s="82">
        <v>1.738</v>
      </c>
      <c r="G404" s="79">
        <v>4.2000000000000003E-2</v>
      </c>
    </row>
    <row r="405" spans="1:14">
      <c r="A405" s="8">
        <v>10</v>
      </c>
      <c r="B405" s="71">
        <v>42522</v>
      </c>
      <c r="E405" s="15">
        <v>6</v>
      </c>
      <c r="F405" s="82">
        <v>1.972</v>
      </c>
      <c r="G405" s="79">
        <v>6.0999999999999999E-2</v>
      </c>
      <c r="I405" s="27">
        <f>AVERAGE(F404:F405)</f>
        <v>1.855</v>
      </c>
      <c r="J405" s="27">
        <f>AVERAGE(G404:G405)</f>
        <v>5.1500000000000004E-2</v>
      </c>
      <c r="L405">
        <f>+J405/I405</f>
        <v>2.7762803234501351E-2</v>
      </c>
      <c r="M405">
        <f>+(L405-$L$614)/$L$615</f>
        <v>5.267782410645616E-3</v>
      </c>
      <c r="N405">
        <f>+N403+M405</f>
        <v>3.5697495938588615</v>
      </c>
    </row>
    <row r="406" spans="1:14">
      <c r="A406" s="8">
        <v>9</v>
      </c>
      <c r="B406" s="71">
        <v>42552</v>
      </c>
      <c r="E406" s="15">
        <v>7</v>
      </c>
      <c r="F406" s="82">
        <v>7.6849999999999996</v>
      </c>
      <c r="G406" s="79">
        <v>2.5999999999999999E-2</v>
      </c>
    </row>
    <row r="407" spans="1:14">
      <c r="A407" s="8">
        <v>10</v>
      </c>
      <c r="B407" s="71">
        <v>42552</v>
      </c>
      <c r="E407" s="15">
        <v>7</v>
      </c>
      <c r="F407" s="82">
        <v>8.9510000000000005</v>
      </c>
      <c r="G407" s="79">
        <v>7.1999999999999995E-2</v>
      </c>
      <c r="I407" s="27">
        <f>AVERAGE(F406:F407)</f>
        <v>8.3179999999999996</v>
      </c>
      <c r="J407" s="27">
        <f>AVERAGE(G406:G407)</f>
        <v>4.8999999999999995E-2</v>
      </c>
      <c r="L407">
        <f>+J407/I407</f>
        <v>5.8908391440250056E-3</v>
      </c>
      <c r="M407">
        <f>+(L407-$L$614)/$L$615</f>
        <v>-0.66319745767346483</v>
      </c>
      <c r="N407">
        <f>+N405+M407</f>
        <v>2.9065521361853968</v>
      </c>
    </row>
    <row r="408" spans="1:14">
      <c r="A408" s="8">
        <v>9</v>
      </c>
      <c r="B408" s="71">
        <v>42583</v>
      </c>
      <c r="E408" s="15">
        <v>8</v>
      </c>
      <c r="F408" s="82">
        <v>4.2569999999999997</v>
      </c>
      <c r="G408" s="79">
        <v>1.4E-2</v>
      </c>
    </row>
    <row r="409" spans="1:14">
      <c r="A409" s="8">
        <v>10</v>
      </c>
      <c r="B409" s="71">
        <v>42583</v>
      </c>
      <c r="E409" s="15">
        <v>8</v>
      </c>
      <c r="F409" s="82">
        <v>3.7749999999999999</v>
      </c>
      <c r="G409" s="79">
        <v>5.8000000000000003E-2</v>
      </c>
      <c r="I409" s="27">
        <f>AVERAGE(F408:F409)</f>
        <v>4.016</v>
      </c>
      <c r="J409" s="27">
        <f>AVERAGE(G408:G409)</f>
        <v>3.6000000000000004E-2</v>
      </c>
      <c r="L409">
        <f>+J409/I409</f>
        <v>8.9641434262948214E-3</v>
      </c>
      <c r="M409">
        <f>+(L409-$L$614)/$L$615</f>
        <v>-0.56926912657339879</v>
      </c>
      <c r="N409">
        <f>+N407+M409</f>
        <v>2.3372830096119981</v>
      </c>
    </row>
    <row r="410" spans="1:14">
      <c r="A410" s="8">
        <v>9</v>
      </c>
      <c r="B410" s="71">
        <v>42614</v>
      </c>
      <c r="E410" s="15">
        <v>9</v>
      </c>
      <c r="F410" s="82">
        <v>1.1890000000000001</v>
      </c>
      <c r="G410" s="79">
        <v>1.6E-2</v>
      </c>
    </row>
    <row r="411" spans="1:14">
      <c r="A411" s="8">
        <v>10</v>
      </c>
      <c r="B411" s="71">
        <v>42614</v>
      </c>
      <c r="E411" s="15">
        <v>9</v>
      </c>
      <c r="F411" s="82">
        <v>3.073</v>
      </c>
      <c r="G411" s="79">
        <v>0.111</v>
      </c>
      <c r="I411" s="27">
        <f>AVERAGE(F410:F411)</f>
        <v>2.1310000000000002</v>
      </c>
      <c r="J411" s="27">
        <f>AVERAGE(G410:G411)</f>
        <v>6.3500000000000001E-2</v>
      </c>
      <c r="L411">
        <f>+J411/I411</f>
        <v>2.9798216799624588E-2</v>
      </c>
      <c r="M411">
        <f>+(L411-$L$614)/$L$615</f>
        <v>6.7475420090199204E-2</v>
      </c>
      <c r="N411">
        <f>+N409+M411</f>
        <v>2.4047584297021971</v>
      </c>
    </row>
    <row r="412" spans="1:14">
      <c r="A412" s="8">
        <v>9</v>
      </c>
      <c r="B412" s="71">
        <v>42644</v>
      </c>
      <c r="E412" s="15">
        <v>10</v>
      </c>
      <c r="F412" s="82">
        <v>0.74099999999999999</v>
      </c>
      <c r="G412" s="79">
        <v>0.01</v>
      </c>
    </row>
    <row r="413" spans="1:14">
      <c r="A413" s="8">
        <v>10</v>
      </c>
      <c r="B413" s="71">
        <v>42644</v>
      </c>
      <c r="E413" s="15">
        <v>10</v>
      </c>
      <c r="F413" s="82">
        <v>0.85899999999999999</v>
      </c>
      <c r="G413" s="79">
        <v>1.7000000000000001E-2</v>
      </c>
      <c r="I413" s="27">
        <f>AVERAGE(F412:F413)</f>
        <v>0.8</v>
      </c>
      <c r="J413" s="27">
        <f>AVERAGE(G412:G413)</f>
        <v>1.3500000000000002E-2</v>
      </c>
      <c r="L413">
        <f>+J413/I413</f>
        <v>1.6875000000000001E-2</v>
      </c>
      <c r="M413">
        <f>+(L413-$L$614)/$L$615</f>
        <v>-0.32749236537638338</v>
      </c>
      <c r="N413">
        <f>+N411+M413</f>
        <v>2.0772660643258138</v>
      </c>
    </row>
    <row r="414" spans="1:14">
      <c r="A414" s="8">
        <v>9</v>
      </c>
      <c r="B414" s="71">
        <v>42675</v>
      </c>
      <c r="E414" s="15">
        <v>11</v>
      </c>
      <c r="F414" s="82">
        <v>0.249</v>
      </c>
      <c r="G414" s="79">
        <v>3.2000000000000001E-2</v>
      </c>
    </row>
    <row r="415" spans="1:14">
      <c r="A415" s="8">
        <v>10</v>
      </c>
      <c r="B415" s="71">
        <v>42675</v>
      </c>
      <c r="E415" s="15">
        <v>11</v>
      </c>
      <c r="F415" s="82">
        <v>0.19600000000000001</v>
      </c>
      <c r="G415" s="79">
        <v>9.9989999999999996E-4</v>
      </c>
      <c r="I415" s="27">
        <f>AVERAGE(F414:F415)</f>
        <v>0.2225</v>
      </c>
      <c r="J415" s="27">
        <f>AVERAGE(G414:G415)</f>
        <v>1.6499949999999999E-2</v>
      </c>
      <c r="L415">
        <f>+J415/I415</f>
        <v>7.4157078651685387E-2</v>
      </c>
      <c r="M415">
        <f>+(L415-$L$614)/$L$615</f>
        <v>1.4231999044179311</v>
      </c>
      <c r="N415">
        <f>+N413+M415</f>
        <v>3.5004659687437449</v>
      </c>
    </row>
    <row r="416" spans="1:14">
      <c r="A416" s="8">
        <v>9</v>
      </c>
      <c r="B416" s="72">
        <v>42705</v>
      </c>
      <c r="E416" s="15">
        <v>12</v>
      </c>
      <c r="F416" s="82">
        <v>0.745</v>
      </c>
      <c r="G416" s="79">
        <v>0.02</v>
      </c>
    </row>
    <row r="417" spans="1:14">
      <c r="A417" s="8">
        <v>10</v>
      </c>
      <c r="B417" s="71">
        <v>42705</v>
      </c>
      <c r="E417" s="15">
        <v>12</v>
      </c>
      <c r="F417" s="82">
        <v>1.111</v>
      </c>
      <c r="G417" s="79">
        <v>8.0000000000000002E-3</v>
      </c>
      <c r="I417" s="27">
        <f>AVERAGE(F416:F417)</f>
        <v>0.92799999999999994</v>
      </c>
      <c r="J417" s="27">
        <f>AVERAGE(G416:G417)</f>
        <v>1.4E-2</v>
      </c>
      <c r="L417">
        <f>+J417/I417</f>
        <v>1.5086206896551725E-2</v>
      </c>
      <c r="M417">
        <f>+(L417-$L$614)/$L$615</f>
        <v>-0.38216262756275982</v>
      </c>
      <c r="N417">
        <f>+N415+M417</f>
        <v>3.1183033411809853</v>
      </c>
    </row>
    <row r="418" spans="1:14">
      <c r="A418" s="8">
        <v>9</v>
      </c>
      <c r="B418" s="70">
        <v>42745</v>
      </c>
      <c r="E418" s="15">
        <v>1</v>
      </c>
    </row>
    <row r="419" spans="1:14">
      <c r="A419" s="8">
        <v>10</v>
      </c>
      <c r="B419" s="70">
        <v>42740</v>
      </c>
      <c r="E419" s="15">
        <v>1</v>
      </c>
    </row>
    <row r="420" spans="1:14">
      <c r="A420" s="8">
        <v>9</v>
      </c>
      <c r="B420" s="71">
        <v>42767</v>
      </c>
      <c r="E420" s="15">
        <v>2</v>
      </c>
    </row>
    <row r="421" spans="1:14">
      <c r="A421" s="8">
        <v>10</v>
      </c>
      <c r="B421" s="71">
        <v>42767</v>
      </c>
      <c r="E421" s="15">
        <v>2</v>
      </c>
    </row>
    <row r="422" spans="1:14">
      <c r="A422" s="8">
        <v>9</v>
      </c>
      <c r="B422" s="71">
        <v>42795</v>
      </c>
      <c r="E422" s="15">
        <v>3</v>
      </c>
      <c r="F422" s="79">
        <v>0.53100000000000003</v>
      </c>
      <c r="G422" s="79">
        <v>9.9989999999999996E-4</v>
      </c>
    </row>
    <row r="423" spans="1:14">
      <c r="A423" s="8">
        <v>10</v>
      </c>
      <c r="B423" s="71">
        <v>42795</v>
      </c>
      <c r="E423" s="15">
        <v>3</v>
      </c>
      <c r="F423" s="79">
        <v>0.54</v>
      </c>
      <c r="G423" s="79">
        <v>9.9989999999999996E-4</v>
      </c>
      <c r="I423" s="27">
        <f>AVERAGE(F422:F423)</f>
        <v>0.53550000000000009</v>
      </c>
      <c r="J423" s="27">
        <f>AVERAGE(G422:G423)</f>
        <v>9.9989999999999996E-4</v>
      </c>
      <c r="L423">
        <f>+J423/I423</f>
        <v>1.8672268907563021E-3</v>
      </c>
      <c r="M423">
        <f>+(L423-$L$614)/$L$615</f>
        <v>-0.78616972115014905</v>
      </c>
      <c r="N423">
        <f>+N417+M423</f>
        <v>2.3321336200308362</v>
      </c>
    </row>
    <row r="424" spans="1:14">
      <c r="A424" s="8">
        <v>9</v>
      </c>
      <c r="B424" s="71">
        <v>42826</v>
      </c>
      <c r="E424" s="15">
        <v>4</v>
      </c>
      <c r="F424" s="79">
        <v>0.71599999999999997</v>
      </c>
      <c r="G424" s="79">
        <v>9.9989999999999996E-4</v>
      </c>
    </row>
    <row r="425" spans="1:14">
      <c r="A425" s="8">
        <v>10</v>
      </c>
      <c r="B425" s="71">
        <v>42826</v>
      </c>
      <c r="E425" s="15">
        <v>4</v>
      </c>
      <c r="F425" s="79">
        <v>0.83</v>
      </c>
      <c r="G425" s="79">
        <v>1.7000000000000001E-2</v>
      </c>
      <c r="I425" s="27">
        <f>AVERAGE(F424:F425)</f>
        <v>0.77299999999999991</v>
      </c>
      <c r="J425" s="27">
        <f>AVERAGE(G424:G425)</f>
        <v>8.9999500000000014E-3</v>
      </c>
      <c r="L425">
        <f>+J425/I425</f>
        <v>1.1642884864165592E-2</v>
      </c>
      <c r="M425">
        <f>+(L425-$L$614)/$L$615</f>
        <v>-0.48739968261389466</v>
      </c>
      <c r="N425">
        <f>+N423+M425</f>
        <v>1.8447339374169416</v>
      </c>
    </row>
    <row r="426" spans="1:14">
      <c r="A426" s="8">
        <v>9</v>
      </c>
      <c r="B426" s="71">
        <v>42856</v>
      </c>
      <c r="E426" s="15">
        <v>5</v>
      </c>
      <c r="F426" s="79">
        <v>0.94099999999999995</v>
      </c>
      <c r="G426" s="79">
        <v>0.129</v>
      </c>
    </row>
    <row r="427" spans="1:14">
      <c r="A427" s="8">
        <v>10</v>
      </c>
      <c r="B427" s="71">
        <v>42856</v>
      </c>
      <c r="E427" s="15">
        <v>5</v>
      </c>
      <c r="F427" s="79">
        <v>2.5449999999999999</v>
      </c>
      <c r="G427" s="79">
        <v>0.36399999999999999</v>
      </c>
      <c r="I427" s="27">
        <f>AVERAGE(F426:F427)</f>
        <v>1.7429999999999999</v>
      </c>
      <c r="J427" s="27">
        <f>AVERAGE(G426:G427)</f>
        <v>0.2465</v>
      </c>
      <c r="L427">
        <f>+J427/I427</f>
        <v>0.14142283419391855</v>
      </c>
      <c r="M427">
        <f>+(L427-$L$614)/$L$615</f>
        <v>3.4790198226463489</v>
      </c>
      <c r="N427">
        <f>+N425+M427</f>
        <v>5.3237537600632905</v>
      </c>
    </row>
    <row r="428" spans="1:14">
      <c r="A428" s="8">
        <v>9</v>
      </c>
      <c r="B428" s="71">
        <v>42887</v>
      </c>
      <c r="E428" s="15">
        <v>6</v>
      </c>
      <c r="F428" s="79">
        <v>2.71</v>
      </c>
      <c r="G428" s="79">
        <v>3.5999999999999997E-2</v>
      </c>
    </row>
    <row r="429" spans="1:14">
      <c r="A429" s="8">
        <v>10</v>
      </c>
      <c r="B429" s="71">
        <v>42887</v>
      </c>
      <c r="E429" s="15">
        <v>6</v>
      </c>
      <c r="F429" s="79">
        <v>2.5990000000000002</v>
      </c>
      <c r="G429" s="79">
        <v>0.111</v>
      </c>
      <c r="I429" s="27">
        <f>AVERAGE(F428:F429)</f>
        <v>2.6545000000000001</v>
      </c>
      <c r="J429" s="27">
        <f>AVERAGE(G428:G429)</f>
        <v>7.3499999999999996E-2</v>
      </c>
      <c r="L429">
        <f>+J429/I429</f>
        <v>2.7688830288189865E-2</v>
      </c>
      <c r="M429">
        <f>+(L429-$L$614)/$L$615</f>
        <v>3.0069729510430509E-3</v>
      </c>
      <c r="N429">
        <f>+N427+M429</f>
        <v>5.3267607330143338</v>
      </c>
    </row>
    <row r="430" spans="1:14">
      <c r="A430" s="8">
        <v>9</v>
      </c>
      <c r="B430" s="71">
        <v>42917</v>
      </c>
      <c r="E430" s="15">
        <v>7</v>
      </c>
      <c r="F430" s="79">
        <v>1.377</v>
      </c>
      <c r="G430" s="79">
        <v>9.8000000000000004E-2</v>
      </c>
    </row>
    <row r="431" spans="1:14">
      <c r="A431" s="8">
        <v>10</v>
      </c>
      <c r="B431" s="71">
        <v>42917</v>
      </c>
      <c r="E431" s="15">
        <v>7</v>
      </c>
      <c r="F431" s="79">
        <v>1.393</v>
      </c>
      <c r="G431" s="79">
        <v>3.9E-2</v>
      </c>
      <c r="I431" s="27">
        <f>AVERAGE(F430:F431)</f>
        <v>1.385</v>
      </c>
      <c r="J431" s="27">
        <f>AVERAGE(G430:G431)</f>
        <v>6.8500000000000005E-2</v>
      </c>
      <c r="L431">
        <f>+J431/I431</f>
        <v>4.9458483754512637E-2</v>
      </c>
      <c r="M431">
        <f>+(L431-$L$614)/$L$615</f>
        <v>0.66834532897229271</v>
      </c>
      <c r="N431">
        <f>+N429+M431</f>
        <v>5.9951060619866263</v>
      </c>
    </row>
    <row r="432" spans="1:14">
      <c r="A432" s="8">
        <v>9</v>
      </c>
      <c r="B432" s="71">
        <v>42948</v>
      </c>
      <c r="E432" s="15">
        <v>8</v>
      </c>
    </row>
    <row r="433" spans="1:14">
      <c r="A433" s="8">
        <v>10</v>
      </c>
      <c r="B433" s="71">
        <v>42948</v>
      </c>
      <c r="E433" s="15">
        <v>8</v>
      </c>
      <c r="I433" s="27"/>
      <c r="J433" s="27"/>
    </row>
    <row r="434" spans="1:14">
      <c r="A434" s="8">
        <v>9</v>
      </c>
      <c r="B434" s="71">
        <v>42979</v>
      </c>
      <c r="E434" s="15">
        <v>9</v>
      </c>
      <c r="F434" s="79">
        <v>0.41599999999999998</v>
      </c>
      <c r="G434" s="79">
        <v>9.9989999999999996E-4</v>
      </c>
    </row>
    <row r="435" spans="1:14">
      <c r="A435" s="8">
        <v>10</v>
      </c>
      <c r="B435" s="71">
        <v>42979</v>
      </c>
      <c r="E435" s="15">
        <v>9</v>
      </c>
      <c r="F435" s="79">
        <v>0.78500000000000003</v>
      </c>
      <c r="G435" s="79">
        <v>2.1000000000000001E-2</v>
      </c>
      <c r="I435" s="27">
        <f>AVERAGE(F434:F435)</f>
        <v>0.60050000000000003</v>
      </c>
      <c r="J435" s="27">
        <f>AVERAGE(G434:G435)</f>
        <v>1.0999950000000001E-2</v>
      </c>
      <c r="L435">
        <f>+J435/I435</f>
        <v>1.8317985012489595E-2</v>
      </c>
      <c r="M435">
        <f>+(L435-$L$614)/$L$615</f>
        <v>-0.28339091573877923</v>
      </c>
      <c r="N435">
        <f>+N431+M435</f>
        <v>5.7117151462478475</v>
      </c>
    </row>
    <row r="436" spans="1:14">
      <c r="A436" s="8">
        <v>9</v>
      </c>
      <c r="B436" s="71">
        <v>43009</v>
      </c>
      <c r="E436" s="15">
        <v>10</v>
      </c>
    </row>
    <row r="437" spans="1:14">
      <c r="A437" s="8">
        <v>10</v>
      </c>
      <c r="B437" s="71">
        <v>43009</v>
      </c>
      <c r="E437" s="15">
        <v>10</v>
      </c>
      <c r="I437" s="27"/>
      <c r="J437" s="27"/>
    </row>
    <row r="438" spans="1:14">
      <c r="A438" s="8">
        <v>9</v>
      </c>
      <c r="B438" s="71">
        <v>43040</v>
      </c>
      <c r="E438" s="15">
        <v>11</v>
      </c>
      <c r="F438" s="79">
        <v>0.19800000000000001</v>
      </c>
      <c r="G438" s="79">
        <v>9.9989999999999996E-4</v>
      </c>
    </row>
    <row r="439" spans="1:14">
      <c r="A439" s="8">
        <v>10</v>
      </c>
      <c r="B439" s="71">
        <v>43040</v>
      </c>
      <c r="E439" s="15">
        <v>11</v>
      </c>
      <c r="F439" s="79">
        <v>0.17799999999999999</v>
      </c>
      <c r="G439" s="79">
        <v>9.9989999999999996E-4</v>
      </c>
      <c r="I439" s="27">
        <f>AVERAGE(F438:F439)</f>
        <v>0.188</v>
      </c>
      <c r="J439" s="27">
        <f>AVERAGE(G438:G439)</f>
        <v>9.9989999999999996E-4</v>
      </c>
      <c r="L439">
        <f>+J439/I439</f>
        <v>5.3186170212765954E-3</v>
      </c>
      <c r="M439">
        <f>+(L439-$L$614)/$L$615</f>
        <v>-0.68068608361863137</v>
      </c>
      <c r="N439">
        <f>+N435+M439</f>
        <v>5.0310290626292158</v>
      </c>
    </row>
    <row r="440" spans="1:14">
      <c r="A440" s="8">
        <v>9</v>
      </c>
      <c r="B440" s="72">
        <v>43070</v>
      </c>
      <c r="E440" s="15">
        <v>12</v>
      </c>
      <c r="F440" s="79">
        <v>0.89300000000000002</v>
      </c>
      <c r="G440" s="79">
        <v>0.109</v>
      </c>
    </row>
    <row r="441" spans="1:14">
      <c r="A441" s="8">
        <v>10</v>
      </c>
      <c r="B441" s="71">
        <v>43070</v>
      </c>
      <c r="E441" s="15">
        <v>12</v>
      </c>
      <c r="F441" s="79">
        <v>1.59</v>
      </c>
      <c r="G441" s="79">
        <v>0.23200000000000001</v>
      </c>
      <c r="I441" s="27">
        <f>AVERAGE(F440:F441)</f>
        <v>1.2415</v>
      </c>
      <c r="J441" s="27">
        <f>AVERAGE(G440:G441)</f>
        <v>0.17050000000000001</v>
      </c>
      <c r="L441">
        <f>+J441/I441</f>
        <v>0.13733387031816352</v>
      </c>
      <c r="M441">
        <f>+(L441-$L$614)/$L$615</f>
        <v>3.3540502402350461</v>
      </c>
      <c r="N441">
        <f>+N439+M441</f>
        <v>8.3850793028642627</v>
      </c>
    </row>
    <row r="442" spans="1:14">
      <c r="A442" s="8">
        <v>9</v>
      </c>
      <c r="B442" s="70">
        <v>43110</v>
      </c>
      <c r="E442" s="15">
        <v>1</v>
      </c>
      <c r="F442" s="77">
        <v>7.3230000000000004</v>
      </c>
      <c r="G442" s="77">
        <v>0.04</v>
      </c>
    </row>
    <row r="443" spans="1:14">
      <c r="A443" s="8">
        <v>10</v>
      </c>
      <c r="B443" s="70">
        <v>43105</v>
      </c>
      <c r="E443" s="15">
        <v>1</v>
      </c>
      <c r="F443" s="77">
        <v>8.65</v>
      </c>
      <c r="G443" s="77">
        <v>5.1999999999999998E-2</v>
      </c>
      <c r="I443">
        <v>7.9865000000000004</v>
      </c>
      <c r="J443">
        <v>4.5999999999999999E-2</v>
      </c>
      <c r="L443">
        <v>5.7597195267013084E-3</v>
      </c>
      <c r="M443">
        <f>+(L443-$L$614)/$L$615</f>
        <v>-0.66720482098621769</v>
      </c>
      <c r="N443">
        <f>+N441+M443</f>
        <v>7.7178744818780451</v>
      </c>
    </row>
    <row r="444" spans="1:14">
      <c r="A444" s="8">
        <v>9</v>
      </c>
      <c r="B444" s="71">
        <v>43132</v>
      </c>
      <c r="E444" s="15">
        <v>2</v>
      </c>
      <c r="F444" s="77">
        <v>1.143</v>
      </c>
      <c r="G444" s="77">
        <v>8.0000000000000002E-3</v>
      </c>
    </row>
    <row r="445" spans="1:14">
      <c r="A445" s="8">
        <v>10</v>
      </c>
      <c r="B445" s="71">
        <v>43132</v>
      </c>
      <c r="E445" s="15">
        <v>2</v>
      </c>
      <c r="F445" s="77">
        <v>1.004</v>
      </c>
      <c r="G445" s="77">
        <v>9.9989999999999996E-4</v>
      </c>
      <c r="I445">
        <v>1.0735000000000001</v>
      </c>
      <c r="J445">
        <v>4.49995E-3</v>
      </c>
      <c r="L445">
        <v>4.191849091755938E-3</v>
      </c>
      <c r="M445">
        <f>+(L445-$L$614)/$L$615</f>
        <v>-0.71512310040461213</v>
      </c>
      <c r="N445">
        <f>+N443+M445</f>
        <v>7.0027513814734332</v>
      </c>
    </row>
    <row r="446" spans="1:14">
      <c r="A446" s="8">
        <v>9</v>
      </c>
      <c r="B446" s="71">
        <v>43160</v>
      </c>
      <c r="E446" s="15">
        <v>3</v>
      </c>
      <c r="F446" s="77">
        <v>3.3940000000000001</v>
      </c>
      <c r="G446" s="77">
        <v>1.2999999999999999E-2</v>
      </c>
    </row>
    <row r="447" spans="1:14">
      <c r="A447" s="8">
        <v>10</v>
      </c>
      <c r="B447" s="71">
        <v>43160</v>
      </c>
      <c r="E447" s="15">
        <v>3</v>
      </c>
      <c r="F447" s="77">
        <v>3.2530000000000001</v>
      </c>
      <c r="G447" s="77">
        <v>3.5999999999999997E-2</v>
      </c>
      <c r="I447">
        <v>3.3235000000000001</v>
      </c>
      <c r="J447">
        <v>2.4499999999999997E-2</v>
      </c>
      <c r="L447">
        <v>7.3717466526252431E-3</v>
      </c>
      <c r="M447">
        <f>+(L447-$L$614)/$L$615</f>
        <v>-0.61793699596166707</v>
      </c>
      <c r="N447">
        <f>+N445+M447</f>
        <v>6.3848143855117661</v>
      </c>
    </row>
    <row r="448" spans="1:14">
      <c r="A448" s="8">
        <v>9</v>
      </c>
      <c r="B448" s="71">
        <v>43191</v>
      </c>
      <c r="E448" s="15">
        <v>4</v>
      </c>
      <c r="F448" s="77">
        <v>0.54100000000000004</v>
      </c>
      <c r="G448" s="77">
        <v>9.9989999999999996E-4</v>
      </c>
    </row>
    <row r="449" spans="1:14">
      <c r="A449" s="8">
        <v>10</v>
      </c>
      <c r="B449" s="71">
        <v>43191</v>
      </c>
      <c r="E449" s="15">
        <v>4</v>
      </c>
      <c r="F449" s="77">
        <v>1.1479999999999999</v>
      </c>
      <c r="G449" s="77">
        <v>1.6E-2</v>
      </c>
      <c r="I449">
        <v>0.84450000000000003</v>
      </c>
      <c r="J449">
        <v>8.4999500000000009E-3</v>
      </c>
      <c r="L449">
        <v>1.0065068087625815E-2</v>
      </c>
      <c r="M449">
        <f>+(L449-$L$614)/$L$615</f>
        <v>-0.53562194861503765</v>
      </c>
      <c r="N449">
        <f>+N447+M449</f>
        <v>5.8491924368967281</v>
      </c>
    </row>
    <row r="450" spans="1:14">
      <c r="A450" s="8">
        <v>9</v>
      </c>
      <c r="B450" s="71">
        <v>43221</v>
      </c>
      <c r="E450" s="15">
        <v>5</v>
      </c>
      <c r="F450" s="78">
        <v>1.667</v>
      </c>
      <c r="G450" s="78">
        <v>8.4000000000000005E-2</v>
      </c>
    </row>
    <row r="451" spans="1:14">
      <c r="A451" s="8">
        <v>10</v>
      </c>
      <c r="B451" s="71">
        <v>43221</v>
      </c>
      <c r="E451" s="15">
        <v>5</v>
      </c>
      <c r="F451" s="78">
        <v>2.024</v>
      </c>
      <c r="G451" s="78">
        <v>3.9E-2</v>
      </c>
      <c r="I451">
        <v>1.8454999999999999</v>
      </c>
      <c r="J451">
        <v>6.1499999999999999E-2</v>
      </c>
      <c r="L451">
        <v>3.3324302357084799E-2</v>
      </c>
      <c r="M451">
        <f>+(L451-$L$614)/$L$615</f>
        <v>0.17524194800577336</v>
      </c>
      <c r="N451">
        <f>+N449+M451</f>
        <v>6.0244343849025013</v>
      </c>
    </row>
    <row r="452" spans="1:14">
      <c r="A452" s="12">
        <v>9</v>
      </c>
      <c r="B452" s="71">
        <v>43252</v>
      </c>
      <c r="E452" s="15">
        <v>6</v>
      </c>
      <c r="F452" s="78">
        <v>3.161</v>
      </c>
      <c r="G452" s="78">
        <v>6.8000000000000005E-2</v>
      </c>
    </row>
    <row r="453" spans="1:14">
      <c r="A453" s="12">
        <v>10</v>
      </c>
      <c r="B453" s="71">
        <v>43252</v>
      </c>
      <c r="E453" s="15">
        <v>6</v>
      </c>
      <c r="F453" s="78">
        <v>2.0110000000000001</v>
      </c>
      <c r="G453" s="78">
        <v>3.3000000000000002E-2</v>
      </c>
      <c r="I453">
        <v>2.5860000000000003</v>
      </c>
      <c r="J453">
        <v>5.0500000000000003E-2</v>
      </c>
      <c r="L453">
        <v>1.9528228924980663E-2</v>
      </c>
      <c r="M453">
        <f>+(L453-$L$614)/$L$615</f>
        <v>-0.24640265148518439</v>
      </c>
      <c r="N453">
        <f>+N451+M453</f>
        <v>5.7780317334173166</v>
      </c>
    </row>
    <row r="454" spans="1:14">
      <c r="A454" s="8">
        <v>9</v>
      </c>
      <c r="B454" s="71">
        <v>43282</v>
      </c>
      <c r="E454" s="15">
        <v>7</v>
      </c>
      <c r="F454" s="78">
        <v>6.1909999999999998</v>
      </c>
      <c r="G454" s="78">
        <v>7.2999999999999995E-2</v>
      </c>
    </row>
    <row r="455" spans="1:14">
      <c r="A455" s="8">
        <v>10</v>
      </c>
      <c r="B455" s="71">
        <v>43282</v>
      </c>
      <c r="E455" s="15">
        <v>7</v>
      </c>
      <c r="F455" s="78">
        <v>8.5850000000000009</v>
      </c>
      <c r="G455" s="78">
        <v>0.14899999999999999</v>
      </c>
      <c r="I455">
        <v>7.3879999999999999</v>
      </c>
      <c r="J455">
        <v>0.11099999999999999</v>
      </c>
      <c r="L455">
        <v>1.5024363833243095E-2</v>
      </c>
      <c r="M455">
        <f>+(L455-$L$614)/$L$615</f>
        <v>-0.3840527156221189</v>
      </c>
      <c r="N455">
        <f>+N453+M455</f>
        <v>5.3939790177951981</v>
      </c>
    </row>
    <row r="456" spans="1:14">
      <c r="A456" s="8">
        <v>9</v>
      </c>
      <c r="B456" s="71">
        <v>43313</v>
      </c>
      <c r="E456" s="15">
        <v>8</v>
      </c>
      <c r="F456" s="78">
        <v>1.9279999999999999</v>
      </c>
      <c r="G456" s="78">
        <v>2.3E-2</v>
      </c>
    </row>
    <row r="457" spans="1:14">
      <c r="A457" s="8">
        <v>10</v>
      </c>
      <c r="B457" s="71">
        <v>43313</v>
      </c>
      <c r="E457" s="15">
        <v>8</v>
      </c>
      <c r="F457" s="78">
        <v>3.03</v>
      </c>
      <c r="G457" s="78">
        <v>3.2000000000000001E-2</v>
      </c>
      <c r="I457">
        <v>2.4790000000000001</v>
      </c>
      <c r="J457">
        <v>2.75E-2</v>
      </c>
      <c r="L457">
        <v>1.109318273497378E-2</v>
      </c>
      <c r="M457">
        <f>+(L457-$L$614)/$L$615</f>
        <v>-0.50420003781953215</v>
      </c>
      <c r="N457">
        <f>+N455+M457</f>
        <v>4.8897789799756657</v>
      </c>
    </row>
    <row r="458" spans="1:14">
      <c r="A458" s="8">
        <v>9</v>
      </c>
      <c r="B458" s="71">
        <v>43344</v>
      </c>
      <c r="E458" s="15">
        <v>9</v>
      </c>
      <c r="F458" s="78">
        <v>2.2989999999999999</v>
      </c>
      <c r="G458" s="78">
        <v>2.4E-2</v>
      </c>
    </row>
    <row r="459" spans="1:14">
      <c r="A459" s="8">
        <v>10</v>
      </c>
      <c r="B459" s="71">
        <v>43344</v>
      </c>
      <c r="E459" s="15">
        <v>9</v>
      </c>
      <c r="F459" s="78">
        <v>2.4009999999999998</v>
      </c>
      <c r="G459" s="78">
        <v>1.7999999999999999E-2</v>
      </c>
      <c r="I459">
        <v>2.3499999999999996</v>
      </c>
      <c r="J459">
        <v>2.0999999999999998E-2</v>
      </c>
      <c r="L459">
        <v>8.9361702127659579E-3</v>
      </c>
      <c r="M459">
        <f>+(L459-$L$614)/$L$615</f>
        <v>-0.57012406218046841</v>
      </c>
      <c r="N459">
        <f>+N457+M459</f>
        <v>4.3196549177951971</v>
      </c>
    </row>
    <row r="460" spans="1:14">
      <c r="A460" s="8">
        <v>9</v>
      </c>
      <c r="B460" s="71">
        <v>43374</v>
      </c>
      <c r="E460" s="15">
        <v>10</v>
      </c>
      <c r="F460" s="78">
        <v>0.40799999999999997</v>
      </c>
      <c r="G460" s="78">
        <v>9.9989999999999996E-4</v>
      </c>
    </row>
    <row r="461" spans="1:14">
      <c r="A461" s="8">
        <v>10</v>
      </c>
      <c r="B461" s="71">
        <v>43374</v>
      </c>
      <c r="E461" s="15">
        <v>10</v>
      </c>
      <c r="F461" s="78">
        <v>0.91700000000000004</v>
      </c>
      <c r="G461" s="78">
        <v>1.7999999999999999E-2</v>
      </c>
      <c r="I461">
        <v>0.66249999999999998</v>
      </c>
      <c r="J461">
        <v>9.4999500000000001E-3</v>
      </c>
      <c r="L461">
        <v>1.4339547169811321E-2</v>
      </c>
      <c r="M461">
        <f>+(L461-$L$614)/$L$615</f>
        <v>-0.40498252939836998</v>
      </c>
      <c r="N461">
        <f>+N459+M461</f>
        <v>3.9146723883968271</v>
      </c>
    </row>
    <row r="462" spans="1:14">
      <c r="A462" s="8">
        <v>9</v>
      </c>
      <c r="B462" s="71">
        <v>43405</v>
      </c>
      <c r="E462" s="15">
        <v>11</v>
      </c>
      <c r="F462" s="78"/>
      <c r="G462" s="78"/>
    </row>
    <row r="463" spans="1:14">
      <c r="A463" s="8">
        <v>10</v>
      </c>
      <c r="B463" s="71">
        <v>43405</v>
      </c>
      <c r="E463" s="15">
        <v>11</v>
      </c>
    </row>
    <row r="464" spans="1:14">
      <c r="A464" s="8">
        <v>9</v>
      </c>
      <c r="B464" s="72">
        <v>43435</v>
      </c>
      <c r="E464" s="15">
        <v>12</v>
      </c>
    </row>
    <row r="465" spans="1:14">
      <c r="A465" s="8">
        <v>10</v>
      </c>
      <c r="B465" s="71">
        <v>43435</v>
      </c>
      <c r="E465" s="15">
        <v>12</v>
      </c>
    </row>
    <row r="466" spans="1:14">
      <c r="A466" s="8">
        <v>9</v>
      </c>
      <c r="B466" s="70">
        <v>43475</v>
      </c>
      <c r="E466" s="15">
        <v>1</v>
      </c>
    </row>
    <row r="467" spans="1:14">
      <c r="A467" s="8">
        <v>10</v>
      </c>
      <c r="B467" s="70">
        <v>43470</v>
      </c>
      <c r="E467" s="15">
        <v>1</v>
      </c>
    </row>
    <row r="468" spans="1:14">
      <c r="A468" s="8">
        <v>9</v>
      </c>
      <c r="B468" s="71">
        <v>43497</v>
      </c>
      <c r="E468" s="15">
        <v>2</v>
      </c>
    </row>
    <row r="469" spans="1:14">
      <c r="A469" s="8">
        <v>10</v>
      </c>
      <c r="B469" s="71">
        <v>43497</v>
      </c>
      <c r="E469" s="15">
        <v>2</v>
      </c>
    </row>
    <row r="470" spans="1:14">
      <c r="A470" s="8">
        <v>9</v>
      </c>
      <c r="B470" s="71">
        <v>43525</v>
      </c>
      <c r="E470" s="15">
        <v>3</v>
      </c>
      <c r="F470" s="83">
        <v>0.44400000000000001</v>
      </c>
      <c r="G470" s="83">
        <v>9.9989999999999996E-4</v>
      </c>
    </row>
    <row r="471" spans="1:14">
      <c r="A471" s="8">
        <v>10</v>
      </c>
      <c r="B471" s="71">
        <v>43525</v>
      </c>
      <c r="E471" s="15">
        <v>3</v>
      </c>
      <c r="F471" s="83">
        <v>0.70199999999999996</v>
      </c>
      <c r="G471" s="83">
        <v>9.9989999999999996E-4</v>
      </c>
      <c r="I471" s="27">
        <f>AVERAGE(F470:F471)</f>
        <v>0.57299999999999995</v>
      </c>
      <c r="J471" s="27">
        <f>AVERAGE(G470:G471)</f>
        <v>9.9989999999999996E-4</v>
      </c>
      <c r="L471">
        <f>+J471/I471</f>
        <v>1.7450261780104714E-3</v>
      </c>
      <c r="M471">
        <f>+(L471-$L$614)/$L$615</f>
        <v>-0.78990449908075377</v>
      </c>
      <c r="N471">
        <f>+N461+M471</f>
        <v>3.1247678893160735</v>
      </c>
    </row>
    <row r="472" spans="1:14">
      <c r="A472" s="8">
        <v>9</v>
      </c>
      <c r="B472" s="71">
        <v>43556</v>
      </c>
      <c r="E472" s="15">
        <v>4</v>
      </c>
      <c r="F472" s="77">
        <v>1.5860000000000001</v>
      </c>
      <c r="G472" s="83">
        <v>9.9989999999999996E-4</v>
      </c>
    </row>
    <row r="473" spans="1:14">
      <c r="A473" s="8">
        <v>10</v>
      </c>
      <c r="B473" s="71">
        <v>43556</v>
      </c>
      <c r="E473" s="15">
        <v>4</v>
      </c>
      <c r="F473" s="77">
        <v>1.992</v>
      </c>
      <c r="G473" s="83">
        <v>0.03</v>
      </c>
      <c r="I473" s="27">
        <f>AVERAGE(F472:F473)</f>
        <v>1.7890000000000001</v>
      </c>
      <c r="J473" s="27">
        <f>AVERAGE(G472:G473)</f>
        <v>1.549995E-2</v>
      </c>
      <c r="L473">
        <f>+J473/I473</f>
        <v>8.6640301844605923E-3</v>
      </c>
      <c r="M473">
        <f>+(L473-$L$614)/$L$615</f>
        <v>-0.57844138332296491</v>
      </c>
      <c r="N473">
        <f>+N471+M473</f>
        <v>2.5463265059931084</v>
      </c>
    </row>
    <row r="474" spans="1:14">
      <c r="A474" s="8">
        <v>9</v>
      </c>
      <c r="B474" s="71">
        <v>43586</v>
      </c>
      <c r="E474" s="15">
        <v>5</v>
      </c>
      <c r="F474" s="77">
        <v>0.50700000000000001</v>
      </c>
      <c r="G474" s="83">
        <v>9.9989999999999996E-4</v>
      </c>
    </row>
    <row r="475" spans="1:14">
      <c r="A475" s="8">
        <v>10</v>
      </c>
      <c r="B475" s="71">
        <v>43586</v>
      </c>
      <c r="E475" s="15">
        <v>5</v>
      </c>
      <c r="F475" s="77">
        <v>0.747</v>
      </c>
      <c r="G475" s="83">
        <v>9.9989999999999996E-4</v>
      </c>
      <c r="I475" s="27">
        <f>AVERAGE(F474:F475)</f>
        <v>0.627</v>
      </c>
      <c r="J475" s="27">
        <f>AVERAGE(G474:G475)</f>
        <v>9.9989999999999996E-4</v>
      </c>
      <c r="L475">
        <f>+J475/I475</f>
        <v>1.5947368421052632E-3</v>
      </c>
      <c r="M475">
        <f>+(L475-$L$614)/$L$615</f>
        <v>-0.79449773984287175</v>
      </c>
      <c r="N475">
        <f>+N473+M475</f>
        <v>1.7518287661502367</v>
      </c>
    </row>
    <row r="476" spans="1:14">
      <c r="A476" s="8">
        <v>9</v>
      </c>
      <c r="B476" s="71">
        <v>43617</v>
      </c>
      <c r="E476" s="15">
        <v>6</v>
      </c>
      <c r="F476" s="78">
        <v>1.6539999999999999</v>
      </c>
      <c r="G476" s="78">
        <v>7.5999999999999998E-2</v>
      </c>
    </row>
    <row r="477" spans="1:14">
      <c r="A477" s="8">
        <v>10</v>
      </c>
      <c r="B477" s="71">
        <v>43617</v>
      </c>
      <c r="E477" s="15">
        <v>6</v>
      </c>
      <c r="F477" s="78">
        <v>2.0870000000000002</v>
      </c>
      <c r="G477" s="78">
        <v>0.186</v>
      </c>
      <c r="I477" s="27">
        <f>AVERAGE(F476:F477)</f>
        <v>1.8705000000000001</v>
      </c>
      <c r="J477" s="27">
        <f>AVERAGE(G476:G477)</f>
        <v>0.13100000000000001</v>
      </c>
      <c r="L477">
        <f>+J477/I477</f>
        <v>7.0034750066827051E-2</v>
      </c>
      <c r="M477">
        <f>+(L477-$L$614)/$L$615</f>
        <v>1.2972106079933454</v>
      </c>
      <c r="N477">
        <f>+N475+M477</f>
        <v>3.0490393741435824</v>
      </c>
    </row>
    <row r="478" spans="1:14">
      <c r="A478" s="8">
        <v>9</v>
      </c>
      <c r="B478" s="71">
        <v>43647</v>
      </c>
      <c r="E478" s="15">
        <v>7</v>
      </c>
      <c r="F478" s="78">
        <v>6.5380000000000003</v>
      </c>
      <c r="G478" s="78">
        <v>0.35099999999999998</v>
      </c>
    </row>
    <row r="479" spans="1:14">
      <c r="A479" s="8">
        <v>10</v>
      </c>
      <c r="B479" s="71">
        <v>43647</v>
      </c>
      <c r="E479" s="15">
        <v>7</v>
      </c>
      <c r="F479" s="78">
        <v>4.4180000000000001</v>
      </c>
      <c r="G479" s="78">
        <v>0.113</v>
      </c>
      <c r="I479" s="27">
        <f>AVERAGE(F478:F479)</f>
        <v>5.4779999999999998</v>
      </c>
      <c r="J479" s="27">
        <f>AVERAGE(G478:G479)</f>
        <v>0.23199999999999998</v>
      </c>
      <c r="L479">
        <f>+J479/I479</f>
        <v>4.2351223074114638E-2</v>
      </c>
      <c r="M479">
        <f>+(L479-$L$614)/$L$615</f>
        <v>0.45112858988980203</v>
      </c>
      <c r="N479">
        <f>+N477+M479</f>
        <v>3.5001679640333845</v>
      </c>
    </row>
    <row r="480" spans="1:14">
      <c r="A480" s="8">
        <v>9</v>
      </c>
      <c r="B480" s="71">
        <v>43678</v>
      </c>
      <c r="E480" s="15">
        <v>8</v>
      </c>
    </row>
    <row r="481" spans="1:14">
      <c r="A481" s="8">
        <v>10</v>
      </c>
      <c r="B481" s="71">
        <v>43678</v>
      </c>
      <c r="E481" s="15">
        <v>8</v>
      </c>
      <c r="I481" s="27"/>
      <c r="J481" s="27"/>
    </row>
    <row r="482" spans="1:14">
      <c r="A482" s="8">
        <v>9</v>
      </c>
      <c r="B482" s="71">
        <v>43709</v>
      </c>
      <c r="E482" s="15">
        <v>9</v>
      </c>
    </row>
    <row r="483" spans="1:14">
      <c r="A483" s="8">
        <v>10</v>
      </c>
      <c r="B483" s="71">
        <v>43709</v>
      </c>
      <c r="E483" s="15">
        <v>9</v>
      </c>
      <c r="I483" s="27"/>
      <c r="J483" s="27"/>
    </row>
    <row r="484" spans="1:14">
      <c r="A484" s="8">
        <v>9</v>
      </c>
      <c r="B484" s="71">
        <v>43739</v>
      </c>
      <c r="E484" s="15">
        <v>10</v>
      </c>
      <c r="F484" s="78">
        <v>3.4790000000000001</v>
      </c>
      <c r="G484" s="78">
        <v>9.9989999999999996E-4</v>
      </c>
    </row>
    <row r="485" spans="1:14">
      <c r="A485" s="8">
        <v>10</v>
      </c>
      <c r="B485" s="71">
        <v>43739</v>
      </c>
      <c r="E485" s="15">
        <v>10</v>
      </c>
      <c r="F485" s="78">
        <v>1.141</v>
      </c>
      <c r="G485" s="78">
        <v>9.9989999999999996E-4</v>
      </c>
      <c r="I485" s="27">
        <f>AVERAGE(F484:F485)</f>
        <v>2.31</v>
      </c>
      <c r="J485" s="27">
        <f>AVERAGE(G484:G485)</f>
        <v>9.9989999999999996E-4</v>
      </c>
      <c r="L485">
        <f>+J485/I485</f>
        <v>4.3285714285714282E-4</v>
      </c>
      <c r="M485">
        <f>+(L485-$L$614)/$L$615</f>
        <v>-0.83000786544905525</v>
      </c>
      <c r="N485">
        <f>+N479+M485</f>
        <v>2.6701600985843292</v>
      </c>
    </row>
    <row r="486" spans="1:14">
      <c r="A486" s="8">
        <v>9</v>
      </c>
      <c r="B486" s="71">
        <v>43770</v>
      </c>
      <c r="E486" s="15">
        <v>11</v>
      </c>
    </row>
    <row r="487" spans="1:14">
      <c r="A487" s="8">
        <v>10</v>
      </c>
      <c r="B487" s="71">
        <v>43770</v>
      </c>
      <c r="E487" s="15">
        <v>11</v>
      </c>
      <c r="I487" s="27"/>
      <c r="J487" s="27"/>
    </row>
    <row r="488" spans="1:14">
      <c r="A488" s="8">
        <v>9</v>
      </c>
      <c r="B488" s="72">
        <v>43800</v>
      </c>
      <c r="E488" s="15">
        <v>12</v>
      </c>
      <c r="F488" s="78">
        <v>2.3090000000000002</v>
      </c>
      <c r="G488" s="78">
        <v>0.02</v>
      </c>
    </row>
    <row r="489" spans="1:14">
      <c r="A489" s="8">
        <v>10</v>
      </c>
      <c r="B489" s="71">
        <v>43800</v>
      </c>
      <c r="E489" s="15">
        <v>12</v>
      </c>
      <c r="F489" s="78">
        <v>2.286</v>
      </c>
      <c r="G489" s="78">
        <v>2.4E-2</v>
      </c>
      <c r="I489" s="27">
        <f>AVERAGE(F488:F489)</f>
        <v>2.2975000000000003</v>
      </c>
      <c r="J489" s="27">
        <f>AVERAGE(G488:G489)</f>
        <v>2.1999999999999999E-2</v>
      </c>
      <c r="L489">
        <f>+J489/I489</f>
        <v>9.57562568008705E-3</v>
      </c>
      <c r="M489">
        <f>+(L489-$L$614)/$L$615</f>
        <v>-0.55058060688227617</v>
      </c>
      <c r="N489">
        <f>+N485+M489</f>
        <v>2.1195794917020532</v>
      </c>
    </row>
    <row r="490" spans="1:14">
      <c r="A490" s="85">
        <v>9</v>
      </c>
      <c r="B490" s="88">
        <v>43831</v>
      </c>
      <c r="C490" s="89">
        <v>2020</v>
      </c>
      <c r="D490" s="90" t="s">
        <v>39</v>
      </c>
      <c r="E490" s="91">
        <v>1</v>
      </c>
    </row>
    <row r="491" spans="1:14">
      <c r="A491" s="8">
        <v>10</v>
      </c>
      <c r="B491" s="73">
        <v>43831</v>
      </c>
      <c r="C491">
        <v>2020</v>
      </c>
      <c r="D491" s="11" t="s">
        <v>39</v>
      </c>
      <c r="E491" s="15">
        <v>1</v>
      </c>
      <c r="I491" s="27"/>
      <c r="J491" s="27"/>
    </row>
    <row r="492" spans="1:14">
      <c r="A492" s="8">
        <v>9</v>
      </c>
      <c r="B492" s="71">
        <v>43862</v>
      </c>
      <c r="C492">
        <v>2020</v>
      </c>
      <c r="D492" s="11" t="s">
        <v>28</v>
      </c>
      <c r="E492" s="15">
        <v>2</v>
      </c>
      <c r="F492" s="95">
        <v>0.32100000000000001</v>
      </c>
      <c r="G492" s="95">
        <v>9.9989999999999996E-4</v>
      </c>
    </row>
    <row r="493" spans="1:14">
      <c r="A493" s="8">
        <v>10</v>
      </c>
      <c r="B493" s="71">
        <v>43862</v>
      </c>
      <c r="C493">
        <v>2020</v>
      </c>
      <c r="D493" s="11" t="s">
        <v>28</v>
      </c>
      <c r="E493" s="15">
        <v>2</v>
      </c>
      <c r="F493" s="95">
        <v>0.10100000000000001</v>
      </c>
      <c r="G493" s="95">
        <v>9.9989999999999996E-4</v>
      </c>
      <c r="I493" s="27">
        <f>AVERAGE(F492:F493)</f>
        <v>0.21100000000000002</v>
      </c>
      <c r="J493" s="27">
        <f>AVERAGE(G492:G493)</f>
        <v>9.9989999999999996E-4</v>
      </c>
      <c r="L493">
        <f>+J493/I493</f>
        <v>4.7388625592417058E-3</v>
      </c>
      <c r="M493">
        <f>+(L493-$L$614)/$L$615</f>
        <v>-0.69840491783264402</v>
      </c>
      <c r="N493">
        <f>+N489+M493</f>
        <v>1.421174573869409</v>
      </c>
    </row>
    <row r="494" spans="1:14">
      <c r="A494" s="8">
        <v>9</v>
      </c>
      <c r="B494" s="71">
        <v>43891</v>
      </c>
      <c r="C494">
        <v>2020</v>
      </c>
      <c r="D494" s="11" t="s">
        <v>29</v>
      </c>
      <c r="E494" s="15">
        <v>3</v>
      </c>
    </row>
    <row r="495" spans="1:14">
      <c r="A495" s="8">
        <v>10</v>
      </c>
      <c r="B495" s="71">
        <v>43891</v>
      </c>
      <c r="C495">
        <v>2020</v>
      </c>
      <c r="D495" s="11" t="s">
        <v>29</v>
      </c>
      <c r="E495" s="15">
        <v>3</v>
      </c>
    </row>
    <row r="496" spans="1:14">
      <c r="A496" s="8">
        <v>9</v>
      </c>
      <c r="B496" s="71">
        <v>43922</v>
      </c>
      <c r="C496">
        <v>2020</v>
      </c>
      <c r="D496" s="11" t="s">
        <v>30</v>
      </c>
      <c r="E496" s="15">
        <v>4</v>
      </c>
    </row>
    <row r="497" spans="1:14">
      <c r="A497" s="8">
        <v>10</v>
      </c>
      <c r="B497" s="71">
        <v>43922</v>
      </c>
      <c r="C497">
        <v>2020</v>
      </c>
      <c r="D497" s="11" t="s">
        <v>30</v>
      </c>
      <c r="E497" s="15">
        <v>4</v>
      </c>
    </row>
    <row r="498" spans="1:14">
      <c r="A498" s="8">
        <v>9</v>
      </c>
      <c r="B498" s="71">
        <v>43952</v>
      </c>
      <c r="C498">
        <v>2020</v>
      </c>
      <c r="D498" s="11" t="s">
        <v>31</v>
      </c>
      <c r="E498" s="15">
        <v>5</v>
      </c>
    </row>
    <row r="499" spans="1:14">
      <c r="A499" s="8">
        <v>10</v>
      </c>
      <c r="B499" s="71">
        <v>43952</v>
      </c>
      <c r="C499">
        <v>2020</v>
      </c>
      <c r="D499" s="11" t="s">
        <v>31</v>
      </c>
      <c r="E499" s="15">
        <v>5</v>
      </c>
    </row>
    <row r="500" spans="1:14">
      <c r="A500" s="8">
        <v>9</v>
      </c>
      <c r="B500" s="71">
        <v>43983</v>
      </c>
      <c r="C500">
        <v>2020</v>
      </c>
      <c r="D500" s="11" t="s">
        <v>32</v>
      </c>
      <c r="E500" s="15">
        <v>6</v>
      </c>
      <c r="F500" s="95">
        <v>2.2690000000000001</v>
      </c>
      <c r="G500" s="95">
        <v>3.2000000000000001E-2</v>
      </c>
    </row>
    <row r="501" spans="1:14">
      <c r="A501" s="8">
        <v>10</v>
      </c>
      <c r="B501" s="71">
        <v>43983</v>
      </c>
      <c r="C501">
        <v>2020</v>
      </c>
      <c r="D501" s="11" t="s">
        <v>32</v>
      </c>
      <c r="E501" s="15">
        <v>6</v>
      </c>
      <c r="F501" s="95">
        <v>2.1589999999999998</v>
      </c>
      <c r="G501" s="95">
        <v>7.8E-2</v>
      </c>
      <c r="I501" s="27">
        <f>AVERAGE(F500:F501)</f>
        <v>2.214</v>
      </c>
      <c r="J501" s="27">
        <f>AVERAGE(G500:G501)</f>
        <v>5.5E-2</v>
      </c>
      <c r="L501">
        <f>+J501/I501</f>
        <v>2.4841915085817526E-2</v>
      </c>
      <c r="M501">
        <f>+(L501-$L$614)/$L$615</f>
        <v>-8.4002307348643265E-2</v>
      </c>
      <c r="N501">
        <f>+N493+M501</f>
        <v>1.3371722665207657</v>
      </c>
    </row>
    <row r="502" spans="1:14">
      <c r="A502" s="8">
        <v>9</v>
      </c>
      <c r="B502" s="71">
        <v>44013</v>
      </c>
      <c r="C502">
        <v>2020</v>
      </c>
      <c r="D502" s="11" t="s">
        <v>33</v>
      </c>
      <c r="E502" s="15">
        <v>7</v>
      </c>
      <c r="F502" s="95">
        <v>7.3760000000000003</v>
      </c>
      <c r="G502" s="95">
        <v>0.112</v>
      </c>
    </row>
    <row r="503" spans="1:14">
      <c r="A503" s="8">
        <v>10</v>
      </c>
      <c r="B503" s="71">
        <v>44013</v>
      </c>
      <c r="C503">
        <v>2020</v>
      </c>
      <c r="D503" s="11" t="s">
        <v>33</v>
      </c>
      <c r="E503" s="15">
        <v>7</v>
      </c>
      <c r="F503" s="95">
        <v>4.7709999999999999</v>
      </c>
      <c r="G503" s="95">
        <v>9.5000000000000001E-2</v>
      </c>
      <c r="I503" s="27">
        <f t="shared" ref="I503" si="0">AVERAGE(F502:F503)</f>
        <v>6.0735000000000001</v>
      </c>
      <c r="J503" s="27">
        <f t="shared" ref="J503" si="1">AVERAGE(G502:G503)</f>
        <v>0.10350000000000001</v>
      </c>
      <c r="L503">
        <f t="shared" ref="L503" si="2">+J503/I503</f>
        <v>1.7041244751790568E-2</v>
      </c>
      <c r="M503">
        <f t="shared" ref="M503" si="3">+(L503-$L$614)/$L$615</f>
        <v>-0.32241148478154036</v>
      </c>
      <c r="N503">
        <f>+N501+M503</f>
        <v>1.0147607817392252</v>
      </c>
    </row>
    <row r="504" spans="1:14">
      <c r="A504" s="8">
        <v>9</v>
      </c>
      <c r="B504" s="71">
        <v>44044</v>
      </c>
      <c r="C504">
        <v>2020</v>
      </c>
      <c r="D504" s="11" t="s">
        <v>34</v>
      </c>
      <c r="E504" s="15">
        <v>8</v>
      </c>
      <c r="F504" s="95">
        <v>2.9569999999999999</v>
      </c>
      <c r="G504" s="95">
        <v>0.09</v>
      </c>
    </row>
    <row r="505" spans="1:14">
      <c r="A505" s="8">
        <v>10</v>
      </c>
      <c r="B505" s="71">
        <v>44044</v>
      </c>
      <c r="C505">
        <v>2020</v>
      </c>
      <c r="D505" s="11" t="s">
        <v>34</v>
      </c>
      <c r="E505" s="15">
        <v>8</v>
      </c>
      <c r="F505" s="95">
        <v>1.8169999999999999</v>
      </c>
      <c r="G505" s="95">
        <v>9.0999999999999998E-2</v>
      </c>
      <c r="I505" s="27">
        <f t="shared" ref="I505" si="4">AVERAGE(F504:F505)</f>
        <v>2.387</v>
      </c>
      <c r="J505" s="27">
        <f t="shared" ref="J505" si="5">AVERAGE(G504:G505)</f>
        <v>9.0499999999999997E-2</v>
      </c>
      <c r="L505">
        <f t="shared" ref="L505" si="6">+J505/I505</f>
        <v>3.7913699204021781E-2</v>
      </c>
      <c r="M505">
        <f t="shared" ref="M505" si="7">+(L505-$L$614)/$L$615</f>
        <v>0.31550608946277292</v>
      </c>
      <c r="N505">
        <f t="shared" ref="N505" si="8">+N503+M505</f>
        <v>1.330266871201998</v>
      </c>
    </row>
    <row r="506" spans="1:14">
      <c r="A506" s="8">
        <v>9</v>
      </c>
      <c r="B506" s="71">
        <v>44075</v>
      </c>
      <c r="C506">
        <v>2020</v>
      </c>
      <c r="D506" s="11" t="s">
        <v>40</v>
      </c>
      <c r="E506" s="15">
        <v>9</v>
      </c>
      <c r="F506" s="95">
        <v>0.89900000000000002</v>
      </c>
      <c r="G506" s="95">
        <v>2.5999999999999999E-2</v>
      </c>
    </row>
    <row r="507" spans="1:14">
      <c r="A507" s="8">
        <v>10</v>
      </c>
      <c r="B507" s="71">
        <v>44075</v>
      </c>
      <c r="C507">
        <v>2020</v>
      </c>
      <c r="D507" s="11" t="s">
        <v>40</v>
      </c>
      <c r="E507" s="15">
        <v>9</v>
      </c>
      <c r="F507" s="95">
        <v>2.0430000000000001</v>
      </c>
      <c r="G507" s="95">
        <v>9.9989999999999996E-4</v>
      </c>
      <c r="I507" s="27">
        <f t="shared" ref="I507" si="9">AVERAGE(F506:F507)</f>
        <v>1.4710000000000001</v>
      </c>
      <c r="J507" s="27">
        <f t="shared" ref="J507" si="10">AVERAGE(G506:G507)</f>
        <v>1.349995E-2</v>
      </c>
      <c r="L507">
        <f t="shared" ref="L507" si="11">+J507/I507</f>
        <v>9.1773963290278718E-3</v>
      </c>
      <c r="M507">
        <f t="shared" ref="M507" si="12">+(L507-$L$614)/$L$615</f>
        <v>-0.56275155219213169</v>
      </c>
      <c r="N507">
        <f t="shared" ref="N507" si="13">+N505+M507</f>
        <v>0.76751531900986636</v>
      </c>
    </row>
    <row r="508" spans="1:14">
      <c r="A508" s="8">
        <v>9</v>
      </c>
      <c r="B508" s="71">
        <v>44105</v>
      </c>
      <c r="C508">
        <v>2020</v>
      </c>
      <c r="D508" s="11" t="s">
        <v>36</v>
      </c>
      <c r="E508" s="15">
        <v>10</v>
      </c>
      <c r="F508" s="95">
        <v>0.85</v>
      </c>
      <c r="G508" s="95">
        <v>9.9989999999999996E-4</v>
      </c>
    </row>
    <row r="509" spans="1:14">
      <c r="A509" s="8">
        <v>10</v>
      </c>
      <c r="B509" s="71">
        <v>44105</v>
      </c>
      <c r="C509">
        <v>2020</v>
      </c>
      <c r="D509" s="11" t="s">
        <v>36</v>
      </c>
      <c r="E509" s="15">
        <v>10</v>
      </c>
      <c r="F509" s="95">
        <v>1.034</v>
      </c>
      <c r="G509" s="95">
        <v>9.9989999999999996E-4</v>
      </c>
      <c r="I509" s="27">
        <f t="shared" ref="I509" si="14">AVERAGE(F508:F509)</f>
        <v>0.94199999999999995</v>
      </c>
      <c r="J509" s="27">
        <f t="shared" ref="J509" si="15">AVERAGE(G508:G509)</f>
        <v>9.9989999999999996E-4</v>
      </c>
      <c r="L509">
        <f t="shared" ref="L509" si="16">+J509/I509</f>
        <v>1.0614649681528663E-3</v>
      </c>
      <c r="M509">
        <f t="shared" ref="M509" si="17">+(L509-$L$614)/$L$615</f>
        <v>-0.81079594286556744</v>
      </c>
      <c r="N509">
        <f t="shared" ref="N509" si="18">+N507+M509</f>
        <v>-4.3280623855701084E-2</v>
      </c>
    </row>
    <row r="510" spans="1:14">
      <c r="A510" s="8">
        <v>9</v>
      </c>
      <c r="B510" s="71">
        <v>44136</v>
      </c>
      <c r="C510">
        <v>2020</v>
      </c>
      <c r="D510" s="11" t="s">
        <v>37</v>
      </c>
      <c r="E510" s="15">
        <v>11</v>
      </c>
      <c r="F510" s="92">
        <v>0.47699999999999998</v>
      </c>
      <c r="G510" s="95">
        <v>9.9989999999999996E-4</v>
      </c>
    </row>
    <row r="511" spans="1:14">
      <c r="A511" s="8">
        <v>10</v>
      </c>
      <c r="B511" s="71">
        <v>44136</v>
      </c>
      <c r="C511">
        <v>2020</v>
      </c>
      <c r="D511" s="11" t="s">
        <v>37</v>
      </c>
      <c r="E511" s="15">
        <v>11</v>
      </c>
      <c r="F511" s="92">
        <v>0.36699999999999999</v>
      </c>
      <c r="G511" s="95">
        <v>9.9989999999999996E-4</v>
      </c>
      <c r="I511" s="27">
        <f t="shared" ref="I511" si="19">AVERAGE(F510:F511)</f>
        <v>0.42199999999999999</v>
      </c>
      <c r="J511" s="27">
        <f t="shared" ref="J511" si="20">AVERAGE(G510:G511)</f>
        <v>9.9989999999999996E-4</v>
      </c>
      <c r="L511">
        <f t="shared" ref="L511" si="21">+J511/I511</f>
        <v>2.3694312796208529E-3</v>
      </c>
      <c r="M511">
        <f t="shared" ref="M511" si="22">+(L511-$L$614)/$L$615</f>
        <v>-0.77082102288121712</v>
      </c>
      <c r="N511">
        <f t="shared" ref="N511" si="23">+N509+M511</f>
        <v>-0.81410164673691821</v>
      </c>
    </row>
    <row r="512" spans="1:14">
      <c r="A512" s="8">
        <v>9</v>
      </c>
      <c r="B512" s="72">
        <v>44166</v>
      </c>
      <c r="C512">
        <v>2020</v>
      </c>
      <c r="D512" s="11" t="s">
        <v>38</v>
      </c>
      <c r="E512" s="15">
        <v>12</v>
      </c>
    </row>
    <row r="513" spans="1:14">
      <c r="A513" s="8">
        <v>10</v>
      </c>
      <c r="B513" s="71">
        <v>44166</v>
      </c>
      <c r="C513">
        <v>2020</v>
      </c>
      <c r="D513" s="11" t="s">
        <v>38</v>
      </c>
      <c r="E513" s="15">
        <v>12</v>
      </c>
      <c r="I513" s="27"/>
      <c r="J513" s="27"/>
    </row>
    <row r="514" spans="1:14">
      <c r="A514" s="85">
        <v>9</v>
      </c>
      <c r="B514" s="88">
        <v>44197</v>
      </c>
      <c r="C514" s="89">
        <v>2021</v>
      </c>
      <c r="D514" s="90" t="s">
        <v>39</v>
      </c>
      <c r="E514" s="91">
        <v>1</v>
      </c>
    </row>
    <row r="515" spans="1:14">
      <c r="A515" s="8">
        <v>10</v>
      </c>
      <c r="B515" s="73">
        <v>44197</v>
      </c>
      <c r="C515">
        <v>2021</v>
      </c>
      <c r="D515" s="11" t="s">
        <v>39</v>
      </c>
      <c r="E515" s="15">
        <v>1</v>
      </c>
      <c r="I515" s="27"/>
      <c r="J515" s="27"/>
    </row>
    <row r="516" spans="1:14">
      <c r="A516" s="8">
        <v>9</v>
      </c>
      <c r="B516" s="71">
        <v>44228</v>
      </c>
      <c r="C516">
        <v>2021</v>
      </c>
      <c r="D516" s="11" t="s">
        <v>28</v>
      </c>
      <c r="E516" s="15">
        <v>2</v>
      </c>
      <c r="F516" s="95">
        <v>1.8140000000000001</v>
      </c>
      <c r="G516" s="95">
        <v>9.0999999999999998E-2</v>
      </c>
    </row>
    <row r="517" spans="1:14">
      <c r="A517" s="8">
        <v>10</v>
      </c>
      <c r="B517" s="71">
        <v>44228</v>
      </c>
      <c r="C517">
        <v>2021</v>
      </c>
      <c r="D517" s="11" t="s">
        <v>28</v>
      </c>
      <c r="E517" s="15">
        <v>2</v>
      </c>
      <c r="F517" s="95">
        <v>3.0790000000000002</v>
      </c>
      <c r="G517" s="95">
        <v>6.6000000000000003E-2</v>
      </c>
      <c r="I517" s="27">
        <f t="shared" ref="I517" si="24">AVERAGE(F516:F517)</f>
        <v>2.4465000000000003</v>
      </c>
      <c r="J517" s="27">
        <f t="shared" ref="J517" si="25">AVERAGE(G516:G517)</f>
        <v>7.85E-2</v>
      </c>
      <c r="L517">
        <f t="shared" ref="L517" si="26">+J517/I517</f>
        <v>3.2086654404250965E-2</v>
      </c>
      <c r="M517">
        <f t="shared" ref="M517" si="27">+(L517-$L$614)/$L$615</f>
        <v>0.13741614358746251</v>
      </c>
      <c r="N517">
        <f>+N511+M517</f>
        <v>-0.67668550314945564</v>
      </c>
    </row>
    <row r="518" spans="1:14">
      <c r="A518" s="8">
        <v>9</v>
      </c>
      <c r="B518" s="71">
        <v>44256</v>
      </c>
      <c r="C518">
        <v>2021</v>
      </c>
      <c r="D518" s="11" t="s">
        <v>29</v>
      </c>
      <c r="E518" s="15">
        <v>3</v>
      </c>
      <c r="F518" s="95">
        <v>1.944</v>
      </c>
      <c r="G518" s="95">
        <v>1.9E-2</v>
      </c>
    </row>
    <row r="519" spans="1:14">
      <c r="A519" s="8">
        <v>10</v>
      </c>
      <c r="B519" s="71">
        <v>44256</v>
      </c>
      <c r="C519">
        <v>2021</v>
      </c>
      <c r="D519" s="11" t="s">
        <v>29</v>
      </c>
      <c r="E519" s="15">
        <v>3</v>
      </c>
      <c r="F519" s="95">
        <v>2.294</v>
      </c>
      <c r="G519" s="95">
        <v>4.2000000000000003E-2</v>
      </c>
      <c r="I519" s="27">
        <f t="shared" ref="I519" si="28">AVERAGE(F518:F519)</f>
        <v>2.1189999999999998</v>
      </c>
      <c r="J519" s="27">
        <f t="shared" ref="J519" si="29">AVERAGE(G518:G519)</f>
        <v>3.0499999999999999E-2</v>
      </c>
      <c r="L519">
        <f t="shared" ref="L519" si="30">+J519/I519</f>
        <v>1.4393581878244455E-2</v>
      </c>
      <c r="M519">
        <f t="shared" ref="M519" si="31">+(L519-$L$614)/$L$615</f>
        <v>-0.40333108537641504</v>
      </c>
      <c r="N519">
        <f t="shared" ref="N519" si="32">+N517+M519</f>
        <v>-1.0800165885258708</v>
      </c>
    </row>
    <row r="520" spans="1:14">
      <c r="A520" s="8">
        <v>9</v>
      </c>
      <c r="B520" s="71">
        <v>44287</v>
      </c>
      <c r="C520">
        <v>2021</v>
      </c>
      <c r="D520" s="11" t="s">
        <v>30</v>
      </c>
      <c r="E520" s="15">
        <v>4</v>
      </c>
      <c r="F520" s="95">
        <v>0.49099999999999999</v>
      </c>
      <c r="G520" s="95">
        <v>9.9989999999999996E-4</v>
      </c>
    </row>
    <row r="521" spans="1:14">
      <c r="A521" s="8">
        <v>10</v>
      </c>
      <c r="B521" s="71">
        <v>44287</v>
      </c>
      <c r="C521">
        <v>2021</v>
      </c>
      <c r="D521" s="11" t="s">
        <v>30</v>
      </c>
      <c r="E521" s="15">
        <v>4</v>
      </c>
      <c r="F521" s="95">
        <v>0.92900000000000005</v>
      </c>
      <c r="G521" s="95">
        <v>2.1000000000000001E-2</v>
      </c>
      <c r="I521" s="27">
        <f t="shared" ref="I521" si="33">AVERAGE(F520:F521)</f>
        <v>0.71</v>
      </c>
      <c r="J521" s="27">
        <f t="shared" ref="J521" si="34">AVERAGE(G520:G521)</f>
        <v>1.0999950000000001E-2</v>
      </c>
      <c r="L521">
        <f t="shared" ref="L521" si="35">+J521/I521</f>
        <v>1.5492887323943664E-2</v>
      </c>
      <c r="M521">
        <f t="shared" ref="M521" si="36">+(L521-$L$614)/$L$615</f>
        <v>-0.36973339494288582</v>
      </c>
      <c r="N521">
        <f t="shared" ref="N521" si="37">+N519+M521</f>
        <v>-1.4497499834687566</v>
      </c>
    </row>
    <row r="522" spans="1:14">
      <c r="A522" s="8">
        <v>9</v>
      </c>
      <c r="B522" s="71">
        <v>44317</v>
      </c>
      <c r="C522">
        <v>2021</v>
      </c>
      <c r="D522" s="11" t="s">
        <v>31</v>
      </c>
      <c r="E522" s="15">
        <v>5</v>
      </c>
      <c r="F522" s="95">
        <v>1.1020000000000001</v>
      </c>
      <c r="G522" s="95">
        <v>9.9989999999999996E-4</v>
      </c>
    </row>
    <row r="523" spans="1:14">
      <c r="A523" s="8">
        <v>10</v>
      </c>
      <c r="B523" s="71">
        <v>44317</v>
      </c>
      <c r="C523">
        <v>2021</v>
      </c>
      <c r="D523" s="11" t="s">
        <v>31</v>
      </c>
      <c r="E523" s="15">
        <v>5</v>
      </c>
      <c r="F523" s="95">
        <v>1.2370000000000001</v>
      </c>
      <c r="G523" s="95">
        <v>9.9989999999999996E-4</v>
      </c>
      <c r="I523" s="27">
        <f t="shared" ref="I523" si="38">AVERAGE(F522:F523)</f>
        <v>1.1695000000000002</v>
      </c>
      <c r="J523" s="27">
        <f t="shared" ref="J523" si="39">AVERAGE(G522:G523)</f>
        <v>9.9989999999999996E-4</v>
      </c>
      <c r="L523">
        <f t="shared" ref="L523" si="40">+J523/I523</f>
        <v>8.5498076100897803E-4</v>
      </c>
      <c r="M523">
        <f t="shared" ref="M523" si="41">+(L523-$L$614)/$L$615</f>
        <v>-0.81710664795501653</v>
      </c>
      <c r="N523">
        <f t="shared" ref="N523" si="42">+N521+M523</f>
        <v>-2.266856631423773</v>
      </c>
    </row>
    <row r="524" spans="1:14">
      <c r="A524" s="8">
        <v>9</v>
      </c>
      <c r="B524" s="71">
        <v>44348</v>
      </c>
      <c r="C524">
        <v>2021</v>
      </c>
      <c r="D524" s="11" t="s">
        <v>32</v>
      </c>
      <c r="E524" s="15">
        <v>6</v>
      </c>
      <c r="F524" s="95">
        <v>4.4279999999999999</v>
      </c>
      <c r="G524" s="95">
        <v>7.9000000000000001E-2</v>
      </c>
    </row>
    <row r="525" spans="1:14">
      <c r="A525" s="8">
        <v>10</v>
      </c>
      <c r="B525" s="71">
        <v>44348</v>
      </c>
      <c r="C525">
        <v>2021</v>
      </c>
      <c r="D525" s="11" t="s">
        <v>32</v>
      </c>
      <c r="E525" s="15">
        <v>6</v>
      </c>
      <c r="F525" s="95">
        <v>7.2560000000000002</v>
      </c>
      <c r="G525" s="95">
        <v>0.14399999999999999</v>
      </c>
      <c r="I525" s="27">
        <f t="shared" ref="I525" si="43">AVERAGE(F524:F525)</f>
        <v>5.8420000000000005</v>
      </c>
      <c r="J525" s="27">
        <f t="shared" ref="J525" si="44">AVERAGE(G524:G525)</f>
        <v>0.11149999999999999</v>
      </c>
      <c r="L525">
        <f t="shared" ref="L525" si="45">+J525/I525</f>
        <v>1.9085929476206773E-2</v>
      </c>
      <c r="M525">
        <f t="shared" ref="M525" si="46">+(L525-$L$614)/$L$615</f>
        <v>-0.2599204958813558</v>
      </c>
      <c r="N525">
        <f t="shared" ref="N525" si="47">+N523+M525</f>
        <v>-2.5267771273051287</v>
      </c>
    </row>
    <row r="526" spans="1:14">
      <c r="A526" s="8">
        <v>9</v>
      </c>
      <c r="B526" s="71">
        <v>44378</v>
      </c>
      <c r="C526">
        <v>2021</v>
      </c>
      <c r="D526" s="11" t="s">
        <v>33</v>
      </c>
      <c r="E526" s="15">
        <v>7</v>
      </c>
      <c r="H526" s="93" t="s">
        <v>96</v>
      </c>
    </row>
    <row r="527" spans="1:14">
      <c r="A527" s="8">
        <v>10</v>
      </c>
      <c r="B527" s="71">
        <v>44378</v>
      </c>
      <c r="C527">
        <v>2021</v>
      </c>
      <c r="D527" s="11" t="s">
        <v>33</v>
      </c>
      <c r="E527" s="15">
        <v>7</v>
      </c>
      <c r="H527" s="93" t="s">
        <v>97</v>
      </c>
      <c r="I527" s="27"/>
      <c r="J527" s="27"/>
    </row>
    <row r="528" spans="1:14">
      <c r="A528" s="8">
        <v>9</v>
      </c>
      <c r="B528" s="71">
        <v>44409</v>
      </c>
      <c r="C528">
        <v>2021</v>
      </c>
      <c r="D528" s="11" t="s">
        <v>34</v>
      </c>
      <c r="E528" s="15">
        <v>8</v>
      </c>
      <c r="F528" s="95">
        <v>1.7909999999999999</v>
      </c>
      <c r="G528" s="95">
        <v>6.4000000000000001E-2</v>
      </c>
    </row>
    <row r="529" spans="1:14">
      <c r="A529" s="8">
        <v>10</v>
      </c>
      <c r="B529" s="71">
        <v>44409</v>
      </c>
      <c r="C529">
        <v>2021</v>
      </c>
      <c r="D529" s="11" t="s">
        <v>34</v>
      </c>
      <c r="E529" s="15">
        <v>8</v>
      </c>
      <c r="F529" s="95">
        <v>2.581</v>
      </c>
      <c r="G529" s="95">
        <v>4.5999999999999999E-2</v>
      </c>
      <c r="I529" s="27">
        <f t="shared" ref="I529" si="48">AVERAGE(F528:F529)</f>
        <v>2.1859999999999999</v>
      </c>
      <c r="J529" s="27">
        <f t="shared" ref="J529" si="49">AVERAGE(G528:G529)</f>
        <v>5.5E-2</v>
      </c>
      <c r="L529">
        <f t="shared" ref="L529" si="50">+J529/I529</f>
        <v>2.5160109789569993E-2</v>
      </c>
      <c r="M529">
        <f t="shared" ref="M529" si="51">+(L529-$L$614)/$L$615</f>
        <v>-7.427743316004666E-2</v>
      </c>
      <c r="N529">
        <f>+N525+M529</f>
        <v>-2.6010545604651756</v>
      </c>
    </row>
    <row r="530" spans="1:14">
      <c r="A530" s="8">
        <v>9</v>
      </c>
      <c r="B530" s="71">
        <v>44440</v>
      </c>
      <c r="C530">
        <v>2021</v>
      </c>
      <c r="D530" s="11" t="s">
        <v>40</v>
      </c>
      <c r="E530" s="15">
        <v>9</v>
      </c>
      <c r="F530" s="95">
        <v>1.242</v>
      </c>
      <c r="G530" s="95">
        <v>2.1999999999999999E-2</v>
      </c>
    </row>
    <row r="531" spans="1:14">
      <c r="A531" s="8">
        <v>10</v>
      </c>
      <c r="B531" s="71">
        <v>44440</v>
      </c>
      <c r="C531">
        <v>2021</v>
      </c>
      <c r="D531" s="11" t="s">
        <v>40</v>
      </c>
      <c r="E531" s="15">
        <v>9</v>
      </c>
      <c r="F531" s="95">
        <v>1.141</v>
      </c>
      <c r="G531" s="95">
        <v>2.9000000000000001E-2</v>
      </c>
      <c r="I531" s="27">
        <f t="shared" ref="I531" si="52">AVERAGE(F530:F531)</f>
        <v>1.1915</v>
      </c>
      <c r="J531" s="27">
        <f t="shared" ref="J531" si="53">AVERAGE(G530:G531)</f>
        <v>2.5500000000000002E-2</v>
      </c>
      <c r="L531">
        <f t="shared" ref="L531" si="54">+J531/I531</f>
        <v>2.1401594628619389E-2</v>
      </c>
      <c r="M531">
        <f t="shared" ref="M531" si="55">+(L531-$L$614)/$L$615</f>
        <v>-0.18914762630006735</v>
      </c>
      <c r="N531">
        <f t="shared" ref="N531" si="56">+N529+M531</f>
        <v>-2.7902021867652431</v>
      </c>
    </row>
    <row r="532" spans="1:14">
      <c r="A532" s="8">
        <v>9</v>
      </c>
      <c r="B532" s="71">
        <v>44470</v>
      </c>
      <c r="C532">
        <v>2021</v>
      </c>
      <c r="D532" s="11" t="s">
        <v>36</v>
      </c>
      <c r="E532" s="15">
        <v>10</v>
      </c>
      <c r="F532" s="95">
        <v>1.8680000000000001</v>
      </c>
      <c r="G532" s="95">
        <v>8.8999999999999996E-2</v>
      </c>
    </row>
    <row r="533" spans="1:14">
      <c r="A533" s="8">
        <v>10</v>
      </c>
      <c r="B533" s="71">
        <v>44470</v>
      </c>
      <c r="C533">
        <v>2021</v>
      </c>
      <c r="D533" s="11" t="s">
        <v>36</v>
      </c>
      <c r="E533" s="15">
        <v>10</v>
      </c>
      <c r="F533" s="95">
        <v>1.8009999999999999</v>
      </c>
      <c r="G533" s="95">
        <v>8.5000000000000006E-2</v>
      </c>
      <c r="I533" s="27">
        <f t="shared" ref="I533" si="57">AVERAGE(F532:F533)</f>
        <v>1.8345</v>
      </c>
      <c r="J533" s="27">
        <f t="shared" ref="J533" si="58">AVERAGE(G532:G533)</f>
        <v>8.6999999999999994E-2</v>
      </c>
      <c r="L533">
        <f t="shared" ref="L533" si="59">+J533/I533</f>
        <v>4.7424366312346686E-2</v>
      </c>
      <c r="M533">
        <f t="shared" ref="M533" si="60">+(L533-$L$614)/$L$615</f>
        <v>0.60617730424840399</v>
      </c>
      <c r="N533">
        <f t="shared" ref="N533" si="61">+N531+M533</f>
        <v>-2.1840248825168391</v>
      </c>
    </row>
    <row r="534" spans="1:14">
      <c r="A534" s="8">
        <v>9</v>
      </c>
      <c r="B534" s="71">
        <v>44501</v>
      </c>
      <c r="C534">
        <v>2021</v>
      </c>
      <c r="D534" s="11" t="s">
        <v>37</v>
      </c>
      <c r="E534" s="15">
        <v>11</v>
      </c>
      <c r="F534" s="95">
        <v>1.008</v>
      </c>
      <c r="G534" s="95">
        <v>4.5999999999999999E-2</v>
      </c>
    </row>
    <row r="535" spans="1:14">
      <c r="A535" s="8">
        <v>10</v>
      </c>
      <c r="B535" s="71">
        <v>44501</v>
      </c>
      <c r="C535">
        <v>2021</v>
      </c>
      <c r="D535" s="11" t="s">
        <v>37</v>
      </c>
      <c r="E535" s="15">
        <v>11</v>
      </c>
      <c r="F535" s="95">
        <v>1.512</v>
      </c>
      <c r="G535" s="95">
        <v>6.0999999999999999E-2</v>
      </c>
      <c r="I535" s="27">
        <f t="shared" ref="I535" si="62">AVERAGE(F534:F535)</f>
        <v>1.26</v>
      </c>
      <c r="J535" s="27">
        <f t="shared" ref="J535" si="63">AVERAGE(G534:G535)</f>
        <v>5.3499999999999999E-2</v>
      </c>
      <c r="L535">
        <f t="shared" ref="L535" si="64">+J535/I535</f>
        <v>4.2460317460317462E-2</v>
      </c>
      <c r="M535">
        <f t="shared" ref="M535" si="65">+(L535-$L$614)/$L$615</f>
        <v>0.45446280371546632</v>
      </c>
      <c r="N535">
        <f t="shared" ref="N535" si="66">+N533+M535</f>
        <v>-1.7295620788013728</v>
      </c>
    </row>
    <row r="536" spans="1:14">
      <c r="A536" s="8">
        <v>9</v>
      </c>
      <c r="B536" s="72">
        <v>44531</v>
      </c>
      <c r="C536">
        <v>2021</v>
      </c>
      <c r="D536" s="11" t="s">
        <v>38</v>
      </c>
      <c r="E536" s="15">
        <v>12</v>
      </c>
      <c r="F536" s="95">
        <v>12.759</v>
      </c>
      <c r="G536" s="95">
        <v>0.66300000000000003</v>
      </c>
    </row>
    <row r="537" spans="1:14">
      <c r="A537" s="8">
        <v>10</v>
      </c>
      <c r="B537" s="71">
        <v>44531</v>
      </c>
      <c r="C537">
        <v>2021</v>
      </c>
      <c r="D537" s="11" t="s">
        <v>38</v>
      </c>
      <c r="E537" s="15">
        <v>12</v>
      </c>
      <c r="F537" s="95">
        <v>12.851000000000001</v>
      </c>
      <c r="G537" s="95">
        <v>0.67</v>
      </c>
      <c r="I537" s="27">
        <f t="shared" ref="I537:J537" si="67">AVERAGE(F536:F537)</f>
        <v>12.805</v>
      </c>
      <c r="J537" s="27">
        <f t="shared" si="67"/>
        <v>0.66650000000000009</v>
      </c>
      <c r="L537">
        <f t="shared" ref="L537" si="68">+J537/I537</f>
        <v>5.2049980476376427E-2</v>
      </c>
      <c r="M537">
        <f t="shared" ref="M537" si="69">+(L537-$L$614)/$L$615</f>
        <v>0.74754834298565997</v>
      </c>
      <c r="N537">
        <f t="shared" ref="N537" si="70">+N535+M537</f>
        <v>-0.98201373581571283</v>
      </c>
    </row>
    <row r="538" spans="1:14">
      <c r="A538" s="85">
        <v>9</v>
      </c>
      <c r="B538" s="88">
        <v>44562</v>
      </c>
      <c r="C538" s="89">
        <v>2022</v>
      </c>
      <c r="D538" s="90" t="s">
        <v>39</v>
      </c>
      <c r="E538" s="91">
        <v>1</v>
      </c>
      <c r="H538" s="93" t="s">
        <v>93</v>
      </c>
    </row>
    <row r="539" spans="1:14">
      <c r="A539" s="8">
        <v>10</v>
      </c>
      <c r="B539" s="73">
        <v>44562</v>
      </c>
      <c r="C539">
        <v>2022</v>
      </c>
      <c r="D539" s="11" t="s">
        <v>39</v>
      </c>
      <c r="E539" s="15">
        <v>1</v>
      </c>
      <c r="H539" s="93" t="s">
        <v>94</v>
      </c>
    </row>
    <row r="540" spans="1:14">
      <c r="A540" s="8">
        <v>9</v>
      </c>
      <c r="B540" s="71">
        <v>44593</v>
      </c>
      <c r="C540">
        <v>2022</v>
      </c>
      <c r="D540" s="11" t="s">
        <v>28</v>
      </c>
      <c r="E540" s="15">
        <v>2</v>
      </c>
      <c r="H540" s="93" t="s">
        <v>95</v>
      </c>
    </row>
    <row r="541" spans="1:14">
      <c r="A541" s="8">
        <v>10</v>
      </c>
      <c r="B541" s="71">
        <v>44593</v>
      </c>
      <c r="C541">
        <v>2022</v>
      </c>
      <c r="D541" s="11" t="s">
        <v>28</v>
      </c>
      <c r="E541" s="15">
        <v>2</v>
      </c>
    </row>
    <row r="542" spans="1:14">
      <c r="A542" s="8">
        <v>9</v>
      </c>
      <c r="B542" s="71">
        <v>44621</v>
      </c>
      <c r="C542">
        <v>2022</v>
      </c>
      <c r="D542" s="11" t="s">
        <v>29</v>
      </c>
      <c r="E542" s="15">
        <v>3</v>
      </c>
    </row>
    <row r="543" spans="1:14">
      <c r="A543" s="8">
        <v>10</v>
      </c>
      <c r="B543" s="71">
        <v>44621</v>
      </c>
      <c r="C543">
        <v>2022</v>
      </c>
      <c r="D543" s="11" t="s">
        <v>29</v>
      </c>
      <c r="E543" s="15">
        <v>3</v>
      </c>
    </row>
    <row r="544" spans="1:14">
      <c r="A544" s="8">
        <v>9</v>
      </c>
      <c r="B544" s="71">
        <v>44652</v>
      </c>
      <c r="C544">
        <v>2022</v>
      </c>
      <c r="D544" s="11" t="s">
        <v>30</v>
      </c>
      <c r="E544" s="15">
        <v>4</v>
      </c>
    </row>
    <row r="545" spans="1:5">
      <c r="A545" s="8">
        <v>10</v>
      </c>
      <c r="B545" s="71">
        <v>44652</v>
      </c>
      <c r="C545">
        <v>2022</v>
      </c>
      <c r="D545" s="11" t="s">
        <v>30</v>
      </c>
      <c r="E545" s="15">
        <v>4</v>
      </c>
    </row>
    <row r="546" spans="1:5">
      <c r="A546" s="8">
        <v>9</v>
      </c>
      <c r="B546" s="71">
        <v>44682</v>
      </c>
      <c r="C546">
        <v>2022</v>
      </c>
      <c r="D546" s="11" t="s">
        <v>31</v>
      </c>
      <c r="E546" s="15">
        <v>5</v>
      </c>
    </row>
    <row r="547" spans="1:5">
      <c r="A547" s="8">
        <v>10</v>
      </c>
      <c r="B547" s="71">
        <v>44682</v>
      </c>
      <c r="C547">
        <v>2022</v>
      </c>
      <c r="D547" s="11" t="s">
        <v>31</v>
      </c>
      <c r="E547" s="15">
        <v>5</v>
      </c>
    </row>
    <row r="548" spans="1:5">
      <c r="A548" s="8">
        <v>9</v>
      </c>
      <c r="B548" s="71">
        <v>44713</v>
      </c>
      <c r="C548">
        <v>2022</v>
      </c>
      <c r="D548" s="11" t="s">
        <v>32</v>
      </c>
      <c r="E548" s="15">
        <v>6</v>
      </c>
    </row>
    <row r="549" spans="1:5">
      <c r="A549" s="8">
        <v>10</v>
      </c>
      <c r="B549" s="71">
        <v>44713</v>
      </c>
      <c r="C549">
        <v>2022</v>
      </c>
      <c r="D549" s="11" t="s">
        <v>32</v>
      </c>
      <c r="E549" s="15">
        <v>6</v>
      </c>
    </row>
    <row r="550" spans="1:5">
      <c r="A550" s="8">
        <v>9</v>
      </c>
      <c r="B550" s="71">
        <v>44743</v>
      </c>
      <c r="C550">
        <v>2022</v>
      </c>
      <c r="D550" s="11" t="s">
        <v>33</v>
      </c>
      <c r="E550" s="15">
        <v>7</v>
      </c>
    </row>
    <row r="551" spans="1:5">
      <c r="A551" s="8">
        <v>10</v>
      </c>
      <c r="B551" s="71">
        <v>44743</v>
      </c>
      <c r="C551">
        <v>2022</v>
      </c>
      <c r="D551" s="11" t="s">
        <v>33</v>
      </c>
      <c r="E551" s="15">
        <v>7</v>
      </c>
    </row>
    <row r="552" spans="1:5">
      <c r="A552" s="8">
        <v>9</v>
      </c>
      <c r="B552" s="71">
        <v>44774</v>
      </c>
      <c r="C552">
        <v>2022</v>
      </c>
      <c r="D552" s="11" t="s">
        <v>34</v>
      </c>
      <c r="E552" s="15">
        <v>8</v>
      </c>
    </row>
    <row r="553" spans="1:5">
      <c r="A553" s="8">
        <v>10</v>
      </c>
      <c r="B553" s="71">
        <v>44774</v>
      </c>
      <c r="C553">
        <v>2022</v>
      </c>
      <c r="D553" s="11" t="s">
        <v>34</v>
      </c>
      <c r="E553" s="15">
        <v>8</v>
      </c>
    </row>
    <row r="554" spans="1:5">
      <c r="A554" s="8">
        <v>9</v>
      </c>
      <c r="B554" s="71">
        <v>44805</v>
      </c>
      <c r="C554">
        <v>2022</v>
      </c>
      <c r="D554" s="11" t="s">
        <v>40</v>
      </c>
      <c r="E554" s="15">
        <v>9</v>
      </c>
    </row>
    <row r="555" spans="1:5">
      <c r="A555" s="8">
        <v>10</v>
      </c>
      <c r="B555" s="71">
        <v>44805</v>
      </c>
      <c r="C555">
        <v>2022</v>
      </c>
      <c r="D555" s="11" t="s">
        <v>40</v>
      </c>
      <c r="E555" s="15">
        <v>9</v>
      </c>
    </row>
    <row r="556" spans="1:5">
      <c r="A556" s="8">
        <v>9</v>
      </c>
      <c r="B556" s="71">
        <v>44835</v>
      </c>
      <c r="C556">
        <v>2022</v>
      </c>
      <c r="D556" s="11" t="s">
        <v>36</v>
      </c>
      <c r="E556" s="15">
        <v>10</v>
      </c>
    </row>
    <row r="557" spans="1:5">
      <c r="A557" s="8">
        <v>10</v>
      </c>
      <c r="B557" s="71">
        <v>44835</v>
      </c>
      <c r="C557">
        <v>2022</v>
      </c>
      <c r="D557" s="11" t="s">
        <v>36</v>
      </c>
      <c r="E557" s="15">
        <v>10</v>
      </c>
    </row>
    <row r="558" spans="1:5">
      <c r="A558" s="8">
        <v>9</v>
      </c>
      <c r="B558" s="71">
        <v>44866</v>
      </c>
      <c r="C558">
        <v>2022</v>
      </c>
      <c r="D558" s="11" t="s">
        <v>37</v>
      </c>
      <c r="E558" s="15">
        <v>11</v>
      </c>
    </row>
    <row r="559" spans="1:5">
      <c r="A559" s="8">
        <v>10</v>
      </c>
      <c r="B559" s="71">
        <v>44866</v>
      </c>
      <c r="C559">
        <v>2022</v>
      </c>
      <c r="D559" s="11" t="s">
        <v>37</v>
      </c>
      <c r="E559" s="15">
        <v>11</v>
      </c>
    </row>
    <row r="560" spans="1:5">
      <c r="A560" s="8">
        <v>9</v>
      </c>
      <c r="B560" s="72">
        <v>44896</v>
      </c>
      <c r="C560">
        <v>2022</v>
      </c>
      <c r="D560" s="11" t="s">
        <v>38</v>
      </c>
      <c r="E560" s="15">
        <v>12</v>
      </c>
    </row>
    <row r="561" spans="1:14">
      <c r="A561" s="8">
        <v>10</v>
      </c>
      <c r="B561" s="71">
        <v>44896</v>
      </c>
      <c r="C561">
        <v>2022</v>
      </c>
      <c r="D561" s="11" t="s">
        <v>38</v>
      </c>
      <c r="E561" s="15">
        <v>12</v>
      </c>
    </row>
    <row r="562" spans="1:14">
      <c r="A562" s="85">
        <v>9</v>
      </c>
      <c r="B562" s="88">
        <v>44927</v>
      </c>
      <c r="C562" s="89">
        <v>2023</v>
      </c>
      <c r="D562" s="90" t="s">
        <v>39</v>
      </c>
      <c r="E562" s="91">
        <v>1</v>
      </c>
      <c r="F562" s="96">
        <v>1.141</v>
      </c>
      <c r="G562" s="95">
        <v>5.8999999999999997E-2</v>
      </c>
    </row>
    <row r="563" spans="1:14">
      <c r="A563" s="8">
        <v>10</v>
      </c>
      <c r="B563" s="73">
        <v>44927</v>
      </c>
      <c r="C563">
        <v>2023</v>
      </c>
      <c r="D563" s="11" t="s">
        <v>39</v>
      </c>
      <c r="E563" s="15">
        <v>1</v>
      </c>
      <c r="F563" s="96">
        <v>3.2789999999999999</v>
      </c>
      <c r="G563" s="95">
        <v>0.10199999999999999</v>
      </c>
      <c r="I563" s="27">
        <f>AVERAGE(F562:F563)</f>
        <v>2.21</v>
      </c>
      <c r="J563" s="27">
        <f>AVERAGE(G562:G563)</f>
        <v>8.0499999999999988E-2</v>
      </c>
      <c r="L563">
        <f>+J563/I563</f>
        <v>3.6425339366515833E-2</v>
      </c>
      <c r="M563">
        <f>+(L563-$L$614)/$L$615</f>
        <v>0.27001786481160062</v>
      </c>
      <c r="N563">
        <f>+N537+M563</f>
        <v>-0.71199587100411221</v>
      </c>
    </row>
    <row r="564" spans="1:14">
      <c r="A564" s="8">
        <v>9</v>
      </c>
      <c r="B564" s="71">
        <v>44958</v>
      </c>
      <c r="C564">
        <v>2023</v>
      </c>
      <c r="D564" s="11" t="s">
        <v>28</v>
      </c>
      <c r="E564" s="15">
        <v>2</v>
      </c>
      <c r="F564" s="78">
        <v>8.7460000000000004</v>
      </c>
      <c r="G564" s="97">
        <v>9.9989999999999996E-4</v>
      </c>
    </row>
    <row r="565" spans="1:14">
      <c r="A565" s="8">
        <v>10</v>
      </c>
      <c r="B565" s="71">
        <v>44958</v>
      </c>
      <c r="C565">
        <v>2023</v>
      </c>
      <c r="D565" s="11" t="s">
        <v>28</v>
      </c>
      <c r="E565" s="15">
        <v>2</v>
      </c>
      <c r="F565" s="78">
        <v>1.1359999999999999</v>
      </c>
      <c r="G565" s="97">
        <v>9.9989999999999996E-4</v>
      </c>
      <c r="I565" s="27">
        <f t="shared" ref="I565" si="71">AVERAGE(F564:F565)</f>
        <v>4.9409999999999998</v>
      </c>
      <c r="J565" s="27">
        <f t="shared" ref="J565" si="72">AVERAGE(G564:G565)</f>
        <v>9.9989999999999996E-4</v>
      </c>
      <c r="L565">
        <f t="shared" ref="L565" si="73">+J565/I565</f>
        <v>2.0236794171220399E-4</v>
      </c>
      <c r="M565">
        <f t="shared" ref="M565" si="74">+(L565-$L$614)/$L$615</f>
        <v>-0.83705222683072167</v>
      </c>
      <c r="N565">
        <f>+N563+M565</f>
        <v>-1.549048097834834</v>
      </c>
    </row>
    <row r="566" spans="1:14">
      <c r="A566" s="8">
        <v>9</v>
      </c>
      <c r="B566" s="71">
        <v>44986</v>
      </c>
      <c r="C566">
        <v>2023</v>
      </c>
      <c r="D566" s="11" t="s">
        <v>29</v>
      </c>
      <c r="E566" s="15">
        <v>3</v>
      </c>
      <c r="F566" s="78">
        <v>3.0510000000000002</v>
      </c>
      <c r="G566" s="78">
        <v>9.4E-2</v>
      </c>
    </row>
    <row r="567" spans="1:14">
      <c r="A567" s="8">
        <v>10</v>
      </c>
      <c r="B567" s="71">
        <v>44986</v>
      </c>
      <c r="C567">
        <v>2023</v>
      </c>
      <c r="D567" s="11" t="s">
        <v>29</v>
      </c>
      <c r="E567" s="15">
        <v>3</v>
      </c>
      <c r="F567" s="78">
        <v>2.5550000000000002</v>
      </c>
      <c r="G567" s="78">
        <v>0.126</v>
      </c>
      <c r="I567" s="27">
        <f t="shared" ref="I567" si="75">AVERAGE(F566:F567)</f>
        <v>2.8029999999999999</v>
      </c>
      <c r="J567" s="27">
        <f t="shared" ref="J567" si="76">AVERAGE(G566:G567)</f>
        <v>0.11</v>
      </c>
      <c r="L567">
        <f t="shared" ref="L567" si="77">+J567/I567</f>
        <v>3.9243667499108098E-2</v>
      </c>
      <c r="M567">
        <f t="shared" ref="M567" si="78">+(L567-$L$614)/$L$615</f>
        <v>0.35615344842886787</v>
      </c>
      <c r="N567">
        <f t="shared" ref="N567" si="79">+N565+M567</f>
        <v>-1.1928946494059662</v>
      </c>
    </row>
    <row r="568" spans="1:14">
      <c r="A568" s="8">
        <v>9</v>
      </c>
      <c r="B568" s="71">
        <v>45017</v>
      </c>
      <c r="C568">
        <v>2023</v>
      </c>
      <c r="D568" s="11" t="s">
        <v>30</v>
      </c>
      <c r="E568" s="15">
        <v>4</v>
      </c>
      <c r="F568" s="78">
        <v>2.9</v>
      </c>
      <c r="G568" s="78">
        <v>8.1000000000000003E-2</v>
      </c>
    </row>
    <row r="569" spans="1:14">
      <c r="A569" s="8">
        <v>10</v>
      </c>
      <c r="B569" s="71">
        <v>45017</v>
      </c>
      <c r="C569">
        <v>2023</v>
      </c>
      <c r="D569" s="11" t="s">
        <v>30</v>
      </c>
      <c r="E569" s="15">
        <v>4</v>
      </c>
      <c r="F569" s="78">
        <v>2.5289999999999999</v>
      </c>
      <c r="G569" s="78">
        <v>0.121</v>
      </c>
      <c r="I569" s="27">
        <f t="shared" ref="I569" si="80">AVERAGE(F568:F569)</f>
        <v>2.7145000000000001</v>
      </c>
      <c r="J569" s="27">
        <f t="shared" ref="J569" si="81">AVERAGE(G568:G569)</f>
        <v>0.10100000000000001</v>
      </c>
      <c r="L569">
        <f t="shared" ref="L569" si="82">+J569/I569</f>
        <v>3.7207588874562533E-2</v>
      </c>
      <c r="M569">
        <f t="shared" ref="M569" si="83">+(L569-$L$614)/$L$615</f>
        <v>0.29392548476923414</v>
      </c>
      <c r="N569">
        <f t="shared" ref="N569" si="84">+N567+M569</f>
        <v>-0.89896916463673215</v>
      </c>
    </row>
    <row r="570" spans="1:14">
      <c r="A570" s="8">
        <v>9</v>
      </c>
      <c r="B570" s="71">
        <v>45047</v>
      </c>
      <c r="C570">
        <v>2023</v>
      </c>
      <c r="D570" s="11" t="s">
        <v>31</v>
      </c>
      <c r="E570" s="15">
        <v>5</v>
      </c>
      <c r="F570" s="78">
        <v>5.0890000000000004</v>
      </c>
      <c r="G570" s="97">
        <v>3.6999999999999998E-2</v>
      </c>
    </row>
    <row r="571" spans="1:14">
      <c r="A571" s="8">
        <v>10</v>
      </c>
      <c r="B571" s="71">
        <v>45047</v>
      </c>
      <c r="C571">
        <v>2023</v>
      </c>
      <c r="D571" s="11" t="s">
        <v>31</v>
      </c>
      <c r="E571" s="15">
        <v>5</v>
      </c>
      <c r="F571" s="78">
        <v>5.17</v>
      </c>
      <c r="G571" s="97">
        <v>7.5999999999999998E-2</v>
      </c>
      <c r="I571" s="27">
        <f t="shared" ref="I571" si="85">AVERAGE(F570:F571)</f>
        <v>5.1295000000000002</v>
      </c>
      <c r="J571" s="27">
        <f t="shared" ref="J571" si="86">AVERAGE(G570:G571)</f>
        <v>5.6499999999999995E-2</v>
      </c>
      <c r="L571">
        <f t="shared" ref="L571" si="87">+J571/I571</f>
        <v>1.1014718783507163E-2</v>
      </c>
      <c r="M571">
        <f t="shared" ref="M571" si="88">+(L571-$L$614)/$L$615</f>
        <v>-0.5065981043094967</v>
      </c>
      <c r="N571">
        <f t="shared" ref="N571" si="89">+N569+M571</f>
        <v>-1.4055672689462289</v>
      </c>
    </row>
    <row r="572" spans="1:14">
      <c r="A572" s="8">
        <v>9</v>
      </c>
      <c r="B572" s="71">
        <v>45078</v>
      </c>
      <c r="C572">
        <v>2023</v>
      </c>
      <c r="D572" s="11" t="s">
        <v>32</v>
      </c>
      <c r="E572" s="15">
        <v>6</v>
      </c>
      <c r="F572" s="78">
        <v>4.7069999999999999</v>
      </c>
      <c r="G572" s="97">
        <v>0.44400000000000001</v>
      </c>
    </row>
    <row r="573" spans="1:14">
      <c r="A573" s="8">
        <v>10</v>
      </c>
      <c r="B573" s="71">
        <v>45078</v>
      </c>
      <c r="C573">
        <v>2023</v>
      </c>
      <c r="D573" s="11" t="s">
        <v>32</v>
      </c>
      <c r="E573" s="15">
        <v>6</v>
      </c>
      <c r="F573" s="78">
        <v>4.9379999999999997</v>
      </c>
      <c r="G573" s="97">
        <v>0.63300000000000001</v>
      </c>
      <c r="I573" s="27">
        <f t="shared" ref="I573" si="90">AVERAGE(F572:F573)</f>
        <v>4.8224999999999998</v>
      </c>
      <c r="J573" s="27">
        <f t="shared" ref="J573" si="91">AVERAGE(G572:G573)</f>
        <v>0.53849999999999998</v>
      </c>
      <c r="L573">
        <f t="shared" ref="L573" si="92">+J573/I573</f>
        <v>0.11166407465007776</v>
      </c>
      <c r="M573">
        <f t="shared" ref="M573" si="93">+(L573-$L$614)/$L$615</f>
        <v>2.5695131930272619</v>
      </c>
      <c r="N573">
        <f t="shared" ref="N573" si="94">+N571+M573</f>
        <v>1.163945924081033</v>
      </c>
    </row>
    <row r="574" spans="1:14">
      <c r="A574" s="8">
        <v>9</v>
      </c>
      <c r="B574" s="71">
        <v>45108</v>
      </c>
      <c r="C574">
        <v>2023</v>
      </c>
      <c r="D574" s="11" t="s">
        <v>33</v>
      </c>
      <c r="E574" s="15">
        <v>7</v>
      </c>
      <c r="F574" s="78">
        <v>6.7670000000000003</v>
      </c>
      <c r="G574" s="97">
        <v>0.13200000000000001</v>
      </c>
    </row>
    <row r="575" spans="1:14">
      <c r="A575" s="8">
        <v>10</v>
      </c>
      <c r="B575" s="71">
        <v>45108</v>
      </c>
      <c r="C575">
        <v>2023</v>
      </c>
      <c r="D575" s="11" t="s">
        <v>33</v>
      </c>
      <c r="E575" s="15">
        <v>7</v>
      </c>
      <c r="F575" s="78">
        <v>7.2809999999999997</v>
      </c>
      <c r="G575" s="97">
        <v>0.22500000000000001</v>
      </c>
      <c r="I575" s="27">
        <f t="shared" ref="I575" si="95">AVERAGE(F574:F575)</f>
        <v>7.024</v>
      </c>
      <c r="J575" s="27">
        <f t="shared" ref="J575" si="96">AVERAGE(G574:G575)</f>
        <v>0.17849999999999999</v>
      </c>
      <c r="L575">
        <f t="shared" ref="L575" si="97">+J575/I575</f>
        <v>2.5412870159453302E-2</v>
      </c>
      <c r="M575">
        <f t="shared" ref="M575" si="98">+(L575-$L$614)/$L$615</f>
        <v>-6.6552405785327923E-2</v>
      </c>
      <c r="N575">
        <f t="shared" ref="N575" si="99">+N573+M575</f>
        <v>1.0973935182957051</v>
      </c>
    </row>
    <row r="576" spans="1:14">
      <c r="A576" s="8">
        <v>9</v>
      </c>
      <c r="B576" s="71">
        <v>45139</v>
      </c>
      <c r="C576">
        <v>2023</v>
      </c>
      <c r="D576" s="11" t="s">
        <v>34</v>
      </c>
      <c r="E576" s="15">
        <v>8</v>
      </c>
      <c r="F576" s="78">
        <v>4.7409999999999997</v>
      </c>
      <c r="G576" s="97">
        <v>6.5000000000000002E-2</v>
      </c>
    </row>
    <row r="577" spans="1:14">
      <c r="A577" s="8">
        <v>10</v>
      </c>
      <c r="B577" s="71">
        <v>45139</v>
      </c>
      <c r="C577">
        <v>2023</v>
      </c>
      <c r="D577" s="11" t="s">
        <v>34</v>
      </c>
      <c r="E577" s="15">
        <v>8</v>
      </c>
      <c r="F577" s="78">
        <v>4.601</v>
      </c>
      <c r="G577" s="97">
        <v>8.8999999999999996E-2</v>
      </c>
      <c r="I577" s="27">
        <f t="shared" ref="I577" si="100">AVERAGE(F576:F577)</f>
        <v>4.6709999999999994</v>
      </c>
      <c r="J577" s="27">
        <f t="shared" ref="J577" si="101">AVERAGE(G576:G577)</f>
        <v>7.6999999999999999E-2</v>
      </c>
      <c r="L577">
        <f t="shared" ref="L577" si="102">+J577/I577</f>
        <v>1.6484692785270823E-2</v>
      </c>
      <c r="M577">
        <f t="shared" ref="M577" si="103">+(L577-$L$614)/$L$615</f>
        <v>-0.33942118918576897</v>
      </c>
      <c r="N577">
        <f t="shared" ref="N577" si="104">+N575+M577</f>
        <v>0.75797232910993606</v>
      </c>
    </row>
    <row r="578" spans="1:14">
      <c r="A578" s="8">
        <v>9</v>
      </c>
      <c r="B578" s="71">
        <v>45170</v>
      </c>
      <c r="C578">
        <v>2023</v>
      </c>
      <c r="D578" s="11" t="s">
        <v>40</v>
      </c>
      <c r="E578" s="15">
        <v>9</v>
      </c>
      <c r="F578" s="78">
        <v>1.4279999999999999</v>
      </c>
      <c r="G578" s="97">
        <v>7.4999999999999997E-2</v>
      </c>
    </row>
    <row r="579" spans="1:14">
      <c r="A579" s="8">
        <v>10</v>
      </c>
      <c r="B579" s="71">
        <v>45170</v>
      </c>
      <c r="C579">
        <v>2023</v>
      </c>
      <c r="D579" s="11" t="s">
        <v>40</v>
      </c>
      <c r="E579" s="15">
        <v>9</v>
      </c>
      <c r="F579" s="78">
        <v>1.58</v>
      </c>
      <c r="G579" s="97">
        <v>9.9989999999999996E-4</v>
      </c>
      <c r="I579" s="27">
        <f t="shared" ref="I579" si="105">AVERAGE(F578:F579)</f>
        <v>1.504</v>
      </c>
      <c r="J579" s="27">
        <f t="shared" ref="J579" si="106">AVERAGE(G578:G579)</f>
        <v>3.7999949999999998E-2</v>
      </c>
      <c r="L579">
        <f t="shared" ref="L579" si="107">+J579/I579</f>
        <v>2.5265924202127657E-2</v>
      </c>
      <c r="M579">
        <f t="shared" ref="M579" si="108">+(L579-$L$614)/$L$615</f>
        <v>-7.1043464029422604E-2</v>
      </c>
      <c r="N579">
        <f t="shared" ref="N579" si="109">+N577+M579</f>
        <v>0.68692886508051343</v>
      </c>
    </row>
    <row r="580" spans="1:14">
      <c r="A580" s="8">
        <v>9</v>
      </c>
      <c r="B580" s="71">
        <v>45200</v>
      </c>
      <c r="C580">
        <v>2023</v>
      </c>
      <c r="D580" s="11" t="s">
        <v>36</v>
      </c>
      <c r="E580" s="15">
        <v>10</v>
      </c>
      <c r="F580" s="78">
        <v>0.93200000000000005</v>
      </c>
      <c r="G580" s="97">
        <v>9.9989999999999996E-4</v>
      </c>
    </row>
    <row r="581" spans="1:14">
      <c r="A581" s="8">
        <v>10</v>
      </c>
      <c r="B581" s="71">
        <v>45200</v>
      </c>
      <c r="C581">
        <v>2023</v>
      </c>
      <c r="D581" s="11" t="s">
        <v>36</v>
      </c>
      <c r="E581" s="15">
        <v>10</v>
      </c>
      <c r="F581" s="78">
        <v>0.71499999999999997</v>
      </c>
      <c r="G581" s="97">
        <v>9.9989999999999996E-4</v>
      </c>
      <c r="I581" s="27">
        <f t="shared" ref="I581" si="110">AVERAGE(F580:F581)</f>
        <v>0.82350000000000001</v>
      </c>
      <c r="J581" s="27">
        <f t="shared" ref="J581" si="111">AVERAGE(G580:G581)</f>
        <v>9.9989999999999996E-4</v>
      </c>
      <c r="L581">
        <f t="shared" ref="L581" si="112">+J581/I581</f>
        <v>1.2142076502732241E-3</v>
      </c>
      <c r="M581">
        <f t="shared" ref="M581" si="113">+(L581-$L$614)/$L$615</f>
        <v>-0.8061277213353788</v>
      </c>
      <c r="N581">
        <f t="shared" ref="N581" si="114">+N579+M581</f>
        <v>-0.11919885625486537</v>
      </c>
    </row>
    <row r="582" spans="1:14">
      <c r="A582" s="8">
        <v>9</v>
      </c>
      <c r="B582" s="71">
        <v>45231</v>
      </c>
      <c r="C582">
        <v>2023</v>
      </c>
      <c r="D582" s="11" t="s">
        <v>37</v>
      </c>
      <c r="E582" s="15">
        <v>11</v>
      </c>
      <c r="F582" s="78">
        <v>0.54</v>
      </c>
      <c r="G582" s="97">
        <v>9.9989999999999996E-4</v>
      </c>
    </row>
    <row r="583" spans="1:14">
      <c r="A583" s="8">
        <v>10</v>
      </c>
      <c r="B583" s="71">
        <v>45231</v>
      </c>
      <c r="C583">
        <v>2023</v>
      </c>
      <c r="D583" s="11" t="s">
        <v>37</v>
      </c>
      <c r="E583" s="15">
        <v>11</v>
      </c>
      <c r="F583" s="78">
        <v>0.312</v>
      </c>
      <c r="G583" s="97">
        <v>9.9989999999999996E-4</v>
      </c>
      <c r="I583" s="27">
        <f t="shared" ref="I583" si="115">AVERAGE(F582:F583)</f>
        <v>0.42600000000000005</v>
      </c>
      <c r="J583" s="27">
        <f t="shared" ref="J583" si="116">AVERAGE(G582:G583)</f>
        <v>9.9989999999999996E-4</v>
      </c>
      <c r="L583">
        <f t="shared" ref="L583" si="117">+J583/I583</f>
        <v>2.3471830985915491E-3</v>
      </c>
      <c r="M583">
        <f t="shared" ref="M583" si="118">+(L583-$L$614)/$L$615</f>
        <v>-0.77150098630890318</v>
      </c>
      <c r="N583">
        <f t="shared" ref="N583" si="119">+N581+M583</f>
        <v>-0.89069984256376855</v>
      </c>
    </row>
    <row r="584" spans="1:14">
      <c r="A584" s="8">
        <v>9</v>
      </c>
      <c r="B584" s="72">
        <v>45261</v>
      </c>
      <c r="C584">
        <v>2023</v>
      </c>
      <c r="D584" s="11" t="s">
        <v>38</v>
      </c>
      <c r="E584" s="15">
        <v>12</v>
      </c>
      <c r="F584" s="78">
        <v>0.71599999999999997</v>
      </c>
      <c r="G584" s="97">
        <v>4.5999999999999999E-2</v>
      </c>
    </row>
    <row r="585" spans="1:14">
      <c r="A585" s="8">
        <v>10</v>
      </c>
      <c r="B585" s="71">
        <v>45261</v>
      </c>
      <c r="C585">
        <v>2023</v>
      </c>
      <c r="D585" s="11" t="s">
        <v>38</v>
      </c>
      <c r="E585" s="15">
        <v>12</v>
      </c>
      <c r="F585" s="78">
        <v>0.61599999999999999</v>
      </c>
      <c r="G585" s="97">
        <v>3.1E-2</v>
      </c>
      <c r="I585" s="27">
        <f t="shared" ref="I585" si="120">AVERAGE(F584:F585)</f>
        <v>0.66599999999999993</v>
      </c>
      <c r="J585" s="27">
        <f t="shared" ref="J585" si="121">AVERAGE(G584:G585)</f>
        <v>3.85E-2</v>
      </c>
      <c r="L585">
        <f t="shared" ref="L585" si="122">+J585/I585</f>
        <v>5.7807807807807816E-2</v>
      </c>
      <c r="M585">
        <f t="shared" ref="M585" si="123">+(L585-$L$614)/$L$615</f>
        <v>0.92352281942255465</v>
      </c>
      <c r="N585">
        <f t="shared" ref="N585" si="124">+N583+M585</f>
        <v>3.2822976858786101E-2</v>
      </c>
    </row>
    <row r="586" spans="1:14">
      <c r="A586" s="85">
        <v>9</v>
      </c>
      <c r="B586" s="88">
        <v>45292</v>
      </c>
      <c r="C586" s="89">
        <v>2024</v>
      </c>
      <c r="D586" s="90" t="s">
        <v>39</v>
      </c>
      <c r="E586" s="91">
        <v>1</v>
      </c>
      <c r="F586" s="78">
        <v>1.423</v>
      </c>
      <c r="G586" s="97">
        <v>5.8999999999999997E-2</v>
      </c>
    </row>
    <row r="587" spans="1:14">
      <c r="A587" s="8">
        <v>10</v>
      </c>
      <c r="B587" s="73">
        <v>45292</v>
      </c>
      <c r="C587">
        <v>2024</v>
      </c>
      <c r="D587" s="11" t="s">
        <v>39</v>
      </c>
      <c r="E587" s="15">
        <v>1</v>
      </c>
      <c r="F587" s="78">
        <v>1.786</v>
      </c>
      <c r="G587" s="97">
        <v>7.0999999999999994E-2</v>
      </c>
      <c r="I587" s="27">
        <f t="shared" ref="I587" si="125">AVERAGE(F586:F587)</f>
        <v>1.6045</v>
      </c>
      <c r="J587" s="27">
        <f t="shared" ref="J587" si="126">AVERAGE(G586:G587)</f>
        <v>6.5000000000000002E-2</v>
      </c>
      <c r="L587">
        <f t="shared" ref="L587" si="127">+J587/I587</f>
        <v>4.0511062636335304E-2</v>
      </c>
      <c r="M587">
        <f t="shared" ref="M587" si="128">+(L587-$L$614)/$L$615</f>
        <v>0.39488840570949529</v>
      </c>
      <c r="N587">
        <f t="shared" ref="N587" si="129">+N585+M587</f>
        <v>0.4277113825682814</v>
      </c>
    </row>
    <row r="588" spans="1:14">
      <c r="A588" s="8">
        <v>9</v>
      </c>
      <c r="B588" s="71">
        <v>45323</v>
      </c>
      <c r="C588">
        <v>2024</v>
      </c>
      <c r="D588" s="11" t="s">
        <v>28</v>
      </c>
      <c r="E588" s="15">
        <v>2</v>
      </c>
    </row>
    <row r="589" spans="1:14">
      <c r="A589" s="8">
        <v>10</v>
      </c>
      <c r="B589" s="71">
        <v>45323</v>
      </c>
      <c r="C589">
        <v>2024</v>
      </c>
      <c r="D589" s="11" t="s">
        <v>28</v>
      </c>
      <c r="E589" s="15">
        <v>2</v>
      </c>
      <c r="I589" s="27"/>
      <c r="J589" s="27"/>
    </row>
    <row r="590" spans="1:14">
      <c r="A590" s="8">
        <v>9</v>
      </c>
      <c r="B590" s="71">
        <v>45352</v>
      </c>
      <c r="C590">
        <v>2024</v>
      </c>
      <c r="D590" s="11" t="s">
        <v>29</v>
      </c>
      <c r="E590" s="15">
        <v>3</v>
      </c>
      <c r="F590" s="78">
        <v>0.32</v>
      </c>
      <c r="G590" s="97">
        <v>8.9999999999999993E-3</v>
      </c>
    </row>
    <row r="591" spans="1:14">
      <c r="A591" s="8">
        <v>10</v>
      </c>
      <c r="B591" s="71">
        <v>45352</v>
      </c>
      <c r="C591">
        <v>2024</v>
      </c>
      <c r="D591" s="11" t="s">
        <v>29</v>
      </c>
      <c r="E591" s="15">
        <v>3</v>
      </c>
      <c r="F591" s="78">
        <v>0.51300000000000001</v>
      </c>
      <c r="G591" s="97">
        <v>1.2E-2</v>
      </c>
      <c r="I591" s="27">
        <f t="shared" ref="I591" si="130">AVERAGE(F590:F591)</f>
        <v>0.41649999999999998</v>
      </c>
      <c r="J591" s="27">
        <f t="shared" ref="J591" si="131">AVERAGE(G590:G591)</f>
        <v>1.0499999999999999E-2</v>
      </c>
      <c r="L591">
        <f t="shared" ref="L591" si="132">+J591/I591</f>
        <v>2.5210084033613443E-2</v>
      </c>
      <c r="M591">
        <f t="shared" ref="M591" si="133">+(L591-$L$614)/$L$615</f>
        <v>-7.2750087700611102E-2</v>
      </c>
      <c r="N591">
        <f>+N587+M591</f>
        <v>0.35496129486767031</v>
      </c>
    </row>
    <row r="592" spans="1:14">
      <c r="A592" s="8">
        <v>9</v>
      </c>
      <c r="B592" s="71">
        <v>45383</v>
      </c>
      <c r="C592">
        <v>2024</v>
      </c>
      <c r="D592" s="11" t="s">
        <v>30</v>
      </c>
      <c r="E592" s="15">
        <v>4</v>
      </c>
      <c r="F592" s="78">
        <v>0.91900000000000004</v>
      </c>
      <c r="G592" s="97">
        <v>2.5000000000000001E-2</v>
      </c>
    </row>
    <row r="593" spans="1:14">
      <c r="A593" s="8">
        <v>10</v>
      </c>
      <c r="B593" s="71">
        <v>45383</v>
      </c>
      <c r="C593">
        <v>2024</v>
      </c>
      <c r="D593" s="11" t="s">
        <v>30</v>
      </c>
      <c r="E593" s="15">
        <v>4</v>
      </c>
      <c r="F593" s="78">
        <v>1.327</v>
      </c>
      <c r="G593" s="97">
        <v>0.02</v>
      </c>
      <c r="I593" s="27">
        <f t="shared" ref="I593" si="134">AVERAGE(F592:F593)</f>
        <v>1.123</v>
      </c>
      <c r="J593" s="27">
        <f t="shared" ref="J593" si="135">AVERAGE(G592:G593)</f>
        <v>2.2499999999999999E-2</v>
      </c>
      <c r="L593">
        <f t="shared" ref="L593" si="136">+J593/I593</f>
        <v>2.0035618878005344E-2</v>
      </c>
      <c r="M593">
        <f t="shared" ref="M593" si="137">+(L593-$L$614)/$L$615</f>
        <v>-0.2308954686203134</v>
      </c>
      <c r="N593">
        <f t="shared" ref="N593" si="138">+N591+M593</f>
        <v>0.1240658262473569</v>
      </c>
    </row>
    <row r="594" spans="1:14">
      <c r="A594" s="8">
        <v>9</v>
      </c>
      <c r="B594" s="71">
        <v>45413</v>
      </c>
      <c r="C594">
        <v>2024</v>
      </c>
      <c r="D594" s="11" t="s">
        <v>31</v>
      </c>
      <c r="E594" s="15">
        <v>5</v>
      </c>
      <c r="F594" s="78">
        <v>3.2970000000000002</v>
      </c>
      <c r="G594" s="97">
        <v>4.1000000000000002E-2</v>
      </c>
    </row>
    <row r="595" spans="1:14">
      <c r="A595" s="8">
        <v>10</v>
      </c>
      <c r="B595" s="71">
        <v>45413</v>
      </c>
      <c r="C595">
        <v>2024</v>
      </c>
      <c r="D595" s="11" t="s">
        <v>31</v>
      </c>
      <c r="E595" s="15">
        <v>5</v>
      </c>
      <c r="F595" s="78">
        <v>3.8849999999999998</v>
      </c>
      <c r="G595" s="97">
        <v>0.128</v>
      </c>
      <c r="I595" s="27">
        <f t="shared" ref="I595:J595" si="139">AVERAGE(F594:F595)</f>
        <v>3.5910000000000002</v>
      </c>
      <c r="J595" s="27">
        <f t="shared" si="139"/>
        <v>8.4500000000000006E-2</v>
      </c>
      <c r="L595">
        <f t="shared" ref="L595" si="140">+J595/I595</f>
        <v>2.3531049846839319E-2</v>
      </c>
      <c r="M595">
        <f t="shared" ref="M595" si="141">+(L595-$L$614)/$L$615</f>
        <v>-0.12406582624738875</v>
      </c>
      <c r="N595">
        <f t="shared" ref="N595" si="142">+N593+M595</f>
        <v>-3.1849523018934178E-14</v>
      </c>
    </row>
    <row r="596" spans="1:14">
      <c r="A596" s="8">
        <v>9</v>
      </c>
      <c r="B596" s="71">
        <v>45444</v>
      </c>
      <c r="C596">
        <v>2024</v>
      </c>
      <c r="D596" s="11" t="s">
        <v>32</v>
      </c>
      <c r="E596" s="15">
        <v>6</v>
      </c>
      <c r="H596" s="93" t="s">
        <v>98</v>
      </c>
    </row>
    <row r="597" spans="1:14">
      <c r="A597" s="8">
        <v>10</v>
      </c>
      <c r="B597" s="71">
        <v>45444</v>
      </c>
      <c r="C597">
        <v>2024</v>
      </c>
      <c r="D597" s="11" t="s">
        <v>32</v>
      </c>
      <c r="E597" s="15">
        <v>6</v>
      </c>
      <c r="H597" s="93" t="s">
        <v>99</v>
      </c>
    </row>
    <row r="598" spans="1:14">
      <c r="A598" s="8">
        <v>9</v>
      </c>
      <c r="B598" s="71">
        <v>45474</v>
      </c>
      <c r="C598">
        <v>2024</v>
      </c>
      <c r="D598" s="11" t="s">
        <v>33</v>
      </c>
      <c r="E598" s="15">
        <v>7</v>
      </c>
    </row>
    <row r="599" spans="1:14">
      <c r="A599" s="8">
        <v>10</v>
      </c>
      <c r="B599" s="71">
        <v>45474</v>
      </c>
      <c r="C599">
        <v>2024</v>
      </c>
      <c r="D599" s="11" t="s">
        <v>33</v>
      </c>
      <c r="E599" s="15">
        <v>7</v>
      </c>
    </row>
    <row r="600" spans="1:14">
      <c r="A600" s="8">
        <v>9</v>
      </c>
      <c r="B600" s="71">
        <v>45505</v>
      </c>
      <c r="C600">
        <v>2024</v>
      </c>
      <c r="D600" s="11" t="s">
        <v>34</v>
      </c>
      <c r="E600" s="15">
        <v>8</v>
      </c>
    </row>
    <row r="601" spans="1:14">
      <c r="A601" s="8">
        <v>10</v>
      </c>
      <c r="B601" s="71">
        <v>45505</v>
      </c>
      <c r="C601">
        <v>2024</v>
      </c>
      <c r="D601" s="11" t="s">
        <v>34</v>
      </c>
      <c r="E601" s="15">
        <v>8</v>
      </c>
    </row>
    <row r="602" spans="1:14">
      <c r="A602" s="8">
        <v>9</v>
      </c>
      <c r="B602" s="71">
        <v>45536</v>
      </c>
      <c r="C602">
        <v>2024</v>
      </c>
      <c r="D602" s="11" t="s">
        <v>40</v>
      </c>
      <c r="E602" s="15">
        <v>9</v>
      </c>
    </row>
    <row r="603" spans="1:14">
      <c r="A603" s="8">
        <v>10</v>
      </c>
      <c r="B603" s="71">
        <v>45536</v>
      </c>
      <c r="C603">
        <v>2024</v>
      </c>
      <c r="D603" s="11" t="s">
        <v>40</v>
      </c>
      <c r="E603" s="15">
        <v>9</v>
      </c>
    </row>
    <row r="604" spans="1:14">
      <c r="A604" s="8">
        <v>9</v>
      </c>
      <c r="B604" s="71">
        <v>45566</v>
      </c>
      <c r="C604">
        <v>2024</v>
      </c>
      <c r="D604" s="11" t="s">
        <v>36</v>
      </c>
      <c r="E604" s="15">
        <v>10</v>
      </c>
    </row>
    <row r="605" spans="1:14">
      <c r="A605" s="8">
        <v>10</v>
      </c>
      <c r="B605" s="71">
        <v>45566</v>
      </c>
      <c r="C605">
        <v>2024</v>
      </c>
      <c r="D605" s="11" t="s">
        <v>36</v>
      </c>
      <c r="E605" s="15">
        <v>10</v>
      </c>
    </row>
    <row r="606" spans="1:14">
      <c r="A606" s="8">
        <v>9</v>
      </c>
      <c r="B606" s="71">
        <v>45597</v>
      </c>
      <c r="C606">
        <v>2024</v>
      </c>
      <c r="D606" s="11" t="s">
        <v>37</v>
      </c>
      <c r="E606" s="15">
        <v>11</v>
      </c>
    </row>
    <row r="607" spans="1:14">
      <c r="A607" s="8">
        <v>10</v>
      </c>
      <c r="B607" s="71">
        <v>45597</v>
      </c>
      <c r="C607">
        <v>2024</v>
      </c>
      <c r="D607" s="11" t="s">
        <v>37</v>
      </c>
      <c r="E607" s="15">
        <v>11</v>
      </c>
    </row>
    <row r="608" spans="1:14">
      <c r="A608" s="8">
        <v>9</v>
      </c>
      <c r="B608" s="72">
        <v>45627</v>
      </c>
      <c r="C608">
        <v>2024</v>
      </c>
      <c r="D608" s="11" t="s">
        <v>38</v>
      </c>
      <c r="E608" s="15">
        <v>12</v>
      </c>
    </row>
    <row r="609" spans="1:12">
      <c r="A609" s="8">
        <v>10</v>
      </c>
      <c r="B609" s="71">
        <v>45627</v>
      </c>
      <c r="C609">
        <v>2024</v>
      </c>
      <c r="D609" s="11" t="s">
        <v>38</v>
      </c>
      <c r="E609" s="15">
        <v>12</v>
      </c>
    </row>
    <row r="614" spans="1:12">
      <c r="K614" s="84" t="s">
        <v>89</v>
      </c>
      <c r="L614" s="84">
        <f>AVERAGE(L4:L609)</f>
        <v>2.7590443116408171E-2</v>
      </c>
    </row>
    <row r="615" spans="1:12">
      <c r="K615" s="84" t="s">
        <v>90</v>
      </c>
      <c r="L615" s="84">
        <f>STDEV(L4:L609)</f>
        <v>3.2719673034493579E-2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84"/>
  <sheetViews>
    <sheetView topLeftCell="B365" workbookViewId="0">
      <selection activeCell="Z392" sqref="Z392"/>
    </sheetView>
  </sheetViews>
  <sheetFormatPr defaultColWidth="8.85546875" defaultRowHeight="15"/>
  <cols>
    <col min="2" max="2" width="21.85546875" customWidth="1"/>
    <col min="12" max="12" width="9" style="34"/>
  </cols>
  <sheetData>
    <row r="1" spans="1:18" ht="25.5">
      <c r="A1" s="2" t="s">
        <v>2</v>
      </c>
      <c r="B1" s="3" t="s">
        <v>3</v>
      </c>
      <c r="C1" s="4" t="s">
        <v>4</v>
      </c>
      <c r="D1" s="5" t="s">
        <v>5</v>
      </c>
      <c r="E1" s="4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34" t="s">
        <v>42</v>
      </c>
      <c r="M1" s="6" t="s">
        <v>7</v>
      </c>
      <c r="N1" s="6" t="s">
        <v>8</v>
      </c>
      <c r="O1" s="6" t="s">
        <v>9</v>
      </c>
      <c r="P1" s="6" t="s">
        <v>10</v>
      </c>
      <c r="Q1" s="6" t="s">
        <v>11</v>
      </c>
      <c r="R1" s="6" t="s">
        <v>12</v>
      </c>
    </row>
    <row r="2" spans="1:18">
      <c r="A2" s="36">
        <v>9</v>
      </c>
      <c r="B2" s="41">
        <v>36446</v>
      </c>
      <c r="C2" s="38">
        <v>1999</v>
      </c>
      <c r="D2" s="42" t="s">
        <v>14</v>
      </c>
      <c r="E2" s="40">
        <v>10</v>
      </c>
      <c r="F2" s="44">
        <v>0.81480390855350104</v>
      </c>
      <c r="G2" s="44">
        <v>0</v>
      </c>
      <c r="H2" s="39">
        <v>0</v>
      </c>
      <c r="I2" s="44">
        <v>8.4785111499999996E-2</v>
      </c>
      <c r="J2" s="39">
        <v>0</v>
      </c>
      <c r="K2" s="39" t="s">
        <v>15</v>
      </c>
      <c r="L2" s="34" t="s">
        <v>43</v>
      </c>
      <c r="M2" s="35">
        <f>AVERAGE(F2:F7)</f>
        <v>0.64858631822297108</v>
      </c>
      <c r="N2" s="35">
        <f>AVERAGE(G2:G7)</f>
        <v>0</v>
      </c>
      <c r="O2" s="35">
        <f>AVERAGE(H2:H7)</f>
        <v>0</v>
      </c>
      <c r="P2" s="35">
        <f>AVERAGE(I2:I7)</f>
        <v>0.1349748211388889</v>
      </c>
      <c r="Q2" s="35">
        <f>AVERAGE(J2:J7)</f>
        <v>0</v>
      </c>
    </row>
    <row r="3" spans="1:18">
      <c r="A3" s="8">
        <v>10</v>
      </c>
      <c r="B3" s="9">
        <v>36446</v>
      </c>
      <c r="C3" s="10">
        <v>1999</v>
      </c>
      <c r="D3" s="11" t="s">
        <v>14</v>
      </c>
      <c r="E3" s="12">
        <v>10</v>
      </c>
      <c r="F3" s="43">
        <v>1.0560991827525938</v>
      </c>
      <c r="G3" s="43">
        <v>0</v>
      </c>
      <c r="H3" s="37">
        <v>0</v>
      </c>
      <c r="I3" s="43">
        <v>0.18236785699999999</v>
      </c>
      <c r="J3" s="43">
        <v>0</v>
      </c>
      <c r="K3" s="43" t="s">
        <v>15</v>
      </c>
    </row>
    <row r="4" spans="1:18">
      <c r="A4" s="8">
        <v>9</v>
      </c>
      <c r="B4" s="9">
        <v>36473</v>
      </c>
      <c r="C4" s="10">
        <v>1999</v>
      </c>
      <c r="D4" s="11" t="s">
        <v>16</v>
      </c>
      <c r="E4" s="10">
        <v>11</v>
      </c>
      <c r="F4" s="43">
        <v>0.50144492594905754</v>
      </c>
      <c r="G4" s="43">
        <v>0</v>
      </c>
      <c r="H4" s="37">
        <v>0</v>
      </c>
      <c r="I4" s="43">
        <v>0.19313916750000001</v>
      </c>
      <c r="J4" s="43">
        <v>0</v>
      </c>
      <c r="K4" s="43" t="s">
        <v>15</v>
      </c>
    </row>
    <row r="5" spans="1:18">
      <c r="A5" s="8">
        <v>10</v>
      </c>
      <c r="B5" s="9">
        <v>36473</v>
      </c>
      <c r="C5" s="10">
        <v>1999</v>
      </c>
      <c r="D5" s="11" t="s">
        <v>16</v>
      </c>
      <c r="E5" s="10">
        <v>11</v>
      </c>
      <c r="F5" s="43">
        <v>0.60564519988186705</v>
      </c>
      <c r="G5" s="43">
        <v>0</v>
      </c>
      <c r="H5" s="37">
        <v>0</v>
      </c>
      <c r="I5" s="43">
        <v>0.14116971983333332</v>
      </c>
      <c r="J5" s="43">
        <v>0</v>
      </c>
      <c r="K5" s="43" t="s">
        <v>15</v>
      </c>
    </row>
    <row r="6" spans="1:18">
      <c r="A6" s="8">
        <v>9</v>
      </c>
      <c r="B6" s="9">
        <v>36502</v>
      </c>
      <c r="C6" s="10">
        <v>1999</v>
      </c>
      <c r="D6" s="11" t="s">
        <v>17</v>
      </c>
      <c r="E6" s="10">
        <v>12</v>
      </c>
      <c r="F6" s="43">
        <v>0.34286829680411729</v>
      </c>
      <c r="G6" s="43">
        <v>0</v>
      </c>
      <c r="H6" s="37">
        <v>0</v>
      </c>
      <c r="I6" s="43">
        <v>7.697356050000001E-2</v>
      </c>
      <c r="J6" s="43">
        <v>0</v>
      </c>
      <c r="K6" s="43" t="s">
        <v>15</v>
      </c>
    </row>
    <row r="7" spans="1:18" ht="25.5">
      <c r="A7" s="8">
        <v>10</v>
      </c>
      <c r="B7" s="9">
        <v>36502</v>
      </c>
      <c r="C7" s="10">
        <v>1999</v>
      </c>
      <c r="D7" s="11" t="s">
        <v>17</v>
      </c>
      <c r="E7" s="10">
        <v>12</v>
      </c>
      <c r="F7" s="43">
        <v>0.57065639539668933</v>
      </c>
      <c r="G7" s="43">
        <v>0</v>
      </c>
      <c r="H7" s="37">
        <v>0</v>
      </c>
      <c r="I7" s="43">
        <v>0.1314135105</v>
      </c>
      <c r="J7" s="43">
        <v>0</v>
      </c>
      <c r="K7" s="43" t="s">
        <v>15</v>
      </c>
      <c r="M7" s="6" t="s">
        <v>7</v>
      </c>
      <c r="N7" s="6" t="s">
        <v>8</v>
      </c>
      <c r="O7" s="6" t="s">
        <v>9</v>
      </c>
      <c r="P7" s="6" t="s">
        <v>10</v>
      </c>
      <c r="Q7" s="6" t="s">
        <v>11</v>
      </c>
      <c r="R7" s="6" t="s">
        <v>12</v>
      </c>
    </row>
    <row r="8" spans="1:18">
      <c r="A8" s="36">
        <v>9</v>
      </c>
      <c r="B8" s="41">
        <v>36531</v>
      </c>
      <c r="C8" s="40">
        <v>2000</v>
      </c>
      <c r="D8" s="42" t="s">
        <v>18</v>
      </c>
      <c r="E8" s="38">
        <v>1</v>
      </c>
      <c r="F8" s="44">
        <v>0.68891194013953239</v>
      </c>
      <c r="G8" s="44">
        <v>3.8110795499999996E-2</v>
      </c>
      <c r="H8" s="39">
        <v>0</v>
      </c>
      <c r="I8" s="44">
        <v>0.14787098099999998</v>
      </c>
      <c r="J8" s="44">
        <v>8.7263266666666676E-3</v>
      </c>
      <c r="K8" s="44" t="s">
        <v>15</v>
      </c>
      <c r="L8" s="34" t="s">
        <v>45</v>
      </c>
      <c r="M8" s="35">
        <f>AVERAGE(F8:F31)</f>
        <v>2.4448850763683319</v>
      </c>
      <c r="N8" s="35">
        <f>AVERAGE(G8:G31)</f>
        <v>8.5197989902777785E-2</v>
      </c>
      <c r="O8" s="35">
        <f>AVERAGE(H8:H31)</f>
        <v>3.1963047430555551E-3</v>
      </c>
      <c r="P8" s="35">
        <f>AVERAGE(I8:I31)</f>
        <v>0.53252141734027791</v>
      </c>
      <c r="Q8" s="35">
        <f>AVERAGE(J8:J31)</f>
        <v>2.410033863194444E-2</v>
      </c>
    </row>
    <row r="9" spans="1:18">
      <c r="A9" s="8">
        <v>10</v>
      </c>
      <c r="B9" s="9">
        <v>36531</v>
      </c>
      <c r="C9" s="12">
        <v>2000</v>
      </c>
      <c r="D9" s="11" t="s">
        <v>18</v>
      </c>
      <c r="E9" s="10">
        <v>1</v>
      </c>
      <c r="F9" s="43">
        <v>1.3492125675996263</v>
      </c>
      <c r="G9" s="43">
        <v>8.8991653833333337E-2</v>
      </c>
      <c r="H9" s="37">
        <v>0</v>
      </c>
      <c r="I9" s="43">
        <v>0.24209738250000001</v>
      </c>
      <c r="J9" s="43">
        <v>1.2293805E-2</v>
      </c>
      <c r="K9" s="43" t="s">
        <v>15</v>
      </c>
    </row>
    <row r="10" spans="1:18">
      <c r="A10" s="8">
        <v>9</v>
      </c>
      <c r="B10" s="9">
        <v>36578</v>
      </c>
      <c r="C10" s="12">
        <v>2000</v>
      </c>
      <c r="D10" s="11" t="s">
        <v>19</v>
      </c>
      <c r="E10" s="12">
        <v>2</v>
      </c>
      <c r="F10" s="43">
        <v>4.9123786024972533</v>
      </c>
      <c r="G10" s="43">
        <v>4.3543992666666663E-2</v>
      </c>
      <c r="H10" s="37">
        <v>0</v>
      </c>
      <c r="I10" s="43">
        <v>1.8182539691666668</v>
      </c>
      <c r="J10" s="43">
        <v>1.4233745833333335E-2</v>
      </c>
      <c r="K10" s="43" t="s">
        <v>15</v>
      </c>
    </row>
    <row r="11" spans="1:18">
      <c r="A11" s="8">
        <v>10</v>
      </c>
      <c r="B11" s="9">
        <v>36578</v>
      </c>
      <c r="C11" s="12">
        <v>2000</v>
      </c>
      <c r="D11" s="11" t="s">
        <v>19</v>
      </c>
      <c r="E11" s="12">
        <v>2</v>
      </c>
      <c r="F11" s="43">
        <v>4.5288761327930205</v>
      </c>
      <c r="G11" s="43">
        <v>0.23005821766666665</v>
      </c>
      <c r="H11" s="37">
        <v>0</v>
      </c>
      <c r="I11" s="43">
        <v>1.3623071748333331</v>
      </c>
      <c r="J11" s="43">
        <v>5.8047265000000001E-2</v>
      </c>
      <c r="K11" s="43" t="s">
        <v>15</v>
      </c>
    </row>
    <row r="12" spans="1:18">
      <c r="A12" s="8">
        <v>9</v>
      </c>
      <c r="B12" s="9">
        <v>36599</v>
      </c>
      <c r="C12" s="12">
        <v>2000</v>
      </c>
      <c r="D12" s="11" t="s">
        <v>20</v>
      </c>
      <c r="E12" s="12">
        <v>3</v>
      </c>
      <c r="F12" s="43">
        <v>0.85382744653759191</v>
      </c>
      <c r="G12" s="43">
        <v>3.034977416666667E-2</v>
      </c>
      <c r="H12" s="37">
        <v>0</v>
      </c>
      <c r="I12" s="43">
        <v>0.21243101683333332</v>
      </c>
      <c r="J12" s="43">
        <v>1.3439004333333332E-2</v>
      </c>
      <c r="K12" s="43" t="s">
        <v>15</v>
      </c>
    </row>
    <row r="13" spans="1:18">
      <c r="A13" s="8">
        <v>10</v>
      </c>
      <c r="B13" s="9">
        <v>36599</v>
      </c>
      <c r="C13" s="12">
        <v>2000</v>
      </c>
      <c r="D13" s="11" t="s">
        <v>20</v>
      </c>
      <c r="E13" s="12">
        <v>3</v>
      </c>
      <c r="F13" s="43">
        <v>1.8556943782286839</v>
      </c>
      <c r="G13" s="43">
        <v>9.0233194999999988E-2</v>
      </c>
      <c r="H13" s="37">
        <v>0</v>
      </c>
      <c r="I13" s="43">
        <v>0.32125252466666665</v>
      </c>
      <c r="J13" s="43">
        <v>1.3369499833333333E-2</v>
      </c>
      <c r="K13" s="43" t="s">
        <v>15</v>
      </c>
    </row>
    <row r="14" spans="1:18">
      <c r="A14" s="8">
        <v>9</v>
      </c>
      <c r="B14" s="9">
        <v>36626</v>
      </c>
      <c r="C14" s="12">
        <v>2000</v>
      </c>
      <c r="D14" s="15" t="s">
        <v>21</v>
      </c>
      <c r="E14" s="12">
        <v>4</v>
      </c>
      <c r="F14" s="43">
        <v>0.98931851157363693</v>
      </c>
      <c r="G14" s="43">
        <v>1.6802372166666666E-2</v>
      </c>
      <c r="H14" s="37">
        <v>0</v>
      </c>
      <c r="I14" s="43">
        <v>0.20023156183333332</v>
      </c>
      <c r="J14" s="43">
        <v>0</v>
      </c>
      <c r="K14" s="43" t="s">
        <v>15</v>
      </c>
    </row>
    <row r="15" spans="1:18">
      <c r="A15" s="8">
        <v>10</v>
      </c>
      <c r="B15" s="9">
        <v>36626</v>
      </c>
      <c r="C15" s="12">
        <v>2000</v>
      </c>
      <c r="D15" s="15" t="s">
        <v>21</v>
      </c>
      <c r="E15" s="12">
        <v>4</v>
      </c>
      <c r="F15" s="43">
        <v>1.4558117858405109</v>
      </c>
      <c r="G15" s="43">
        <v>2.5804200833333332E-2</v>
      </c>
      <c r="H15" s="37">
        <v>0</v>
      </c>
      <c r="I15" s="43">
        <v>0.36165696866666663</v>
      </c>
      <c r="J15" s="43">
        <v>8.9873616666666673E-3</v>
      </c>
      <c r="K15" s="43" t="s">
        <v>15</v>
      </c>
    </row>
    <row r="16" spans="1:18">
      <c r="A16" s="8">
        <v>9</v>
      </c>
      <c r="B16" s="9">
        <v>36663</v>
      </c>
      <c r="C16" s="12">
        <v>2000</v>
      </c>
      <c r="D16" s="15" t="s">
        <v>22</v>
      </c>
      <c r="E16" s="12">
        <v>5</v>
      </c>
      <c r="F16" s="43">
        <v>2.0611459375832135</v>
      </c>
      <c r="G16" s="43">
        <v>0</v>
      </c>
      <c r="H16" s="37">
        <v>0</v>
      </c>
      <c r="I16" s="43">
        <v>0.44602389999999997</v>
      </c>
      <c r="J16" s="43">
        <v>0</v>
      </c>
      <c r="K16" s="43" t="s">
        <v>15</v>
      </c>
    </row>
    <row r="17" spans="1:18">
      <c r="A17" s="8">
        <v>10</v>
      </c>
      <c r="B17" s="9">
        <v>36663</v>
      </c>
      <c r="C17" s="12">
        <v>2000</v>
      </c>
      <c r="D17" s="15" t="s">
        <v>22</v>
      </c>
      <c r="E17" s="12">
        <v>5</v>
      </c>
      <c r="F17" s="43">
        <v>2.2679517126852482</v>
      </c>
      <c r="G17" s="43">
        <v>0</v>
      </c>
      <c r="H17" s="37">
        <v>3.2284879666666669E-2</v>
      </c>
      <c r="I17" s="43">
        <v>0.33529936299999996</v>
      </c>
      <c r="J17" s="43">
        <v>1.5154397999999999E-2</v>
      </c>
      <c r="K17" s="43" t="s">
        <v>15</v>
      </c>
    </row>
    <row r="18" spans="1:18">
      <c r="A18" s="8">
        <v>9</v>
      </c>
      <c r="B18" s="9">
        <v>36692</v>
      </c>
      <c r="C18" s="12">
        <v>2000</v>
      </c>
      <c r="D18" s="15" t="s">
        <v>23</v>
      </c>
      <c r="E18" s="12">
        <v>6</v>
      </c>
      <c r="F18" s="43">
        <v>3.1162979370312809</v>
      </c>
      <c r="G18" s="43">
        <v>4.6100982499999998E-2</v>
      </c>
      <c r="H18" s="37">
        <v>2.4104433166666665E-2</v>
      </c>
      <c r="I18" s="43">
        <v>0.87048431716666674</v>
      </c>
      <c r="J18" s="43">
        <v>4.3769174666666667E-2</v>
      </c>
      <c r="K18" s="43" t="s">
        <v>15</v>
      </c>
    </row>
    <row r="19" spans="1:18">
      <c r="A19" s="8">
        <v>10</v>
      </c>
      <c r="B19" s="9">
        <v>36692</v>
      </c>
      <c r="C19" s="12">
        <v>2000</v>
      </c>
      <c r="D19" s="15" t="s">
        <v>23</v>
      </c>
      <c r="E19" s="12">
        <v>6</v>
      </c>
      <c r="F19" s="43">
        <v>5.0290643195011295</v>
      </c>
      <c r="G19" s="43">
        <v>5.9274129500000008E-2</v>
      </c>
      <c r="H19" s="37">
        <v>0</v>
      </c>
      <c r="I19" s="43">
        <v>1.2113576581666667</v>
      </c>
      <c r="J19" s="43">
        <v>5.8476871999999999E-2</v>
      </c>
      <c r="K19" s="43" t="s">
        <v>15</v>
      </c>
    </row>
    <row r="20" spans="1:18">
      <c r="A20" s="8">
        <v>9</v>
      </c>
      <c r="B20" s="9">
        <v>36719</v>
      </c>
      <c r="C20" s="12">
        <v>2000</v>
      </c>
      <c r="D20" s="15" t="s">
        <v>24</v>
      </c>
      <c r="E20" s="12">
        <v>7</v>
      </c>
      <c r="F20" s="43">
        <v>5.8162761812081509</v>
      </c>
      <c r="G20" s="43">
        <v>0.176551494</v>
      </c>
      <c r="H20" s="37">
        <v>0</v>
      </c>
      <c r="I20" s="43">
        <v>1.0136247988333333</v>
      </c>
      <c r="J20" s="43">
        <v>2.7404586499999998E-2</v>
      </c>
      <c r="K20" s="43" t="s">
        <v>15</v>
      </c>
    </row>
    <row r="21" spans="1:18">
      <c r="A21" s="8">
        <v>10</v>
      </c>
      <c r="B21" s="9">
        <v>36719</v>
      </c>
      <c r="C21" s="12">
        <v>2000</v>
      </c>
      <c r="D21" s="15" t="s">
        <v>24</v>
      </c>
      <c r="E21" s="12">
        <v>7</v>
      </c>
      <c r="F21" s="43">
        <v>6.6924579211511181</v>
      </c>
      <c r="G21" s="43">
        <v>0.32168926033333334</v>
      </c>
      <c r="H21" s="37">
        <v>0</v>
      </c>
      <c r="I21" s="43">
        <v>0.85006645299999983</v>
      </c>
      <c r="J21" s="43">
        <v>4.4601131999999995E-2</v>
      </c>
      <c r="K21" s="43" t="s">
        <v>15</v>
      </c>
    </row>
    <row r="22" spans="1:18">
      <c r="A22" s="8">
        <v>9</v>
      </c>
      <c r="B22" s="9">
        <v>36755</v>
      </c>
      <c r="C22" s="12">
        <v>2000</v>
      </c>
      <c r="D22" s="15" t="s">
        <v>25</v>
      </c>
      <c r="E22" s="12">
        <v>8</v>
      </c>
      <c r="F22" s="43">
        <v>0.84630613564951318</v>
      </c>
      <c r="G22" s="43">
        <v>0</v>
      </c>
      <c r="H22" s="37">
        <v>0</v>
      </c>
      <c r="I22" s="43">
        <v>8.7203826166666665E-2</v>
      </c>
      <c r="J22" s="43">
        <v>4.6644333666666669E-2</v>
      </c>
      <c r="K22" s="43" t="s">
        <v>15</v>
      </c>
    </row>
    <row r="23" spans="1:18">
      <c r="A23" s="8">
        <v>10</v>
      </c>
      <c r="B23" s="9">
        <v>36755</v>
      </c>
      <c r="C23" s="12">
        <v>2000</v>
      </c>
      <c r="D23" s="15" t="s">
        <v>25</v>
      </c>
      <c r="E23" s="12">
        <v>8</v>
      </c>
      <c r="F23" s="43">
        <v>3.5766022851941686</v>
      </c>
      <c r="G23" s="43">
        <v>3.3107205333333334E-2</v>
      </c>
      <c r="H23" s="37">
        <v>0</v>
      </c>
      <c r="I23" s="43">
        <v>0.8821704033333333</v>
      </c>
      <c r="J23" s="43">
        <v>0.15226496533333334</v>
      </c>
      <c r="K23" s="43" t="s">
        <v>15</v>
      </c>
    </row>
    <row r="24" spans="1:18">
      <c r="A24" s="8">
        <v>9</v>
      </c>
      <c r="B24" s="9">
        <v>36783</v>
      </c>
      <c r="C24" s="12">
        <v>2000</v>
      </c>
      <c r="D24" s="15" t="s">
        <v>26</v>
      </c>
      <c r="E24" s="12">
        <v>9</v>
      </c>
      <c r="F24" s="43">
        <v>1.2064864205241426</v>
      </c>
      <c r="G24" s="43">
        <v>0</v>
      </c>
      <c r="H24" s="37">
        <v>0</v>
      </c>
      <c r="I24" s="43">
        <v>0.28493469366666668</v>
      </c>
      <c r="J24" s="43">
        <v>0</v>
      </c>
      <c r="K24" s="43" t="s">
        <v>15</v>
      </c>
    </row>
    <row r="25" spans="1:18">
      <c r="A25" s="8">
        <v>10</v>
      </c>
      <c r="B25" s="9">
        <v>36783</v>
      </c>
      <c r="C25" s="12">
        <v>2000</v>
      </c>
      <c r="D25" s="15" t="s">
        <v>26</v>
      </c>
      <c r="E25" s="12">
        <v>9</v>
      </c>
      <c r="F25" s="43">
        <v>1.8004016582666416</v>
      </c>
      <c r="G25" s="43">
        <v>0</v>
      </c>
      <c r="H25" s="37">
        <v>0</v>
      </c>
      <c r="I25" s="43">
        <v>0.40206288033333337</v>
      </c>
      <c r="J25" s="43">
        <v>3.3952790999999996E-2</v>
      </c>
      <c r="K25" s="43" t="s">
        <v>15</v>
      </c>
    </row>
    <row r="26" spans="1:18">
      <c r="A26" s="8">
        <v>9</v>
      </c>
      <c r="B26" s="9">
        <v>36815</v>
      </c>
      <c r="C26" s="12">
        <v>2000</v>
      </c>
      <c r="D26" s="15" t="s">
        <v>14</v>
      </c>
      <c r="E26" s="12">
        <v>10</v>
      </c>
      <c r="F26" s="45">
        <v>0.43998358844421992</v>
      </c>
      <c r="G26" s="45">
        <v>0</v>
      </c>
      <c r="H26" s="45">
        <v>0</v>
      </c>
      <c r="I26" s="45">
        <v>8.3515265333333324E-2</v>
      </c>
      <c r="J26" s="45">
        <v>0</v>
      </c>
      <c r="K26" s="45" t="s">
        <v>15</v>
      </c>
    </row>
    <row r="27" spans="1:18">
      <c r="A27" s="8">
        <v>10</v>
      </c>
      <c r="B27" s="9">
        <v>36815</v>
      </c>
      <c r="C27" s="12">
        <v>2000</v>
      </c>
      <c r="D27" s="15" t="s">
        <v>14</v>
      </c>
      <c r="E27" s="12">
        <v>10</v>
      </c>
      <c r="F27" s="45">
        <v>1.561920699400118</v>
      </c>
      <c r="G27" s="45">
        <v>0</v>
      </c>
      <c r="H27" s="45">
        <v>0</v>
      </c>
      <c r="I27" s="45">
        <v>0.10729618283333334</v>
      </c>
      <c r="J27" s="45">
        <v>0</v>
      </c>
      <c r="K27" s="45" t="s">
        <v>15</v>
      </c>
    </row>
    <row r="28" spans="1:18">
      <c r="A28" s="8">
        <v>9</v>
      </c>
      <c r="B28" s="9">
        <v>36846</v>
      </c>
      <c r="C28" s="12">
        <v>2000</v>
      </c>
      <c r="D28" s="15" t="s">
        <v>16</v>
      </c>
      <c r="E28" s="12">
        <v>11</v>
      </c>
      <c r="F28" s="45">
        <v>0.39527561709589693</v>
      </c>
      <c r="G28" s="45">
        <v>4.855355833333333E-2</v>
      </c>
      <c r="H28" s="45">
        <v>0</v>
      </c>
      <c r="I28" s="45">
        <v>5.0439824499999994E-2</v>
      </c>
      <c r="J28" s="45">
        <v>0</v>
      </c>
      <c r="K28" s="45" t="s">
        <v>15</v>
      </c>
    </row>
    <row r="29" spans="1:18">
      <c r="A29" s="8">
        <v>10</v>
      </c>
      <c r="B29" s="9">
        <v>36846</v>
      </c>
      <c r="C29" s="12">
        <v>2000</v>
      </c>
      <c r="D29" s="15" t="s">
        <v>16</v>
      </c>
      <c r="E29" s="12">
        <v>11</v>
      </c>
      <c r="F29" s="45">
        <v>0.53991698270694943</v>
      </c>
      <c r="G29" s="45">
        <v>7.6901120666666656E-2</v>
      </c>
      <c r="H29" s="45">
        <v>0</v>
      </c>
      <c r="I29" s="45">
        <v>6.8122482166666665E-2</v>
      </c>
      <c r="J29" s="45">
        <v>0</v>
      </c>
      <c r="K29" s="45" t="s">
        <v>15</v>
      </c>
    </row>
    <row r="30" spans="1:18">
      <c r="A30" s="8">
        <v>9</v>
      </c>
      <c r="B30" s="9">
        <v>36873</v>
      </c>
      <c r="C30" s="12">
        <v>2000</v>
      </c>
      <c r="D30" s="15" t="s">
        <v>17</v>
      </c>
      <c r="E30" s="12">
        <v>12</v>
      </c>
      <c r="F30" s="45">
        <v>3.3021338846700647</v>
      </c>
      <c r="G30" s="45">
        <v>0.23999266899999999</v>
      </c>
      <c r="H30" s="45">
        <v>2.0322000999999999E-2</v>
      </c>
      <c r="I30" s="45">
        <v>0.81257933400000015</v>
      </c>
      <c r="J30" s="45">
        <v>1.5500506000000001E-2</v>
      </c>
      <c r="K30" s="45" t="s">
        <v>15</v>
      </c>
    </row>
    <row r="31" spans="1:18" ht="25.5">
      <c r="A31" s="8">
        <v>10</v>
      </c>
      <c r="B31" s="9">
        <v>36873</v>
      </c>
      <c r="C31" s="12">
        <v>2000</v>
      </c>
      <c r="D31" s="15" t="s">
        <v>17</v>
      </c>
      <c r="E31" s="12">
        <v>12</v>
      </c>
      <c r="F31" s="45">
        <v>3.3909891865182566</v>
      </c>
      <c r="G31" s="45">
        <v>0.47868713616666669</v>
      </c>
      <c r="H31" s="45">
        <v>0</v>
      </c>
      <c r="I31" s="45">
        <v>0.60923105416666667</v>
      </c>
      <c r="J31" s="45">
        <v>1.1542359666666668E-2</v>
      </c>
      <c r="K31" s="45" t="s">
        <v>15</v>
      </c>
      <c r="L31" s="34" t="s">
        <v>42</v>
      </c>
      <c r="M31" s="6" t="s">
        <v>7</v>
      </c>
      <c r="N31" s="6" t="s">
        <v>8</v>
      </c>
      <c r="O31" s="6" t="s">
        <v>9</v>
      </c>
      <c r="P31" s="6" t="s">
        <v>10</v>
      </c>
      <c r="Q31" s="6" t="s">
        <v>11</v>
      </c>
      <c r="R31" s="6" t="s">
        <v>12</v>
      </c>
    </row>
    <row r="32" spans="1:18">
      <c r="A32" s="36">
        <v>9</v>
      </c>
      <c r="B32" s="41">
        <v>36902</v>
      </c>
      <c r="C32" s="40">
        <v>2001</v>
      </c>
      <c r="D32" s="46" t="s">
        <v>18</v>
      </c>
      <c r="E32" s="40">
        <v>1</v>
      </c>
      <c r="F32" s="47">
        <v>3.9184009800716293</v>
      </c>
      <c r="G32" s="47">
        <v>0.14359535350000002</v>
      </c>
      <c r="H32" s="47">
        <v>0</v>
      </c>
      <c r="I32" s="47">
        <v>1.1262679009999998</v>
      </c>
      <c r="J32" s="47">
        <v>3.4302305333333331E-2</v>
      </c>
      <c r="K32" s="47" t="s">
        <v>15</v>
      </c>
      <c r="L32" s="34" t="s">
        <v>46</v>
      </c>
      <c r="M32" s="35">
        <f>AVERAGE(F32:F55)</f>
        <v>2.5160418381776126</v>
      </c>
      <c r="N32" s="35">
        <f>AVERAGE(G32:G55)</f>
        <v>5.4047414687499996E-2</v>
      </c>
      <c r="O32" s="35">
        <f>AVERAGE(H32:H55)</f>
        <v>5.2261492986111118E-3</v>
      </c>
      <c r="P32" s="35">
        <f>AVERAGE(I32:I55)</f>
        <v>0.61008501940396254</v>
      </c>
      <c r="Q32" s="35">
        <f>AVERAGE(J32:J55)</f>
        <v>4.1105193630085309E-2</v>
      </c>
    </row>
    <row r="33" spans="1:12">
      <c r="A33" s="8">
        <v>10</v>
      </c>
      <c r="B33" s="9">
        <v>36902</v>
      </c>
      <c r="C33" s="12">
        <v>2001</v>
      </c>
      <c r="D33" s="15" t="s">
        <v>18</v>
      </c>
      <c r="E33" s="12">
        <v>1</v>
      </c>
      <c r="F33" s="45">
        <v>3.823692504941226</v>
      </c>
      <c r="G33" s="45">
        <v>0.19685372699999998</v>
      </c>
      <c r="H33" s="45">
        <v>0</v>
      </c>
      <c r="I33" s="45">
        <v>1.0502414048333333</v>
      </c>
      <c r="J33" s="45">
        <v>4.1248666833333329E-2</v>
      </c>
      <c r="K33" s="45" t="s">
        <v>15</v>
      </c>
      <c r="L33"/>
    </row>
    <row r="34" spans="1:12">
      <c r="A34" s="12">
        <v>9</v>
      </c>
      <c r="B34" s="9">
        <v>36929</v>
      </c>
      <c r="C34" s="12">
        <v>2001</v>
      </c>
      <c r="D34" s="11" t="s">
        <v>19</v>
      </c>
      <c r="E34" s="12">
        <v>2</v>
      </c>
      <c r="F34" s="45">
        <v>3.8858306868674863</v>
      </c>
      <c r="G34" s="45">
        <v>0.178769977</v>
      </c>
      <c r="H34" s="45">
        <v>0</v>
      </c>
      <c r="I34" s="45">
        <v>0.98002927983333354</v>
      </c>
      <c r="J34" s="45">
        <v>3.1477151833333335E-2</v>
      </c>
      <c r="K34" s="45" t="s">
        <v>15</v>
      </c>
      <c r="L34"/>
    </row>
    <row r="35" spans="1:12">
      <c r="A35" s="12">
        <v>10</v>
      </c>
      <c r="B35" s="9">
        <v>36929</v>
      </c>
      <c r="C35" s="12">
        <v>2001</v>
      </c>
      <c r="D35" s="11" t="s">
        <v>19</v>
      </c>
      <c r="E35" s="12">
        <v>2</v>
      </c>
      <c r="F35" s="45">
        <v>2.3564985082205148</v>
      </c>
      <c r="G35" s="45">
        <v>5.2544144000000001E-2</v>
      </c>
      <c r="H35" s="45">
        <v>0</v>
      </c>
      <c r="I35" s="45">
        <v>0.73837502783333331</v>
      </c>
      <c r="J35" s="45">
        <v>2.8045852E-2</v>
      </c>
      <c r="K35" s="45" t="s">
        <v>15</v>
      </c>
      <c r="L35"/>
    </row>
    <row r="36" spans="1:12">
      <c r="A36" s="8">
        <v>9</v>
      </c>
      <c r="B36" s="9">
        <v>36962</v>
      </c>
      <c r="C36" s="12">
        <v>2001</v>
      </c>
      <c r="D36" s="11" t="s">
        <v>20</v>
      </c>
      <c r="E36" s="12">
        <v>3</v>
      </c>
      <c r="F36" s="45">
        <v>5.6073203405111141</v>
      </c>
      <c r="G36" s="45">
        <v>0</v>
      </c>
      <c r="H36" s="45">
        <v>6.6446375333333335E-2</v>
      </c>
      <c r="I36" s="45">
        <v>2.1616217910000004</v>
      </c>
      <c r="J36" s="45">
        <v>4.786379733333334E-2</v>
      </c>
      <c r="K36" s="45" t="s">
        <v>15</v>
      </c>
      <c r="L36"/>
    </row>
    <row r="37" spans="1:12">
      <c r="A37" s="8">
        <v>10</v>
      </c>
      <c r="B37" s="9">
        <v>36962</v>
      </c>
      <c r="C37" s="12">
        <v>2001</v>
      </c>
      <c r="D37" s="11" t="s">
        <v>20</v>
      </c>
      <c r="E37" s="12">
        <v>3</v>
      </c>
      <c r="F37" s="45">
        <v>8.9202021810742398</v>
      </c>
      <c r="G37" s="45">
        <v>0</v>
      </c>
      <c r="H37" s="45">
        <v>4.3621342333333334E-2</v>
      </c>
      <c r="I37" s="45">
        <v>3.4691181279999999</v>
      </c>
      <c r="J37" s="45">
        <v>4.3873575666666671E-2</v>
      </c>
      <c r="K37" s="45" t="s">
        <v>15</v>
      </c>
      <c r="L37"/>
    </row>
    <row r="38" spans="1:12">
      <c r="A38" s="8">
        <v>9</v>
      </c>
      <c r="B38" s="9">
        <v>36998</v>
      </c>
      <c r="C38" s="12">
        <v>2001</v>
      </c>
      <c r="D38" s="15" t="s">
        <v>21</v>
      </c>
      <c r="E38" s="12">
        <v>4</v>
      </c>
      <c r="F38" s="45">
        <v>0.8225617702714082</v>
      </c>
      <c r="G38" s="45">
        <v>0</v>
      </c>
      <c r="H38" s="45">
        <v>0</v>
      </c>
      <c r="I38" s="45">
        <v>9.8716413166666669E-2</v>
      </c>
      <c r="J38" s="45">
        <v>0</v>
      </c>
      <c r="K38" s="45" t="s">
        <v>15</v>
      </c>
      <c r="L38"/>
    </row>
    <row r="39" spans="1:12">
      <c r="A39" s="8">
        <v>10</v>
      </c>
      <c r="B39" s="9">
        <v>36998</v>
      </c>
      <c r="C39" s="12">
        <v>2001</v>
      </c>
      <c r="D39" s="15" t="s">
        <v>21</v>
      </c>
      <c r="E39" s="12">
        <v>4</v>
      </c>
      <c r="F39" s="45">
        <v>1.6086673519985339</v>
      </c>
      <c r="G39" s="45">
        <v>5.0590574833333332E-2</v>
      </c>
      <c r="H39" s="45">
        <v>0</v>
      </c>
      <c r="I39" s="45">
        <v>9.2241906500000012E-2</v>
      </c>
      <c r="J39" s="45">
        <v>0</v>
      </c>
      <c r="K39" s="45" t="s">
        <v>15</v>
      </c>
      <c r="L39"/>
    </row>
    <row r="40" spans="1:12">
      <c r="A40" s="8">
        <v>9</v>
      </c>
      <c r="B40" s="9">
        <v>37025</v>
      </c>
      <c r="C40" s="12">
        <v>2001</v>
      </c>
      <c r="D40" s="15" t="s">
        <v>22</v>
      </c>
      <c r="E40" s="12">
        <v>5</v>
      </c>
      <c r="F40" s="45">
        <v>0.28314253986417204</v>
      </c>
      <c r="G40" s="45">
        <v>0</v>
      </c>
      <c r="H40" s="45">
        <v>0</v>
      </c>
      <c r="I40" s="45">
        <v>1.8947262166666666E-2</v>
      </c>
      <c r="J40" s="45">
        <v>0</v>
      </c>
      <c r="K40" s="45" t="s">
        <v>15</v>
      </c>
      <c r="L40"/>
    </row>
    <row r="41" spans="1:12">
      <c r="A41" s="8">
        <v>10</v>
      </c>
      <c r="B41" s="9">
        <v>37025</v>
      </c>
      <c r="C41" s="12">
        <v>2001</v>
      </c>
      <c r="D41" s="15" t="s">
        <v>22</v>
      </c>
      <c r="E41" s="12">
        <v>5</v>
      </c>
      <c r="F41" s="45">
        <v>0.65344968643652213</v>
      </c>
      <c r="G41" s="45">
        <v>0</v>
      </c>
      <c r="H41" s="45">
        <v>0</v>
      </c>
      <c r="I41" s="45">
        <v>5.8485468333333325E-2</v>
      </c>
      <c r="J41" s="45">
        <v>0</v>
      </c>
      <c r="K41" s="45" t="s">
        <v>15</v>
      </c>
      <c r="L41"/>
    </row>
    <row r="42" spans="1:12">
      <c r="A42" s="8">
        <v>9</v>
      </c>
      <c r="B42" s="9">
        <v>37054</v>
      </c>
      <c r="C42" s="12">
        <v>2001</v>
      </c>
      <c r="D42" s="15" t="s">
        <v>23</v>
      </c>
      <c r="E42" s="12">
        <v>6</v>
      </c>
      <c r="F42" s="45">
        <v>1.6625532837477026</v>
      </c>
      <c r="G42" s="45">
        <v>1.8407894666666667E-2</v>
      </c>
      <c r="H42" s="45">
        <v>0</v>
      </c>
      <c r="I42" s="45">
        <v>0.20409089616666665</v>
      </c>
      <c r="J42" s="45">
        <v>7.7282085000000009E-3</v>
      </c>
      <c r="K42" s="45" t="s">
        <v>15</v>
      </c>
      <c r="L42"/>
    </row>
    <row r="43" spans="1:12">
      <c r="A43" s="8">
        <v>10</v>
      </c>
      <c r="B43" s="9">
        <v>37054</v>
      </c>
      <c r="C43" s="12">
        <v>2001</v>
      </c>
      <c r="D43" s="15" t="s">
        <v>23</v>
      </c>
      <c r="E43" s="12">
        <v>6</v>
      </c>
      <c r="F43" s="45">
        <v>3.5693979435090388</v>
      </c>
      <c r="G43" s="45">
        <v>0.14304497849999998</v>
      </c>
      <c r="H43" s="45">
        <v>0</v>
      </c>
      <c r="I43" s="45">
        <v>0.72396400883333323</v>
      </c>
      <c r="J43" s="45">
        <v>7.8895155500000008E-2</v>
      </c>
      <c r="K43" s="45" t="s">
        <v>15</v>
      </c>
      <c r="L43"/>
    </row>
    <row r="44" spans="1:12">
      <c r="A44" s="8">
        <v>9</v>
      </c>
      <c r="B44" s="9">
        <v>37090</v>
      </c>
      <c r="C44" s="12">
        <v>2001</v>
      </c>
      <c r="D44" s="15" t="s">
        <v>24</v>
      </c>
      <c r="E44" s="12">
        <v>7</v>
      </c>
      <c r="F44" s="45">
        <v>4.9985278325977225</v>
      </c>
      <c r="G44" s="45">
        <v>0.13826971533333332</v>
      </c>
      <c r="H44" s="45">
        <v>0</v>
      </c>
      <c r="I44" s="45">
        <v>0.70814979566666669</v>
      </c>
      <c r="J44" s="45">
        <v>0.26581602899999995</v>
      </c>
      <c r="K44" s="45" t="s">
        <v>15</v>
      </c>
      <c r="L44"/>
    </row>
    <row r="45" spans="1:12">
      <c r="A45" s="8">
        <v>10</v>
      </c>
      <c r="B45" s="9">
        <v>37090</v>
      </c>
      <c r="C45" s="12">
        <v>2001</v>
      </c>
      <c r="D45" s="15" t="s">
        <v>24</v>
      </c>
      <c r="E45" s="12">
        <v>7</v>
      </c>
      <c r="F45" s="45">
        <v>3.9285171139776001</v>
      </c>
      <c r="G45" s="45">
        <v>0.27919601216666667</v>
      </c>
      <c r="H45" s="45">
        <v>1.53598655E-2</v>
      </c>
      <c r="I45" s="45">
        <v>0.56219915166666667</v>
      </c>
      <c r="J45" s="45">
        <v>0.15362580683333335</v>
      </c>
      <c r="K45" s="45" t="s">
        <v>15</v>
      </c>
      <c r="L45"/>
    </row>
    <row r="46" spans="1:12">
      <c r="A46" s="8">
        <v>9</v>
      </c>
      <c r="B46" s="9">
        <v>37117</v>
      </c>
      <c r="C46" s="12">
        <v>2001</v>
      </c>
      <c r="D46" s="15" t="s">
        <v>25</v>
      </c>
      <c r="E46" s="12">
        <v>8</v>
      </c>
      <c r="F46" s="45">
        <v>3.3041615557801189</v>
      </c>
      <c r="G46" s="45">
        <v>6.1606147000000007E-2</v>
      </c>
      <c r="H46" s="45">
        <v>0</v>
      </c>
      <c r="I46" s="45">
        <v>0.54791938399999995</v>
      </c>
      <c r="J46" s="45">
        <v>8.9062940499999993E-2</v>
      </c>
      <c r="K46" s="45" t="s">
        <v>15</v>
      </c>
      <c r="L46"/>
    </row>
    <row r="47" spans="1:12">
      <c r="A47" s="8">
        <v>10</v>
      </c>
      <c r="B47" s="9">
        <v>37117</v>
      </c>
      <c r="C47" s="12">
        <v>2001</v>
      </c>
      <c r="D47" s="15" t="s">
        <v>25</v>
      </c>
      <c r="E47" s="12">
        <v>8</v>
      </c>
      <c r="F47" s="45">
        <v>1.6653540946535696</v>
      </c>
      <c r="G47" s="45">
        <v>0</v>
      </c>
      <c r="H47" s="45">
        <v>0</v>
      </c>
      <c r="I47" s="45">
        <v>0.22929167633333333</v>
      </c>
      <c r="J47" s="45">
        <v>6.9474517666666666E-2</v>
      </c>
      <c r="K47" s="45" t="s">
        <v>15</v>
      </c>
      <c r="L47"/>
    </row>
    <row r="48" spans="1:12">
      <c r="A48" s="8">
        <v>9</v>
      </c>
      <c r="B48" s="9">
        <v>37145</v>
      </c>
      <c r="C48" s="12">
        <v>2001</v>
      </c>
      <c r="D48" s="15" t="s">
        <v>26</v>
      </c>
      <c r="E48" s="12">
        <v>9</v>
      </c>
      <c r="F48" s="45">
        <v>2.9347511423023387</v>
      </c>
      <c r="G48" s="45">
        <v>0</v>
      </c>
      <c r="H48" s="45">
        <v>0</v>
      </c>
      <c r="I48" s="45">
        <v>0.83006991399999985</v>
      </c>
      <c r="J48" s="45">
        <v>2.7733763166666665E-2</v>
      </c>
      <c r="K48" s="45" t="s">
        <v>15</v>
      </c>
      <c r="L48"/>
    </row>
    <row r="49" spans="1:18">
      <c r="A49" s="8">
        <v>10</v>
      </c>
      <c r="B49" s="9">
        <v>37145</v>
      </c>
      <c r="C49" s="12">
        <v>2001</v>
      </c>
      <c r="D49" s="15" t="s">
        <v>26</v>
      </c>
      <c r="E49" s="12">
        <v>9</v>
      </c>
      <c r="F49" s="45">
        <v>2.7943675451893024</v>
      </c>
      <c r="G49" s="45">
        <v>3.4259428500000001E-2</v>
      </c>
      <c r="H49" s="45">
        <v>0</v>
      </c>
      <c r="I49" s="45">
        <v>0.47163206249999995</v>
      </c>
      <c r="J49" s="45">
        <v>4.9958429833333338E-2</v>
      </c>
      <c r="K49" s="45" t="s">
        <v>15</v>
      </c>
    </row>
    <row r="50" spans="1:18">
      <c r="A50" s="8">
        <v>9</v>
      </c>
      <c r="B50" s="9">
        <v>37182</v>
      </c>
      <c r="C50" s="12">
        <v>2001</v>
      </c>
      <c r="D50" s="15" t="s">
        <v>14</v>
      </c>
      <c r="E50" s="12">
        <v>10</v>
      </c>
      <c r="F50" s="27">
        <v>0.4721011143849117</v>
      </c>
      <c r="G50" s="27">
        <v>0</v>
      </c>
      <c r="H50" s="27">
        <v>0</v>
      </c>
      <c r="I50" s="27">
        <v>6.9160898081002758E-2</v>
      </c>
      <c r="J50" s="27">
        <v>0</v>
      </c>
      <c r="K50" s="27" t="s">
        <v>27</v>
      </c>
    </row>
    <row r="51" spans="1:18">
      <c r="A51" s="8">
        <v>10</v>
      </c>
      <c r="B51" s="9">
        <v>37182</v>
      </c>
      <c r="C51" s="12">
        <v>2001</v>
      </c>
      <c r="D51" s="15" t="s">
        <v>14</v>
      </c>
      <c r="E51" s="12">
        <v>10</v>
      </c>
      <c r="F51" s="27">
        <v>1.2112738867058166</v>
      </c>
      <c r="G51" s="27">
        <v>0</v>
      </c>
      <c r="H51" s="27">
        <v>0</v>
      </c>
      <c r="I51" s="27">
        <v>0.22157821833465818</v>
      </c>
      <c r="J51" s="27">
        <v>9.4182591288502777E-3</v>
      </c>
      <c r="K51" s="27" t="s">
        <v>27</v>
      </c>
    </row>
    <row r="52" spans="1:18">
      <c r="A52" s="8">
        <v>9</v>
      </c>
      <c r="B52" s="9">
        <v>37202</v>
      </c>
      <c r="C52" s="12">
        <v>2001</v>
      </c>
      <c r="D52" s="15" t="s">
        <v>16</v>
      </c>
      <c r="E52" s="12">
        <v>11</v>
      </c>
      <c r="F52" s="27">
        <v>0.47858704932321527</v>
      </c>
      <c r="G52" s="27">
        <v>0</v>
      </c>
      <c r="H52" s="27">
        <v>0</v>
      </c>
      <c r="I52" s="27">
        <v>8.0767425732963638E-2</v>
      </c>
      <c r="J52" s="27">
        <v>0</v>
      </c>
      <c r="K52" s="27" t="s">
        <v>27</v>
      </c>
    </row>
    <row r="53" spans="1:18">
      <c r="A53" s="8">
        <v>10</v>
      </c>
      <c r="B53" s="9">
        <v>37202</v>
      </c>
      <c r="C53" s="12">
        <v>2001</v>
      </c>
      <c r="D53" s="15" t="s">
        <v>16</v>
      </c>
      <c r="E53" s="12">
        <v>11</v>
      </c>
      <c r="F53" s="27">
        <v>0.30968197273470283</v>
      </c>
      <c r="G53" s="27">
        <v>0</v>
      </c>
      <c r="H53" s="27">
        <v>0</v>
      </c>
      <c r="I53" s="27">
        <v>3.3063723297488343E-2</v>
      </c>
      <c r="J53" s="27">
        <v>0</v>
      </c>
      <c r="K53" s="27" t="s">
        <v>27</v>
      </c>
    </row>
    <row r="54" spans="1:18">
      <c r="A54" s="8">
        <v>9</v>
      </c>
      <c r="B54" s="9">
        <v>37230</v>
      </c>
      <c r="C54" s="12">
        <v>2001</v>
      </c>
      <c r="D54" s="15" t="s">
        <v>17</v>
      </c>
      <c r="E54" s="12">
        <v>12</v>
      </c>
      <c r="F54" s="27">
        <v>0.4186981867733931</v>
      </c>
      <c r="G54" s="27">
        <v>0</v>
      </c>
      <c r="H54" s="27">
        <v>0</v>
      </c>
      <c r="I54" s="27">
        <v>6.6952349765493746E-2</v>
      </c>
      <c r="J54" s="27">
        <v>0</v>
      </c>
      <c r="K54" s="27" t="s">
        <v>27</v>
      </c>
    </row>
    <row r="55" spans="1:18" ht="25.5">
      <c r="A55" s="8">
        <v>10</v>
      </c>
      <c r="B55" s="9">
        <v>37230</v>
      </c>
      <c r="C55" s="12">
        <v>2001</v>
      </c>
      <c r="D55" s="15" t="s">
        <v>17</v>
      </c>
      <c r="E55" s="12">
        <v>12</v>
      </c>
      <c r="F55" s="27">
        <v>0.7572648443264195</v>
      </c>
      <c r="G55" s="27">
        <v>0</v>
      </c>
      <c r="H55" s="27">
        <v>0</v>
      </c>
      <c r="I55" s="27">
        <v>9.9156378650162788E-2</v>
      </c>
      <c r="J55" s="27">
        <v>8.0001879931971501E-3</v>
      </c>
      <c r="K55" s="27" t="s">
        <v>27</v>
      </c>
      <c r="L55" s="34" t="s">
        <v>42</v>
      </c>
      <c r="M55" s="6" t="s">
        <v>7</v>
      </c>
      <c r="N55" s="6" t="s">
        <v>8</v>
      </c>
      <c r="O55" s="6" t="s">
        <v>9</v>
      </c>
      <c r="P55" s="6" t="s">
        <v>10</v>
      </c>
      <c r="Q55" s="6" t="s">
        <v>11</v>
      </c>
      <c r="R55" s="6" t="s">
        <v>12</v>
      </c>
    </row>
    <row r="56" spans="1:18">
      <c r="A56" s="36">
        <v>9</v>
      </c>
      <c r="B56" s="41">
        <v>37272</v>
      </c>
      <c r="C56" s="40">
        <v>2002</v>
      </c>
      <c r="D56" s="46" t="s">
        <v>18</v>
      </c>
      <c r="E56" s="40">
        <v>1</v>
      </c>
      <c r="F56" s="48">
        <v>1.147997067637754</v>
      </c>
      <c r="G56" s="48">
        <v>2.9213880920873701E-2</v>
      </c>
      <c r="H56" s="48">
        <v>0</v>
      </c>
      <c r="I56" s="48">
        <v>0.3154286488099774</v>
      </c>
      <c r="J56" s="48">
        <v>6.3082321198769074E-3</v>
      </c>
      <c r="K56" s="48" t="s">
        <v>27</v>
      </c>
      <c r="L56" s="34" t="s">
        <v>47</v>
      </c>
      <c r="M56" s="35">
        <f>AVERAGE(F56:F79)</f>
        <v>2.9126058546241094</v>
      </c>
      <c r="N56" s="35">
        <f>AVERAGE(G56:G79)</f>
        <v>5.501763339423503E-2</v>
      </c>
      <c r="O56" s="35">
        <f>AVERAGE(H56:H79)</f>
        <v>9.3731914518841285E-3</v>
      </c>
      <c r="P56" s="35">
        <f>AVERAGE(I56:I79)</f>
        <v>0.32007477574101467</v>
      </c>
      <c r="Q56" s="35">
        <f>AVERAGE(J56:J79)</f>
        <v>8.8997271738059259E-3</v>
      </c>
    </row>
    <row r="57" spans="1:18">
      <c r="A57" s="8">
        <v>10</v>
      </c>
      <c r="B57" s="9">
        <v>37272</v>
      </c>
      <c r="C57" s="12">
        <v>2002</v>
      </c>
      <c r="D57" s="15" t="s">
        <v>18</v>
      </c>
      <c r="E57" s="12">
        <v>1</v>
      </c>
      <c r="F57" s="27">
        <v>1.682021769965901</v>
      </c>
      <c r="G57" s="27">
        <v>4.3579449911026608E-2</v>
      </c>
      <c r="H57" s="27">
        <v>0</v>
      </c>
      <c r="I57" s="27">
        <v>0.30435021393381639</v>
      </c>
      <c r="J57" s="27">
        <v>9.2987339124973416E-3</v>
      </c>
      <c r="K57" s="27" t="s">
        <v>27</v>
      </c>
    </row>
    <row r="58" spans="1:18">
      <c r="A58" s="8">
        <v>9</v>
      </c>
      <c r="B58" s="9">
        <v>37301</v>
      </c>
      <c r="C58" s="12">
        <v>2002</v>
      </c>
      <c r="D58" s="11" t="s">
        <v>19</v>
      </c>
      <c r="E58" s="12">
        <v>2</v>
      </c>
      <c r="F58" s="27">
        <v>0.71297686444235664</v>
      </c>
      <c r="G58" s="27">
        <v>2.038087636988679E-2</v>
      </c>
      <c r="H58" s="27">
        <v>0</v>
      </c>
      <c r="I58" s="27">
        <v>0.22453232410187637</v>
      </c>
      <c r="J58" s="27">
        <v>1.1449032506591175E-2</v>
      </c>
      <c r="K58" s="27" t="s">
        <v>27</v>
      </c>
    </row>
    <row r="59" spans="1:18">
      <c r="A59" s="8">
        <v>10</v>
      </c>
      <c r="B59" s="9">
        <v>37301</v>
      </c>
      <c r="C59" s="12">
        <v>2002</v>
      </c>
      <c r="D59" s="11" t="s">
        <v>19</v>
      </c>
      <c r="E59" s="12">
        <v>2</v>
      </c>
      <c r="F59" s="27">
        <v>0.9535940430726153</v>
      </c>
      <c r="G59" s="27">
        <v>6.6690834409059194E-2</v>
      </c>
      <c r="H59" s="27">
        <v>0</v>
      </c>
      <c r="I59" s="27">
        <v>0.2257179494722191</v>
      </c>
      <c r="J59" s="27">
        <v>2.1803382122767011E-2</v>
      </c>
      <c r="K59" s="27" t="s">
        <v>27</v>
      </c>
    </row>
    <row r="60" spans="1:18">
      <c r="A60" s="8">
        <v>9</v>
      </c>
      <c r="B60" s="18">
        <v>37336</v>
      </c>
      <c r="C60" s="12">
        <v>2002</v>
      </c>
      <c r="D60" s="11" t="s">
        <v>20</v>
      </c>
      <c r="E60" s="12">
        <v>3</v>
      </c>
      <c r="F60" s="45">
        <v>1.3481645884658155</v>
      </c>
      <c r="G60" s="45">
        <v>6.6137167934927008E-2</v>
      </c>
      <c r="H60" s="45">
        <v>0</v>
      </c>
      <c r="I60" s="45">
        <v>0.21208549873849719</v>
      </c>
      <c r="J60" s="45">
        <v>0</v>
      </c>
      <c r="K60" s="45" t="s">
        <v>27</v>
      </c>
    </row>
    <row r="61" spans="1:18">
      <c r="A61" s="8">
        <v>10</v>
      </c>
      <c r="B61" s="18">
        <v>37336</v>
      </c>
      <c r="C61" s="12">
        <v>2002</v>
      </c>
      <c r="D61" s="11" t="s">
        <v>20</v>
      </c>
      <c r="E61" s="12">
        <v>3</v>
      </c>
      <c r="F61" s="45">
        <v>1.2886443731512156</v>
      </c>
      <c r="G61" s="45">
        <v>7.1877619827106359E-2</v>
      </c>
      <c r="H61" s="45">
        <v>1.3812517482162699E-2</v>
      </c>
      <c r="I61" s="45">
        <v>0.30920880587239696</v>
      </c>
      <c r="J61" s="45">
        <v>1.1699137493648292E-2</v>
      </c>
      <c r="K61" s="45" t="s">
        <v>27</v>
      </c>
    </row>
    <row r="62" spans="1:18">
      <c r="A62" s="8">
        <v>9</v>
      </c>
      <c r="B62" s="18">
        <v>37363</v>
      </c>
      <c r="C62" s="12">
        <v>2002</v>
      </c>
      <c r="D62" s="15" t="s">
        <v>21</v>
      </c>
      <c r="E62" s="12">
        <v>4</v>
      </c>
      <c r="F62" s="45">
        <v>0.85757683671362128</v>
      </c>
      <c r="G62" s="45">
        <v>0</v>
      </c>
      <c r="H62" s="45">
        <v>0</v>
      </c>
      <c r="I62" s="45">
        <v>7.7827509989645521E-2</v>
      </c>
      <c r="J62" s="45">
        <v>0</v>
      </c>
      <c r="K62" s="45" t="s">
        <v>27</v>
      </c>
    </row>
    <row r="63" spans="1:18">
      <c r="A63" s="8">
        <v>10</v>
      </c>
      <c r="B63" s="18">
        <v>37363</v>
      </c>
      <c r="C63" s="12">
        <v>2002</v>
      </c>
      <c r="D63" s="15" t="s">
        <v>21</v>
      </c>
      <c r="E63" s="12">
        <v>4</v>
      </c>
      <c r="F63" s="45">
        <v>1.103174564508576</v>
      </c>
      <c r="G63" s="45">
        <v>2.7737062023399525E-2</v>
      </c>
      <c r="H63" s="45">
        <v>0</v>
      </c>
      <c r="I63" s="45">
        <v>0.19882377988567018</v>
      </c>
      <c r="J63" s="45">
        <v>1.3704998247623622E-2</v>
      </c>
      <c r="K63" s="45" t="s">
        <v>27</v>
      </c>
    </row>
    <row r="64" spans="1:18">
      <c r="A64" s="8">
        <v>9</v>
      </c>
      <c r="B64" s="18">
        <v>37391</v>
      </c>
      <c r="C64" s="12">
        <v>2002</v>
      </c>
      <c r="D64" s="15" t="s">
        <v>22</v>
      </c>
      <c r="E64" s="12">
        <v>5</v>
      </c>
      <c r="F64" s="45">
        <v>1.9396457396043549</v>
      </c>
      <c r="G64" s="45"/>
      <c r="H64" s="45">
        <v>0</v>
      </c>
      <c r="I64" s="45"/>
      <c r="J64" s="45"/>
      <c r="K64" s="45" t="s">
        <v>27</v>
      </c>
    </row>
    <row r="65" spans="1:18">
      <c r="A65" s="8">
        <v>10</v>
      </c>
      <c r="B65" s="18">
        <v>37391</v>
      </c>
      <c r="C65" s="12">
        <v>2002</v>
      </c>
      <c r="D65" s="15" t="s">
        <v>22</v>
      </c>
      <c r="E65" s="12">
        <v>5</v>
      </c>
      <c r="F65" s="45">
        <v>2.4335974169955601</v>
      </c>
      <c r="G65" s="45"/>
      <c r="H65" s="45">
        <v>0</v>
      </c>
      <c r="I65" s="45"/>
      <c r="J65" s="45"/>
      <c r="K65" s="45" t="s">
        <v>27</v>
      </c>
    </row>
    <row r="66" spans="1:18">
      <c r="A66" s="8">
        <v>9</v>
      </c>
      <c r="B66" s="18">
        <v>37420</v>
      </c>
      <c r="C66" s="12">
        <v>2002</v>
      </c>
      <c r="D66" s="15" t="s">
        <v>23</v>
      </c>
      <c r="E66" s="12">
        <v>6</v>
      </c>
      <c r="F66" s="45">
        <v>5.3147026553096444</v>
      </c>
      <c r="G66" s="45"/>
      <c r="H66" s="45">
        <v>2.6858252584694563E-2</v>
      </c>
      <c r="I66" s="45"/>
      <c r="J66" s="45"/>
      <c r="K66" s="45" t="s">
        <v>27</v>
      </c>
    </row>
    <row r="67" spans="1:18">
      <c r="A67" s="8">
        <v>10</v>
      </c>
      <c r="B67" s="18">
        <v>37420</v>
      </c>
      <c r="C67" s="12">
        <v>2002</v>
      </c>
      <c r="D67" s="15" t="s">
        <v>23</v>
      </c>
      <c r="E67" s="12">
        <v>6</v>
      </c>
      <c r="F67" s="45">
        <v>4.260691903620927</v>
      </c>
      <c r="G67" s="45"/>
      <c r="H67" s="45">
        <v>0</v>
      </c>
      <c r="I67" s="45"/>
      <c r="J67" s="45"/>
      <c r="K67" s="45" t="s">
        <v>27</v>
      </c>
    </row>
    <row r="68" spans="1:18">
      <c r="A68" s="8">
        <v>9</v>
      </c>
      <c r="B68" s="18">
        <v>37453</v>
      </c>
      <c r="C68" s="12">
        <v>2002</v>
      </c>
      <c r="D68" s="15" t="s">
        <v>24</v>
      </c>
      <c r="E68" s="12">
        <v>7</v>
      </c>
      <c r="F68" s="45">
        <v>10.683163546231519</v>
      </c>
      <c r="G68" s="45"/>
      <c r="H68" s="45">
        <v>0.18428582477836183</v>
      </c>
      <c r="I68" s="45"/>
      <c r="J68" s="45"/>
      <c r="K68" s="45" t="s">
        <v>27</v>
      </c>
    </row>
    <row r="69" spans="1:18">
      <c r="A69" s="8">
        <v>10</v>
      </c>
      <c r="B69" s="18">
        <v>37453</v>
      </c>
      <c r="C69" s="12">
        <v>2002</v>
      </c>
      <c r="D69" s="15" t="s">
        <v>24</v>
      </c>
      <c r="E69" s="12">
        <v>7</v>
      </c>
      <c r="F69" s="45">
        <v>8.4764523140248631</v>
      </c>
      <c r="G69" s="45"/>
      <c r="H69" s="45">
        <v>0</v>
      </c>
      <c r="I69" s="45"/>
      <c r="J69" s="45"/>
      <c r="K69" s="45" t="s">
        <v>27</v>
      </c>
    </row>
    <row r="70" spans="1:18">
      <c r="A70" s="8">
        <v>9</v>
      </c>
      <c r="B70" s="18">
        <v>37481</v>
      </c>
      <c r="C70" s="12">
        <v>2002</v>
      </c>
      <c r="D70" s="15" t="s">
        <v>25</v>
      </c>
      <c r="E70" s="12">
        <v>8</v>
      </c>
      <c r="F70" s="45">
        <v>7.9676668218483595</v>
      </c>
      <c r="G70" s="45"/>
      <c r="H70" s="45">
        <v>0</v>
      </c>
      <c r="I70" s="45"/>
      <c r="J70" s="45"/>
      <c r="K70" s="45" t="s">
        <v>27</v>
      </c>
    </row>
    <row r="71" spans="1:18">
      <c r="A71" s="8">
        <v>10</v>
      </c>
      <c r="B71" s="18">
        <v>37481</v>
      </c>
      <c r="C71" s="12">
        <v>2002</v>
      </c>
      <c r="D71" s="15" t="s">
        <v>25</v>
      </c>
      <c r="E71" s="12">
        <v>8</v>
      </c>
      <c r="F71" s="45">
        <v>4.6552995592289621</v>
      </c>
      <c r="G71" s="45"/>
      <c r="H71" s="45">
        <v>0</v>
      </c>
      <c r="I71" s="45"/>
      <c r="J71" s="45"/>
      <c r="K71" s="45" t="s">
        <v>27</v>
      </c>
    </row>
    <row r="72" spans="1:18">
      <c r="A72" s="8">
        <v>9</v>
      </c>
      <c r="B72" s="18">
        <v>37518</v>
      </c>
      <c r="C72" s="12">
        <v>2002</v>
      </c>
      <c r="D72" s="15" t="s">
        <v>26</v>
      </c>
      <c r="E72" s="12">
        <v>9</v>
      </c>
      <c r="F72" s="45">
        <v>1.9085816221617367</v>
      </c>
      <c r="G72" s="45"/>
      <c r="H72" s="45">
        <v>0</v>
      </c>
      <c r="I72" s="45"/>
      <c r="J72" s="45"/>
      <c r="K72" s="45" t="s">
        <v>27</v>
      </c>
    </row>
    <row r="73" spans="1:18">
      <c r="A73" s="8">
        <v>10</v>
      </c>
      <c r="B73" s="18">
        <v>37518</v>
      </c>
      <c r="C73" s="12">
        <v>2002</v>
      </c>
      <c r="D73" s="15" t="s">
        <v>26</v>
      </c>
      <c r="E73" s="12">
        <v>9</v>
      </c>
      <c r="F73" s="45">
        <v>1.7816744587190372</v>
      </c>
      <c r="G73" s="45"/>
      <c r="H73" s="45">
        <v>0</v>
      </c>
      <c r="I73" s="45"/>
      <c r="J73" s="45"/>
      <c r="K73" s="45" t="s">
        <v>27</v>
      </c>
    </row>
    <row r="74" spans="1:18">
      <c r="A74" s="8">
        <v>9</v>
      </c>
      <c r="B74" s="18">
        <v>37546</v>
      </c>
      <c r="C74" s="12">
        <v>2002</v>
      </c>
      <c r="D74" s="15" t="s">
        <v>14</v>
      </c>
      <c r="E74" s="12">
        <v>10</v>
      </c>
      <c r="F74" s="49">
        <v>1.2929485390832829</v>
      </c>
      <c r="G74" s="49">
        <v>1.8722281901882808E-2</v>
      </c>
      <c r="H74" s="49">
        <v>0</v>
      </c>
      <c r="I74" s="49">
        <v>0.34443415935485061</v>
      </c>
      <c r="J74" s="49">
        <v>5.9433665612240571E-3</v>
      </c>
      <c r="K74" s="49">
        <v>0</v>
      </c>
    </row>
    <row r="75" spans="1:18">
      <c r="A75" s="8">
        <v>10</v>
      </c>
      <c r="B75" s="18">
        <v>37546</v>
      </c>
      <c r="C75" s="12">
        <v>2002</v>
      </c>
      <c r="D75" s="15" t="s">
        <v>14</v>
      </c>
      <c r="E75" s="12">
        <v>10</v>
      </c>
      <c r="F75" s="49">
        <v>2.4992786733570096</v>
      </c>
      <c r="G75" s="49">
        <v>5.7485243041669583E-2</v>
      </c>
      <c r="H75" s="49">
        <v>0</v>
      </c>
      <c r="I75" s="49">
        <v>0.57341330123197498</v>
      </c>
      <c r="J75" s="49">
        <v>1.0554824996242914E-2</v>
      </c>
      <c r="K75" s="49">
        <v>0</v>
      </c>
    </row>
    <row r="76" spans="1:18">
      <c r="A76" s="8">
        <v>9</v>
      </c>
      <c r="B76" s="18">
        <v>37574</v>
      </c>
      <c r="C76" s="12">
        <v>2002</v>
      </c>
      <c r="D76" s="15" t="s">
        <v>16</v>
      </c>
      <c r="E76" s="12">
        <v>11</v>
      </c>
      <c r="F76" s="49">
        <v>1.0867194293237217</v>
      </c>
      <c r="G76" s="49">
        <v>1.4166699142119831E-2</v>
      </c>
      <c r="H76" s="49">
        <v>0</v>
      </c>
      <c r="I76" s="49">
        <v>0.34087343526840319</v>
      </c>
      <c r="J76" s="49">
        <v>4.4780668566476748E-3</v>
      </c>
      <c r="K76" s="49">
        <v>0</v>
      </c>
    </row>
    <row r="77" spans="1:18">
      <c r="A77" s="8">
        <v>10</v>
      </c>
      <c r="B77" s="18">
        <v>37574</v>
      </c>
      <c r="C77" s="12">
        <v>2002</v>
      </c>
      <c r="D77" s="15" t="s">
        <v>16</v>
      </c>
      <c r="E77" s="12">
        <v>11</v>
      </c>
      <c r="F77" s="49">
        <v>1.0767334892909848</v>
      </c>
      <c r="G77" s="49">
        <v>2.2527259686535531E-2</v>
      </c>
      <c r="H77" s="49">
        <v>0</v>
      </c>
      <c r="I77" s="49">
        <v>0.12516282716334096</v>
      </c>
      <c r="J77" s="49">
        <v>7.1243952969091626E-3</v>
      </c>
      <c r="K77" s="49">
        <v>0</v>
      </c>
    </row>
    <row r="78" spans="1:18">
      <c r="A78" s="8">
        <v>9</v>
      </c>
      <c r="B78" s="18">
        <v>37608</v>
      </c>
      <c r="C78" s="12">
        <v>2002</v>
      </c>
      <c r="D78" s="15" t="s">
        <v>17</v>
      </c>
      <c r="E78" s="12">
        <v>12</v>
      </c>
      <c r="F78" s="49">
        <v>2.5888372076756232</v>
      </c>
      <c r="G78" s="49">
        <v>0.1633068328491224</v>
      </c>
      <c r="H78" s="49">
        <v>0</v>
      </c>
      <c r="I78" s="49">
        <v>0.58889488883540586</v>
      </c>
      <c r="J78" s="49">
        <v>1.0400090755046283E-2</v>
      </c>
      <c r="K78" s="49">
        <v>0</v>
      </c>
    </row>
    <row r="79" spans="1:18" ht="25.5">
      <c r="A79" s="8">
        <v>10</v>
      </c>
      <c r="B79" s="18">
        <v>37608</v>
      </c>
      <c r="C79" s="12">
        <v>2002</v>
      </c>
      <c r="D79" s="15" t="s">
        <v>17</v>
      </c>
      <c r="E79" s="12">
        <v>12</v>
      </c>
      <c r="F79" s="49">
        <v>2.8423970265451763</v>
      </c>
      <c r="G79" s="49">
        <v>0.16842165950168098</v>
      </c>
      <c r="H79" s="49">
        <v>0</v>
      </c>
      <c r="I79" s="49">
        <v>0.64029351771613074</v>
      </c>
      <c r="J79" s="49">
        <v>1.1831919564208536E-2</v>
      </c>
      <c r="K79" s="49">
        <v>0</v>
      </c>
      <c r="L79" s="34" t="s">
        <v>42</v>
      </c>
      <c r="M79" s="6" t="s">
        <v>7</v>
      </c>
      <c r="N79" s="6" t="s">
        <v>8</v>
      </c>
      <c r="O79" s="6" t="s">
        <v>9</v>
      </c>
      <c r="P79" s="6" t="s">
        <v>10</v>
      </c>
      <c r="Q79" s="6" t="s">
        <v>11</v>
      </c>
      <c r="R79" s="6" t="s">
        <v>12</v>
      </c>
    </row>
    <row r="80" spans="1:18">
      <c r="A80" s="36">
        <v>9</v>
      </c>
      <c r="B80" s="50">
        <v>37636</v>
      </c>
      <c r="C80" s="40">
        <v>2003</v>
      </c>
      <c r="D80" s="46" t="s">
        <v>18</v>
      </c>
      <c r="E80" s="40">
        <v>1</v>
      </c>
      <c r="F80" s="51">
        <v>3.1264525681107216</v>
      </c>
      <c r="G80" s="51">
        <v>0.22474307330159174</v>
      </c>
      <c r="H80" s="51">
        <v>0</v>
      </c>
      <c r="I80" s="51">
        <v>1.1607435016324106</v>
      </c>
      <c r="J80" s="51">
        <v>1.9830087462238553E-2</v>
      </c>
      <c r="K80" s="51">
        <v>0</v>
      </c>
      <c r="L80" s="34" t="s">
        <v>48</v>
      </c>
      <c r="M80" s="35">
        <f t="shared" ref="M80:R80" si="0">AVERAGE(F80:F103)</f>
        <v>9.3347297274316485</v>
      </c>
      <c r="N80" s="35">
        <f t="shared" si="0"/>
        <v>0.16749427644275594</v>
      </c>
      <c r="O80" s="35">
        <f t="shared" si="0"/>
        <v>0.31474528616172598</v>
      </c>
      <c r="P80" s="35">
        <f t="shared" si="0"/>
        <v>3.0792668204787415</v>
      </c>
      <c r="Q80" s="35">
        <f t="shared" si="0"/>
        <v>0.14084431824733576</v>
      </c>
      <c r="R80" s="35">
        <f t="shared" si="0"/>
        <v>0</v>
      </c>
    </row>
    <row r="81" spans="1:12">
      <c r="A81" s="8">
        <v>10</v>
      </c>
      <c r="B81" s="18">
        <v>37636</v>
      </c>
      <c r="C81" s="12">
        <v>2003</v>
      </c>
      <c r="D81" s="15" t="s">
        <v>18</v>
      </c>
      <c r="E81" s="12">
        <v>1</v>
      </c>
      <c r="F81" s="49">
        <v>3.2980055779066113</v>
      </c>
      <c r="G81" s="49">
        <v>0.38729187575649598</v>
      </c>
      <c r="H81" s="49">
        <v>0</v>
      </c>
      <c r="I81" s="49">
        <v>0.87674040842545797</v>
      </c>
      <c r="J81" s="49">
        <v>2.4096431094695142E-2</v>
      </c>
      <c r="K81" s="49">
        <v>0</v>
      </c>
      <c r="L81"/>
    </row>
    <row r="82" spans="1:12">
      <c r="A82" s="8">
        <v>9</v>
      </c>
      <c r="B82" s="18">
        <v>37663</v>
      </c>
      <c r="C82" s="12">
        <v>2003</v>
      </c>
      <c r="D82" s="11" t="s">
        <v>19</v>
      </c>
      <c r="E82" s="12">
        <v>2</v>
      </c>
      <c r="F82" s="49">
        <v>3.1713906033163646</v>
      </c>
      <c r="G82" s="49">
        <v>0</v>
      </c>
      <c r="H82" s="49">
        <v>0</v>
      </c>
      <c r="I82" s="49">
        <v>1.1426493368951982</v>
      </c>
      <c r="J82" s="49">
        <v>1.3123884076250642E-2</v>
      </c>
      <c r="K82" s="49">
        <v>0</v>
      </c>
      <c r="L82"/>
    </row>
    <row r="83" spans="1:12">
      <c r="A83" s="8">
        <v>10</v>
      </c>
      <c r="B83" s="18">
        <v>37663</v>
      </c>
      <c r="C83" s="12">
        <v>2003</v>
      </c>
      <c r="D83" s="11" t="s">
        <v>19</v>
      </c>
      <c r="E83" s="12">
        <v>2</v>
      </c>
      <c r="F83" s="49">
        <v>4.0365013086057164</v>
      </c>
      <c r="G83" s="49">
        <v>0.51566150686817191</v>
      </c>
      <c r="H83" s="49">
        <v>0</v>
      </c>
      <c r="I83" s="49">
        <v>1.1426805748797479</v>
      </c>
      <c r="J83" s="49">
        <v>2.223553991863125E-2</v>
      </c>
      <c r="K83" s="49">
        <v>0</v>
      </c>
      <c r="L83"/>
    </row>
    <row r="84" spans="1:12">
      <c r="A84" s="8">
        <v>9</v>
      </c>
      <c r="B84" s="18">
        <v>37691</v>
      </c>
      <c r="C84" s="12">
        <v>2003</v>
      </c>
      <c r="D84" s="11" t="s">
        <v>20</v>
      </c>
      <c r="E84" s="12">
        <v>3</v>
      </c>
      <c r="F84" s="49">
        <v>5.0388886297177624</v>
      </c>
      <c r="G84" s="49">
        <v>0.15865869710360214</v>
      </c>
      <c r="H84" s="49">
        <v>2.7032515543638603E-2</v>
      </c>
      <c r="I84" s="49">
        <v>1.6815956410677575</v>
      </c>
      <c r="J84" s="49">
        <v>3.2389814082822627E-2</v>
      </c>
      <c r="K84" s="49">
        <v>0</v>
      </c>
      <c r="L84"/>
    </row>
    <row r="85" spans="1:12">
      <c r="A85" s="8">
        <v>10</v>
      </c>
      <c r="B85" s="18">
        <v>37691</v>
      </c>
      <c r="C85" s="12">
        <v>2003</v>
      </c>
      <c r="D85" s="11" t="s">
        <v>20</v>
      </c>
      <c r="E85" s="12">
        <v>3</v>
      </c>
      <c r="F85" s="49">
        <v>7.6414041120201084</v>
      </c>
      <c r="G85" s="49">
        <v>0.28616137174384559</v>
      </c>
      <c r="H85" s="49">
        <v>3.6107352617702503E-2</v>
      </c>
      <c r="I85" s="49">
        <v>2.3893810892381824</v>
      </c>
      <c r="J85" s="49">
        <v>4.3224927866727471E-2</v>
      </c>
      <c r="K85" s="49">
        <v>0</v>
      </c>
      <c r="L85"/>
    </row>
    <row r="86" spans="1:12">
      <c r="A86" s="8">
        <v>9</v>
      </c>
      <c r="B86" s="18">
        <v>37727</v>
      </c>
      <c r="C86" s="12">
        <v>2003</v>
      </c>
      <c r="D86" s="11" t="s">
        <v>21</v>
      </c>
      <c r="E86" s="12">
        <v>4</v>
      </c>
      <c r="F86" s="49">
        <v>12.053436115301217</v>
      </c>
      <c r="G86" s="49">
        <v>6.8553864762860503E-2</v>
      </c>
      <c r="H86" s="49">
        <v>0</v>
      </c>
      <c r="I86" s="49">
        <v>5.9619603296594335</v>
      </c>
      <c r="J86" s="49">
        <v>5.2939869874192406E-2</v>
      </c>
      <c r="K86" s="49">
        <v>0</v>
      </c>
      <c r="L86"/>
    </row>
    <row r="87" spans="1:12">
      <c r="A87" s="8">
        <v>10</v>
      </c>
      <c r="B87" s="18">
        <v>37727</v>
      </c>
      <c r="C87" s="12">
        <v>2003</v>
      </c>
      <c r="D87" s="11" t="s">
        <v>21</v>
      </c>
      <c r="E87" s="12">
        <v>4</v>
      </c>
      <c r="F87" s="49">
        <v>13.397116729720528</v>
      </c>
      <c r="G87" s="49">
        <v>6.0391319469281203E-2</v>
      </c>
      <c r="H87" s="49">
        <v>0</v>
      </c>
      <c r="I87" s="49">
        <v>5.7964300519043936</v>
      </c>
      <c r="J87" s="49">
        <v>7.5620434813708642E-2</v>
      </c>
      <c r="K87" s="49">
        <v>0</v>
      </c>
      <c r="L87"/>
    </row>
    <row r="88" spans="1:12">
      <c r="A88" s="8">
        <v>9</v>
      </c>
      <c r="B88" s="18">
        <v>37756</v>
      </c>
      <c r="C88" s="12">
        <v>2003</v>
      </c>
      <c r="D88" s="11" t="s">
        <v>22</v>
      </c>
      <c r="E88" s="12">
        <v>5</v>
      </c>
      <c r="F88" s="49">
        <v>1.8476474728478067</v>
      </c>
      <c r="G88" s="49">
        <v>0</v>
      </c>
      <c r="H88" s="49">
        <v>6.2671971555601891E-2</v>
      </c>
      <c r="I88" s="49">
        <v>0.64146033927334389</v>
      </c>
      <c r="J88" s="49">
        <v>2.9354351880696138E-2</v>
      </c>
      <c r="K88" s="49">
        <v>0</v>
      </c>
      <c r="L88"/>
    </row>
    <row r="89" spans="1:12">
      <c r="A89" s="8">
        <v>10</v>
      </c>
      <c r="B89" s="18">
        <v>37756</v>
      </c>
      <c r="C89" s="12">
        <v>2003</v>
      </c>
      <c r="D89" s="11" t="s">
        <v>22</v>
      </c>
      <c r="E89" s="12">
        <v>5</v>
      </c>
      <c r="F89" s="49">
        <v>4.152192391345797</v>
      </c>
      <c r="G89" s="49">
        <v>4.1134502865808588E-2</v>
      </c>
      <c r="H89" s="49">
        <v>0</v>
      </c>
      <c r="I89" s="49">
        <v>0.78772361680645719</v>
      </c>
      <c r="J89" s="49">
        <v>3.1188968953732955E-2</v>
      </c>
      <c r="K89" s="49">
        <v>0</v>
      </c>
      <c r="L89"/>
    </row>
    <row r="90" spans="1:12">
      <c r="A90" s="8">
        <v>9</v>
      </c>
      <c r="B90" s="18">
        <v>37790</v>
      </c>
      <c r="C90" s="12">
        <v>2003</v>
      </c>
      <c r="D90" s="11" t="s">
        <v>23</v>
      </c>
      <c r="E90" s="12">
        <v>6</v>
      </c>
      <c r="F90" s="49">
        <v>25.687010217391375</v>
      </c>
      <c r="G90" s="49">
        <v>0</v>
      </c>
      <c r="H90" s="49">
        <v>3.5997663823376378</v>
      </c>
      <c r="I90" s="49">
        <v>12.851072918188116</v>
      </c>
      <c r="J90" s="49">
        <v>0.25463367543640142</v>
      </c>
      <c r="K90" s="49">
        <v>0</v>
      </c>
      <c r="L90"/>
    </row>
    <row r="91" spans="1:12">
      <c r="A91" s="8">
        <v>10</v>
      </c>
      <c r="B91" s="18">
        <v>37790</v>
      </c>
      <c r="C91" s="12">
        <v>2003</v>
      </c>
      <c r="D91" s="11" t="s">
        <v>23</v>
      </c>
      <c r="E91" s="12">
        <v>6</v>
      </c>
      <c r="F91" s="49">
        <v>23.761915212820931</v>
      </c>
      <c r="G91" s="49">
        <v>4.809305880543209E-2</v>
      </c>
      <c r="H91" s="49">
        <v>3.8283086458268425</v>
      </c>
      <c r="I91" s="49">
        <v>12.108158166220349</v>
      </c>
      <c r="J91" s="49">
        <v>0.24703306857768198</v>
      </c>
      <c r="K91" s="49">
        <v>0</v>
      </c>
      <c r="L91"/>
    </row>
    <row r="92" spans="1:12">
      <c r="A92" s="8">
        <v>9</v>
      </c>
      <c r="B92" s="18">
        <v>37818</v>
      </c>
      <c r="C92" s="12">
        <v>2003</v>
      </c>
      <c r="D92" s="15" t="s">
        <v>24</v>
      </c>
      <c r="E92" s="12">
        <v>7</v>
      </c>
      <c r="F92" s="49">
        <v>17.655619443896327</v>
      </c>
      <c r="G92" s="49">
        <v>0.41232402340940155</v>
      </c>
      <c r="H92" s="49">
        <v>0</v>
      </c>
      <c r="I92" s="49">
        <v>3.4673334892972134</v>
      </c>
      <c r="J92" s="49">
        <v>0.49174074184285244</v>
      </c>
      <c r="K92" s="49">
        <v>0</v>
      </c>
      <c r="L92"/>
    </row>
    <row r="93" spans="1:12">
      <c r="A93" s="8">
        <v>10</v>
      </c>
      <c r="B93" s="18">
        <v>37818</v>
      </c>
      <c r="C93" s="12">
        <v>2003</v>
      </c>
      <c r="D93" s="15" t="s">
        <v>24</v>
      </c>
      <c r="E93" s="12">
        <v>7</v>
      </c>
      <c r="F93" s="49">
        <v>16.888009174651454</v>
      </c>
      <c r="G93" s="49">
        <v>0.37246919419727226</v>
      </c>
      <c r="H93" s="49">
        <v>0</v>
      </c>
      <c r="I93" s="49">
        <v>2.7355301404133519</v>
      </c>
      <c r="J93" s="49">
        <v>0.5266684469273184</v>
      </c>
      <c r="K93" s="49">
        <v>0</v>
      </c>
      <c r="L93"/>
    </row>
    <row r="94" spans="1:12">
      <c r="A94" s="8">
        <v>9</v>
      </c>
      <c r="B94" s="18">
        <v>37846</v>
      </c>
      <c r="C94" s="12">
        <v>2003</v>
      </c>
      <c r="D94" s="15" t="s">
        <v>25</v>
      </c>
      <c r="E94" s="12">
        <v>8</v>
      </c>
      <c r="F94" s="49">
        <v>24.113811290922982</v>
      </c>
      <c r="G94" s="49">
        <v>0.20884273998192615</v>
      </c>
      <c r="H94" s="49">
        <v>0</v>
      </c>
      <c r="I94" s="49">
        <v>8.431359273479778</v>
      </c>
      <c r="J94" s="49">
        <v>0.62094152479754416</v>
      </c>
      <c r="K94" s="49">
        <v>0</v>
      </c>
      <c r="L94"/>
    </row>
    <row r="95" spans="1:12">
      <c r="A95" s="8">
        <v>10</v>
      </c>
      <c r="B95" s="18">
        <v>37846</v>
      </c>
      <c r="C95" s="12">
        <v>2003</v>
      </c>
      <c r="D95" s="15" t="s">
        <v>25</v>
      </c>
      <c r="E95" s="12">
        <v>8</v>
      </c>
      <c r="F95" s="49">
        <v>18.957917819459027</v>
      </c>
      <c r="G95" s="49">
        <v>0.42092298984771331</v>
      </c>
      <c r="H95" s="49">
        <v>0</v>
      </c>
      <c r="I95" s="49">
        <v>5.695922304972175</v>
      </c>
      <c r="J95" s="49">
        <v>0.56223404940662502</v>
      </c>
      <c r="K95" s="49">
        <v>0</v>
      </c>
      <c r="L95"/>
    </row>
    <row r="96" spans="1:12">
      <c r="A96" s="8">
        <v>9</v>
      </c>
      <c r="B96" s="18">
        <v>37886</v>
      </c>
      <c r="C96" s="12">
        <v>2003</v>
      </c>
      <c r="D96" s="15" t="s">
        <v>26</v>
      </c>
      <c r="E96" s="12">
        <v>9</v>
      </c>
      <c r="F96" s="49">
        <v>13.35583266019621</v>
      </c>
      <c r="G96" s="49">
        <v>0.17459944359270016</v>
      </c>
      <c r="H96" s="49">
        <v>0</v>
      </c>
      <c r="I96" s="49">
        <v>2.9926865107898353</v>
      </c>
      <c r="J96" s="49">
        <v>0.14798682930337059</v>
      </c>
      <c r="K96" s="49">
        <v>0</v>
      </c>
      <c r="L96"/>
    </row>
    <row r="97" spans="1:18">
      <c r="A97" s="8">
        <v>10</v>
      </c>
      <c r="B97" s="18">
        <v>37886</v>
      </c>
      <c r="C97" s="12">
        <v>2003</v>
      </c>
      <c r="D97" s="15" t="s">
        <v>26</v>
      </c>
      <c r="E97" s="12">
        <v>9</v>
      </c>
      <c r="F97" s="49">
        <v>11.568462130128601</v>
      </c>
      <c r="G97" s="49">
        <v>0.18705665201886312</v>
      </c>
      <c r="H97" s="49">
        <v>0</v>
      </c>
      <c r="I97" s="49">
        <v>1.8461065784330006</v>
      </c>
      <c r="J97" s="49">
        <v>8.7412821941975402E-2</v>
      </c>
      <c r="K97" s="49">
        <v>0</v>
      </c>
    </row>
    <row r="98" spans="1:18">
      <c r="A98" s="8">
        <v>9</v>
      </c>
      <c r="B98" s="18">
        <v>37910</v>
      </c>
      <c r="C98" s="12">
        <v>2003</v>
      </c>
      <c r="D98" s="15" t="s">
        <v>14</v>
      </c>
      <c r="E98" s="12">
        <v>10</v>
      </c>
      <c r="F98" s="13">
        <v>1.7733000000000001</v>
      </c>
      <c r="G98" s="13">
        <v>5.6155726344922642E-2</v>
      </c>
      <c r="H98" s="13">
        <v>0</v>
      </c>
      <c r="I98" s="13">
        <v>0.15930951969429141</v>
      </c>
      <c r="J98" s="13">
        <v>1.0894571259198398E-2</v>
      </c>
      <c r="K98" s="13">
        <v>0</v>
      </c>
    </row>
    <row r="99" spans="1:18">
      <c r="A99" s="8">
        <v>10</v>
      </c>
      <c r="B99" s="18">
        <v>37910</v>
      </c>
      <c r="C99" s="12">
        <v>2003</v>
      </c>
      <c r="D99" s="15" t="s">
        <v>14</v>
      </c>
      <c r="E99" s="12">
        <v>10</v>
      </c>
      <c r="F99" s="13">
        <v>2.1722999999999999</v>
      </c>
      <c r="G99" s="13">
        <v>5.9617784121938994E-2</v>
      </c>
      <c r="H99" s="13">
        <v>0</v>
      </c>
      <c r="I99" s="13">
        <v>0.12804640833142622</v>
      </c>
      <c r="J99" s="13">
        <v>1.8583609760220929E-2</v>
      </c>
      <c r="K99" s="13">
        <v>0</v>
      </c>
    </row>
    <row r="100" spans="1:18">
      <c r="A100" s="8">
        <v>9</v>
      </c>
      <c r="B100" s="18">
        <v>37942</v>
      </c>
      <c r="C100" s="12">
        <v>2003</v>
      </c>
      <c r="D100" s="15" t="s">
        <v>16</v>
      </c>
      <c r="E100" s="12">
        <v>11</v>
      </c>
      <c r="F100" s="13">
        <v>0.86929999999999996</v>
      </c>
      <c r="G100" s="13">
        <v>0</v>
      </c>
      <c r="H100" s="13">
        <v>0</v>
      </c>
      <c r="I100" s="13">
        <v>0.1246126040305244</v>
      </c>
      <c r="J100" s="13">
        <v>9.4256142587608241E-3</v>
      </c>
      <c r="K100" s="13">
        <v>0</v>
      </c>
    </row>
    <row r="101" spans="1:18">
      <c r="A101" s="8">
        <v>10</v>
      </c>
      <c r="B101" s="18">
        <v>37942</v>
      </c>
      <c r="C101" s="12">
        <v>2003</v>
      </c>
      <c r="D101" s="15" t="s">
        <v>16</v>
      </c>
      <c r="E101" s="12">
        <v>11</v>
      </c>
      <c r="F101" s="13">
        <v>1.3080000000000001</v>
      </c>
      <c r="G101" s="13">
        <v>3.0651887917626811E-2</v>
      </c>
      <c r="H101" s="13">
        <v>0</v>
      </c>
      <c r="I101" s="13">
        <v>0.17758804068981757</v>
      </c>
      <c r="J101" s="13">
        <v>1.5502820940459208E-2</v>
      </c>
      <c r="K101" s="13">
        <v>0</v>
      </c>
    </row>
    <row r="102" spans="1:18">
      <c r="A102" s="8">
        <v>9</v>
      </c>
      <c r="B102" s="18">
        <v>37971</v>
      </c>
      <c r="C102" s="12">
        <v>2003</v>
      </c>
      <c r="D102" s="15" t="s">
        <v>17</v>
      </c>
      <c r="E102" s="12">
        <v>12</v>
      </c>
      <c r="F102" s="13">
        <v>3.5051000000000001</v>
      </c>
      <c r="G102" s="13">
        <v>0.23214528792514044</v>
      </c>
      <c r="H102" s="13">
        <v>0</v>
      </c>
      <c r="I102" s="13">
        <v>0.62456426793931374</v>
      </c>
      <c r="J102" s="13">
        <v>1.7986150645638924E-2</v>
      </c>
      <c r="K102" s="13">
        <v>0</v>
      </c>
    </row>
    <row r="103" spans="1:18" ht="25.5">
      <c r="A103" s="8">
        <v>10</v>
      </c>
      <c r="B103" s="18">
        <v>37971</v>
      </c>
      <c r="C103" s="12">
        <v>2003</v>
      </c>
      <c r="D103" s="15" t="s">
        <v>17</v>
      </c>
      <c r="E103" s="12">
        <v>12</v>
      </c>
      <c r="F103" s="13">
        <v>4.6539000000000001</v>
      </c>
      <c r="G103" s="13">
        <v>7.4387634591547999E-2</v>
      </c>
      <c r="H103" s="13">
        <v>0</v>
      </c>
      <c r="I103" s="13">
        <v>0.97874857922821323</v>
      </c>
      <c r="J103" s="13">
        <v>2.5215402814314399E-2</v>
      </c>
      <c r="K103" s="13">
        <v>0</v>
      </c>
      <c r="L103" s="34" t="s">
        <v>42</v>
      </c>
      <c r="M103" s="6" t="s">
        <v>7</v>
      </c>
      <c r="N103" s="6" t="s">
        <v>8</v>
      </c>
      <c r="O103" s="6" t="s">
        <v>9</v>
      </c>
      <c r="P103" s="6" t="s">
        <v>10</v>
      </c>
      <c r="Q103" s="6" t="s">
        <v>11</v>
      </c>
      <c r="R103" s="6" t="s">
        <v>12</v>
      </c>
    </row>
    <row r="104" spans="1:18">
      <c r="A104" s="36">
        <v>9</v>
      </c>
      <c r="B104" s="50">
        <v>37998</v>
      </c>
      <c r="C104" s="40">
        <v>2004</v>
      </c>
      <c r="D104" s="46" t="s">
        <v>18</v>
      </c>
      <c r="E104" s="40">
        <v>1</v>
      </c>
      <c r="F104" s="52">
        <v>5.7762000000000002</v>
      </c>
      <c r="G104" s="52">
        <v>5.3633708253288878E-2</v>
      </c>
      <c r="H104" s="52">
        <v>0</v>
      </c>
      <c r="I104" s="52">
        <v>1.6849382831383986</v>
      </c>
      <c r="J104" s="52">
        <v>1.3551812881034025E-2</v>
      </c>
      <c r="K104" s="52">
        <v>0</v>
      </c>
      <c r="L104" s="34" t="s">
        <v>49</v>
      </c>
      <c r="M104" s="35">
        <f t="shared" ref="M104:R104" si="1">AVERAGE(F104:F127)</f>
        <v>8.9930720833333346</v>
      </c>
      <c r="N104" s="35">
        <f t="shared" si="1"/>
        <v>0.1474474936660142</v>
      </c>
      <c r="O104" s="35">
        <f t="shared" si="1"/>
        <v>3.717734021289843E-3</v>
      </c>
      <c r="P104" s="35">
        <f t="shared" si="1"/>
        <v>2.6122160296532084</v>
      </c>
      <c r="Q104" s="35">
        <f t="shared" si="1"/>
        <v>0.16844205229599796</v>
      </c>
      <c r="R104" s="35">
        <f t="shared" si="1"/>
        <v>0</v>
      </c>
    </row>
    <row r="105" spans="1:18">
      <c r="A105" s="8">
        <v>10</v>
      </c>
      <c r="B105" s="18">
        <v>37998</v>
      </c>
      <c r="C105" s="12">
        <v>2004</v>
      </c>
      <c r="D105" s="15" t="s">
        <v>18</v>
      </c>
      <c r="E105" s="12">
        <v>1</v>
      </c>
      <c r="F105" s="13">
        <v>5.8978000000000002</v>
      </c>
      <c r="G105" s="13">
        <v>5.6402743883644996E-2</v>
      </c>
      <c r="H105" s="13">
        <v>0</v>
      </c>
      <c r="I105" s="13">
        <v>1.7167289948778295</v>
      </c>
      <c r="J105" s="13">
        <v>1.4940668730730324E-2</v>
      </c>
      <c r="K105" s="13">
        <v>0</v>
      </c>
    </row>
    <row r="106" spans="1:18">
      <c r="A106" s="8">
        <v>9</v>
      </c>
      <c r="B106" s="18">
        <v>38026</v>
      </c>
      <c r="C106" s="12">
        <v>2004</v>
      </c>
      <c r="D106" s="11" t="s">
        <v>19</v>
      </c>
      <c r="E106" s="12">
        <v>2</v>
      </c>
      <c r="F106" s="13">
        <v>13.942399999999999</v>
      </c>
      <c r="G106" s="13">
        <v>8.7540418959693389E-2</v>
      </c>
      <c r="H106" s="13">
        <v>0</v>
      </c>
      <c r="I106" s="13">
        <v>4.0355978152652936</v>
      </c>
      <c r="J106" s="13">
        <v>3.593835559792715E-2</v>
      </c>
      <c r="K106" s="13">
        <v>0</v>
      </c>
    </row>
    <row r="107" spans="1:18">
      <c r="A107" s="8">
        <v>10</v>
      </c>
      <c r="B107" s="18">
        <v>38026</v>
      </c>
      <c r="C107" s="12">
        <v>2004</v>
      </c>
      <c r="D107" s="11" t="s">
        <v>19</v>
      </c>
      <c r="E107" s="12">
        <v>2</v>
      </c>
      <c r="F107" s="13">
        <v>27.691099999999999</v>
      </c>
      <c r="G107" s="13">
        <v>0.72842183782826986</v>
      </c>
      <c r="H107" s="13">
        <v>0</v>
      </c>
      <c r="I107" s="13">
        <v>7.4831906949446898</v>
      </c>
      <c r="J107" s="13">
        <v>7.4805569814580655E-2</v>
      </c>
      <c r="K107" s="13">
        <v>0</v>
      </c>
    </row>
    <row r="108" spans="1:18">
      <c r="A108" s="8">
        <v>9</v>
      </c>
      <c r="B108" s="18">
        <v>38061</v>
      </c>
      <c r="C108" s="12">
        <v>2004</v>
      </c>
      <c r="D108" s="11" t="s">
        <v>20</v>
      </c>
      <c r="E108" s="12">
        <v>3</v>
      </c>
      <c r="F108" s="13">
        <v>10.276</v>
      </c>
      <c r="G108" s="13">
        <v>0.1114203618211103</v>
      </c>
      <c r="H108" s="13">
        <v>0</v>
      </c>
      <c r="I108" s="13">
        <v>4.6035466157951683</v>
      </c>
      <c r="J108" s="13">
        <v>5.1460611738834511E-2</v>
      </c>
      <c r="K108" s="13">
        <v>0</v>
      </c>
    </row>
    <row r="109" spans="1:18">
      <c r="A109" s="8">
        <v>10</v>
      </c>
      <c r="B109" s="18">
        <v>38061</v>
      </c>
      <c r="C109" s="12">
        <v>2004</v>
      </c>
      <c r="D109" s="11" t="s">
        <v>20</v>
      </c>
      <c r="E109" s="12">
        <v>3</v>
      </c>
      <c r="F109" s="13">
        <v>9.8984000000000005</v>
      </c>
      <c r="G109" s="13">
        <v>0.12649634824400433</v>
      </c>
      <c r="H109" s="13">
        <v>0</v>
      </c>
      <c r="I109" s="13">
        <v>4.2670753004649598</v>
      </c>
      <c r="J109" s="13">
        <v>7.3614602924470529E-2</v>
      </c>
      <c r="K109" s="13">
        <v>0</v>
      </c>
    </row>
    <row r="110" spans="1:18">
      <c r="A110" s="8">
        <v>9</v>
      </c>
      <c r="B110" s="18">
        <v>38093</v>
      </c>
      <c r="C110" s="12">
        <v>2004</v>
      </c>
      <c r="D110" s="11" t="s">
        <v>21</v>
      </c>
      <c r="E110" s="12">
        <v>4</v>
      </c>
      <c r="F110" s="13">
        <v>1.6172</v>
      </c>
      <c r="G110" s="13">
        <v>7.0470172818559662E-2</v>
      </c>
      <c r="H110" s="13">
        <v>1.6052095459349044E-2</v>
      </c>
      <c r="I110" s="13">
        <v>0.35943314923909303</v>
      </c>
      <c r="J110" s="13">
        <v>1.6449389643324631E-2</v>
      </c>
      <c r="K110" s="13">
        <v>0</v>
      </c>
    </row>
    <row r="111" spans="1:18">
      <c r="A111" s="8">
        <v>10</v>
      </c>
      <c r="B111" s="18">
        <v>38093</v>
      </c>
      <c r="C111" s="12">
        <v>2004</v>
      </c>
      <c r="D111" s="11" t="s">
        <v>21</v>
      </c>
      <c r="E111" s="12">
        <v>4</v>
      </c>
      <c r="F111" s="13">
        <v>1.2706999999999999</v>
      </c>
      <c r="G111" s="13">
        <v>0.10592715972744166</v>
      </c>
      <c r="H111" s="13">
        <v>0</v>
      </c>
      <c r="I111" s="13">
        <v>0.26871623775691356</v>
      </c>
      <c r="J111" s="13">
        <v>1.7534734157123474E-2</v>
      </c>
      <c r="K111" s="13">
        <v>0</v>
      </c>
    </row>
    <row r="112" spans="1:18">
      <c r="A112" s="8">
        <v>9</v>
      </c>
      <c r="B112" s="18">
        <v>38117</v>
      </c>
      <c r="C112" s="12">
        <v>2004</v>
      </c>
      <c r="D112" s="11" t="s">
        <v>22</v>
      </c>
      <c r="E112" s="12">
        <v>5</v>
      </c>
      <c r="F112" s="13">
        <v>2.1907000000000001</v>
      </c>
      <c r="G112" s="13">
        <v>1.467912115628991E-2</v>
      </c>
      <c r="H112" s="13">
        <v>7.3173521051607182E-2</v>
      </c>
      <c r="I112" s="13">
        <v>0.68361484968712094</v>
      </c>
      <c r="J112" s="13">
        <v>1.3060084137059003E-2</v>
      </c>
      <c r="K112" s="13">
        <v>0</v>
      </c>
    </row>
    <row r="113" spans="1:18">
      <c r="A113" s="8">
        <v>10</v>
      </c>
      <c r="B113" s="18">
        <v>38117</v>
      </c>
      <c r="C113" s="12">
        <v>2004</v>
      </c>
      <c r="D113" s="11" t="s">
        <v>22</v>
      </c>
      <c r="E113" s="12">
        <v>5</v>
      </c>
      <c r="F113" s="13">
        <v>2.0653000000000001</v>
      </c>
      <c r="G113" s="13">
        <v>2.3139791584241665E-2</v>
      </c>
      <c r="H113" s="13">
        <v>0</v>
      </c>
      <c r="I113" s="13">
        <v>0.42293627566683517</v>
      </c>
      <c r="J113" s="13">
        <v>8.299007207059915E-3</v>
      </c>
      <c r="K113" s="13">
        <v>0</v>
      </c>
    </row>
    <row r="114" spans="1:18">
      <c r="A114" s="8">
        <v>9</v>
      </c>
      <c r="B114" s="18">
        <v>38160</v>
      </c>
      <c r="C114" s="12">
        <v>2004</v>
      </c>
      <c r="D114" s="11" t="s">
        <v>23</v>
      </c>
      <c r="E114" s="12">
        <v>6</v>
      </c>
      <c r="F114" s="13">
        <v>26.334599999999998</v>
      </c>
      <c r="G114" s="13">
        <v>8.4493461118098995E-2</v>
      </c>
      <c r="H114" s="13">
        <v>0</v>
      </c>
      <c r="I114" s="13">
        <v>6.9889656781480136</v>
      </c>
      <c r="J114" s="13">
        <v>1.0417678726300963</v>
      </c>
      <c r="K114" s="13">
        <v>0</v>
      </c>
    </row>
    <row r="115" spans="1:18">
      <c r="A115" s="8">
        <v>10</v>
      </c>
      <c r="B115" s="18">
        <v>38160</v>
      </c>
      <c r="C115" s="12">
        <v>2004</v>
      </c>
      <c r="D115" s="11" t="s">
        <v>23</v>
      </c>
      <c r="E115" s="12">
        <v>6</v>
      </c>
      <c r="F115" s="13">
        <v>21.081700000000001</v>
      </c>
      <c r="G115" s="13">
        <v>0</v>
      </c>
      <c r="H115" s="13">
        <v>0</v>
      </c>
      <c r="I115" s="13">
        <v>8.8286223790994978</v>
      </c>
      <c r="J115" s="13">
        <v>0.43058469625330298</v>
      </c>
      <c r="K115" s="13">
        <v>0</v>
      </c>
    </row>
    <row r="116" spans="1:18">
      <c r="A116" s="8">
        <v>9</v>
      </c>
      <c r="B116" s="18">
        <v>38182</v>
      </c>
      <c r="C116" s="12">
        <v>2004</v>
      </c>
      <c r="D116" s="15" t="s">
        <v>24</v>
      </c>
      <c r="E116" s="12">
        <v>7</v>
      </c>
      <c r="F116" s="13">
        <v>14.373200000000001</v>
      </c>
      <c r="G116" s="13">
        <v>0.5420050617654516</v>
      </c>
      <c r="H116" s="13">
        <v>0</v>
      </c>
      <c r="I116" s="13">
        <v>2.8380220283951529</v>
      </c>
      <c r="J116" s="13">
        <v>0.53205327611241404</v>
      </c>
      <c r="K116" s="13">
        <v>0</v>
      </c>
    </row>
    <row r="117" spans="1:18">
      <c r="A117" s="8">
        <v>10</v>
      </c>
      <c r="B117" s="18">
        <v>38183</v>
      </c>
      <c r="C117" s="12">
        <v>2004</v>
      </c>
      <c r="D117" s="15" t="s">
        <v>24</v>
      </c>
      <c r="E117" s="12">
        <v>7</v>
      </c>
      <c r="F117" s="13">
        <v>11.0466</v>
      </c>
      <c r="G117" s="13">
        <v>0.53802927588318072</v>
      </c>
      <c r="H117" s="13">
        <v>0</v>
      </c>
      <c r="I117" s="13">
        <v>2.1664427328323703</v>
      </c>
      <c r="J117" s="13">
        <v>0.58769277208406878</v>
      </c>
      <c r="K117" s="13">
        <v>0</v>
      </c>
    </row>
    <row r="118" spans="1:18">
      <c r="A118" s="8">
        <v>9</v>
      </c>
      <c r="B118" s="18">
        <v>38218</v>
      </c>
      <c r="C118" s="12">
        <v>2004</v>
      </c>
      <c r="D118" s="15" t="s">
        <v>25</v>
      </c>
      <c r="E118" s="12">
        <v>8</v>
      </c>
      <c r="F118" s="13">
        <v>20.988299999999999</v>
      </c>
      <c r="G118" s="13">
        <v>9.2789099255482538E-2</v>
      </c>
      <c r="H118" s="13">
        <v>0</v>
      </c>
      <c r="I118" s="13">
        <v>7.0399304810656416</v>
      </c>
      <c r="J118" s="13">
        <v>0.44970641248038257</v>
      </c>
      <c r="K118" s="13">
        <v>0</v>
      </c>
    </row>
    <row r="119" spans="1:18">
      <c r="A119" s="8">
        <v>10</v>
      </c>
      <c r="B119" s="18">
        <v>38218</v>
      </c>
      <c r="C119" s="12">
        <v>2004</v>
      </c>
      <c r="D119" s="15" t="s">
        <v>25</v>
      </c>
      <c r="E119" s="12">
        <v>8</v>
      </c>
      <c r="F119" s="13">
        <v>21.952300000000001</v>
      </c>
      <c r="G119" s="13">
        <v>0.56466536508723086</v>
      </c>
      <c r="H119" s="13">
        <v>0</v>
      </c>
      <c r="I119" s="13">
        <v>5.1062949967024265</v>
      </c>
      <c r="J119" s="13">
        <v>0.42863335371410877</v>
      </c>
      <c r="K119" s="13">
        <v>0</v>
      </c>
    </row>
    <row r="120" spans="1:18">
      <c r="A120" s="8">
        <v>9</v>
      </c>
      <c r="B120" s="18">
        <v>38246</v>
      </c>
      <c r="C120" s="12">
        <v>2004</v>
      </c>
      <c r="D120" s="15" t="s">
        <v>26</v>
      </c>
      <c r="E120" s="12">
        <v>9</v>
      </c>
      <c r="F120" s="13">
        <v>3.903</v>
      </c>
      <c r="G120" s="13">
        <v>9.1809678542013277E-3</v>
      </c>
      <c r="H120" s="13">
        <v>0</v>
      </c>
      <c r="I120" s="13">
        <v>1.2969792186079121</v>
      </c>
      <c r="J120" s="13">
        <v>6.9807625978256141E-2</v>
      </c>
      <c r="K120" s="13">
        <v>0</v>
      </c>
    </row>
    <row r="121" spans="1:18">
      <c r="A121" s="8">
        <v>10</v>
      </c>
      <c r="B121" s="18">
        <v>38246</v>
      </c>
      <c r="C121" s="12">
        <v>2004</v>
      </c>
      <c r="D121" s="15" t="s">
        <v>26</v>
      </c>
      <c r="E121" s="12">
        <v>9</v>
      </c>
      <c r="F121" s="13">
        <v>3.9117999999999999</v>
      </c>
      <c r="G121" s="13">
        <v>3.9154291958455566E-2</v>
      </c>
      <c r="H121" s="13">
        <v>0</v>
      </c>
      <c r="I121" s="13">
        <v>0.87897330315792699</v>
      </c>
      <c r="J121" s="13">
        <v>0.1045687100298216</v>
      </c>
      <c r="K121" s="13">
        <v>0</v>
      </c>
    </row>
    <row r="122" spans="1:18">
      <c r="A122" s="8">
        <v>9</v>
      </c>
      <c r="B122" s="18">
        <v>38274</v>
      </c>
      <c r="C122" s="12">
        <v>2004</v>
      </c>
      <c r="D122" s="15" t="s">
        <v>14</v>
      </c>
      <c r="E122" s="12">
        <v>10</v>
      </c>
      <c r="F122" s="25">
        <v>1.80636</v>
      </c>
      <c r="G122" s="15">
        <v>1.8853760023822223E-2</v>
      </c>
      <c r="H122" s="15">
        <v>0</v>
      </c>
      <c r="I122" s="15">
        <v>0.16821037004560616</v>
      </c>
      <c r="J122" s="15">
        <v>1.6700792280480305E-2</v>
      </c>
      <c r="K122" s="15">
        <v>0</v>
      </c>
    </row>
    <row r="123" spans="1:18">
      <c r="A123" s="8">
        <v>10</v>
      </c>
      <c r="B123" s="18">
        <v>38274</v>
      </c>
      <c r="C123" s="12">
        <v>2004</v>
      </c>
      <c r="D123" s="15" t="s">
        <v>14</v>
      </c>
      <c r="E123" s="12">
        <v>10</v>
      </c>
      <c r="F123" s="25">
        <v>1.2798799999999999</v>
      </c>
      <c r="G123" s="15">
        <v>1.3219363063041249E-2</v>
      </c>
      <c r="H123" s="15">
        <v>0</v>
      </c>
      <c r="I123" s="15">
        <v>0.17669382885736795</v>
      </c>
      <c r="J123" s="15">
        <v>9.7784607468209793E-3</v>
      </c>
      <c r="K123" s="15">
        <v>0</v>
      </c>
    </row>
    <row r="124" spans="1:18">
      <c r="A124" s="8">
        <v>9</v>
      </c>
      <c r="B124" s="18">
        <v>38309</v>
      </c>
      <c r="C124" s="12">
        <v>2004</v>
      </c>
      <c r="D124" s="15" t="s">
        <v>16</v>
      </c>
      <c r="E124" s="12">
        <v>11</v>
      </c>
      <c r="F124" s="25">
        <v>1.70296</v>
      </c>
      <c r="G124" s="15">
        <v>3.7696741702325419E-2</v>
      </c>
      <c r="H124" s="15">
        <v>0</v>
      </c>
      <c r="I124" s="15">
        <v>0.30015940230597055</v>
      </c>
      <c r="J124" s="15">
        <v>7.581858547183561E-3</v>
      </c>
      <c r="K124" s="15">
        <v>0</v>
      </c>
    </row>
    <row r="125" spans="1:18">
      <c r="A125" s="8">
        <v>10</v>
      </c>
      <c r="B125" s="18">
        <v>38309</v>
      </c>
      <c r="C125" s="12">
        <v>2004</v>
      </c>
      <c r="D125" s="15" t="s">
        <v>16</v>
      </c>
      <c r="E125" s="12">
        <v>11</v>
      </c>
      <c r="F125" s="25">
        <v>1.3072299999999999</v>
      </c>
      <c r="G125" s="15">
        <v>3.5953069555033842E-2</v>
      </c>
      <c r="H125" s="15">
        <v>0</v>
      </c>
      <c r="I125" s="15">
        <v>0.29558067497291995</v>
      </c>
      <c r="J125" s="15">
        <v>0</v>
      </c>
      <c r="K125" s="15">
        <v>0</v>
      </c>
    </row>
    <row r="126" spans="1:18">
      <c r="A126" s="8">
        <v>9</v>
      </c>
      <c r="B126" s="18">
        <v>38337</v>
      </c>
      <c r="C126" s="12">
        <v>2004</v>
      </c>
      <c r="D126" s="15" t="s">
        <v>17</v>
      </c>
      <c r="E126" s="12">
        <v>12</v>
      </c>
      <c r="F126" s="25">
        <v>3.14832</v>
      </c>
      <c r="G126" s="15">
        <v>9.1800270058392641E-2</v>
      </c>
      <c r="H126" s="15">
        <v>0</v>
      </c>
      <c r="I126" s="15">
        <v>0.65562197959029778</v>
      </c>
      <c r="J126" s="15">
        <v>2.455715085436129E-2</v>
      </c>
      <c r="K126" s="15">
        <v>0</v>
      </c>
    </row>
    <row r="127" spans="1:18" ht="25.5">
      <c r="A127" s="8">
        <v>10</v>
      </c>
      <c r="B127" s="18">
        <v>38337</v>
      </c>
      <c r="C127" s="12">
        <v>2004</v>
      </c>
      <c r="D127" s="15" t="s">
        <v>17</v>
      </c>
      <c r="E127" s="12">
        <v>12</v>
      </c>
      <c r="F127" s="25">
        <v>2.37168</v>
      </c>
      <c r="G127" s="15">
        <v>9.2767456383079649E-2</v>
      </c>
      <c r="H127" s="15">
        <v>0</v>
      </c>
      <c r="I127" s="15">
        <v>0.42690942105959789</v>
      </c>
      <c r="J127" s="15">
        <v>1.9521436560508542E-2</v>
      </c>
      <c r="K127" s="15">
        <v>0</v>
      </c>
      <c r="L127" s="34" t="s">
        <v>42</v>
      </c>
      <c r="M127" s="6" t="s">
        <v>7</v>
      </c>
      <c r="N127" s="6" t="s">
        <v>8</v>
      </c>
      <c r="O127" s="6" t="s">
        <v>9</v>
      </c>
      <c r="P127" s="6" t="s">
        <v>10</v>
      </c>
      <c r="Q127" s="6" t="s">
        <v>11</v>
      </c>
      <c r="R127" s="6" t="s">
        <v>12</v>
      </c>
    </row>
    <row r="128" spans="1:18">
      <c r="A128" s="36">
        <v>9</v>
      </c>
      <c r="B128" s="53">
        <v>38364</v>
      </c>
      <c r="C128" s="40">
        <v>2005</v>
      </c>
      <c r="D128" s="46" t="s">
        <v>18</v>
      </c>
      <c r="E128" s="40">
        <v>1</v>
      </c>
      <c r="F128" s="54">
        <v>4.34213</v>
      </c>
      <c r="G128" s="46">
        <v>6.3695933908416422E-2</v>
      </c>
      <c r="H128" s="46">
        <v>0</v>
      </c>
      <c r="I128" s="46">
        <v>1.3990121872852339</v>
      </c>
      <c r="J128" s="46">
        <v>1.2581201800703547E-2</v>
      </c>
      <c r="K128" s="46">
        <v>0</v>
      </c>
      <c r="L128" s="34" t="s">
        <v>50</v>
      </c>
      <c r="M128" s="35">
        <f t="shared" ref="M128:R128" si="2">AVERAGE(F128:F151)</f>
        <v>8.7470374999999994</v>
      </c>
      <c r="N128" s="35">
        <f t="shared" si="2"/>
        <v>0.30231391774403793</v>
      </c>
      <c r="O128" s="35">
        <f t="shared" si="2"/>
        <v>8.8973881137876121E-3</v>
      </c>
      <c r="P128" s="35">
        <f t="shared" si="2"/>
        <v>2.2197692547320158</v>
      </c>
      <c r="Q128" s="35">
        <f t="shared" si="2"/>
        <v>0.32386947966077861</v>
      </c>
      <c r="R128" s="35">
        <f t="shared" si="2"/>
        <v>2.5000000000000001E-5</v>
      </c>
    </row>
    <row r="129" spans="1:12">
      <c r="A129" s="8">
        <v>10</v>
      </c>
      <c r="B129" s="21">
        <v>38364</v>
      </c>
      <c r="C129" s="12">
        <v>2005</v>
      </c>
      <c r="D129" s="15" t="s">
        <v>18</v>
      </c>
      <c r="E129" s="12">
        <v>1</v>
      </c>
      <c r="F129" s="25">
        <v>2.0388500000000001</v>
      </c>
      <c r="G129" s="15">
        <v>1.7819292074381946E-2</v>
      </c>
      <c r="H129" s="15">
        <v>0</v>
      </c>
      <c r="I129" s="15">
        <v>0.62782031884753375</v>
      </c>
      <c r="J129" s="15">
        <v>7.4417889078136536E-3</v>
      </c>
      <c r="K129" s="15">
        <v>0</v>
      </c>
      <c r="L129"/>
    </row>
    <row r="130" spans="1:12">
      <c r="A130" s="8">
        <v>9</v>
      </c>
      <c r="B130" s="21">
        <v>38398</v>
      </c>
      <c r="C130" s="12">
        <v>2005</v>
      </c>
      <c r="D130" s="11" t="s">
        <v>19</v>
      </c>
      <c r="E130" s="12">
        <v>2</v>
      </c>
      <c r="F130" s="25">
        <v>4.7915900000000002</v>
      </c>
      <c r="G130" s="15">
        <v>6.0540292227620369E-2</v>
      </c>
      <c r="H130" s="15">
        <v>0</v>
      </c>
      <c r="I130" s="15">
        <v>1.1058875972156617</v>
      </c>
      <c r="J130" s="15">
        <v>2.1331403742456834E-2</v>
      </c>
      <c r="K130" s="15">
        <v>0</v>
      </c>
      <c r="L130"/>
    </row>
    <row r="131" spans="1:12">
      <c r="A131" s="8">
        <v>10</v>
      </c>
      <c r="B131" s="21">
        <v>38398</v>
      </c>
      <c r="C131" s="12">
        <v>2005</v>
      </c>
      <c r="D131" s="11" t="s">
        <v>19</v>
      </c>
      <c r="E131" s="12">
        <v>2</v>
      </c>
      <c r="F131" s="25">
        <v>5.6125600000000002</v>
      </c>
      <c r="G131" s="15">
        <v>0.58194594743345318</v>
      </c>
      <c r="H131" s="15">
        <v>0</v>
      </c>
      <c r="I131" s="15">
        <v>1.1539832603063029</v>
      </c>
      <c r="J131" s="15">
        <v>3.1936419151348538E-2</v>
      </c>
      <c r="K131" s="15">
        <v>0</v>
      </c>
      <c r="L131"/>
    </row>
    <row r="132" spans="1:12">
      <c r="A132" s="8">
        <v>9</v>
      </c>
      <c r="B132" s="21">
        <v>38427</v>
      </c>
      <c r="C132" s="12">
        <v>2005</v>
      </c>
      <c r="D132" s="11" t="s">
        <v>20</v>
      </c>
      <c r="E132" s="12">
        <v>3</v>
      </c>
      <c r="F132" s="25">
        <v>3.0385599999999999</v>
      </c>
      <c r="G132" s="15">
        <v>8.7593611644994351E-2</v>
      </c>
      <c r="H132" s="15">
        <v>0</v>
      </c>
      <c r="I132" s="15">
        <v>0.92770999727336934</v>
      </c>
      <c r="J132" s="15">
        <v>1.9567028787043885E-2</v>
      </c>
      <c r="K132" s="15">
        <v>0</v>
      </c>
      <c r="L132"/>
    </row>
    <row r="133" spans="1:12">
      <c r="A133" s="8">
        <v>10</v>
      </c>
      <c r="B133" s="21">
        <v>38427</v>
      </c>
      <c r="C133" s="12">
        <v>2005</v>
      </c>
      <c r="D133" s="11" t="s">
        <v>20</v>
      </c>
      <c r="E133" s="12">
        <v>3</v>
      </c>
      <c r="F133" s="25">
        <v>2.036</v>
      </c>
      <c r="G133" s="15">
        <v>6.4977315615343464E-2</v>
      </c>
      <c r="H133" s="15">
        <v>0</v>
      </c>
      <c r="I133" s="15">
        <v>0.38562158863341417</v>
      </c>
      <c r="J133" s="15">
        <v>1.6046769807242508E-2</v>
      </c>
      <c r="K133" s="15">
        <v>0</v>
      </c>
      <c r="L133"/>
    </row>
    <row r="134" spans="1:12">
      <c r="A134" s="8">
        <v>9</v>
      </c>
      <c r="B134" s="21">
        <v>38470</v>
      </c>
      <c r="C134" s="12">
        <v>2005</v>
      </c>
      <c r="D134" s="11" t="s">
        <v>21</v>
      </c>
      <c r="E134" s="12">
        <v>4</v>
      </c>
      <c r="F134" s="25">
        <v>3.6966299999999999</v>
      </c>
      <c r="G134" s="15">
        <v>3.836324480844773E-2</v>
      </c>
      <c r="H134" s="15">
        <v>0.16774882509637348</v>
      </c>
      <c r="I134" s="15">
        <v>1.4991214896970464</v>
      </c>
      <c r="J134" s="15">
        <v>3.2408548870282113E-2</v>
      </c>
      <c r="K134" s="15">
        <v>0</v>
      </c>
      <c r="L134"/>
    </row>
    <row r="135" spans="1:12">
      <c r="A135" s="8">
        <v>10</v>
      </c>
      <c r="B135" s="21">
        <v>38470</v>
      </c>
      <c r="C135" s="12">
        <v>2005</v>
      </c>
      <c r="D135" s="11" t="s">
        <v>21</v>
      </c>
      <c r="E135" s="12">
        <v>4</v>
      </c>
      <c r="F135" s="25">
        <v>3.004</v>
      </c>
      <c r="G135" s="15">
        <v>2.2029147235972421E-2</v>
      </c>
      <c r="H135" s="15">
        <v>4.5188489634529254E-2</v>
      </c>
      <c r="I135" s="15">
        <v>0.88806486164737652</v>
      </c>
      <c r="J135" s="15">
        <v>2.5122485168123029E-2</v>
      </c>
      <c r="K135" s="15">
        <v>0</v>
      </c>
      <c r="L135"/>
    </row>
    <row r="136" spans="1:12">
      <c r="A136" s="8">
        <v>9</v>
      </c>
      <c r="B136" s="21">
        <v>38488</v>
      </c>
      <c r="C136" s="12">
        <v>2005</v>
      </c>
      <c r="D136" s="11" t="s">
        <v>22</v>
      </c>
      <c r="E136" s="12">
        <v>5</v>
      </c>
      <c r="F136" s="25">
        <v>6.0048199999999996</v>
      </c>
      <c r="G136" s="15">
        <v>3.338895227798129E-2</v>
      </c>
      <c r="H136" s="15">
        <v>0</v>
      </c>
      <c r="I136" s="15">
        <v>1.9673076945107064</v>
      </c>
      <c r="J136" s="15">
        <v>1.2604312796448462E-2</v>
      </c>
      <c r="K136" s="15">
        <v>0</v>
      </c>
      <c r="L136"/>
    </row>
    <row r="137" spans="1:12">
      <c r="A137" s="8">
        <v>10</v>
      </c>
      <c r="B137" s="21">
        <v>38488</v>
      </c>
      <c r="C137" s="12">
        <v>2005</v>
      </c>
      <c r="D137" s="11" t="s">
        <v>22</v>
      </c>
      <c r="E137" s="12">
        <v>5</v>
      </c>
      <c r="F137" s="25">
        <v>4.00244</v>
      </c>
      <c r="G137" s="15">
        <v>8.7859767273540473E-2</v>
      </c>
      <c r="H137" s="15">
        <v>0</v>
      </c>
      <c r="I137" s="15">
        <v>0.7911180050489377</v>
      </c>
      <c r="J137" s="15">
        <v>2.1756917182649955E-2</v>
      </c>
      <c r="K137" s="15">
        <v>0</v>
      </c>
      <c r="L137"/>
    </row>
    <row r="138" spans="1:12">
      <c r="A138" s="8">
        <v>9</v>
      </c>
      <c r="B138" s="21">
        <v>38525</v>
      </c>
      <c r="C138" s="12">
        <v>2005</v>
      </c>
      <c r="D138" s="11" t="s">
        <v>23</v>
      </c>
      <c r="E138" s="12">
        <v>6</v>
      </c>
      <c r="F138" s="25">
        <v>15.88509</v>
      </c>
      <c r="G138" s="15">
        <v>5.994724295335499E-2</v>
      </c>
      <c r="H138" s="15">
        <v>0</v>
      </c>
      <c r="I138" s="15">
        <v>4.3056150079629614</v>
      </c>
      <c r="J138" s="15">
        <v>0.37487040181041797</v>
      </c>
      <c r="K138" s="15">
        <v>0</v>
      </c>
      <c r="L138"/>
    </row>
    <row r="139" spans="1:12">
      <c r="A139" s="8">
        <v>10</v>
      </c>
      <c r="B139" s="21">
        <v>38525</v>
      </c>
      <c r="C139" s="12">
        <v>2005</v>
      </c>
      <c r="D139" s="11" t="s">
        <v>23</v>
      </c>
      <c r="E139" s="12">
        <v>6</v>
      </c>
      <c r="F139" s="25">
        <v>6.5588699999999998</v>
      </c>
      <c r="G139" s="15">
        <v>9.7946303293355547E-2</v>
      </c>
      <c r="H139" s="15">
        <v>0</v>
      </c>
      <c r="I139" s="15">
        <v>0.88193550179543012</v>
      </c>
      <c r="J139" s="15">
        <v>0.23302284243004523</v>
      </c>
      <c r="K139" s="15">
        <v>0</v>
      </c>
      <c r="L139"/>
    </row>
    <row r="140" spans="1:12">
      <c r="A140" s="8">
        <v>9</v>
      </c>
      <c r="B140" s="21">
        <v>38546</v>
      </c>
      <c r="C140" s="12">
        <v>2005</v>
      </c>
      <c r="D140" s="15" t="s">
        <v>24</v>
      </c>
      <c r="E140" s="12">
        <v>7</v>
      </c>
      <c r="F140" s="25">
        <v>15.474449999999999</v>
      </c>
      <c r="G140" s="15">
        <v>0.49919472691675482</v>
      </c>
      <c r="H140" s="15">
        <v>0</v>
      </c>
      <c r="I140" s="15">
        <v>3.431563906564016</v>
      </c>
      <c r="J140" s="15">
        <v>0.70814635511566504</v>
      </c>
      <c r="K140" s="15">
        <v>0</v>
      </c>
      <c r="L140"/>
    </row>
    <row r="141" spans="1:12">
      <c r="A141" s="8">
        <v>10</v>
      </c>
      <c r="B141" s="21">
        <v>38546</v>
      </c>
      <c r="C141" s="12">
        <v>2005</v>
      </c>
      <c r="D141" s="15" t="s">
        <v>24</v>
      </c>
      <c r="E141" s="12">
        <v>7</v>
      </c>
      <c r="F141" s="25">
        <v>17.4208</v>
      </c>
      <c r="G141" s="15">
        <v>3.3598984960462861</v>
      </c>
      <c r="H141" s="15">
        <v>0</v>
      </c>
      <c r="I141" s="15">
        <v>2.5507945878322356</v>
      </c>
      <c r="J141" s="15">
        <v>0.70396778496912493</v>
      </c>
      <c r="K141" s="15">
        <v>0</v>
      </c>
      <c r="L141"/>
    </row>
    <row r="142" spans="1:12">
      <c r="A142" s="8">
        <v>9</v>
      </c>
      <c r="B142" s="21">
        <v>38594</v>
      </c>
      <c r="C142" s="12">
        <v>2005</v>
      </c>
      <c r="D142" s="15" t="s">
        <v>25</v>
      </c>
      <c r="E142" s="12">
        <v>8</v>
      </c>
      <c r="F142" s="25">
        <v>23.904499999999999</v>
      </c>
      <c r="G142" s="15">
        <v>0.47921651811919214</v>
      </c>
      <c r="H142" s="15">
        <v>0</v>
      </c>
      <c r="I142" s="15">
        <v>6.1733425407666616</v>
      </c>
      <c r="J142" s="15">
        <v>1.8038390085206482</v>
      </c>
      <c r="K142" s="15">
        <v>0</v>
      </c>
      <c r="L142"/>
    </row>
    <row r="143" spans="1:12">
      <c r="A143" s="8">
        <v>10</v>
      </c>
      <c r="B143" s="21">
        <v>38594</v>
      </c>
      <c r="C143" s="12">
        <v>2005</v>
      </c>
      <c r="D143" s="15" t="s">
        <v>25</v>
      </c>
      <c r="E143" s="12">
        <v>8</v>
      </c>
      <c r="F143" s="25">
        <v>39.264499999999998</v>
      </c>
      <c r="G143" s="15">
        <v>1.4067729395441375</v>
      </c>
      <c r="H143" s="15">
        <v>0</v>
      </c>
      <c r="I143" s="15">
        <v>9.5205768788256933</v>
      </c>
      <c r="J143" s="15">
        <v>2.4169488717297396</v>
      </c>
      <c r="K143" s="15">
        <v>0</v>
      </c>
      <c r="L143"/>
    </row>
    <row r="144" spans="1:12">
      <c r="A144" s="8">
        <v>9</v>
      </c>
      <c r="B144" s="21">
        <v>38609</v>
      </c>
      <c r="C144" s="12">
        <v>2005</v>
      </c>
      <c r="D144" s="15" t="s">
        <v>26</v>
      </c>
      <c r="E144" s="12">
        <v>9</v>
      </c>
      <c r="F144" s="25">
        <v>20.782630000000001</v>
      </c>
      <c r="G144" s="15">
        <v>0.10607993757876612</v>
      </c>
      <c r="H144" s="15">
        <v>0</v>
      </c>
      <c r="I144" s="15">
        <v>7.6550069615443261</v>
      </c>
      <c r="J144" s="15">
        <v>0.62984945756091204</v>
      </c>
      <c r="K144" s="15">
        <v>0</v>
      </c>
      <c r="L144"/>
    </row>
    <row r="145" spans="1:18">
      <c r="A145" s="8">
        <v>10</v>
      </c>
      <c r="B145" s="21">
        <v>38609</v>
      </c>
      <c r="C145" s="12">
        <v>2005</v>
      </c>
      <c r="D145" s="15" t="s">
        <v>26</v>
      </c>
      <c r="E145" s="12">
        <v>9</v>
      </c>
      <c r="F145" s="25">
        <v>17.379480000000001</v>
      </c>
      <c r="G145" s="15">
        <v>0.11596435690491087</v>
      </c>
      <c r="H145" s="15">
        <v>0</v>
      </c>
      <c r="I145" s="15">
        <v>5.4068797278114813</v>
      </c>
      <c r="J145" s="15">
        <v>0.61842591350802079</v>
      </c>
      <c r="K145" s="15">
        <v>0</v>
      </c>
      <c r="N145" s="55"/>
    </row>
    <row r="146" spans="1:18">
      <c r="A146" s="8">
        <v>9</v>
      </c>
      <c r="B146" s="21">
        <v>38643</v>
      </c>
      <c r="C146" s="12">
        <v>2005</v>
      </c>
      <c r="D146" s="15" t="s">
        <v>14</v>
      </c>
      <c r="E146" s="12">
        <v>10</v>
      </c>
      <c r="F146" s="56">
        <v>3.8508</v>
      </c>
      <c r="G146" s="56">
        <v>0.01</v>
      </c>
      <c r="H146" s="56">
        <v>1E-4</v>
      </c>
      <c r="I146" s="56">
        <v>0.86570000000000003</v>
      </c>
      <c r="J146" s="56">
        <v>3.4500000000000003E-2</v>
      </c>
      <c r="K146" s="56">
        <v>1E-4</v>
      </c>
    </row>
    <row r="147" spans="1:18">
      <c r="A147" s="8">
        <v>10</v>
      </c>
      <c r="B147" s="21">
        <v>38643</v>
      </c>
      <c r="C147" s="12">
        <v>2005</v>
      </c>
      <c r="D147" s="15" t="s">
        <v>14</v>
      </c>
      <c r="E147" s="12">
        <v>10</v>
      </c>
      <c r="F147" s="56">
        <v>3.9016000000000002</v>
      </c>
      <c r="G147" s="56">
        <v>2.23E-2</v>
      </c>
      <c r="H147" s="56">
        <v>1E-4</v>
      </c>
      <c r="I147" s="56">
        <v>0.4834</v>
      </c>
      <c r="J147" s="56">
        <v>3.3399999999999999E-2</v>
      </c>
      <c r="K147" s="56">
        <v>1E-4</v>
      </c>
    </row>
    <row r="148" spans="1:18">
      <c r="A148" s="8">
        <v>9</v>
      </c>
      <c r="B148" s="21">
        <v>38670</v>
      </c>
      <c r="C148" s="12">
        <v>2005</v>
      </c>
      <c r="D148" s="15" t="s">
        <v>16</v>
      </c>
      <c r="E148" s="12">
        <v>11</v>
      </c>
      <c r="F148" s="56">
        <v>0.92330000000000001</v>
      </c>
      <c r="G148" s="56">
        <v>1E-4</v>
      </c>
      <c r="H148" s="56">
        <v>1E-4</v>
      </c>
      <c r="I148" s="56">
        <v>9.6699999999999994E-2</v>
      </c>
      <c r="J148" s="56">
        <v>1E-4</v>
      </c>
      <c r="K148" s="56">
        <v>1E-4</v>
      </c>
    </row>
    <row r="149" spans="1:18">
      <c r="A149" s="8">
        <v>10</v>
      </c>
      <c r="B149" s="21">
        <v>38670</v>
      </c>
      <c r="C149" s="12">
        <v>2005</v>
      </c>
      <c r="D149" s="15" t="s">
        <v>16</v>
      </c>
      <c r="E149" s="12">
        <v>11</v>
      </c>
      <c r="F149" s="56">
        <v>1.599</v>
      </c>
      <c r="G149" s="56">
        <v>1E-4</v>
      </c>
      <c r="H149" s="56">
        <v>1E-4</v>
      </c>
      <c r="I149" s="56">
        <v>0.1285</v>
      </c>
      <c r="J149" s="56">
        <v>4.5999999999999999E-3</v>
      </c>
      <c r="K149" s="56">
        <v>1E-4</v>
      </c>
    </row>
    <row r="150" spans="1:18">
      <c r="A150" s="8">
        <v>9</v>
      </c>
      <c r="B150" s="21">
        <v>38706</v>
      </c>
      <c r="C150" s="12">
        <v>2005</v>
      </c>
      <c r="D150" s="15" t="s">
        <v>17</v>
      </c>
      <c r="E150" s="12">
        <v>12</v>
      </c>
      <c r="F150" s="56">
        <v>1.6493</v>
      </c>
      <c r="G150" s="56">
        <v>1.3299999999999999E-2</v>
      </c>
      <c r="H150" s="56">
        <v>1E-4</v>
      </c>
      <c r="I150" s="56">
        <v>0.41199999999999998</v>
      </c>
      <c r="J150" s="56">
        <v>4.7000000000000002E-3</v>
      </c>
      <c r="K150" s="56">
        <v>1E-4</v>
      </c>
    </row>
    <row r="151" spans="1:18" ht="25.5">
      <c r="A151" s="8">
        <v>10</v>
      </c>
      <c r="B151" s="21">
        <v>38706</v>
      </c>
      <c r="C151" s="12">
        <v>2005</v>
      </c>
      <c r="D151" s="15" t="s">
        <v>17</v>
      </c>
      <c r="E151" s="12">
        <v>12</v>
      </c>
      <c r="F151" s="56">
        <v>2.7669999999999999</v>
      </c>
      <c r="G151" s="56">
        <v>2.6499999999999999E-2</v>
      </c>
      <c r="H151" s="56">
        <v>1E-4</v>
      </c>
      <c r="I151" s="56">
        <v>0.61680000000000001</v>
      </c>
      <c r="J151" s="56">
        <v>5.7000000000000002E-3</v>
      </c>
      <c r="K151" s="56">
        <v>1E-4</v>
      </c>
      <c r="L151" s="34" t="s">
        <v>51</v>
      </c>
      <c r="M151" s="6" t="s">
        <v>7</v>
      </c>
      <c r="N151" s="6" t="s">
        <v>8</v>
      </c>
      <c r="O151" s="6" t="s">
        <v>9</v>
      </c>
      <c r="P151" s="6" t="s">
        <v>10</v>
      </c>
      <c r="Q151" s="6" t="s">
        <v>11</v>
      </c>
      <c r="R151" s="6" t="s">
        <v>12</v>
      </c>
    </row>
    <row r="152" spans="1:18">
      <c r="A152" s="40">
        <v>9</v>
      </c>
      <c r="B152" s="53">
        <v>38737</v>
      </c>
      <c r="C152" s="40">
        <v>2006</v>
      </c>
      <c r="D152" s="42" t="s">
        <v>18</v>
      </c>
      <c r="E152" s="40">
        <v>1</v>
      </c>
      <c r="F152" s="57">
        <v>4.6208</v>
      </c>
      <c r="G152" s="57">
        <v>5.5300000000000002E-2</v>
      </c>
      <c r="H152" s="57">
        <v>1E-4</v>
      </c>
      <c r="I152" s="57">
        <v>1.5771999999999999</v>
      </c>
      <c r="J152" s="57">
        <v>3.39E-2</v>
      </c>
      <c r="K152" s="57">
        <v>1E-4</v>
      </c>
      <c r="L152" s="34" t="s">
        <v>52</v>
      </c>
      <c r="M152" s="35">
        <f t="shared" ref="M152:R152" si="3">AVERAGE(F152:F175)</f>
        <v>5.8917749999999991</v>
      </c>
      <c r="N152" s="35">
        <f t="shared" si="3"/>
        <v>6.4812495833333331E-2</v>
      </c>
      <c r="O152" s="35">
        <f t="shared" si="3"/>
        <v>0.13990831250000005</v>
      </c>
      <c r="P152" s="35">
        <f t="shared" si="3"/>
        <v>1.6968666666666665</v>
      </c>
      <c r="Q152" s="35">
        <f t="shared" si="3"/>
        <v>0.16966250000000002</v>
      </c>
      <c r="R152" s="35">
        <f t="shared" si="3"/>
        <v>3.2497499999999997E-4</v>
      </c>
    </row>
    <row r="153" spans="1:18">
      <c r="A153" s="12">
        <v>10</v>
      </c>
      <c r="B153" s="21">
        <v>38737</v>
      </c>
      <c r="C153" s="12">
        <v>2006</v>
      </c>
      <c r="D153" s="11" t="s">
        <v>18</v>
      </c>
      <c r="E153" s="12">
        <v>1</v>
      </c>
      <c r="F153" s="56">
        <v>3.3401000000000001</v>
      </c>
      <c r="G153" s="56">
        <v>0.20130000000000001</v>
      </c>
      <c r="H153" s="56">
        <v>1E-4</v>
      </c>
      <c r="I153" s="56">
        <v>0.73070000000000002</v>
      </c>
      <c r="J153" s="56">
        <v>2.8899999999999999E-2</v>
      </c>
      <c r="K153" s="56">
        <v>1E-4</v>
      </c>
    </row>
    <row r="154" spans="1:18">
      <c r="A154" s="12">
        <v>9</v>
      </c>
      <c r="B154" s="21">
        <v>38763</v>
      </c>
      <c r="C154" s="15">
        <v>2006</v>
      </c>
      <c r="D154" s="11" t="s">
        <v>28</v>
      </c>
      <c r="E154" s="15">
        <v>2</v>
      </c>
      <c r="F154" s="56">
        <v>2.9337</v>
      </c>
      <c r="G154" s="56">
        <v>7.6799999999999993E-2</v>
      </c>
      <c r="H154" s="56">
        <v>2.5700000000000001E-2</v>
      </c>
      <c r="I154" s="56">
        <v>0.94389999999999996</v>
      </c>
      <c r="J154" s="56">
        <v>3.8600000000000002E-2</v>
      </c>
      <c r="K154" s="56">
        <v>1E-4</v>
      </c>
    </row>
    <row r="155" spans="1:18">
      <c r="A155" s="12">
        <v>10</v>
      </c>
      <c r="B155" s="21">
        <v>38763</v>
      </c>
      <c r="C155" s="15">
        <v>2006</v>
      </c>
      <c r="D155" s="11" t="s">
        <v>28</v>
      </c>
      <c r="E155" s="15">
        <v>2</v>
      </c>
      <c r="F155" s="56">
        <v>6.0673000000000004</v>
      </c>
      <c r="G155" s="56">
        <v>0.50509999999999999</v>
      </c>
      <c r="H155" s="56">
        <v>1E-4</v>
      </c>
      <c r="I155" s="56">
        <v>1.6879</v>
      </c>
      <c r="J155" s="56">
        <v>3.6200000000000003E-2</v>
      </c>
      <c r="K155" s="56">
        <v>1E-4</v>
      </c>
    </row>
    <row r="156" spans="1:18">
      <c r="A156" s="12">
        <v>9</v>
      </c>
      <c r="B156" s="21">
        <v>38792</v>
      </c>
      <c r="C156" s="12">
        <v>2006</v>
      </c>
      <c r="D156" s="11" t="s">
        <v>29</v>
      </c>
      <c r="E156" s="15">
        <v>3</v>
      </c>
      <c r="F156" s="56">
        <v>0.81259999999999999</v>
      </c>
      <c r="G156" s="56">
        <v>9.7999999999999997E-3</v>
      </c>
      <c r="H156" s="56">
        <v>1E-4</v>
      </c>
      <c r="I156" s="56">
        <v>0.23150000000000001</v>
      </c>
      <c r="J156" s="56">
        <v>1.0800000000000001E-2</v>
      </c>
      <c r="K156" s="56">
        <v>1E-4</v>
      </c>
    </row>
    <row r="157" spans="1:18">
      <c r="A157" s="12">
        <v>10</v>
      </c>
      <c r="B157" s="21">
        <v>38792</v>
      </c>
      <c r="C157" s="12">
        <v>2006</v>
      </c>
      <c r="D157" s="11" t="s">
        <v>29</v>
      </c>
      <c r="E157" s="15">
        <v>3</v>
      </c>
      <c r="F157" s="56">
        <v>1.3021</v>
      </c>
      <c r="G157" s="56">
        <v>6.0600000000000001E-2</v>
      </c>
      <c r="H157" s="56">
        <v>1E-4</v>
      </c>
      <c r="I157" s="56">
        <v>0.34649999999999997</v>
      </c>
      <c r="J157" s="56">
        <v>1.8700000000000001E-2</v>
      </c>
      <c r="K157" s="56">
        <v>1E-4</v>
      </c>
    </row>
    <row r="158" spans="1:18">
      <c r="A158" s="12">
        <v>9</v>
      </c>
      <c r="B158" s="9">
        <v>38826</v>
      </c>
      <c r="C158" s="12">
        <v>2006</v>
      </c>
      <c r="D158" s="11" t="s">
        <v>30</v>
      </c>
      <c r="E158" s="12">
        <v>4</v>
      </c>
      <c r="F158" s="56">
        <v>1.1544000000000001</v>
      </c>
      <c r="G158" s="56">
        <v>5.8400000000000001E-2</v>
      </c>
      <c r="H158" s="56">
        <v>1E-4</v>
      </c>
      <c r="I158" s="56">
        <v>9.2399999999999996E-2</v>
      </c>
      <c r="J158" s="56">
        <v>1.83E-2</v>
      </c>
      <c r="K158" s="56">
        <v>1E-4</v>
      </c>
    </row>
    <row r="159" spans="1:18">
      <c r="A159" s="12">
        <v>10</v>
      </c>
      <c r="B159" s="9">
        <v>38826</v>
      </c>
      <c r="C159" s="12">
        <v>2006</v>
      </c>
      <c r="D159" s="11" t="s">
        <v>30</v>
      </c>
      <c r="E159" s="12">
        <v>4</v>
      </c>
      <c r="F159" s="56">
        <v>0.94199999999999995</v>
      </c>
      <c r="G159" s="56">
        <v>2.5600000000000001E-2</v>
      </c>
      <c r="H159" s="56">
        <v>1E-4</v>
      </c>
      <c r="I159" s="56">
        <v>5.4800000000000001E-2</v>
      </c>
      <c r="J159" s="56">
        <v>1.7999999999999999E-2</v>
      </c>
      <c r="K159" s="56">
        <v>1E-4</v>
      </c>
    </row>
    <row r="160" spans="1:18">
      <c r="A160" s="12">
        <v>9</v>
      </c>
      <c r="B160" s="9">
        <v>38853</v>
      </c>
      <c r="C160" s="12">
        <v>2006</v>
      </c>
      <c r="D160" s="11" t="s">
        <v>31</v>
      </c>
      <c r="E160" s="12">
        <v>5</v>
      </c>
      <c r="F160" s="56">
        <v>1.7291000000000001</v>
      </c>
      <c r="G160" s="56">
        <v>1.14E-2</v>
      </c>
      <c r="H160" s="56">
        <v>1E-4</v>
      </c>
      <c r="I160" s="56">
        <v>0.252</v>
      </c>
      <c r="J160" s="56">
        <v>1.5900000000000001E-2</v>
      </c>
      <c r="K160" s="56">
        <v>1E-4</v>
      </c>
    </row>
    <row r="161" spans="1:18">
      <c r="A161" s="12">
        <v>10</v>
      </c>
      <c r="B161" s="9">
        <v>38853</v>
      </c>
      <c r="C161" s="12">
        <v>2006</v>
      </c>
      <c r="D161" s="11" t="s">
        <v>31</v>
      </c>
      <c r="E161" s="12">
        <v>5</v>
      </c>
      <c r="F161" s="56">
        <v>4.9337999999999997</v>
      </c>
      <c r="G161" s="56">
        <v>2.5499999999999998E-2</v>
      </c>
      <c r="H161" s="56">
        <v>1E-4</v>
      </c>
      <c r="I161" s="56">
        <v>1.0455000000000001</v>
      </c>
      <c r="J161" s="56">
        <v>3.4599999999999999E-2</v>
      </c>
      <c r="K161" s="56">
        <v>1E-4</v>
      </c>
    </row>
    <row r="162" spans="1:18">
      <c r="A162" s="12">
        <v>9</v>
      </c>
      <c r="B162" s="9">
        <v>38884</v>
      </c>
      <c r="C162" s="12">
        <v>2006</v>
      </c>
      <c r="D162" s="11" t="s">
        <v>32</v>
      </c>
      <c r="E162" s="12">
        <v>6</v>
      </c>
      <c r="F162" s="56">
        <v>14.875500000000001</v>
      </c>
      <c r="G162" s="56">
        <v>3.09E-2</v>
      </c>
      <c r="H162" s="56">
        <v>1.2762</v>
      </c>
      <c r="I162" s="56">
        <v>5.4286000000000003</v>
      </c>
      <c r="J162" s="56">
        <v>0.36430000000000001</v>
      </c>
      <c r="K162" s="56">
        <v>1E-4</v>
      </c>
    </row>
    <row r="163" spans="1:18">
      <c r="A163" s="12">
        <v>10</v>
      </c>
      <c r="B163" s="9">
        <v>38884</v>
      </c>
      <c r="C163" s="12">
        <v>2006</v>
      </c>
      <c r="D163" s="11" t="s">
        <v>32</v>
      </c>
      <c r="E163" s="12">
        <v>6</v>
      </c>
      <c r="F163" s="56">
        <v>18.331600000000002</v>
      </c>
      <c r="G163" s="56">
        <v>3.4000000000000002E-2</v>
      </c>
      <c r="H163" s="56">
        <v>2.0124</v>
      </c>
      <c r="I163" s="56">
        <v>6.8891</v>
      </c>
      <c r="J163" s="56">
        <v>0.55189999999999995</v>
      </c>
      <c r="K163" s="56">
        <v>1E-4</v>
      </c>
    </row>
    <row r="164" spans="1:18">
      <c r="A164" s="12">
        <v>9</v>
      </c>
      <c r="B164" s="9">
        <v>38915</v>
      </c>
      <c r="C164" s="12">
        <v>2006</v>
      </c>
      <c r="D164" s="11" t="s">
        <v>33</v>
      </c>
      <c r="E164" s="12">
        <v>7</v>
      </c>
      <c r="F164" s="56">
        <v>15.460800000000001</v>
      </c>
      <c r="G164" s="56">
        <v>3.56E-2</v>
      </c>
      <c r="H164" s="56">
        <v>1E-4</v>
      </c>
      <c r="I164" s="56">
        <v>4.1523000000000003</v>
      </c>
      <c r="J164" s="56">
        <v>0.69030000000000002</v>
      </c>
      <c r="K164" s="56">
        <v>1E-4</v>
      </c>
    </row>
    <row r="165" spans="1:18">
      <c r="A165" s="12">
        <v>10</v>
      </c>
      <c r="B165" s="9">
        <v>38915</v>
      </c>
      <c r="C165" s="12">
        <v>2006</v>
      </c>
      <c r="D165" s="11" t="s">
        <v>33</v>
      </c>
      <c r="E165" s="12">
        <v>7</v>
      </c>
      <c r="F165" s="56">
        <v>15.3445</v>
      </c>
      <c r="G165" s="56">
        <v>0.1497</v>
      </c>
      <c r="H165" s="56">
        <v>1E-4</v>
      </c>
      <c r="I165" s="56">
        <v>4.3220000000000001</v>
      </c>
      <c r="J165" s="56">
        <v>0.85440000000000005</v>
      </c>
      <c r="K165" s="56">
        <v>1E-4</v>
      </c>
    </row>
    <row r="166" spans="1:18">
      <c r="A166" s="12">
        <v>9</v>
      </c>
      <c r="B166" s="9">
        <v>38952</v>
      </c>
      <c r="C166" s="12">
        <v>2006</v>
      </c>
      <c r="D166" s="11" t="s">
        <v>34</v>
      </c>
      <c r="E166" s="12">
        <v>8</v>
      </c>
      <c r="F166" s="56">
        <v>15.3225</v>
      </c>
      <c r="G166" s="56">
        <v>2.7699999999999999E-2</v>
      </c>
      <c r="H166" s="56">
        <v>1E-4</v>
      </c>
      <c r="I166" s="56">
        <v>4.8970000000000002</v>
      </c>
      <c r="J166" s="56">
        <v>0.48080000000000001</v>
      </c>
      <c r="K166" s="56">
        <v>1E-4</v>
      </c>
    </row>
    <row r="167" spans="1:18">
      <c r="A167" s="12">
        <v>10</v>
      </c>
      <c r="B167" s="9">
        <v>38952</v>
      </c>
      <c r="C167" s="12">
        <v>2006</v>
      </c>
      <c r="D167" s="11" t="s">
        <v>34</v>
      </c>
      <c r="E167" s="12">
        <v>8</v>
      </c>
      <c r="F167" s="56">
        <v>10.6037</v>
      </c>
      <c r="G167" s="56">
        <v>7.8299999999999995E-2</v>
      </c>
      <c r="H167" s="56">
        <v>1E-4</v>
      </c>
      <c r="I167" s="56">
        <v>2.7477999999999998</v>
      </c>
      <c r="J167" s="56">
        <v>0.62460000000000004</v>
      </c>
      <c r="K167" s="56">
        <v>1E-4</v>
      </c>
    </row>
    <row r="168" spans="1:18">
      <c r="A168" s="12">
        <v>9</v>
      </c>
      <c r="B168" s="9">
        <v>38975</v>
      </c>
      <c r="C168" s="12">
        <v>2006</v>
      </c>
      <c r="D168" s="11" t="s">
        <v>35</v>
      </c>
      <c r="E168" s="12">
        <v>9</v>
      </c>
      <c r="F168" s="56">
        <v>9.8229000000000006</v>
      </c>
      <c r="G168" s="56">
        <v>1.29E-2</v>
      </c>
      <c r="H168" s="56">
        <v>1E-4</v>
      </c>
      <c r="I168" s="56">
        <v>2.6187</v>
      </c>
      <c r="J168" s="56">
        <v>8.3199999999999996E-2</v>
      </c>
      <c r="K168" s="56">
        <v>1E-4</v>
      </c>
    </row>
    <row r="169" spans="1:18">
      <c r="A169" s="12">
        <v>10</v>
      </c>
      <c r="B169" s="9">
        <v>38975</v>
      </c>
      <c r="C169" s="12">
        <v>2006</v>
      </c>
      <c r="D169" s="11" t="s">
        <v>35</v>
      </c>
      <c r="E169" s="12">
        <v>9</v>
      </c>
      <c r="F169" s="56">
        <v>5.9092000000000002</v>
      </c>
      <c r="G169" s="56">
        <v>1.46E-2</v>
      </c>
      <c r="H169" s="56">
        <v>1E-4</v>
      </c>
      <c r="I169" s="56">
        <v>1.5679000000000001</v>
      </c>
      <c r="J169" s="56">
        <v>5.3499999999999999E-2</v>
      </c>
      <c r="K169" s="56">
        <v>1E-4</v>
      </c>
    </row>
    <row r="170" spans="1:18">
      <c r="A170" s="12">
        <v>9</v>
      </c>
      <c r="B170" s="9">
        <v>39006</v>
      </c>
      <c r="C170" s="12">
        <v>2006</v>
      </c>
      <c r="D170" s="11" t="s">
        <v>36</v>
      </c>
      <c r="E170" s="12">
        <v>10</v>
      </c>
      <c r="F170" s="31">
        <v>1.724</v>
      </c>
      <c r="G170" s="31">
        <v>3.3000000000000002E-2</v>
      </c>
      <c r="H170" s="31">
        <v>9.9989999999999996E-4</v>
      </c>
      <c r="I170" s="31">
        <v>0.17899999999999999</v>
      </c>
      <c r="J170" s="31">
        <v>1.9E-2</v>
      </c>
      <c r="K170" s="31">
        <v>9.9989999999999996E-4</v>
      </c>
    </row>
    <row r="171" spans="1:18">
      <c r="A171" s="12">
        <v>10</v>
      </c>
      <c r="B171" s="9">
        <v>39006</v>
      </c>
      <c r="C171" s="12">
        <v>2006</v>
      </c>
      <c r="D171" s="11" t="s">
        <v>36</v>
      </c>
      <c r="E171" s="12">
        <v>10</v>
      </c>
      <c r="F171" s="31">
        <v>1.37</v>
      </c>
      <c r="G171" s="31">
        <v>9.9989999999999996E-4</v>
      </c>
      <c r="H171" s="31">
        <v>9.9989999999999996E-4</v>
      </c>
      <c r="I171" s="31">
        <v>0.11600000000000001</v>
      </c>
      <c r="J171" s="31">
        <v>8.0000000000000002E-3</v>
      </c>
      <c r="K171" s="31">
        <v>9.9989999999999996E-4</v>
      </c>
    </row>
    <row r="172" spans="1:18">
      <c r="A172" s="12">
        <v>9</v>
      </c>
      <c r="B172" s="9">
        <v>39041</v>
      </c>
      <c r="C172" s="12">
        <v>2006</v>
      </c>
      <c r="D172" s="11" t="s">
        <v>37</v>
      </c>
      <c r="E172" s="12">
        <v>11</v>
      </c>
      <c r="F172" s="31">
        <v>1.1399999999999999</v>
      </c>
      <c r="G172" s="31">
        <v>2.1999999999999999E-2</v>
      </c>
      <c r="H172" s="31">
        <v>9.9989999999999996E-4</v>
      </c>
      <c r="I172" s="31">
        <v>0.14000000000000001</v>
      </c>
      <c r="J172" s="31">
        <v>1.0999999999999999E-2</v>
      </c>
      <c r="K172" s="31">
        <v>9.9989999999999996E-4</v>
      </c>
    </row>
    <row r="173" spans="1:18">
      <c r="A173" s="12">
        <v>10</v>
      </c>
      <c r="B173" s="9">
        <v>39041</v>
      </c>
      <c r="C173" s="12">
        <v>2006</v>
      </c>
      <c r="D173" s="11" t="s">
        <v>37</v>
      </c>
      <c r="E173" s="12">
        <v>11</v>
      </c>
      <c r="F173" s="31">
        <v>0.89600000000000002</v>
      </c>
      <c r="G173" s="31">
        <v>0.02</v>
      </c>
      <c r="H173" s="31">
        <v>9.9989999999999996E-4</v>
      </c>
      <c r="I173" s="31">
        <v>0.11799999999999999</v>
      </c>
      <c r="J173" s="31">
        <v>8.0000000000000002E-3</v>
      </c>
      <c r="K173" s="31">
        <v>9.9989999999999996E-4</v>
      </c>
    </row>
    <row r="174" spans="1:18">
      <c r="A174" s="12">
        <v>9</v>
      </c>
      <c r="B174" s="21">
        <v>39062</v>
      </c>
      <c r="C174" s="15">
        <v>2006</v>
      </c>
      <c r="D174" s="11" t="s">
        <v>38</v>
      </c>
      <c r="E174" s="15">
        <v>12</v>
      </c>
      <c r="F174" s="31">
        <v>2.0030000000000001</v>
      </c>
      <c r="G174" s="31">
        <v>5.8999999999999997E-2</v>
      </c>
      <c r="H174" s="31">
        <v>3.6999999999999998E-2</v>
      </c>
      <c r="I174" s="31">
        <v>0.41699999999999998</v>
      </c>
      <c r="J174" s="31">
        <v>4.9000000000000002E-2</v>
      </c>
      <c r="K174" s="31">
        <v>9.9989999999999996E-4</v>
      </c>
    </row>
    <row r="175" spans="1:18" ht="25.5">
      <c r="A175" s="12">
        <v>10</v>
      </c>
      <c r="B175" s="21">
        <v>39062</v>
      </c>
      <c r="C175" s="15">
        <v>2006</v>
      </c>
      <c r="D175" s="11" t="s">
        <v>38</v>
      </c>
      <c r="E175" s="15">
        <v>12</v>
      </c>
      <c r="F175" s="31">
        <v>0.76300000000000001</v>
      </c>
      <c r="G175" s="31">
        <v>7.0000000000000001E-3</v>
      </c>
      <c r="H175" s="31">
        <v>9.9989999999999996E-4</v>
      </c>
      <c r="I175" s="31">
        <v>0.16900000000000001</v>
      </c>
      <c r="J175" s="31">
        <v>0.02</v>
      </c>
      <c r="K175" s="31">
        <v>9.9989999999999996E-4</v>
      </c>
      <c r="L175" s="34" t="s">
        <v>51</v>
      </c>
      <c r="M175" s="6" t="s">
        <v>7</v>
      </c>
      <c r="N175" s="6" t="s">
        <v>8</v>
      </c>
      <c r="O175" s="6" t="s">
        <v>9</v>
      </c>
      <c r="P175" s="6" t="s">
        <v>10</v>
      </c>
      <c r="Q175" s="6" t="s">
        <v>11</v>
      </c>
      <c r="R175" s="6" t="s">
        <v>12</v>
      </c>
    </row>
    <row r="176" spans="1:18">
      <c r="A176" s="46">
        <v>9</v>
      </c>
      <c r="B176" s="53">
        <v>39100</v>
      </c>
      <c r="C176" s="46">
        <v>2007</v>
      </c>
      <c r="D176" s="42" t="s">
        <v>39</v>
      </c>
      <c r="E176" s="46">
        <v>1</v>
      </c>
      <c r="F176" s="58">
        <v>0.98499999999999999</v>
      </c>
      <c r="G176" s="58">
        <v>4.1000000000000002E-2</v>
      </c>
      <c r="H176" s="58">
        <v>9.9989999999999996E-4</v>
      </c>
      <c r="I176" s="58">
        <v>0.221</v>
      </c>
      <c r="J176" s="58">
        <v>6.0000000000000001E-3</v>
      </c>
      <c r="K176" s="58">
        <v>9.9989999999999996E-4</v>
      </c>
      <c r="L176" s="34" t="s">
        <v>53</v>
      </c>
      <c r="M176" s="35">
        <f t="shared" ref="M176:R176" si="4">AVERAGE(F176:F199)</f>
        <v>7.3750416666666654</v>
      </c>
      <c r="N176" s="35">
        <f t="shared" si="4"/>
        <v>0.12945830416666668</v>
      </c>
      <c r="O176" s="35">
        <f t="shared" si="4"/>
        <v>0.17437492916666666</v>
      </c>
      <c r="P176" s="35">
        <f t="shared" si="4"/>
        <v>2.4321249999999996</v>
      </c>
      <c r="Q176" s="35">
        <f t="shared" si="4"/>
        <v>8.5458325000000002E-2</v>
      </c>
      <c r="R176" s="35">
        <f t="shared" si="4"/>
        <v>9.999000000000004E-4</v>
      </c>
    </row>
    <row r="177" spans="1:12">
      <c r="A177" s="15">
        <v>10</v>
      </c>
      <c r="B177" s="21">
        <v>39100</v>
      </c>
      <c r="C177" s="15">
        <v>2007</v>
      </c>
      <c r="D177" s="11" t="s">
        <v>39</v>
      </c>
      <c r="E177" s="15">
        <v>1</v>
      </c>
      <c r="F177" s="31">
        <v>2.0190000000000001</v>
      </c>
      <c r="G177" s="31">
        <v>0.24099999999999999</v>
      </c>
      <c r="H177" s="31">
        <v>9.9989999999999996E-4</v>
      </c>
      <c r="I177" s="31">
        <v>0.39600000000000002</v>
      </c>
      <c r="J177" s="31">
        <v>1.2999999999999999E-2</v>
      </c>
      <c r="K177" s="31">
        <v>9.9989999999999996E-4</v>
      </c>
      <c r="L177"/>
    </row>
    <row r="178" spans="1:12">
      <c r="A178" s="15">
        <v>9</v>
      </c>
      <c r="B178" s="21">
        <v>39135</v>
      </c>
      <c r="C178" s="15">
        <v>2007</v>
      </c>
      <c r="D178" s="11" t="s">
        <v>28</v>
      </c>
      <c r="E178" s="15">
        <v>2</v>
      </c>
      <c r="F178" s="31">
        <v>6.2530000000000001</v>
      </c>
      <c r="G178" s="31">
        <v>0.112</v>
      </c>
      <c r="H178" s="31">
        <v>2.1000000000000001E-2</v>
      </c>
      <c r="I178" s="31">
        <v>1.9450000000000001</v>
      </c>
      <c r="J178" s="31">
        <v>1.4999999999999999E-2</v>
      </c>
      <c r="K178" s="31">
        <v>9.9989999999999996E-4</v>
      </c>
      <c r="L178"/>
    </row>
    <row r="179" spans="1:12">
      <c r="A179" s="15">
        <v>10</v>
      </c>
      <c r="B179" s="21">
        <v>39135</v>
      </c>
      <c r="C179" s="15">
        <v>2007</v>
      </c>
      <c r="D179" s="11" t="s">
        <v>28</v>
      </c>
      <c r="E179" s="15">
        <v>2</v>
      </c>
      <c r="F179" s="31">
        <v>5.2530000000000001</v>
      </c>
      <c r="G179" s="31">
        <v>3.9E-2</v>
      </c>
      <c r="H179" s="31">
        <v>9.9989999999999996E-4</v>
      </c>
      <c r="I179" s="31">
        <v>1.6040000000000001</v>
      </c>
      <c r="J179" s="31">
        <v>1.7999999999999999E-2</v>
      </c>
      <c r="K179" s="31">
        <v>9.9989999999999996E-4</v>
      </c>
      <c r="L179"/>
    </row>
    <row r="180" spans="1:12">
      <c r="A180" s="15">
        <v>9</v>
      </c>
      <c r="B180" s="21">
        <v>39153</v>
      </c>
      <c r="C180" s="15">
        <v>2007</v>
      </c>
      <c r="D180" s="11" t="s">
        <v>29</v>
      </c>
      <c r="E180" s="15">
        <v>3</v>
      </c>
      <c r="F180" s="31">
        <v>1.6619999999999999</v>
      </c>
      <c r="G180" s="15">
        <v>3.4000000000000002E-2</v>
      </c>
      <c r="H180" s="15">
        <v>4.4999999999999998E-2</v>
      </c>
      <c r="I180" s="31">
        <v>0.63600000000000001</v>
      </c>
      <c r="J180" s="31">
        <v>2.4E-2</v>
      </c>
      <c r="K180" s="31">
        <v>9.9989999999999996E-4</v>
      </c>
      <c r="L180"/>
    </row>
    <row r="181" spans="1:12">
      <c r="A181" s="15">
        <v>10</v>
      </c>
      <c r="B181" s="21">
        <v>39153</v>
      </c>
      <c r="C181" s="15">
        <v>2007</v>
      </c>
      <c r="D181" s="11" t="s">
        <v>29</v>
      </c>
      <c r="E181" s="15">
        <v>3</v>
      </c>
      <c r="F181" s="31">
        <v>3.25</v>
      </c>
      <c r="G181" s="15">
        <v>0.14099999999999999</v>
      </c>
      <c r="H181" s="15">
        <v>0.02</v>
      </c>
      <c r="I181" s="31">
        <v>0.86599999999999999</v>
      </c>
      <c r="J181" s="31">
        <v>3.2000000000000001E-2</v>
      </c>
      <c r="K181" s="31">
        <v>9.9989999999999996E-4</v>
      </c>
      <c r="L181"/>
    </row>
    <row r="182" spans="1:12">
      <c r="A182" s="15">
        <v>9</v>
      </c>
      <c r="B182" s="21">
        <v>39191</v>
      </c>
      <c r="C182" s="15">
        <v>2007</v>
      </c>
      <c r="D182" s="11" t="s">
        <v>30</v>
      </c>
      <c r="E182" s="15">
        <v>4</v>
      </c>
      <c r="F182" s="31">
        <v>1.63</v>
      </c>
      <c r="G182" s="15">
        <v>2.3E-2</v>
      </c>
      <c r="H182" s="15">
        <v>9.9989999999999996E-4</v>
      </c>
      <c r="I182" s="31">
        <v>0.497</v>
      </c>
      <c r="J182" s="31">
        <v>9.9989999999999996E-4</v>
      </c>
      <c r="K182" s="31">
        <v>9.9989999999999996E-4</v>
      </c>
      <c r="L182"/>
    </row>
    <row r="183" spans="1:12">
      <c r="A183" s="15">
        <v>10</v>
      </c>
      <c r="B183" s="21">
        <v>39191</v>
      </c>
      <c r="C183" s="15">
        <v>2007</v>
      </c>
      <c r="D183" s="11" t="s">
        <v>30</v>
      </c>
      <c r="E183" s="15">
        <v>4</v>
      </c>
      <c r="F183" s="31">
        <v>1.3720000000000001</v>
      </c>
      <c r="G183" s="15">
        <v>9.9989999999999996E-4</v>
      </c>
      <c r="H183" s="15">
        <v>9.9989999999999996E-4</v>
      </c>
      <c r="I183" s="31">
        <v>0.435</v>
      </c>
      <c r="J183" s="31">
        <v>4.0000000000000001E-3</v>
      </c>
      <c r="K183" s="31">
        <v>9.9989999999999996E-4</v>
      </c>
      <c r="L183"/>
    </row>
    <row r="184" spans="1:12">
      <c r="A184" s="15">
        <v>9</v>
      </c>
      <c r="B184" s="21">
        <v>39216</v>
      </c>
      <c r="C184" s="15">
        <v>2007</v>
      </c>
      <c r="D184" s="11" t="s">
        <v>31</v>
      </c>
      <c r="E184" s="15">
        <v>5</v>
      </c>
      <c r="F184" s="31">
        <v>10.595000000000001</v>
      </c>
      <c r="G184" s="15">
        <v>4.9000000000000002E-2</v>
      </c>
      <c r="H184" s="15">
        <v>1.204</v>
      </c>
      <c r="I184" s="31">
        <v>5.4539999999999997</v>
      </c>
      <c r="J184" s="31">
        <v>7.5999999999999998E-2</v>
      </c>
      <c r="K184" s="31">
        <v>9.9989999999999996E-4</v>
      </c>
      <c r="L184"/>
    </row>
    <row r="185" spans="1:12">
      <c r="A185" s="15">
        <v>10</v>
      </c>
      <c r="B185" s="21">
        <v>39216</v>
      </c>
      <c r="C185" s="15">
        <v>2007</v>
      </c>
      <c r="D185" s="11" t="s">
        <v>31</v>
      </c>
      <c r="E185" s="15">
        <v>5</v>
      </c>
      <c r="F185" s="31">
        <v>10.763999999999999</v>
      </c>
      <c r="G185" s="15">
        <v>0.10299999999999999</v>
      </c>
      <c r="H185" s="15">
        <v>0.91300000000000003</v>
      </c>
      <c r="I185" s="31">
        <v>5.3319999999999999</v>
      </c>
      <c r="J185" s="31">
        <v>9.7000000000000003E-2</v>
      </c>
      <c r="K185" s="31">
        <v>9.9989999999999996E-4</v>
      </c>
      <c r="L185"/>
    </row>
    <row r="186" spans="1:12">
      <c r="A186" s="15">
        <v>9</v>
      </c>
      <c r="B186" s="21">
        <v>39248</v>
      </c>
      <c r="C186" s="15">
        <v>2007</v>
      </c>
      <c r="D186" s="11" t="s">
        <v>32</v>
      </c>
      <c r="E186" s="15">
        <v>6</v>
      </c>
      <c r="F186" s="31">
        <v>25.084</v>
      </c>
      <c r="G186">
        <v>7.1999999999999995E-2</v>
      </c>
      <c r="H186">
        <v>1.41</v>
      </c>
      <c r="I186" s="31">
        <v>11.398999999999999</v>
      </c>
      <c r="J186" s="31">
        <v>0.111</v>
      </c>
      <c r="K186" s="31">
        <v>9.9989999999999996E-4</v>
      </c>
      <c r="L186"/>
    </row>
    <row r="187" spans="1:12">
      <c r="A187" s="15">
        <v>10</v>
      </c>
      <c r="B187" s="21">
        <v>39248</v>
      </c>
      <c r="C187" s="15">
        <v>2007</v>
      </c>
      <c r="D187" s="11" t="s">
        <v>32</v>
      </c>
      <c r="E187" s="15">
        <v>6</v>
      </c>
      <c r="F187" s="31">
        <v>17.117000000000001</v>
      </c>
      <c r="G187">
        <v>0.13</v>
      </c>
      <c r="H187">
        <v>0.55500000000000005</v>
      </c>
      <c r="I187" s="31">
        <v>6.7910000000000004</v>
      </c>
      <c r="J187" s="31">
        <v>6.9000000000000006E-2</v>
      </c>
      <c r="K187" s="31">
        <v>9.9989999999999996E-4</v>
      </c>
      <c r="L187"/>
    </row>
    <row r="188" spans="1:12">
      <c r="A188" s="15">
        <v>9</v>
      </c>
      <c r="B188" s="21">
        <v>39279</v>
      </c>
      <c r="C188" s="15">
        <v>2007</v>
      </c>
      <c r="D188" s="11" t="s">
        <v>33</v>
      </c>
      <c r="E188" s="15">
        <v>7</v>
      </c>
      <c r="F188" s="31">
        <v>18.765999999999998</v>
      </c>
      <c r="G188">
        <v>0.82199999999999995</v>
      </c>
      <c r="H188">
        <v>9.9989999999999996E-4</v>
      </c>
      <c r="I188" s="31">
        <v>4.5190000000000001</v>
      </c>
      <c r="J188" s="31">
        <v>0.27300000000000002</v>
      </c>
      <c r="K188" s="31">
        <v>9.9989999999999996E-4</v>
      </c>
      <c r="L188"/>
    </row>
    <row r="189" spans="1:12">
      <c r="A189" s="15">
        <v>10</v>
      </c>
      <c r="B189" s="21">
        <v>39279</v>
      </c>
      <c r="C189" s="15">
        <v>2007</v>
      </c>
      <c r="D189" s="11" t="s">
        <v>33</v>
      </c>
      <c r="E189" s="15">
        <v>7</v>
      </c>
      <c r="F189" s="31">
        <v>18.003</v>
      </c>
      <c r="G189">
        <v>1.0369999999999999</v>
      </c>
      <c r="H189">
        <v>9.9989999999999996E-4</v>
      </c>
      <c r="I189" s="31">
        <v>3.371</v>
      </c>
      <c r="J189" s="31">
        <v>0.315</v>
      </c>
      <c r="K189" s="31">
        <v>9.9989999999999996E-4</v>
      </c>
      <c r="L189"/>
    </row>
    <row r="190" spans="1:12">
      <c r="A190" s="15">
        <v>9</v>
      </c>
      <c r="B190" s="21">
        <v>39308</v>
      </c>
      <c r="C190" s="15">
        <v>2007</v>
      </c>
      <c r="D190" s="11" t="s">
        <v>34</v>
      </c>
      <c r="E190" s="15">
        <v>8</v>
      </c>
      <c r="F190" s="31">
        <v>10.6</v>
      </c>
      <c r="G190">
        <v>9.9989999999999996E-4</v>
      </c>
      <c r="H190">
        <v>9.9989999999999996E-4</v>
      </c>
      <c r="I190" s="31">
        <v>3.6139999999999999</v>
      </c>
      <c r="J190" s="31">
        <v>0.217</v>
      </c>
      <c r="K190" s="31">
        <v>9.9989999999999996E-4</v>
      </c>
      <c r="L190"/>
    </row>
    <row r="191" spans="1:12">
      <c r="A191" s="15">
        <v>10</v>
      </c>
      <c r="B191" s="21">
        <v>39308</v>
      </c>
      <c r="C191" s="15">
        <v>2007</v>
      </c>
      <c r="D191" s="11" t="s">
        <v>34</v>
      </c>
      <c r="E191" s="15">
        <v>8</v>
      </c>
      <c r="F191" s="31">
        <v>11.553000000000001</v>
      </c>
      <c r="G191">
        <v>9.9989999999999996E-4</v>
      </c>
      <c r="H191">
        <v>9.9989999999999996E-4</v>
      </c>
      <c r="I191" s="31">
        <v>4.0579999999999998</v>
      </c>
      <c r="J191" s="31">
        <v>0.14599999999999999</v>
      </c>
      <c r="K191" s="31">
        <v>9.9989999999999996E-4</v>
      </c>
      <c r="L191"/>
    </row>
    <row r="192" spans="1:12">
      <c r="A192" s="15">
        <v>9</v>
      </c>
      <c r="B192" s="21">
        <v>39335</v>
      </c>
      <c r="C192" s="15">
        <v>2007</v>
      </c>
      <c r="D192" s="11" t="s">
        <v>40</v>
      </c>
      <c r="E192" s="15">
        <v>9</v>
      </c>
      <c r="F192" s="31">
        <v>13.128</v>
      </c>
      <c r="G192">
        <v>9.9989999999999996E-4</v>
      </c>
      <c r="H192">
        <v>9.9989999999999996E-4</v>
      </c>
      <c r="I192" s="31">
        <v>4.3070000000000004</v>
      </c>
      <c r="J192" s="31">
        <v>0.20899999999999999</v>
      </c>
      <c r="K192" s="31">
        <v>9.9989999999999996E-4</v>
      </c>
      <c r="L192"/>
    </row>
    <row r="193" spans="1:18">
      <c r="A193" s="15">
        <v>10</v>
      </c>
      <c r="B193" s="21">
        <v>39335</v>
      </c>
      <c r="C193" s="15">
        <v>2007</v>
      </c>
      <c r="D193" s="11" t="s">
        <v>40</v>
      </c>
      <c r="E193" s="15">
        <v>9</v>
      </c>
      <c r="F193" s="31">
        <v>8.6809999999999992</v>
      </c>
      <c r="G193">
        <v>6.4000000000000001E-2</v>
      </c>
      <c r="H193">
        <v>9.9989999999999996E-4</v>
      </c>
      <c r="I193" s="31">
        <v>1.387</v>
      </c>
      <c r="J193" s="31">
        <v>0.32800000000000001</v>
      </c>
      <c r="K193" s="31">
        <v>9.9989999999999996E-4</v>
      </c>
    </row>
    <row r="194" spans="1:18">
      <c r="A194" s="15">
        <v>9</v>
      </c>
      <c r="B194" s="21">
        <v>39370</v>
      </c>
      <c r="C194" s="15">
        <v>2007</v>
      </c>
      <c r="D194" s="11" t="s">
        <v>36</v>
      </c>
      <c r="E194" s="15">
        <v>10</v>
      </c>
      <c r="F194" s="31">
        <v>1.5980000000000001</v>
      </c>
      <c r="G194" s="31">
        <v>1.2999999999999999E-2</v>
      </c>
      <c r="H194" s="31">
        <v>9.9989999999999996E-4</v>
      </c>
      <c r="I194" s="31">
        <v>0.158</v>
      </c>
      <c r="J194" s="31">
        <v>2.7E-2</v>
      </c>
      <c r="K194" s="31">
        <v>9.9989999999999996E-4</v>
      </c>
    </row>
    <row r="195" spans="1:18">
      <c r="A195" s="15">
        <v>10</v>
      </c>
      <c r="B195" s="21">
        <v>39370</v>
      </c>
      <c r="C195" s="15">
        <v>2007</v>
      </c>
      <c r="D195" s="11" t="s">
        <v>36</v>
      </c>
      <c r="E195" s="15">
        <v>10</v>
      </c>
      <c r="F195" s="31">
        <v>1.01</v>
      </c>
      <c r="G195" s="31">
        <v>9.9989999999999996E-4</v>
      </c>
      <c r="H195" s="31">
        <v>9.9989999999999996E-4</v>
      </c>
      <c r="I195" s="31">
        <v>0.13600000000000001</v>
      </c>
      <c r="J195" s="31">
        <v>2.4E-2</v>
      </c>
      <c r="K195" s="31">
        <v>9.9989999999999996E-4</v>
      </c>
    </row>
    <row r="196" spans="1:18">
      <c r="A196" s="15">
        <v>9</v>
      </c>
      <c r="B196" s="21">
        <v>39400</v>
      </c>
      <c r="C196" s="15">
        <v>2007</v>
      </c>
      <c r="D196" s="11" t="s">
        <v>37</v>
      </c>
      <c r="E196" s="15">
        <v>11</v>
      </c>
      <c r="F196" s="31">
        <v>1.105</v>
      </c>
      <c r="G196" s="31">
        <v>9.9989999999999996E-4</v>
      </c>
      <c r="H196" s="31">
        <v>9.9989999999999996E-4</v>
      </c>
      <c r="I196" s="31">
        <v>0.15</v>
      </c>
      <c r="J196" s="31">
        <v>5.0000000000000001E-3</v>
      </c>
      <c r="K196" s="31">
        <v>9.9989999999999996E-4</v>
      </c>
    </row>
    <row r="197" spans="1:18">
      <c r="A197" s="15">
        <v>10</v>
      </c>
      <c r="B197" s="21">
        <v>39400</v>
      </c>
      <c r="C197" s="15">
        <v>2007</v>
      </c>
      <c r="D197" s="11" t="s">
        <v>37</v>
      </c>
      <c r="E197" s="15">
        <v>11</v>
      </c>
      <c r="F197" s="31">
        <v>1.29</v>
      </c>
      <c r="G197" s="31">
        <v>9.9989999999999996E-4</v>
      </c>
      <c r="H197" s="31">
        <v>9.9989999999999996E-4</v>
      </c>
      <c r="I197" s="31">
        <v>0.09</v>
      </c>
      <c r="J197" s="31">
        <v>9.9989999999999996E-4</v>
      </c>
      <c r="K197" s="31">
        <v>9.9989999999999996E-4</v>
      </c>
    </row>
    <row r="198" spans="1:18">
      <c r="A198" s="15">
        <v>9</v>
      </c>
      <c r="B198" s="21">
        <v>39434</v>
      </c>
      <c r="C198" s="15">
        <v>2007</v>
      </c>
      <c r="D198" s="11" t="s">
        <v>38</v>
      </c>
      <c r="E198" s="15">
        <v>12</v>
      </c>
      <c r="F198" s="31">
        <v>2.456</v>
      </c>
      <c r="G198" s="31">
        <v>6.7000000000000004E-2</v>
      </c>
      <c r="H198" s="31">
        <v>9.9989999999999996E-4</v>
      </c>
      <c r="I198" s="31">
        <v>0.49199999999999999</v>
      </c>
      <c r="J198" s="31">
        <v>1.0999999999999999E-2</v>
      </c>
      <c r="K198" s="31">
        <v>9.9989999999999996E-4</v>
      </c>
    </row>
    <row r="199" spans="1:18" ht="25.5">
      <c r="A199" s="15">
        <v>10</v>
      </c>
      <c r="B199" s="21">
        <v>39434</v>
      </c>
      <c r="C199" s="15">
        <v>2007</v>
      </c>
      <c r="D199" s="11" t="s">
        <v>38</v>
      </c>
      <c r="E199" s="15">
        <v>12</v>
      </c>
      <c r="F199" s="31">
        <v>2.827</v>
      </c>
      <c r="G199" s="31">
        <v>0.112</v>
      </c>
      <c r="H199" s="31">
        <v>9.9989999999999996E-4</v>
      </c>
      <c r="I199" s="31">
        <v>0.51300000000000001</v>
      </c>
      <c r="J199" s="31">
        <v>2.9000000000000001E-2</v>
      </c>
      <c r="K199" s="31">
        <v>9.9989999999999996E-4</v>
      </c>
      <c r="L199" s="34" t="s">
        <v>51</v>
      </c>
      <c r="M199" s="6" t="s">
        <v>7</v>
      </c>
      <c r="N199" s="6" t="s">
        <v>8</v>
      </c>
      <c r="O199" s="6" t="s">
        <v>9</v>
      </c>
      <c r="P199" s="6" t="s">
        <v>10</v>
      </c>
      <c r="Q199" s="6" t="s">
        <v>11</v>
      </c>
      <c r="R199" s="6" t="s">
        <v>12</v>
      </c>
    </row>
    <row r="200" spans="1:18">
      <c r="A200" s="46">
        <v>9</v>
      </c>
      <c r="B200" s="53">
        <v>39463</v>
      </c>
      <c r="C200" s="46">
        <v>2008</v>
      </c>
      <c r="D200" s="42" t="s">
        <v>39</v>
      </c>
      <c r="E200" s="46">
        <v>1</v>
      </c>
      <c r="F200" s="58">
        <v>1.5149999999999999</v>
      </c>
      <c r="G200" s="58">
        <v>7.8E-2</v>
      </c>
      <c r="H200" s="58">
        <v>1.2E-2</v>
      </c>
      <c r="I200" s="58">
        <v>0.28399999999999997</v>
      </c>
      <c r="J200" s="58">
        <v>3.6999999999999998E-2</v>
      </c>
      <c r="K200" s="58">
        <v>9.9989999999999996E-4</v>
      </c>
      <c r="L200" s="34" t="s">
        <v>54</v>
      </c>
      <c r="M200" s="35">
        <f t="shared" ref="M200:R200" si="5">AVERAGE(F200:F223)</f>
        <v>3.5002083333333336</v>
      </c>
      <c r="N200" s="35">
        <f t="shared" si="5"/>
        <v>0.13524999166666665</v>
      </c>
      <c r="O200" s="35">
        <f t="shared" si="5"/>
        <v>1.0333241666666666E-2</v>
      </c>
      <c r="P200" s="35">
        <f t="shared" si="5"/>
        <v>0.81066666666666665</v>
      </c>
      <c r="Q200" s="35">
        <f t="shared" si="5"/>
        <v>4.7999995833333337E-2</v>
      </c>
      <c r="R200" s="35">
        <f t="shared" si="5"/>
        <v>9.999000000000004E-4</v>
      </c>
    </row>
    <row r="201" spans="1:18">
      <c r="A201" s="15">
        <v>10</v>
      </c>
      <c r="B201" s="21">
        <v>39463</v>
      </c>
      <c r="C201" s="15">
        <v>2008</v>
      </c>
      <c r="D201" s="11" t="s">
        <v>39</v>
      </c>
      <c r="E201" s="15">
        <v>1</v>
      </c>
      <c r="F201" s="31">
        <v>1.718</v>
      </c>
      <c r="G201" s="31">
        <v>5.7000000000000002E-2</v>
      </c>
      <c r="H201" s="31">
        <v>9.9989999999999996E-4</v>
      </c>
      <c r="I201" s="31">
        <v>0.40500000000000003</v>
      </c>
      <c r="J201" s="31">
        <v>1.7000000000000001E-2</v>
      </c>
      <c r="K201" s="31">
        <v>9.9989999999999996E-4</v>
      </c>
    </row>
    <row r="202" spans="1:18">
      <c r="A202" s="15">
        <v>9</v>
      </c>
      <c r="B202" s="21">
        <v>39493</v>
      </c>
      <c r="C202" s="15">
        <v>2008</v>
      </c>
      <c r="D202" s="11" t="s">
        <v>28</v>
      </c>
      <c r="E202" s="15">
        <v>2</v>
      </c>
      <c r="F202" s="31">
        <v>1.8859999999999999</v>
      </c>
      <c r="G202" s="31">
        <v>5.8000000000000003E-2</v>
      </c>
      <c r="H202" s="31">
        <v>9.9989999999999996E-4</v>
      </c>
      <c r="I202" s="31">
        <v>0.503</v>
      </c>
      <c r="J202" s="31">
        <v>7.0000000000000001E-3</v>
      </c>
      <c r="K202" s="31">
        <v>9.9989999999999996E-4</v>
      </c>
    </row>
    <row r="203" spans="1:18">
      <c r="A203" s="15">
        <v>10</v>
      </c>
      <c r="B203" s="21">
        <v>39493</v>
      </c>
      <c r="C203" s="15">
        <v>2008</v>
      </c>
      <c r="D203" s="11" t="s">
        <v>28</v>
      </c>
      <c r="E203" s="15">
        <v>2</v>
      </c>
      <c r="F203" s="31">
        <v>1.6619999999999999</v>
      </c>
      <c r="G203" s="31">
        <v>2.4E-2</v>
      </c>
      <c r="H203" s="31">
        <v>9.9989999999999996E-4</v>
      </c>
      <c r="I203" s="31">
        <v>0.443</v>
      </c>
      <c r="J203" s="31">
        <v>1.6E-2</v>
      </c>
      <c r="K203" s="31">
        <v>9.9989999999999996E-4</v>
      </c>
    </row>
    <row r="204" spans="1:18">
      <c r="A204" s="15">
        <v>9</v>
      </c>
      <c r="B204" s="21">
        <v>39517</v>
      </c>
      <c r="C204" s="15">
        <v>2008</v>
      </c>
      <c r="D204" s="11" t="s">
        <v>29</v>
      </c>
      <c r="E204" s="15">
        <v>3</v>
      </c>
      <c r="F204" s="59">
        <v>1.875</v>
      </c>
      <c r="G204" s="59">
        <v>5.0999999999999997E-2</v>
      </c>
      <c r="H204" s="59">
        <v>9.9989999999999996E-4</v>
      </c>
      <c r="I204" s="59">
        <v>0.34399999999999997</v>
      </c>
      <c r="J204" s="59">
        <v>1.4E-2</v>
      </c>
      <c r="K204" s="59">
        <v>9.9989999999999996E-4</v>
      </c>
    </row>
    <row r="205" spans="1:18">
      <c r="A205" s="15">
        <v>10</v>
      </c>
      <c r="B205" s="21">
        <v>39517</v>
      </c>
      <c r="C205" s="15">
        <v>2008</v>
      </c>
      <c r="D205" s="11" t="s">
        <v>29</v>
      </c>
      <c r="E205" s="15">
        <v>3</v>
      </c>
      <c r="F205" s="59">
        <v>1.5249999999999999</v>
      </c>
      <c r="G205" s="59">
        <v>6.2E-2</v>
      </c>
      <c r="H205" s="59">
        <v>9.9989999999999996E-4</v>
      </c>
      <c r="I205" s="59">
        <v>0.254</v>
      </c>
      <c r="J205" s="59">
        <v>1.7999999999999999E-2</v>
      </c>
      <c r="K205" s="59">
        <v>9.9989999999999996E-4</v>
      </c>
    </row>
    <row r="206" spans="1:18">
      <c r="A206" s="15">
        <v>9</v>
      </c>
      <c r="B206" s="21">
        <v>39552</v>
      </c>
      <c r="C206" s="15">
        <v>2008</v>
      </c>
      <c r="D206" s="11" t="s">
        <v>30</v>
      </c>
      <c r="E206" s="15">
        <v>4</v>
      </c>
      <c r="F206" s="59">
        <v>1.222</v>
      </c>
      <c r="G206" s="59">
        <v>3.5000000000000003E-2</v>
      </c>
      <c r="H206" s="59">
        <v>9.9989999999999996E-4</v>
      </c>
      <c r="I206" s="59">
        <v>0.13400000000000001</v>
      </c>
      <c r="J206" s="59">
        <v>8.9999999999999993E-3</v>
      </c>
      <c r="K206" s="59">
        <v>9.9989999999999996E-4</v>
      </c>
    </row>
    <row r="207" spans="1:18">
      <c r="A207" s="15">
        <v>10</v>
      </c>
      <c r="B207" s="21">
        <v>39552</v>
      </c>
      <c r="C207" s="15">
        <v>2008</v>
      </c>
      <c r="D207" s="11" t="s">
        <v>30</v>
      </c>
      <c r="E207" s="15">
        <v>4</v>
      </c>
      <c r="F207" s="59">
        <v>1.135</v>
      </c>
      <c r="G207" s="59">
        <v>0.04</v>
      </c>
      <c r="H207" s="59">
        <v>9.9989999999999996E-4</v>
      </c>
      <c r="I207" s="59">
        <v>6.7000000000000004E-2</v>
      </c>
      <c r="J207" s="59">
        <v>7.0000000000000001E-3</v>
      </c>
      <c r="K207" s="59">
        <v>9.9989999999999996E-4</v>
      </c>
    </row>
    <row r="208" spans="1:18">
      <c r="A208" s="15">
        <v>9</v>
      </c>
      <c r="B208" s="21">
        <v>39583</v>
      </c>
      <c r="C208" s="15">
        <v>2008</v>
      </c>
      <c r="D208" s="11" t="s">
        <v>31</v>
      </c>
      <c r="E208" s="15">
        <v>5</v>
      </c>
      <c r="F208" s="59">
        <v>3.5169999999999999</v>
      </c>
      <c r="G208" s="59">
        <v>9.9989999999999996E-4</v>
      </c>
      <c r="H208" s="59">
        <v>9.9989999999999996E-4</v>
      </c>
      <c r="I208" s="59">
        <v>1.113</v>
      </c>
      <c r="J208" s="59">
        <v>1.2E-2</v>
      </c>
      <c r="K208" s="59">
        <v>9.9989999999999996E-4</v>
      </c>
    </row>
    <row r="209" spans="1:18">
      <c r="A209" s="15">
        <v>10</v>
      </c>
      <c r="B209" s="21">
        <v>39583</v>
      </c>
      <c r="C209" s="15">
        <v>2008</v>
      </c>
      <c r="D209" s="11" t="s">
        <v>31</v>
      </c>
      <c r="E209" s="15">
        <v>5</v>
      </c>
      <c r="F209" s="59">
        <v>3.0009999999999999</v>
      </c>
      <c r="G209" s="59">
        <v>9.9989999999999996E-4</v>
      </c>
      <c r="H209" s="59">
        <v>9.9989999999999996E-4</v>
      </c>
      <c r="I209" s="59">
        <v>0.48299999999999998</v>
      </c>
      <c r="J209" s="59">
        <v>1.4999999999999999E-2</v>
      </c>
      <c r="K209" s="59">
        <v>9.9989999999999996E-4</v>
      </c>
    </row>
    <row r="210" spans="1:18">
      <c r="A210" s="15">
        <v>9</v>
      </c>
      <c r="B210" s="21">
        <v>39617</v>
      </c>
      <c r="C210" s="15">
        <v>2008</v>
      </c>
      <c r="D210" s="11" t="s">
        <v>32</v>
      </c>
      <c r="E210" s="15">
        <v>6</v>
      </c>
      <c r="F210" s="59">
        <v>10.605</v>
      </c>
      <c r="G210" s="59">
        <v>3.4000000000000002E-2</v>
      </c>
      <c r="H210" s="59">
        <v>9.9989999999999996E-4</v>
      </c>
      <c r="I210" s="59">
        <v>2.4159999999999999</v>
      </c>
      <c r="J210" s="59">
        <v>0.14499999999999999</v>
      </c>
      <c r="K210" s="59">
        <v>9.9989999999999996E-4</v>
      </c>
    </row>
    <row r="211" spans="1:18">
      <c r="A211" s="15">
        <v>10</v>
      </c>
      <c r="B211" s="21">
        <v>39617</v>
      </c>
      <c r="C211" s="15">
        <v>2008</v>
      </c>
      <c r="D211" s="11" t="s">
        <v>32</v>
      </c>
      <c r="E211" s="15">
        <v>6</v>
      </c>
      <c r="F211" s="59">
        <v>4.0430000000000001</v>
      </c>
      <c r="G211" s="59">
        <v>9.6000000000000002E-2</v>
      </c>
      <c r="H211" s="59">
        <v>9.9989999999999996E-4</v>
      </c>
      <c r="I211" s="59">
        <v>0.50800000000000001</v>
      </c>
      <c r="J211" s="59">
        <v>8.5000000000000006E-2</v>
      </c>
      <c r="K211" s="59">
        <v>9.9989999999999996E-4</v>
      </c>
    </row>
    <row r="212" spans="1:18">
      <c r="A212" s="15">
        <v>9</v>
      </c>
      <c r="B212" s="21">
        <v>39645</v>
      </c>
      <c r="C212" s="15">
        <v>2008</v>
      </c>
      <c r="D212" s="11" t="s">
        <v>33</v>
      </c>
      <c r="E212" s="15">
        <v>7</v>
      </c>
      <c r="F212" s="59">
        <v>10.544</v>
      </c>
      <c r="G212" s="59">
        <v>0.36399999999999999</v>
      </c>
      <c r="H212" s="59">
        <v>9.9989999999999996E-4</v>
      </c>
      <c r="I212" s="59">
        <v>3.0920000000000001</v>
      </c>
      <c r="J212" s="59">
        <v>6.6000000000000003E-2</v>
      </c>
      <c r="K212" s="59">
        <v>9.9989999999999996E-4</v>
      </c>
    </row>
    <row r="213" spans="1:18">
      <c r="A213" s="15">
        <v>10</v>
      </c>
      <c r="B213" s="21">
        <v>39645</v>
      </c>
      <c r="C213" s="15">
        <v>2008</v>
      </c>
      <c r="D213" s="11" t="s">
        <v>33</v>
      </c>
      <c r="E213" s="15">
        <v>7</v>
      </c>
      <c r="F213" s="59">
        <v>4.6070000000000002</v>
      </c>
      <c r="G213" s="59">
        <v>1.2070000000000001</v>
      </c>
      <c r="H213" s="59">
        <v>9.9989999999999996E-4</v>
      </c>
      <c r="I213" s="59">
        <v>0.247</v>
      </c>
      <c r="J213" s="59">
        <v>7.0999999999999994E-2</v>
      </c>
      <c r="K213" s="59">
        <v>9.9989999999999996E-4</v>
      </c>
    </row>
    <row r="214" spans="1:18">
      <c r="A214" s="15">
        <v>9</v>
      </c>
      <c r="B214" s="21">
        <v>39672</v>
      </c>
      <c r="C214" s="15">
        <v>2008</v>
      </c>
      <c r="D214" s="11" t="s">
        <v>34</v>
      </c>
      <c r="E214" s="15">
        <v>8</v>
      </c>
      <c r="F214" s="59">
        <v>10.702999999999999</v>
      </c>
      <c r="G214" s="59">
        <v>0.45900000000000002</v>
      </c>
      <c r="H214" s="59">
        <v>9.9989999999999996E-4</v>
      </c>
      <c r="I214" s="59">
        <v>3.2829999999999999</v>
      </c>
      <c r="J214" s="59">
        <v>5.8999999999999997E-2</v>
      </c>
      <c r="K214" s="59">
        <v>9.9989999999999996E-4</v>
      </c>
    </row>
    <row r="215" spans="1:18">
      <c r="A215" s="15">
        <v>10</v>
      </c>
      <c r="B215" s="21">
        <v>39672</v>
      </c>
      <c r="C215" s="15">
        <v>2008</v>
      </c>
      <c r="D215" s="11" t="s">
        <v>34</v>
      </c>
      <c r="E215" s="15">
        <v>8</v>
      </c>
      <c r="F215" s="59">
        <v>8.69</v>
      </c>
      <c r="G215" s="59">
        <v>0.114</v>
      </c>
      <c r="H215" s="59">
        <v>9.9989999999999996E-4</v>
      </c>
      <c r="I215" s="59">
        <v>1.8580000000000001</v>
      </c>
      <c r="J215" s="59">
        <v>0.35399999999999998</v>
      </c>
      <c r="K215" s="59">
        <v>9.9989999999999996E-4</v>
      </c>
    </row>
    <row r="216" spans="1:18">
      <c r="A216" s="15">
        <v>9</v>
      </c>
      <c r="B216" s="21">
        <v>39709</v>
      </c>
      <c r="C216" s="15">
        <v>2008</v>
      </c>
      <c r="D216" s="11" t="s">
        <v>40</v>
      </c>
      <c r="E216" s="15">
        <v>9</v>
      </c>
      <c r="F216" s="31">
        <v>1.73</v>
      </c>
      <c r="G216" s="31">
        <v>1.9E-2</v>
      </c>
      <c r="H216" s="31">
        <v>9.9989999999999996E-4</v>
      </c>
      <c r="I216" s="31">
        <v>0.315</v>
      </c>
      <c r="J216" s="31">
        <v>1.7999999999999999E-2</v>
      </c>
      <c r="K216" s="31">
        <v>9.9989999999999996E-4</v>
      </c>
    </row>
    <row r="217" spans="1:18">
      <c r="A217" s="15">
        <v>10</v>
      </c>
      <c r="B217" s="21">
        <v>39709</v>
      </c>
      <c r="C217" s="15">
        <v>2008</v>
      </c>
      <c r="D217" s="11" t="s">
        <v>40</v>
      </c>
      <c r="E217" s="15">
        <v>9</v>
      </c>
      <c r="F217" s="31">
        <v>1.7969999999999999</v>
      </c>
      <c r="G217" s="31">
        <v>2.7E-2</v>
      </c>
      <c r="H217" s="31">
        <v>9.9989999999999996E-4</v>
      </c>
      <c r="I217" s="31">
        <v>0.313</v>
      </c>
      <c r="J217" s="31">
        <v>2.5999999999999999E-2</v>
      </c>
      <c r="K217" s="31">
        <v>9.9989999999999996E-4</v>
      </c>
    </row>
    <row r="218" spans="1:18">
      <c r="A218" s="15">
        <v>9</v>
      </c>
      <c r="B218" s="21">
        <v>39735</v>
      </c>
      <c r="C218" s="15">
        <v>2008</v>
      </c>
      <c r="D218" s="11" t="s">
        <v>36</v>
      </c>
      <c r="E218" s="15">
        <v>10</v>
      </c>
      <c r="F218" s="26">
        <v>3.992</v>
      </c>
      <c r="G218" s="26">
        <v>1.0999999999999999E-2</v>
      </c>
      <c r="H218" s="26">
        <v>0.214</v>
      </c>
      <c r="I218" s="26">
        <v>1.718</v>
      </c>
      <c r="J218" s="31">
        <v>9.1999999999999998E-2</v>
      </c>
      <c r="K218" s="31">
        <v>9.9989999999999996E-4</v>
      </c>
    </row>
    <row r="219" spans="1:18">
      <c r="A219" s="15">
        <v>10</v>
      </c>
      <c r="B219" s="21">
        <v>39735</v>
      </c>
      <c r="C219" s="15">
        <v>2008</v>
      </c>
      <c r="D219" s="11" t="s">
        <v>36</v>
      </c>
      <c r="E219" s="15">
        <v>10</v>
      </c>
      <c r="F219" s="26">
        <v>1.3120000000000001</v>
      </c>
      <c r="G219" s="26">
        <v>4.5999999999999999E-2</v>
      </c>
      <c r="H219" s="26">
        <v>9.9989999999999996E-4</v>
      </c>
      <c r="I219" s="26">
        <v>0.17100000000000001</v>
      </c>
      <c r="J219" s="31">
        <v>1.7000000000000001E-2</v>
      </c>
      <c r="K219" s="31">
        <v>9.9989999999999996E-4</v>
      </c>
    </row>
    <row r="220" spans="1:18">
      <c r="A220" s="15">
        <v>9</v>
      </c>
      <c r="B220" s="21">
        <v>39769</v>
      </c>
      <c r="C220" s="15">
        <v>2008</v>
      </c>
      <c r="D220" s="11" t="s">
        <v>37</v>
      </c>
      <c r="E220" s="15">
        <v>11</v>
      </c>
      <c r="F220" s="26">
        <v>0.627</v>
      </c>
      <c r="G220" s="26">
        <v>1.9E-2</v>
      </c>
      <c r="H220" s="26">
        <v>9.9989999999999996E-4</v>
      </c>
      <c r="I220" s="26">
        <v>0.10299999999999999</v>
      </c>
      <c r="J220" s="31">
        <v>4.0000000000000001E-3</v>
      </c>
      <c r="K220" s="31">
        <v>9.9989999999999996E-4</v>
      </c>
    </row>
    <row r="221" spans="1:18">
      <c r="A221" s="15">
        <v>10</v>
      </c>
      <c r="B221" s="21">
        <v>39769</v>
      </c>
      <c r="C221" s="15">
        <v>2008</v>
      </c>
      <c r="D221" s="11" t="s">
        <v>37</v>
      </c>
      <c r="E221" s="15">
        <v>11</v>
      </c>
      <c r="F221" s="26">
        <v>0.77200000000000002</v>
      </c>
      <c r="G221" s="26">
        <v>4.2000000000000003E-2</v>
      </c>
      <c r="H221" s="26">
        <v>9.9989999999999996E-4</v>
      </c>
      <c r="I221" s="26">
        <v>9.5000000000000001E-2</v>
      </c>
      <c r="J221" s="31">
        <v>4.0000000000000001E-3</v>
      </c>
      <c r="K221" s="31">
        <v>9.9989999999999996E-4</v>
      </c>
    </row>
    <row r="222" spans="1:18">
      <c r="A222" s="15">
        <v>9</v>
      </c>
      <c r="B222" s="21">
        <v>39797</v>
      </c>
      <c r="C222" s="15">
        <v>2008</v>
      </c>
      <c r="D222" s="11" t="s">
        <v>38</v>
      </c>
      <c r="E222" s="15">
        <v>12</v>
      </c>
      <c r="F222" s="26">
        <v>1.2150000000000001</v>
      </c>
      <c r="G222" s="26">
        <v>4.3999999999999997E-2</v>
      </c>
      <c r="H222" s="26">
        <v>9.9989999999999996E-4</v>
      </c>
      <c r="I222" s="26">
        <v>0.34100000000000003</v>
      </c>
      <c r="J222" s="31">
        <v>9.9989999999999996E-4</v>
      </c>
      <c r="K222" s="31">
        <v>9.9989999999999996E-4</v>
      </c>
    </row>
    <row r="223" spans="1:18" ht="25.5">
      <c r="A223" s="15">
        <v>10</v>
      </c>
      <c r="B223" s="21">
        <v>39797</v>
      </c>
      <c r="C223" s="15">
        <v>2008</v>
      </c>
      <c r="D223" s="11" t="s">
        <v>38</v>
      </c>
      <c r="E223" s="15">
        <v>12</v>
      </c>
      <c r="F223" s="26">
        <v>4.3120000000000003</v>
      </c>
      <c r="G223" s="26">
        <v>0.35699999999999998</v>
      </c>
      <c r="H223" s="26">
        <v>9.9989999999999996E-4</v>
      </c>
      <c r="I223" s="26">
        <v>0.96599999999999997</v>
      </c>
      <c r="J223" s="31">
        <v>5.8000000000000003E-2</v>
      </c>
      <c r="K223" s="31">
        <v>9.9989999999999996E-4</v>
      </c>
      <c r="L223" s="34" t="s">
        <v>51</v>
      </c>
      <c r="M223" s="6" t="s">
        <v>7</v>
      </c>
      <c r="N223" s="6" t="s">
        <v>8</v>
      </c>
      <c r="O223" s="6" t="s">
        <v>9</v>
      </c>
      <c r="P223" s="6" t="s">
        <v>10</v>
      </c>
      <c r="Q223" s="6" t="s">
        <v>11</v>
      </c>
      <c r="R223" s="6" t="s">
        <v>12</v>
      </c>
    </row>
    <row r="224" spans="1:18">
      <c r="A224" s="46">
        <v>9</v>
      </c>
      <c r="B224" s="53">
        <v>39826</v>
      </c>
      <c r="C224" s="46">
        <v>2009</v>
      </c>
      <c r="D224" s="42" t="s">
        <v>39</v>
      </c>
      <c r="E224" s="40">
        <v>1</v>
      </c>
      <c r="F224" s="60">
        <v>2.718</v>
      </c>
      <c r="G224" s="60">
        <v>3.4000000000000002E-2</v>
      </c>
      <c r="H224" s="60">
        <v>9.9989999999999996E-4</v>
      </c>
      <c r="I224" s="60">
        <v>0.73</v>
      </c>
      <c r="J224" s="58">
        <v>9.9989999999999996E-4</v>
      </c>
      <c r="K224" s="58">
        <v>9.9989999999999996E-4</v>
      </c>
      <c r="L224" s="34" t="s">
        <v>55</v>
      </c>
      <c r="M224" s="35">
        <f t="shared" ref="M224:R224" si="6">AVERAGE(F224:F247)</f>
        <v>2.7369999999999997</v>
      </c>
      <c r="N224" s="35">
        <f t="shared" si="6"/>
        <v>6.2874983333333329E-2</v>
      </c>
      <c r="O224" s="35">
        <f t="shared" si="6"/>
        <v>9.9991250000000032E-4</v>
      </c>
      <c r="P224" s="35">
        <f t="shared" si="6"/>
        <v>0.66937500000000005</v>
      </c>
      <c r="Q224" s="35">
        <f t="shared" si="6"/>
        <v>3.0833312500000012E-2</v>
      </c>
      <c r="R224" s="35">
        <f t="shared" si="6"/>
        <v>9.999000000000004E-4</v>
      </c>
    </row>
    <row r="225" spans="1:12">
      <c r="A225" s="15">
        <v>10</v>
      </c>
      <c r="B225" s="21">
        <v>39826</v>
      </c>
      <c r="C225" s="15">
        <v>2009</v>
      </c>
      <c r="D225" s="11" t="s">
        <v>39</v>
      </c>
      <c r="E225" s="12">
        <v>1</v>
      </c>
      <c r="F225" s="26">
        <v>2.0840000000000001</v>
      </c>
      <c r="G225" s="26">
        <v>2.1999999999999999E-2</v>
      </c>
      <c r="H225" s="26">
        <v>9.9989999999999996E-4</v>
      </c>
      <c r="I225" s="26">
        <v>0.58699999999999997</v>
      </c>
      <c r="J225" s="31">
        <v>9.9989999999999996E-4</v>
      </c>
      <c r="K225" s="31">
        <v>9.9989999999999996E-4</v>
      </c>
      <c r="L225"/>
    </row>
    <row r="226" spans="1:12">
      <c r="A226" s="12">
        <v>9</v>
      </c>
      <c r="B226" s="21">
        <v>39861</v>
      </c>
      <c r="C226" s="15">
        <v>2009</v>
      </c>
      <c r="D226" s="11" t="s">
        <v>28</v>
      </c>
      <c r="E226" s="12">
        <v>2</v>
      </c>
      <c r="F226" s="26">
        <v>2.077</v>
      </c>
      <c r="G226" s="26">
        <v>9.9989999999999996E-4</v>
      </c>
      <c r="H226" s="26">
        <v>9.9989999999999996E-4</v>
      </c>
      <c r="I226" s="26">
        <v>0.76200000000000001</v>
      </c>
      <c r="J226" s="31">
        <v>1.4E-2</v>
      </c>
      <c r="K226" s="31">
        <v>9.9989999999999996E-4</v>
      </c>
      <c r="L226"/>
    </row>
    <row r="227" spans="1:12">
      <c r="A227" s="12">
        <v>10</v>
      </c>
      <c r="B227" s="21">
        <v>39861</v>
      </c>
      <c r="C227" s="15">
        <v>2009</v>
      </c>
      <c r="D227" s="11" t="s">
        <v>28</v>
      </c>
      <c r="E227" s="12">
        <v>2</v>
      </c>
      <c r="F227" s="26">
        <v>1.7310000000000001</v>
      </c>
      <c r="G227" s="26">
        <v>9.9989999999999996E-4</v>
      </c>
      <c r="H227" s="26">
        <v>9.9989999999999996E-4</v>
      </c>
      <c r="I227" s="26">
        <v>0.60599999999999998</v>
      </c>
      <c r="J227" s="31">
        <v>1.7000000000000001E-2</v>
      </c>
      <c r="K227" s="31">
        <v>9.9989999999999996E-4</v>
      </c>
      <c r="L227"/>
    </row>
    <row r="228" spans="1:12">
      <c r="A228" s="12">
        <v>9</v>
      </c>
      <c r="B228" s="21">
        <v>39888</v>
      </c>
      <c r="C228" s="15">
        <v>2009</v>
      </c>
      <c r="D228" s="11" t="s">
        <v>29</v>
      </c>
      <c r="E228" s="12">
        <v>3</v>
      </c>
      <c r="F228" s="26">
        <v>3.859</v>
      </c>
      <c r="G228" s="26">
        <v>5.1999999999999998E-2</v>
      </c>
      <c r="H228" s="26">
        <v>9.9989999999999996E-4</v>
      </c>
      <c r="I228" s="26">
        <v>1.4139999999999999</v>
      </c>
      <c r="J228" s="31">
        <v>1.0999999999999999E-2</v>
      </c>
      <c r="K228" s="31">
        <v>9.9989999999999996E-4</v>
      </c>
      <c r="L228"/>
    </row>
    <row r="229" spans="1:12">
      <c r="A229" s="12">
        <v>10</v>
      </c>
      <c r="B229" s="21">
        <v>39888</v>
      </c>
      <c r="C229" s="15">
        <v>2009</v>
      </c>
      <c r="D229" s="11" t="s">
        <v>29</v>
      </c>
      <c r="E229" s="12">
        <v>3</v>
      </c>
      <c r="F229" s="26">
        <v>3.5259999999999998</v>
      </c>
      <c r="G229" s="26">
        <v>5.2999999999999999E-2</v>
      </c>
      <c r="H229" s="26">
        <v>9.9989999999999996E-4</v>
      </c>
      <c r="I229" s="26">
        <v>1.1839999999999999</v>
      </c>
      <c r="J229" s="31">
        <v>1.2999999999999999E-2</v>
      </c>
      <c r="K229" s="31">
        <v>9.9989999999999996E-4</v>
      </c>
      <c r="L229"/>
    </row>
    <row r="230" spans="1:12">
      <c r="A230" s="12">
        <v>9</v>
      </c>
      <c r="B230" s="21">
        <v>39916</v>
      </c>
      <c r="C230" s="15">
        <v>2009</v>
      </c>
      <c r="D230" s="11" t="s">
        <v>30</v>
      </c>
      <c r="E230" s="12">
        <v>4</v>
      </c>
      <c r="F230" s="26">
        <v>0.66500000000000004</v>
      </c>
      <c r="G230" s="26">
        <v>1.2E-2</v>
      </c>
      <c r="H230" s="26">
        <v>9.9989999999999996E-4</v>
      </c>
      <c r="I230" s="26">
        <v>9.8000000000000004E-2</v>
      </c>
      <c r="J230" s="31">
        <v>6.0000000000000001E-3</v>
      </c>
      <c r="K230" s="31">
        <v>9.9989999999999996E-4</v>
      </c>
      <c r="L230"/>
    </row>
    <row r="231" spans="1:12">
      <c r="A231" s="12">
        <v>10</v>
      </c>
      <c r="B231" s="21">
        <v>39916</v>
      </c>
      <c r="C231" s="15">
        <v>2009</v>
      </c>
      <c r="D231" s="11" t="s">
        <v>30</v>
      </c>
      <c r="E231" s="12">
        <v>4</v>
      </c>
      <c r="F231" s="26">
        <v>0.52800000000000002</v>
      </c>
      <c r="G231" s="26">
        <v>8.0000000000000002E-3</v>
      </c>
      <c r="H231" s="26">
        <v>9.9989999999999996E-4</v>
      </c>
      <c r="I231" s="26">
        <v>0.06</v>
      </c>
      <c r="J231" s="31">
        <v>7.0000000000000001E-3</v>
      </c>
      <c r="K231" s="31">
        <v>9.9989999999999996E-4</v>
      </c>
      <c r="L231"/>
    </row>
    <row r="232" spans="1:12">
      <c r="A232" s="12">
        <v>9</v>
      </c>
      <c r="B232" s="21">
        <v>39946</v>
      </c>
      <c r="C232" s="15">
        <v>2009</v>
      </c>
      <c r="D232" s="11" t="s">
        <v>31</v>
      </c>
      <c r="E232" s="12">
        <v>5</v>
      </c>
      <c r="F232" s="26">
        <v>0.59599999999999997</v>
      </c>
      <c r="G232" s="26">
        <v>7.0000000000000001E-3</v>
      </c>
      <c r="H232" s="26">
        <v>9.9989999999999996E-4</v>
      </c>
      <c r="I232" s="26">
        <v>7.2999999999999995E-2</v>
      </c>
      <c r="J232" s="31">
        <v>9.9989999999999996E-4</v>
      </c>
      <c r="K232" s="31">
        <v>9.9989999999999996E-4</v>
      </c>
      <c r="L232"/>
    </row>
    <row r="233" spans="1:12">
      <c r="A233" s="12">
        <v>10</v>
      </c>
      <c r="B233" s="21">
        <v>39946</v>
      </c>
      <c r="C233" s="15">
        <v>2009</v>
      </c>
      <c r="D233" s="11" t="s">
        <v>31</v>
      </c>
      <c r="E233" s="12">
        <v>5</v>
      </c>
      <c r="F233" s="26">
        <v>0.85199999999999998</v>
      </c>
      <c r="G233" s="26">
        <v>2.1000000000000001E-2</v>
      </c>
      <c r="H233" s="26">
        <v>9.9989999999999996E-4</v>
      </c>
      <c r="I233" s="26">
        <v>0.10100000000000001</v>
      </c>
      <c r="J233" s="31">
        <v>4.0000000000000001E-3</v>
      </c>
      <c r="K233" s="31">
        <v>9.9989999999999996E-4</v>
      </c>
      <c r="L233"/>
    </row>
    <row r="234" spans="1:12">
      <c r="A234" s="15">
        <v>9</v>
      </c>
      <c r="B234" s="21">
        <v>39983</v>
      </c>
      <c r="C234" s="15">
        <v>2009</v>
      </c>
      <c r="D234" s="11" t="s">
        <v>32</v>
      </c>
      <c r="E234" s="12">
        <v>6</v>
      </c>
      <c r="F234" s="26">
        <v>3.1190000000000002</v>
      </c>
      <c r="G234" s="26">
        <v>1.2999999999999999E-2</v>
      </c>
      <c r="H234" s="26">
        <v>1E-3</v>
      </c>
      <c r="I234" s="26">
        <v>1.042</v>
      </c>
      <c r="J234" s="31">
        <v>2.9000000000000001E-2</v>
      </c>
      <c r="K234" s="31">
        <v>9.9989999999999996E-4</v>
      </c>
      <c r="L234"/>
    </row>
    <row r="235" spans="1:12">
      <c r="A235" s="15">
        <v>10</v>
      </c>
      <c r="B235" s="21">
        <v>39983</v>
      </c>
      <c r="C235" s="15">
        <v>2009</v>
      </c>
      <c r="D235" s="11" t="s">
        <v>32</v>
      </c>
      <c r="E235" s="12">
        <v>6</v>
      </c>
      <c r="F235" s="26">
        <v>2.516</v>
      </c>
      <c r="G235" s="26">
        <v>9.9989999999999996E-4</v>
      </c>
      <c r="H235" s="26">
        <v>9.9989999999999996E-4</v>
      </c>
      <c r="I235" s="26">
        <v>0.64</v>
      </c>
      <c r="J235" s="31">
        <v>2.5999999999999999E-2</v>
      </c>
      <c r="K235" s="31">
        <v>9.9989999999999996E-4</v>
      </c>
      <c r="L235"/>
    </row>
    <row r="236" spans="1:12">
      <c r="A236" s="15">
        <v>9</v>
      </c>
      <c r="B236" s="21">
        <v>40007</v>
      </c>
      <c r="C236" s="15">
        <v>2009</v>
      </c>
      <c r="D236" s="11" t="s">
        <v>33</v>
      </c>
      <c r="E236" s="12">
        <v>7</v>
      </c>
      <c r="F236" s="26">
        <v>4.57</v>
      </c>
      <c r="G236" s="26">
        <v>8.5999999999999993E-2</v>
      </c>
      <c r="H236" s="26">
        <v>1E-3</v>
      </c>
      <c r="I236" s="26">
        <v>0.95699999999999996</v>
      </c>
      <c r="J236" s="31">
        <v>3.1E-2</v>
      </c>
      <c r="K236" s="31">
        <v>9.9989999999999996E-4</v>
      </c>
      <c r="L236"/>
    </row>
    <row r="237" spans="1:12">
      <c r="A237" s="15">
        <v>10</v>
      </c>
      <c r="B237" s="21">
        <v>40007</v>
      </c>
      <c r="C237" s="15">
        <v>2009</v>
      </c>
      <c r="D237" s="11" t="s">
        <v>33</v>
      </c>
      <c r="E237" s="12">
        <v>7</v>
      </c>
      <c r="F237" s="26">
        <v>3.2389999999999999</v>
      </c>
      <c r="G237" s="26">
        <v>0.11799999999999999</v>
      </c>
      <c r="H237" s="26">
        <v>9.9989999999999996E-4</v>
      </c>
      <c r="I237" s="26">
        <v>0.45300000000000001</v>
      </c>
      <c r="J237" s="31">
        <v>2.5999999999999999E-2</v>
      </c>
      <c r="K237" s="31">
        <v>9.9989999999999996E-4</v>
      </c>
      <c r="L237"/>
    </row>
    <row r="238" spans="1:12">
      <c r="A238" s="15">
        <v>9</v>
      </c>
      <c r="B238" s="21">
        <v>40042</v>
      </c>
      <c r="C238" s="15">
        <v>2009</v>
      </c>
      <c r="D238" s="11" t="s">
        <v>34</v>
      </c>
      <c r="E238" s="12">
        <v>8</v>
      </c>
      <c r="F238" s="26">
        <v>5.7190000000000003</v>
      </c>
      <c r="G238" s="26">
        <v>9.7000000000000003E-2</v>
      </c>
      <c r="H238" s="26">
        <v>1E-3</v>
      </c>
      <c r="I238" s="26">
        <v>1.538</v>
      </c>
      <c r="J238" s="31">
        <v>0.108</v>
      </c>
      <c r="K238" s="31">
        <v>9.9989999999999996E-4</v>
      </c>
      <c r="L238"/>
    </row>
    <row r="239" spans="1:12">
      <c r="A239" s="15">
        <v>10</v>
      </c>
      <c r="B239" s="21">
        <v>40042</v>
      </c>
      <c r="C239" s="15">
        <v>2009</v>
      </c>
      <c r="D239" s="11" t="s">
        <v>34</v>
      </c>
      <c r="E239" s="12">
        <v>8</v>
      </c>
      <c r="F239" s="26">
        <v>13.336</v>
      </c>
      <c r="G239" s="26">
        <v>0.77300000000000002</v>
      </c>
      <c r="H239" s="26">
        <v>9.9989999999999996E-4</v>
      </c>
      <c r="I239" s="26">
        <v>2.9180000000000001</v>
      </c>
      <c r="J239" s="31">
        <v>0.33300000000000002</v>
      </c>
      <c r="K239" s="31">
        <v>9.9989999999999996E-4</v>
      </c>
      <c r="L239"/>
    </row>
    <row r="240" spans="1:12">
      <c r="A240" s="15">
        <v>9</v>
      </c>
      <c r="B240" s="21">
        <v>40071</v>
      </c>
      <c r="C240" s="15">
        <v>2009</v>
      </c>
      <c r="D240" s="11" t="s">
        <v>40</v>
      </c>
      <c r="E240" s="12">
        <v>9</v>
      </c>
      <c r="F240" s="26">
        <v>3.0950000000000002</v>
      </c>
      <c r="G240" s="26">
        <v>2.1999999999999999E-2</v>
      </c>
      <c r="H240" s="26">
        <v>9.9989999999999996E-4</v>
      </c>
      <c r="I240" s="26">
        <v>0.45600000000000002</v>
      </c>
      <c r="J240" s="31">
        <v>2.4E-2</v>
      </c>
      <c r="K240" s="31">
        <v>9.9989999999999996E-4</v>
      </c>
      <c r="L240"/>
    </row>
    <row r="241" spans="1:18">
      <c r="A241" s="15">
        <v>10</v>
      </c>
      <c r="B241" s="21">
        <v>40071</v>
      </c>
      <c r="C241" s="15">
        <v>2009</v>
      </c>
      <c r="D241" s="11" t="s">
        <v>40</v>
      </c>
      <c r="E241" s="12">
        <v>9</v>
      </c>
      <c r="F241" s="26">
        <v>3.5539999999999998</v>
      </c>
      <c r="G241" s="26">
        <v>4.8000000000000001E-2</v>
      </c>
      <c r="H241" s="26">
        <v>9.9989999999999996E-4</v>
      </c>
      <c r="I241" s="26">
        <v>0.42699999999999999</v>
      </c>
      <c r="J241" s="31">
        <v>3.5999999999999997E-2</v>
      </c>
      <c r="K241" s="31">
        <v>9.9989999999999996E-4</v>
      </c>
    </row>
    <row r="242" spans="1:18">
      <c r="A242" s="15">
        <v>9</v>
      </c>
      <c r="B242" s="21">
        <v>40100</v>
      </c>
      <c r="C242" s="15">
        <v>2009</v>
      </c>
      <c r="D242" s="11" t="s">
        <v>36</v>
      </c>
      <c r="E242" s="12">
        <v>10</v>
      </c>
      <c r="F242" s="26">
        <v>0.78600000000000003</v>
      </c>
      <c r="G242" s="26">
        <v>0.01</v>
      </c>
      <c r="H242" s="26">
        <v>9.9989999999999996E-4</v>
      </c>
      <c r="I242" s="26">
        <v>0.19600000000000001</v>
      </c>
      <c r="J242" s="31">
        <v>9.9989999999999996E-4</v>
      </c>
      <c r="K242" s="31">
        <v>9.9989999999999996E-4</v>
      </c>
    </row>
    <row r="243" spans="1:18">
      <c r="A243" s="15">
        <v>10</v>
      </c>
      <c r="B243" s="21">
        <v>40100</v>
      </c>
      <c r="C243" s="15">
        <v>2009</v>
      </c>
      <c r="D243" s="11" t="s">
        <v>36</v>
      </c>
      <c r="E243" s="12">
        <v>10</v>
      </c>
      <c r="F243" s="26">
        <v>1.147</v>
      </c>
      <c r="G243" s="26">
        <v>1.2999999999999999E-2</v>
      </c>
      <c r="H243" s="26">
        <v>9.9989999999999996E-4</v>
      </c>
      <c r="I243" s="26">
        <v>0.214</v>
      </c>
      <c r="J243" s="31">
        <v>9.9989999999999996E-4</v>
      </c>
      <c r="K243" s="31">
        <v>9.9989999999999996E-4</v>
      </c>
    </row>
    <row r="244" spans="1:18">
      <c r="A244" s="15">
        <v>9</v>
      </c>
      <c r="B244" s="21">
        <v>40133</v>
      </c>
      <c r="C244" s="15">
        <v>2009</v>
      </c>
      <c r="D244" s="11" t="s">
        <v>37</v>
      </c>
      <c r="E244" s="12">
        <v>11</v>
      </c>
      <c r="F244" s="26">
        <v>1.613</v>
      </c>
      <c r="G244" s="26">
        <v>4.2000000000000003E-2</v>
      </c>
      <c r="H244" s="26">
        <v>9.9989999999999996E-4</v>
      </c>
      <c r="I244" s="26">
        <v>0.47599999999999998</v>
      </c>
      <c r="J244" s="31">
        <v>1.4E-2</v>
      </c>
      <c r="K244" s="31">
        <v>9.9989999999999996E-4</v>
      </c>
    </row>
    <row r="245" spans="1:18">
      <c r="A245" s="15">
        <v>10</v>
      </c>
      <c r="B245" s="21">
        <v>40133</v>
      </c>
      <c r="C245" s="15">
        <v>2009</v>
      </c>
      <c r="D245" s="11" t="s">
        <v>37</v>
      </c>
      <c r="E245" s="12">
        <v>11</v>
      </c>
      <c r="F245" s="26">
        <v>1.095</v>
      </c>
      <c r="G245" s="26">
        <v>2.9000000000000001E-2</v>
      </c>
      <c r="H245" s="26">
        <v>9.9989999999999996E-4</v>
      </c>
      <c r="I245" s="26">
        <v>0.33500000000000002</v>
      </c>
      <c r="J245" s="31">
        <v>1.4999999999999999E-2</v>
      </c>
      <c r="K245" s="31">
        <v>9.9989999999999996E-4</v>
      </c>
    </row>
    <row r="246" spans="1:18">
      <c r="A246" s="15">
        <v>9</v>
      </c>
      <c r="B246" s="21">
        <v>40161</v>
      </c>
      <c r="C246" s="15">
        <v>2009</v>
      </c>
      <c r="D246" s="11" t="s">
        <v>38</v>
      </c>
      <c r="E246" s="12">
        <v>12</v>
      </c>
      <c r="F246" s="26">
        <v>1.8680000000000001</v>
      </c>
      <c r="G246" s="26">
        <v>4.4999999999999998E-2</v>
      </c>
      <c r="H246" s="26">
        <v>9.9989999999999996E-4</v>
      </c>
      <c r="I246" s="61">
        <v>0.46100000000000002</v>
      </c>
      <c r="J246" s="31">
        <v>8.9999999999999993E-3</v>
      </c>
      <c r="K246" s="31">
        <v>9.9989999999999996E-4</v>
      </c>
    </row>
    <row r="247" spans="1:18" ht="25.5">
      <c r="A247" s="15">
        <v>10</v>
      </c>
      <c r="B247" s="21">
        <v>40161</v>
      </c>
      <c r="C247" s="15">
        <v>2009</v>
      </c>
      <c r="D247" s="11" t="s">
        <v>38</v>
      </c>
      <c r="E247" s="12">
        <v>12</v>
      </c>
      <c r="F247" s="26">
        <v>1.395</v>
      </c>
      <c r="G247" s="26">
        <v>9.9989999999999996E-4</v>
      </c>
      <c r="H247" s="26">
        <v>9.9989999999999996E-4</v>
      </c>
      <c r="I247" s="61">
        <v>0.33700000000000002</v>
      </c>
      <c r="J247" s="31">
        <v>1.2E-2</v>
      </c>
      <c r="K247" s="31">
        <v>9.9989999999999996E-4</v>
      </c>
      <c r="L247" s="34" t="s">
        <v>42</v>
      </c>
      <c r="M247" s="6" t="s">
        <v>7</v>
      </c>
      <c r="N247" s="6" t="s">
        <v>8</v>
      </c>
      <c r="O247" s="6" t="s">
        <v>9</v>
      </c>
      <c r="P247" s="6" t="s">
        <v>10</v>
      </c>
      <c r="Q247" s="6" t="s">
        <v>11</v>
      </c>
      <c r="R247" s="6" t="s">
        <v>12</v>
      </c>
    </row>
    <row r="248" spans="1:18">
      <c r="A248" s="46">
        <v>9</v>
      </c>
      <c r="B248" s="50">
        <v>40197</v>
      </c>
      <c r="C248" s="46">
        <v>2010</v>
      </c>
      <c r="D248" s="42" t="s">
        <v>39</v>
      </c>
      <c r="E248" s="40">
        <v>1</v>
      </c>
      <c r="F248" s="60">
        <v>9.4469999999999992</v>
      </c>
      <c r="G248" s="60">
        <v>0.48309225</v>
      </c>
      <c r="H248" s="60">
        <v>0</v>
      </c>
      <c r="I248" s="62">
        <v>3.7957485000000002</v>
      </c>
      <c r="J248" s="58">
        <v>1.8100499999999999E-2</v>
      </c>
      <c r="K248" s="58">
        <v>0</v>
      </c>
      <c r="L248" s="34" t="s">
        <v>56</v>
      </c>
      <c r="M248" s="35">
        <f t="shared" ref="M248:R248" si="7">AVERAGE(F248:F271)</f>
        <v>4.7870833333333325</v>
      </c>
      <c r="N248" s="35">
        <f t="shared" si="7"/>
        <v>0.12243395833333333</v>
      </c>
      <c r="O248" s="35">
        <f t="shared" si="7"/>
        <v>2.0232927083333335E-2</v>
      </c>
      <c r="P248" s="35">
        <f t="shared" si="7"/>
        <v>1.8755333958333333</v>
      </c>
      <c r="Q248" s="35">
        <f t="shared" si="7"/>
        <v>6.0403958333333334E-2</v>
      </c>
      <c r="R248" s="35">
        <f t="shared" si="7"/>
        <v>0</v>
      </c>
    </row>
    <row r="249" spans="1:18">
      <c r="A249" s="15">
        <v>10</v>
      </c>
      <c r="B249" s="18">
        <v>40197</v>
      </c>
      <c r="C249" s="15">
        <v>2010</v>
      </c>
      <c r="D249" s="11" t="s">
        <v>39</v>
      </c>
      <c r="E249" s="12">
        <v>1</v>
      </c>
      <c r="F249" s="26">
        <v>7.7149999999999999</v>
      </c>
      <c r="G249" s="26">
        <v>0.12673324999999999</v>
      </c>
      <c r="H249" s="26">
        <v>0</v>
      </c>
      <c r="I249" s="61">
        <v>3.3926626249999994</v>
      </c>
      <c r="J249" s="31">
        <v>2.2684124999999996E-2</v>
      </c>
      <c r="K249" s="31">
        <v>0</v>
      </c>
    </row>
    <row r="250" spans="1:18">
      <c r="A250" s="15">
        <v>9</v>
      </c>
      <c r="C250" s="15">
        <v>2010</v>
      </c>
      <c r="D250" s="11" t="s">
        <v>28</v>
      </c>
      <c r="E250" s="12">
        <v>2</v>
      </c>
      <c r="F250" s="26">
        <v>5.3949999999999996</v>
      </c>
      <c r="G250" s="26">
        <v>3.2409500000000001E-2</v>
      </c>
      <c r="H250" s="26">
        <v>0</v>
      </c>
      <c r="I250" s="61">
        <v>1.3329726249999998</v>
      </c>
      <c r="J250" s="31">
        <v>3.2966374999999992E-2</v>
      </c>
      <c r="K250" s="31">
        <v>0</v>
      </c>
    </row>
    <row r="251" spans="1:18">
      <c r="A251" s="15">
        <v>10</v>
      </c>
      <c r="C251" s="15">
        <v>2010</v>
      </c>
      <c r="D251" s="11" t="s">
        <v>28</v>
      </c>
      <c r="E251" s="12">
        <v>2</v>
      </c>
      <c r="F251" s="26">
        <v>3.2669999999999999</v>
      </c>
      <c r="G251" s="26">
        <v>0</v>
      </c>
      <c r="H251" s="26">
        <v>0</v>
      </c>
      <c r="I251" s="61">
        <v>0.82336724999999999</v>
      </c>
      <c r="J251" s="31">
        <v>3.2026875000000003E-2</v>
      </c>
      <c r="K251" s="31">
        <v>0</v>
      </c>
    </row>
    <row r="252" spans="1:18">
      <c r="A252" s="15">
        <v>9</v>
      </c>
      <c r="B252" s="18">
        <v>40255</v>
      </c>
      <c r="C252" s="15">
        <v>2010</v>
      </c>
      <c r="D252" s="11" t="s">
        <v>29</v>
      </c>
      <c r="E252" s="12">
        <v>3</v>
      </c>
      <c r="F252" s="26">
        <v>9.5939999999999994</v>
      </c>
      <c r="G252" s="26">
        <v>8.229874999999999E-2</v>
      </c>
      <c r="H252" s="26">
        <v>0</v>
      </c>
      <c r="I252" s="61">
        <v>4.6470500000000001</v>
      </c>
      <c r="J252" s="31">
        <v>0.15777825000000001</v>
      </c>
      <c r="K252" s="31">
        <v>0</v>
      </c>
    </row>
    <row r="253" spans="1:18">
      <c r="A253" s="15">
        <v>10</v>
      </c>
      <c r="B253" s="18">
        <v>40255</v>
      </c>
      <c r="C253" s="15">
        <v>2010</v>
      </c>
      <c r="D253" s="11" t="s">
        <v>29</v>
      </c>
      <c r="E253" s="12">
        <v>3</v>
      </c>
      <c r="F253" s="26">
        <v>8.5579999999999998</v>
      </c>
      <c r="G253" s="26">
        <v>6.6795875000000005E-2</v>
      </c>
      <c r="H253" s="26">
        <v>0</v>
      </c>
      <c r="I253" s="61">
        <v>4.1966479999999997</v>
      </c>
      <c r="J253" s="31">
        <v>0.17347062499999996</v>
      </c>
      <c r="K253" s="31">
        <v>0</v>
      </c>
    </row>
    <row r="254" spans="1:18">
      <c r="A254" s="15">
        <v>9</v>
      </c>
      <c r="B254" s="18">
        <v>40281</v>
      </c>
      <c r="C254" s="15">
        <v>2010</v>
      </c>
      <c r="D254" s="11" t="s">
        <v>30</v>
      </c>
      <c r="E254" s="12">
        <v>4</v>
      </c>
      <c r="F254" s="26">
        <v>2.2589999999999999</v>
      </c>
      <c r="G254" s="26">
        <v>0</v>
      </c>
      <c r="H254" s="26">
        <v>0</v>
      </c>
      <c r="I254" s="61">
        <v>0.91311675000000003</v>
      </c>
      <c r="J254" s="31">
        <v>1.0604624999999998E-2</v>
      </c>
      <c r="K254" s="31">
        <v>0</v>
      </c>
    </row>
    <row r="255" spans="1:18">
      <c r="A255" s="15">
        <v>10</v>
      </c>
      <c r="B255" s="18">
        <v>40281</v>
      </c>
      <c r="C255" s="15">
        <v>2010</v>
      </c>
      <c r="D255" s="11" t="s">
        <v>30</v>
      </c>
      <c r="E255" s="12">
        <v>4</v>
      </c>
      <c r="F255" s="26">
        <v>2.4209999999999998</v>
      </c>
      <c r="G255" s="26">
        <v>2.8224249999999999E-2</v>
      </c>
      <c r="H255" s="26">
        <v>0</v>
      </c>
      <c r="I255" s="61">
        <v>0.65076350000000005</v>
      </c>
      <c r="J255" s="31">
        <v>6.9958749999999995E-3</v>
      </c>
      <c r="K255" s="31">
        <v>0</v>
      </c>
    </row>
    <row r="256" spans="1:18">
      <c r="A256" s="15">
        <v>9</v>
      </c>
      <c r="B256" s="21">
        <v>40317</v>
      </c>
      <c r="C256" s="15">
        <v>2010</v>
      </c>
      <c r="D256" s="11" t="s">
        <v>31</v>
      </c>
      <c r="E256" s="12">
        <v>5</v>
      </c>
      <c r="F256" s="28">
        <v>2.9220000000000002</v>
      </c>
      <c r="G256" s="28">
        <v>0</v>
      </c>
      <c r="H256" s="28">
        <v>0</v>
      </c>
      <c r="I256" s="28">
        <v>1.3873073749999998</v>
      </c>
      <c r="J256" s="28">
        <v>1.3058874999999999E-2</v>
      </c>
      <c r="K256" s="28">
        <v>0</v>
      </c>
    </row>
    <row r="257" spans="1:18">
      <c r="A257" s="15">
        <v>10</v>
      </c>
      <c r="B257" s="21">
        <v>40317</v>
      </c>
      <c r="C257" s="15">
        <v>2010</v>
      </c>
      <c r="D257" s="11" t="s">
        <v>31</v>
      </c>
      <c r="E257" s="12">
        <v>5</v>
      </c>
      <c r="F257" s="28">
        <v>3.617</v>
      </c>
      <c r="G257" s="28">
        <v>5.0706499999999995E-2</v>
      </c>
      <c r="H257" s="28">
        <v>1.6410874999999998E-2</v>
      </c>
      <c r="I257" s="28">
        <v>1.01806475</v>
      </c>
      <c r="J257" s="28">
        <v>3.7441749999999996E-2</v>
      </c>
      <c r="K257" s="28">
        <v>0</v>
      </c>
    </row>
    <row r="258" spans="1:18">
      <c r="A258" s="15">
        <v>9</v>
      </c>
      <c r="B258" s="21">
        <v>40345</v>
      </c>
      <c r="C258" s="15">
        <v>2010</v>
      </c>
      <c r="D258" s="11" t="s">
        <v>32</v>
      </c>
      <c r="E258" s="12">
        <v>6</v>
      </c>
      <c r="F258" s="28">
        <v>7.1379999999999999</v>
      </c>
      <c r="G258" s="28">
        <v>0.23377012499999994</v>
      </c>
      <c r="H258" s="28">
        <v>0</v>
      </c>
      <c r="I258" s="28">
        <v>3.0713063749999989</v>
      </c>
      <c r="J258" s="28">
        <v>0.10227587499999997</v>
      </c>
      <c r="K258" s="28">
        <v>0</v>
      </c>
    </row>
    <row r="259" spans="1:18">
      <c r="A259" s="15">
        <v>10</v>
      </c>
      <c r="B259" s="21">
        <v>40345</v>
      </c>
      <c r="C259" s="15">
        <v>2010</v>
      </c>
      <c r="D259" s="11" t="s">
        <v>32</v>
      </c>
      <c r="E259" s="12">
        <v>6</v>
      </c>
      <c r="F259" s="28">
        <v>9.1150000000000002</v>
      </c>
      <c r="G259" s="28">
        <v>0.76834649999999993</v>
      </c>
      <c r="H259" s="28">
        <v>0</v>
      </c>
      <c r="I259" s="28">
        <v>3.6285796249999991</v>
      </c>
      <c r="J259" s="28">
        <v>0.12874437499999999</v>
      </c>
      <c r="K259" s="28">
        <v>0</v>
      </c>
    </row>
    <row r="260" spans="1:18">
      <c r="A260" s="15">
        <v>9</v>
      </c>
      <c r="B260" s="21">
        <v>40373</v>
      </c>
      <c r="C260" s="15">
        <v>2010</v>
      </c>
      <c r="D260" s="11" t="s">
        <v>33</v>
      </c>
      <c r="E260" s="12">
        <v>7</v>
      </c>
      <c r="F260" s="28">
        <v>6.0940000000000003</v>
      </c>
      <c r="G260" s="28">
        <v>0.211145</v>
      </c>
      <c r="H260" s="28">
        <v>0</v>
      </c>
      <c r="I260" s="28">
        <v>2.4686213750000001</v>
      </c>
      <c r="J260" s="28">
        <v>3.9361000000000007E-2</v>
      </c>
      <c r="K260" s="28">
        <v>0</v>
      </c>
    </row>
    <row r="261" spans="1:18">
      <c r="A261" s="15">
        <v>10</v>
      </c>
      <c r="B261" s="21">
        <v>40373</v>
      </c>
      <c r="C261" s="15">
        <v>2010</v>
      </c>
      <c r="D261" s="11" t="s">
        <v>33</v>
      </c>
      <c r="E261" s="12">
        <v>7</v>
      </c>
      <c r="F261" s="28">
        <v>12.361000000000001</v>
      </c>
      <c r="G261" s="28">
        <v>0.33589524999999992</v>
      </c>
      <c r="H261" s="28">
        <v>0</v>
      </c>
      <c r="I261" s="28">
        <v>4.9820033749999997</v>
      </c>
      <c r="J261" s="28">
        <v>0.15263025</v>
      </c>
      <c r="K261" s="28">
        <v>0</v>
      </c>
    </row>
    <row r="262" spans="1:18">
      <c r="A262" s="15">
        <v>9</v>
      </c>
      <c r="B262" s="21">
        <v>40409</v>
      </c>
      <c r="C262" s="15">
        <v>2010</v>
      </c>
      <c r="D262" s="11" t="s">
        <v>34</v>
      </c>
      <c r="E262" s="12">
        <v>8</v>
      </c>
      <c r="F262" s="28">
        <v>4.22</v>
      </c>
      <c r="G262" s="28">
        <v>0.20964037499999996</v>
      </c>
      <c r="H262" s="28">
        <v>6.2430624999999983E-2</v>
      </c>
      <c r="I262" s="28">
        <v>1.6029732499999998</v>
      </c>
      <c r="J262" s="28">
        <v>2.8655875000000004E-2</v>
      </c>
      <c r="K262" s="28">
        <v>0</v>
      </c>
    </row>
    <row r="263" spans="1:18">
      <c r="A263" s="15">
        <v>10</v>
      </c>
      <c r="B263" s="21">
        <v>40409</v>
      </c>
      <c r="C263" s="15">
        <v>2010</v>
      </c>
      <c r="D263" s="11" t="s">
        <v>34</v>
      </c>
      <c r="E263" s="12">
        <v>8</v>
      </c>
      <c r="F263" s="28">
        <v>8.1379999999999999</v>
      </c>
      <c r="G263" s="28">
        <v>0.14692775</v>
      </c>
      <c r="H263" s="28">
        <v>6.1454499999999995E-2</v>
      </c>
      <c r="I263" s="28">
        <v>2.8840490000000001</v>
      </c>
      <c r="J263" s="28">
        <v>0.29599112500000002</v>
      </c>
      <c r="K263" s="28">
        <v>0</v>
      </c>
    </row>
    <row r="264" spans="1:18">
      <c r="A264" s="15">
        <v>9</v>
      </c>
      <c r="B264" s="21">
        <v>40434</v>
      </c>
      <c r="C264" s="15">
        <v>2010</v>
      </c>
      <c r="D264" s="11" t="s">
        <v>40</v>
      </c>
      <c r="E264" s="12">
        <v>9</v>
      </c>
      <c r="F264" s="28">
        <v>2.3079999999999998</v>
      </c>
      <c r="G264" s="28">
        <v>0</v>
      </c>
      <c r="H264" s="28">
        <v>0</v>
      </c>
      <c r="I264" s="28">
        <v>0.94557862499999978</v>
      </c>
      <c r="J264" s="28">
        <v>1.5758250000000001E-2</v>
      </c>
      <c r="K264" s="28">
        <v>0</v>
      </c>
    </row>
    <row r="265" spans="1:18">
      <c r="A265" s="15">
        <v>10</v>
      </c>
      <c r="B265" s="21">
        <v>40434</v>
      </c>
      <c r="C265" s="15">
        <v>2010</v>
      </c>
      <c r="D265" s="11" t="s">
        <v>40</v>
      </c>
      <c r="E265" s="12">
        <v>9</v>
      </c>
      <c r="F265" s="28">
        <v>1.877</v>
      </c>
      <c r="G265" s="28">
        <v>3.2257874999999998E-2</v>
      </c>
      <c r="H265" s="28">
        <v>0</v>
      </c>
      <c r="I265" s="28">
        <v>0.44329337499999999</v>
      </c>
      <c r="J265" s="28">
        <v>2.2650874999999997E-2</v>
      </c>
      <c r="K265" s="28">
        <v>0</v>
      </c>
    </row>
    <row r="266" spans="1:18">
      <c r="A266" s="15">
        <v>9</v>
      </c>
      <c r="B266" s="21">
        <v>40463</v>
      </c>
      <c r="C266" s="15">
        <v>2010</v>
      </c>
      <c r="D266" s="11" t="s">
        <v>36</v>
      </c>
      <c r="E266" s="12">
        <v>10</v>
      </c>
      <c r="F266" s="26">
        <v>1.004</v>
      </c>
      <c r="G266" s="26">
        <v>0</v>
      </c>
      <c r="H266" s="26">
        <v>0</v>
      </c>
      <c r="I266" s="26">
        <v>0.11304487499999999</v>
      </c>
      <c r="J266" s="31">
        <v>0</v>
      </c>
      <c r="K266" s="31">
        <v>0</v>
      </c>
    </row>
    <row r="267" spans="1:18">
      <c r="A267" s="15">
        <v>10</v>
      </c>
      <c r="B267" s="21">
        <v>40463</v>
      </c>
      <c r="C267" s="15">
        <v>2010</v>
      </c>
      <c r="D267" s="11" t="s">
        <v>36</v>
      </c>
      <c r="E267" s="12">
        <v>10</v>
      </c>
      <c r="F267" s="26">
        <v>0.58599999999999997</v>
      </c>
      <c r="G267" s="26">
        <v>0</v>
      </c>
      <c r="H267" s="26">
        <v>0</v>
      </c>
      <c r="I267" s="26">
        <v>8.8015999999999983E-2</v>
      </c>
      <c r="J267" s="31">
        <v>0</v>
      </c>
      <c r="K267" s="31">
        <v>0</v>
      </c>
    </row>
    <row r="268" spans="1:18">
      <c r="A268" s="15">
        <v>9</v>
      </c>
      <c r="B268" s="21">
        <v>40500</v>
      </c>
      <c r="C268" s="15">
        <v>2010</v>
      </c>
      <c r="D268" s="11" t="s">
        <v>37</v>
      </c>
      <c r="E268" s="12">
        <v>11</v>
      </c>
      <c r="F268" s="26">
        <v>0.45400000000000001</v>
      </c>
      <c r="G268" s="26">
        <v>1.6427750000000001E-2</v>
      </c>
      <c r="H268" s="26">
        <v>0</v>
      </c>
      <c r="I268" s="26">
        <v>7.1603874999999984E-2</v>
      </c>
      <c r="J268" s="31">
        <v>0</v>
      </c>
      <c r="K268" s="31">
        <v>0</v>
      </c>
    </row>
    <row r="269" spans="1:18">
      <c r="A269" s="15">
        <v>10</v>
      </c>
      <c r="B269" s="21">
        <v>40500</v>
      </c>
      <c r="C269" s="15">
        <v>2010</v>
      </c>
      <c r="D269" s="11" t="s">
        <v>37</v>
      </c>
      <c r="E269" s="12">
        <v>11</v>
      </c>
      <c r="F269" s="26">
        <v>1.268</v>
      </c>
      <c r="G269" s="26">
        <v>6.9105374999999997E-2</v>
      </c>
      <c r="H269" s="26">
        <v>0</v>
      </c>
      <c r="I269" s="26">
        <v>9.2491374999999987E-2</v>
      </c>
      <c r="J269" s="31">
        <v>0</v>
      </c>
      <c r="K269" s="31">
        <v>0</v>
      </c>
    </row>
    <row r="270" spans="1:18">
      <c r="A270" s="15">
        <v>9</v>
      </c>
      <c r="B270" s="21">
        <v>40521</v>
      </c>
      <c r="C270" s="15">
        <v>2010</v>
      </c>
      <c r="D270" s="11" t="s">
        <v>38</v>
      </c>
      <c r="E270" s="12">
        <v>12</v>
      </c>
      <c r="F270" s="26">
        <v>4.319</v>
      </c>
      <c r="G270" s="26">
        <v>1.0640499999999999E-2</v>
      </c>
      <c r="H270" s="26">
        <v>0.34529425000000002</v>
      </c>
      <c r="I270" s="26">
        <v>2.3249399999999998</v>
      </c>
      <c r="J270" s="31">
        <v>0.15849949999999996</v>
      </c>
      <c r="K270" s="31">
        <v>0</v>
      </c>
    </row>
    <row r="271" spans="1:18" ht="25.5">
      <c r="A271" s="15">
        <v>10</v>
      </c>
      <c r="B271" s="21">
        <v>40521</v>
      </c>
      <c r="C271" s="15">
        <v>2010</v>
      </c>
      <c r="D271" s="11" t="s">
        <v>38</v>
      </c>
      <c r="E271" s="12">
        <v>12</v>
      </c>
      <c r="F271" s="26">
        <v>0.81299999999999994</v>
      </c>
      <c r="G271" s="26">
        <v>3.3998124999999997E-2</v>
      </c>
      <c r="H271" s="26">
        <v>0</v>
      </c>
      <c r="I271" s="26">
        <v>0.138599</v>
      </c>
      <c r="J271" s="31">
        <v>0</v>
      </c>
      <c r="K271" s="31">
        <v>0</v>
      </c>
      <c r="L271" s="34" t="s">
        <v>42</v>
      </c>
      <c r="M271" s="6" t="s">
        <v>7</v>
      </c>
      <c r="N271" s="6" t="s">
        <v>8</v>
      </c>
      <c r="O271" s="6" t="s">
        <v>9</v>
      </c>
      <c r="P271" s="6" t="s">
        <v>10</v>
      </c>
      <c r="Q271" s="6" t="s">
        <v>11</v>
      </c>
      <c r="R271" s="6" t="s">
        <v>12</v>
      </c>
    </row>
    <row r="272" spans="1:18">
      <c r="A272" s="46">
        <v>9</v>
      </c>
      <c r="B272" s="53">
        <v>40563</v>
      </c>
      <c r="C272" s="46">
        <v>2011</v>
      </c>
      <c r="D272" s="42" t="s">
        <v>39</v>
      </c>
      <c r="E272" s="40">
        <v>1</v>
      </c>
      <c r="F272" s="60">
        <v>4.4939999999999998</v>
      </c>
      <c r="G272" s="60">
        <v>8.1903124999999979E-2</v>
      </c>
      <c r="H272" s="60">
        <v>0</v>
      </c>
      <c r="I272" s="60">
        <v>1.58578525</v>
      </c>
      <c r="J272" s="58">
        <v>2.3742625E-2</v>
      </c>
      <c r="K272" s="58">
        <v>0</v>
      </c>
      <c r="L272" s="34" t="s">
        <v>57</v>
      </c>
      <c r="M272" s="35">
        <f t="shared" ref="M272:R272" si="8">AVERAGE(F272:F295)</f>
        <v>3.8242499999999997</v>
      </c>
      <c r="N272" s="35">
        <f t="shared" si="8"/>
        <v>0.14756141666666669</v>
      </c>
      <c r="O272" s="35">
        <f t="shared" si="8"/>
        <v>0</v>
      </c>
      <c r="P272" s="35">
        <f t="shared" si="8"/>
        <v>1.1664141302083333</v>
      </c>
      <c r="Q272" s="35">
        <f t="shared" si="8"/>
        <v>6.1098171874999989E-2</v>
      </c>
      <c r="R272" s="35">
        <f t="shared" si="8"/>
        <v>4.1025000000000002E-4</v>
      </c>
    </row>
    <row r="273" spans="1:12">
      <c r="A273" s="15">
        <v>10</v>
      </c>
      <c r="B273" s="21">
        <v>40563</v>
      </c>
      <c r="C273" s="15">
        <v>2011</v>
      </c>
      <c r="D273" s="11" t="s">
        <v>39</v>
      </c>
      <c r="E273" s="12">
        <v>1</v>
      </c>
      <c r="F273" s="26">
        <v>5.173</v>
      </c>
      <c r="G273" s="26">
        <v>7.4278874999999994E-2</v>
      </c>
      <c r="H273" s="26">
        <v>0</v>
      </c>
      <c r="I273" s="26">
        <v>1.9368928749999998</v>
      </c>
      <c r="J273" s="31">
        <v>2.8135749999999998E-2</v>
      </c>
      <c r="K273" s="31">
        <v>0</v>
      </c>
      <c r="L273"/>
    </row>
    <row r="274" spans="1:12">
      <c r="A274" s="15">
        <v>9</v>
      </c>
      <c r="B274" s="21">
        <v>40598</v>
      </c>
      <c r="C274" s="15">
        <v>2011</v>
      </c>
      <c r="D274" s="11" t="s">
        <v>28</v>
      </c>
      <c r="E274" s="15">
        <v>2</v>
      </c>
      <c r="F274" s="26">
        <v>5.968</v>
      </c>
      <c r="G274" s="26">
        <v>7.5401374999999993E-2</v>
      </c>
      <c r="H274" s="26">
        <v>0</v>
      </c>
      <c r="I274" s="26">
        <v>2.3403397500000001</v>
      </c>
      <c r="J274" s="31">
        <v>1.5154374999999999E-2</v>
      </c>
      <c r="K274" s="31">
        <v>0</v>
      </c>
      <c r="L274"/>
    </row>
    <row r="275" spans="1:12">
      <c r="A275" s="15">
        <v>10</v>
      </c>
      <c r="B275" s="21">
        <v>40598</v>
      </c>
      <c r="C275" s="15">
        <v>2011</v>
      </c>
      <c r="D275" s="11" t="s">
        <v>28</v>
      </c>
      <c r="E275" s="15">
        <v>2</v>
      </c>
      <c r="F275" s="26">
        <v>7.6689999999999996</v>
      </c>
      <c r="G275" s="26">
        <v>3.7018750000000003E-2</v>
      </c>
      <c r="H275" s="26">
        <v>0</v>
      </c>
      <c r="I275" s="26">
        <v>2.945148375</v>
      </c>
      <c r="J275" s="31">
        <v>3.0515999999999998E-2</v>
      </c>
      <c r="K275" s="31">
        <v>0</v>
      </c>
      <c r="L275"/>
    </row>
    <row r="276" spans="1:12">
      <c r="A276" s="15">
        <v>9</v>
      </c>
      <c r="B276" s="21">
        <v>40617</v>
      </c>
      <c r="C276" s="15">
        <v>2011</v>
      </c>
      <c r="D276" s="11" t="s">
        <v>29</v>
      </c>
      <c r="E276" s="15">
        <v>3</v>
      </c>
      <c r="F276" s="26">
        <v>3.0249999999999999</v>
      </c>
      <c r="G276" s="26">
        <v>4.8845499999999986E-2</v>
      </c>
      <c r="H276" s="26">
        <v>0</v>
      </c>
      <c r="I276" s="26">
        <v>1.30086675</v>
      </c>
      <c r="J276" s="31">
        <v>1.22525E-2</v>
      </c>
      <c r="K276" s="31">
        <v>0</v>
      </c>
      <c r="L276"/>
    </row>
    <row r="277" spans="1:12">
      <c r="A277" s="15">
        <v>10</v>
      </c>
      <c r="B277" s="21">
        <v>40617</v>
      </c>
      <c r="C277" s="15">
        <v>2011</v>
      </c>
      <c r="D277" s="11" t="s">
        <v>29</v>
      </c>
      <c r="E277" s="15">
        <v>3</v>
      </c>
      <c r="F277" s="26">
        <v>6.4660000000000002</v>
      </c>
      <c r="G277" s="26">
        <v>0.20694287500000003</v>
      </c>
      <c r="H277" s="26">
        <v>0</v>
      </c>
      <c r="I277" s="26">
        <v>2.330419375</v>
      </c>
      <c r="J277" s="31">
        <v>3.5279749999999999E-2</v>
      </c>
      <c r="K277" s="31">
        <v>0</v>
      </c>
      <c r="L277"/>
    </row>
    <row r="278" spans="1:12">
      <c r="A278" s="15">
        <v>9</v>
      </c>
      <c r="B278" s="21">
        <v>40647</v>
      </c>
      <c r="C278" s="15">
        <v>2011</v>
      </c>
      <c r="D278" s="11" t="s">
        <v>30</v>
      </c>
      <c r="E278" s="15">
        <v>4</v>
      </c>
      <c r="F278" s="26">
        <v>0.82199999999999995</v>
      </c>
      <c r="G278" s="26">
        <v>0</v>
      </c>
      <c r="H278" s="26">
        <v>0</v>
      </c>
      <c r="I278" s="26">
        <v>0.10765237499999999</v>
      </c>
      <c r="J278" s="31">
        <v>0</v>
      </c>
      <c r="K278" s="31">
        <v>0</v>
      </c>
      <c r="L278"/>
    </row>
    <row r="279" spans="1:12">
      <c r="A279" s="15">
        <v>10</v>
      </c>
      <c r="B279" s="21">
        <v>40647</v>
      </c>
      <c r="C279" s="15">
        <v>2011</v>
      </c>
      <c r="D279" s="11" t="s">
        <v>30</v>
      </c>
      <c r="E279" s="15">
        <v>4</v>
      </c>
      <c r="F279" s="26">
        <v>1.1830000000000001</v>
      </c>
      <c r="G279" s="26">
        <v>1.7122249999999999E-2</v>
      </c>
      <c r="H279" s="26">
        <v>0</v>
      </c>
      <c r="I279" s="26">
        <v>0.29365837500000003</v>
      </c>
      <c r="J279" s="31">
        <v>4.078749999999999E-3</v>
      </c>
      <c r="K279" s="31">
        <v>0</v>
      </c>
      <c r="L279"/>
    </row>
    <row r="280" spans="1:12">
      <c r="A280" s="15">
        <v>9</v>
      </c>
      <c r="B280" s="21">
        <v>40682</v>
      </c>
      <c r="C280" s="15">
        <v>2011</v>
      </c>
      <c r="D280" s="11" t="s">
        <v>31</v>
      </c>
      <c r="E280" s="15">
        <v>5</v>
      </c>
      <c r="F280" s="26">
        <v>4.0890000000000004</v>
      </c>
      <c r="G280" s="26">
        <v>4.8167750000000002E-2</v>
      </c>
      <c r="H280" s="26">
        <v>0</v>
      </c>
      <c r="I280" s="26">
        <v>1.5232528749999998</v>
      </c>
      <c r="J280" s="31">
        <v>0</v>
      </c>
      <c r="K280" s="31">
        <v>0</v>
      </c>
      <c r="L280"/>
    </row>
    <row r="281" spans="1:12">
      <c r="A281" s="15">
        <v>10</v>
      </c>
      <c r="B281" s="21">
        <v>40682</v>
      </c>
      <c r="C281" s="15">
        <v>2011</v>
      </c>
      <c r="D281" s="11" t="s">
        <v>31</v>
      </c>
      <c r="E281" s="15">
        <v>5</v>
      </c>
      <c r="F281" s="26">
        <v>2.3570000000000002</v>
      </c>
      <c r="G281" s="26">
        <v>3.4743625E-2</v>
      </c>
      <c r="H281" s="26">
        <v>0</v>
      </c>
      <c r="I281" s="26">
        <v>0.55446287500000002</v>
      </c>
      <c r="J281" s="31">
        <v>1.3599874999999999E-2</v>
      </c>
      <c r="K281" s="31">
        <v>0</v>
      </c>
      <c r="L281"/>
    </row>
    <row r="282" spans="1:12">
      <c r="A282" s="15">
        <v>9</v>
      </c>
      <c r="B282" s="21">
        <v>40709</v>
      </c>
      <c r="C282" s="15">
        <v>2011</v>
      </c>
      <c r="D282" s="11" t="s">
        <v>32</v>
      </c>
      <c r="E282" s="15">
        <v>6</v>
      </c>
      <c r="F282" s="26">
        <v>2.9489999999999998</v>
      </c>
      <c r="G282" s="26">
        <v>1.8820374999999997E-2</v>
      </c>
      <c r="H282" s="26">
        <v>0</v>
      </c>
      <c r="I282" s="26">
        <v>0.64987112499999999</v>
      </c>
      <c r="J282" s="31">
        <v>7.5697749999999994E-2</v>
      </c>
      <c r="K282" s="31">
        <v>0</v>
      </c>
      <c r="L282"/>
    </row>
    <row r="283" spans="1:12">
      <c r="A283" s="15">
        <v>10</v>
      </c>
      <c r="B283" s="21">
        <v>40709</v>
      </c>
      <c r="C283" s="15">
        <v>2011</v>
      </c>
      <c r="D283" s="11" t="s">
        <v>32</v>
      </c>
      <c r="E283" s="15">
        <v>6</v>
      </c>
      <c r="F283" s="26">
        <v>3.8260000000000001</v>
      </c>
      <c r="G283" s="26">
        <v>5.5624999999999994E-2</v>
      </c>
      <c r="H283" s="26">
        <v>0</v>
      </c>
      <c r="I283" s="26">
        <v>0.87934849999999987</v>
      </c>
      <c r="J283" s="31">
        <v>0.12230712499999997</v>
      </c>
      <c r="K283" s="31">
        <v>0</v>
      </c>
      <c r="L283"/>
    </row>
    <row r="284" spans="1:12">
      <c r="A284" s="15">
        <v>9</v>
      </c>
      <c r="B284" s="21">
        <v>40736</v>
      </c>
      <c r="C284" s="15">
        <v>2011</v>
      </c>
      <c r="D284" s="11" t="s">
        <v>33</v>
      </c>
      <c r="E284" s="15">
        <v>7</v>
      </c>
      <c r="F284" s="26">
        <v>12.976000000000001</v>
      </c>
      <c r="G284" s="26">
        <v>0.68255262500000002</v>
      </c>
      <c r="H284" s="26">
        <v>0</v>
      </c>
      <c r="I284" s="26">
        <v>3.6394336249999997</v>
      </c>
      <c r="J284" s="31">
        <v>0.11013337499999999</v>
      </c>
      <c r="K284" s="31">
        <v>0</v>
      </c>
      <c r="L284"/>
    </row>
    <row r="285" spans="1:12">
      <c r="A285" s="15">
        <v>10</v>
      </c>
      <c r="B285" s="21">
        <v>40736</v>
      </c>
      <c r="C285" s="15">
        <v>2011</v>
      </c>
      <c r="D285" s="11" t="s">
        <v>33</v>
      </c>
      <c r="E285" s="15">
        <v>7</v>
      </c>
      <c r="F285" s="26">
        <v>10.025</v>
      </c>
      <c r="G285" s="26">
        <v>1.78315275</v>
      </c>
      <c r="H285" s="26">
        <v>0</v>
      </c>
      <c r="I285" s="26">
        <v>2.047682</v>
      </c>
      <c r="J285" s="31">
        <v>0.44893462499999992</v>
      </c>
      <c r="K285" s="31">
        <v>9.8460000000000006E-3</v>
      </c>
      <c r="L285"/>
    </row>
    <row r="286" spans="1:12">
      <c r="A286" s="15">
        <v>9</v>
      </c>
      <c r="B286" s="21">
        <v>40772</v>
      </c>
      <c r="C286" s="15">
        <v>2011</v>
      </c>
      <c r="D286" s="11" t="s">
        <v>34</v>
      </c>
      <c r="E286" s="15">
        <v>8</v>
      </c>
      <c r="F286" s="26">
        <v>4.3159999999999998</v>
      </c>
      <c r="G286" s="26">
        <v>4.3903249999999991E-2</v>
      </c>
      <c r="H286" s="26">
        <v>0</v>
      </c>
      <c r="I286" s="26">
        <v>1.1726419999999997</v>
      </c>
      <c r="J286" s="31">
        <v>6.9693875000000002E-2</v>
      </c>
      <c r="K286" s="31">
        <v>0</v>
      </c>
      <c r="L286"/>
    </row>
    <row r="287" spans="1:12">
      <c r="A287" s="15">
        <v>10</v>
      </c>
      <c r="B287" s="21">
        <v>40772</v>
      </c>
      <c r="C287" s="15">
        <v>2011</v>
      </c>
      <c r="D287" s="11" t="s">
        <v>34</v>
      </c>
      <c r="E287" s="15">
        <v>8</v>
      </c>
      <c r="F287" s="26">
        <v>6.4589999999999996</v>
      </c>
      <c r="G287" s="26">
        <v>9.4766249999999982E-2</v>
      </c>
      <c r="H287" s="26">
        <v>0</v>
      </c>
      <c r="I287" s="26">
        <v>1.832049875</v>
      </c>
      <c r="J287" s="31">
        <v>0.236988</v>
      </c>
      <c r="K287" s="31">
        <v>0</v>
      </c>
      <c r="L287"/>
    </row>
    <row r="288" spans="1:12">
      <c r="A288" s="15">
        <v>9</v>
      </c>
      <c r="B288" s="21">
        <v>40798</v>
      </c>
      <c r="C288" s="15">
        <v>2011</v>
      </c>
      <c r="D288" s="11" t="s">
        <v>40</v>
      </c>
      <c r="E288" s="15">
        <v>9</v>
      </c>
      <c r="F288" s="26">
        <v>1.679</v>
      </c>
      <c r="G288" s="26">
        <v>1.3299625000000001E-2</v>
      </c>
      <c r="H288" s="26">
        <v>0</v>
      </c>
      <c r="I288" s="26">
        <v>0.49355962499999995</v>
      </c>
      <c r="J288" s="31">
        <v>3.0884874999999999E-2</v>
      </c>
      <c r="K288" s="31">
        <v>0</v>
      </c>
      <c r="L288"/>
    </row>
    <row r="289" spans="1:18">
      <c r="A289" s="15">
        <v>10</v>
      </c>
      <c r="B289" s="21">
        <v>40798</v>
      </c>
      <c r="C289" s="15">
        <v>2011</v>
      </c>
      <c r="D289" s="11" t="s">
        <v>40</v>
      </c>
      <c r="E289" s="15">
        <v>9</v>
      </c>
      <c r="F289" s="26">
        <v>2.7109999999999999</v>
      </c>
      <c r="G289" s="26">
        <v>0</v>
      </c>
      <c r="H289" s="26">
        <v>0</v>
      </c>
      <c r="I289" s="26">
        <v>0.76533099999999998</v>
      </c>
      <c r="J289" s="31">
        <v>0.127761125</v>
      </c>
      <c r="K289" s="31">
        <v>0</v>
      </c>
    </row>
    <row r="290" spans="1:18">
      <c r="A290" s="15">
        <v>9</v>
      </c>
      <c r="B290" s="21">
        <v>40829</v>
      </c>
      <c r="C290" s="15">
        <v>2011</v>
      </c>
      <c r="D290" s="11" t="s">
        <v>36</v>
      </c>
      <c r="E290" s="15">
        <v>10</v>
      </c>
      <c r="F290" s="28">
        <v>1.6930000000000001</v>
      </c>
      <c r="G290" s="28">
        <v>8.0790625000000005E-2</v>
      </c>
      <c r="H290" s="28">
        <v>0</v>
      </c>
      <c r="I290" s="28">
        <v>0.57383262499999999</v>
      </c>
      <c r="J290" s="28">
        <v>4.7457374999999996E-2</v>
      </c>
      <c r="K290" s="28">
        <v>0</v>
      </c>
    </row>
    <row r="291" spans="1:18">
      <c r="A291" s="15">
        <v>10</v>
      </c>
      <c r="B291" s="21">
        <v>40829</v>
      </c>
      <c r="C291" s="15">
        <v>2011</v>
      </c>
      <c r="D291" s="11" t="s">
        <v>36</v>
      </c>
      <c r="E291" s="15">
        <v>10</v>
      </c>
      <c r="F291" s="28">
        <v>1.528</v>
      </c>
      <c r="G291" s="28">
        <v>4.7426124999999993E-2</v>
      </c>
      <c r="H291" s="28">
        <v>0</v>
      </c>
      <c r="I291" s="28">
        <v>0.44474887499999999</v>
      </c>
      <c r="J291" s="28">
        <v>3.3738374999999994E-2</v>
      </c>
      <c r="K291" s="28">
        <v>0</v>
      </c>
    </row>
    <row r="292" spans="1:18">
      <c r="A292" s="15">
        <v>9</v>
      </c>
      <c r="B292" s="29">
        <v>40877</v>
      </c>
      <c r="C292" s="15">
        <v>2011</v>
      </c>
      <c r="D292" s="11" t="s">
        <v>37</v>
      </c>
      <c r="E292" s="15">
        <v>11</v>
      </c>
      <c r="F292" s="28">
        <v>0.92700000000000005</v>
      </c>
      <c r="G292" s="28">
        <v>5.4507249999999986E-2</v>
      </c>
      <c r="H292" s="28">
        <v>0</v>
      </c>
      <c r="I292" s="28">
        <v>0.261216375</v>
      </c>
      <c r="J292" s="28">
        <v>0</v>
      </c>
      <c r="K292" s="28">
        <v>0</v>
      </c>
    </row>
    <row r="293" spans="1:18">
      <c r="A293" s="15">
        <v>10</v>
      </c>
      <c r="B293" s="29">
        <v>40877</v>
      </c>
      <c r="C293" s="15">
        <v>2011</v>
      </c>
      <c r="D293" s="11" t="s">
        <v>37</v>
      </c>
      <c r="E293" s="15">
        <v>11</v>
      </c>
      <c r="F293" s="28">
        <v>0.66600000000000004</v>
      </c>
      <c r="G293" s="28">
        <v>0</v>
      </c>
      <c r="H293" s="28">
        <v>0</v>
      </c>
      <c r="I293" s="28">
        <v>0.152389</v>
      </c>
      <c r="J293" s="28">
        <v>0</v>
      </c>
      <c r="K293" s="28">
        <v>0</v>
      </c>
    </row>
    <row r="294" spans="1:18">
      <c r="A294" s="15">
        <v>9</v>
      </c>
      <c r="B294" s="29">
        <v>40891</v>
      </c>
      <c r="C294" s="15">
        <v>2011</v>
      </c>
      <c r="D294" s="11" t="s">
        <v>38</v>
      </c>
      <c r="E294" s="15">
        <v>12</v>
      </c>
      <c r="F294" s="28">
        <v>0.36799999999999999</v>
      </c>
      <c r="G294" s="28">
        <v>4.2205999999999987E-2</v>
      </c>
      <c r="H294" s="28">
        <v>0</v>
      </c>
      <c r="I294" s="28">
        <v>6.3031749999999998E-2</v>
      </c>
      <c r="J294" s="28">
        <v>0</v>
      </c>
      <c r="K294" s="28">
        <v>0</v>
      </c>
    </row>
    <row r="295" spans="1:18" ht="25.5">
      <c r="A295" s="15">
        <v>10</v>
      </c>
      <c r="B295" s="29">
        <v>40891</v>
      </c>
      <c r="C295" s="15">
        <v>2011</v>
      </c>
      <c r="D295" s="11" t="s">
        <v>38</v>
      </c>
      <c r="E295" s="15">
        <v>12</v>
      </c>
      <c r="F295" s="28">
        <v>0.41299999999999998</v>
      </c>
      <c r="G295" s="28">
        <v>0</v>
      </c>
      <c r="H295" s="28">
        <v>0</v>
      </c>
      <c r="I295" s="28">
        <v>0.10032387499999998</v>
      </c>
      <c r="J295" s="28">
        <v>0</v>
      </c>
      <c r="K295" s="28">
        <v>0</v>
      </c>
      <c r="L295" s="34" t="s">
        <v>42</v>
      </c>
      <c r="M295" s="6" t="s">
        <v>7</v>
      </c>
      <c r="N295" s="6" t="s">
        <v>8</v>
      </c>
      <c r="O295" s="6" t="s">
        <v>9</v>
      </c>
      <c r="P295" s="6" t="s">
        <v>10</v>
      </c>
      <c r="Q295" s="6" t="s">
        <v>11</v>
      </c>
      <c r="R295" s="6" t="s">
        <v>12</v>
      </c>
    </row>
    <row r="296" spans="1:18">
      <c r="A296" s="46">
        <v>9</v>
      </c>
      <c r="B296" s="53">
        <v>40919</v>
      </c>
      <c r="C296" s="46">
        <v>2012</v>
      </c>
      <c r="D296" s="42" t="s">
        <v>39</v>
      </c>
      <c r="E296" s="46">
        <v>1</v>
      </c>
      <c r="F296" s="63">
        <v>1.2430000000000001</v>
      </c>
      <c r="G296" s="63">
        <v>7.5330875000000005E-2</v>
      </c>
      <c r="H296" s="63">
        <v>0</v>
      </c>
      <c r="I296" s="63">
        <v>0.36483262500000002</v>
      </c>
      <c r="J296" s="65">
        <v>9.5107499999999984E-3</v>
      </c>
      <c r="K296" s="65">
        <v>0</v>
      </c>
      <c r="L296" s="34" t="s">
        <v>58</v>
      </c>
      <c r="M296" s="35">
        <f t="shared" ref="M296:R296" si="9">AVERAGE(F296:F319)</f>
        <v>2.5405416666666665</v>
      </c>
      <c r="N296" s="35">
        <f t="shared" si="9"/>
        <v>0.14176379166666667</v>
      </c>
      <c r="O296" s="35">
        <f t="shared" si="9"/>
        <v>0</v>
      </c>
      <c r="P296" s="35">
        <f t="shared" si="9"/>
        <v>0.77790124479166678</v>
      </c>
      <c r="Q296" s="35">
        <f t="shared" si="9"/>
        <v>3.4790104166666662E-2</v>
      </c>
      <c r="R296" s="35">
        <f t="shared" si="9"/>
        <v>0</v>
      </c>
    </row>
    <row r="297" spans="1:18">
      <c r="A297" s="15">
        <v>10</v>
      </c>
      <c r="B297" s="21">
        <v>40919</v>
      </c>
      <c r="C297" s="15">
        <v>2012</v>
      </c>
      <c r="D297" s="11" t="s">
        <v>39</v>
      </c>
      <c r="E297" s="15">
        <v>1</v>
      </c>
      <c r="F297" s="30">
        <v>1.21</v>
      </c>
      <c r="G297" s="30">
        <v>9.153399999999999E-2</v>
      </c>
      <c r="H297" s="30">
        <v>0</v>
      </c>
      <c r="I297" s="30">
        <v>0.37111662499999992</v>
      </c>
      <c r="J297" s="28">
        <v>8.525375E-3</v>
      </c>
      <c r="K297" s="28">
        <v>0</v>
      </c>
    </row>
    <row r="298" spans="1:18">
      <c r="A298" s="15">
        <v>9</v>
      </c>
      <c r="B298" s="21">
        <v>40960</v>
      </c>
      <c r="C298" s="15">
        <v>2012</v>
      </c>
      <c r="D298" s="11" t="s">
        <v>28</v>
      </c>
      <c r="E298" s="15">
        <v>2</v>
      </c>
      <c r="F298" s="30">
        <v>1.022</v>
      </c>
      <c r="G298" s="30">
        <v>8.276887500000002E-2</v>
      </c>
      <c r="H298" s="30">
        <v>0</v>
      </c>
      <c r="I298" s="30">
        <v>0.35902124999999996</v>
      </c>
      <c r="J298" s="28">
        <v>7.8476249999999987E-3</v>
      </c>
      <c r="K298" s="28">
        <v>0</v>
      </c>
    </row>
    <row r="299" spans="1:18">
      <c r="A299" s="15">
        <v>10</v>
      </c>
      <c r="B299" s="21">
        <v>40960</v>
      </c>
      <c r="C299" s="15">
        <v>2012</v>
      </c>
      <c r="D299" s="11" t="s">
        <v>28</v>
      </c>
      <c r="E299" s="15">
        <v>2</v>
      </c>
      <c r="F299" s="30">
        <v>2.6539999999999999</v>
      </c>
      <c r="G299" s="30">
        <v>0.31740937499999994</v>
      </c>
      <c r="H299" s="30">
        <v>0</v>
      </c>
      <c r="I299" s="30">
        <v>0.93769099999999994</v>
      </c>
      <c r="J299" s="28">
        <v>3.8599125000000005E-2</v>
      </c>
      <c r="K299" s="28">
        <v>0</v>
      </c>
    </row>
    <row r="300" spans="1:18">
      <c r="A300" s="15">
        <v>9</v>
      </c>
      <c r="B300" s="21">
        <v>40982</v>
      </c>
      <c r="C300" s="15">
        <v>2012</v>
      </c>
      <c r="D300" s="11" t="s">
        <v>29</v>
      </c>
      <c r="E300" s="15">
        <v>3</v>
      </c>
      <c r="F300" s="30">
        <v>0.80700000000000005</v>
      </c>
      <c r="G300" s="30">
        <v>5.3095875000000001E-2</v>
      </c>
      <c r="H300" s="30">
        <v>0</v>
      </c>
      <c r="I300" s="30">
        <v>0.18131012499999996</v>
      </c>
      <c r="J300" s="28">
        <v>1.2128125000000002E-2</v>
      </c>
      <c r="K300" s="28">
        <v>0</v>
      </c>
    </row>
    <row r="301" spans="1:18">
      <c r="A301" s="15">
        <v>10</v>
      </c>
      <c r="B301" s="21">
        <v>40982</v>
      </c>
      <c r="C301" s="15">
        <v>2012</v>
      </c>
      <c r="D301" s="11" t="s">
        <v>29</v>
      </c>
      <c r="E301" s="15">
        <v>3</v>
      </c>
      <c r="F301" s="30">
        <v>1.095</v>
      </c>
      <c r="G301" s="30">
        <v>0.12330587499999998</v>
      </c>
      <c r="H301" s="30">
        <v>0</v>
      </c>
      <c r="I301" s="30">
        <v>0.19362162499999999</v>
      </c>
      <c r="J301" s="28">
        <v>1.5827500000000001E-2</v>
      </c>
      <c r="K301" s="28">
        <v>0</v>
      </c>
    </row>
    <row r="302" spans="1:18">
      <c r="A302" s="15">
        <v>9</v>
      </c>
      <c r="B302" s="21">
        <v>41016</v>
      </c>
      <c r="C302" s="15">
        <v>2012</v>
      </c>
      <c r="D302" s="11" t="s">
        <v>30</v>
      </c>
      <c r="E302" s="15">
        <v>4</v>
      </c>
      <c r="F302" s="26">
        <v>1.5580000000000001</v>
      </c>
      <c r="G302" s="26">
        <v>6.1180499999999985E-2</v>
      </c>
      <c r="H302" s="26">
        <v>0</v>
      </c>
      <c r="I302" s="26">
        <v>0.43511324999999995</v>
      </c>
      <c r="J302" s="31">
        <v>2.3074999999999995E-2</v>
      </c>
      <c r="K302" s="31">
        <v>0</v>
      </c>
    </row>
    <row r="303" spans="1:18">
      <c r="A303" s="15">
        <v>10</v>
      </c>
      <c r="B303" s="21">
        <v>41016</v>
      </c>
      <c r="C303" s="15">
        <v>2012</v>
      </c>
      <c r="D303" s="11" t="s">
        <v>30</v>
      </c>
      <c r="E303" s="15">
        <v>4</v>
      </c>
      <c r="F303" s="26">
        <v>0.84899999999999998</v>
      </c>
      <c r="G303" s="26">
        <v>3.2672624999999997E-2</v>
      </c>
      <c r="H303" s="26">
        <v>0</v>
      </c>
      <c r="I303" s="26">
        <v>0.20103325</v>
      </c>
      <c r="J303" s="31">
        <v>1.8075000000000001E-2</v>
      </c>
      <c r="K303" s="31">
        <v>0</v>
      </c>
    </row>
    <row r="304" spans="1:18">
      <c r="A304" s="15">
        <v>9</v>
      </c>
      <c r="B304" s="21">
        <v>41051</v>
      </c>
      <c r="C304" s="15">
        <v>2012</v>
      </c>
      <c r="D304" s="11" t="s">
        <v>31</v>
      </c>
      <c r="E304" s="15">
        <v>5</v>
      </c>
      <c r="F304" s="26">
        <v>3.21</v>
      </c>
      <c r="G304" s="26">
        <v>0</v>
      </c>
      <c r="H304" s="26">
        <v>0</v>
      </c>
      <c r="I304" s="26">
        <v>0.99816862500000014</v>
      </c>
      <c r="J304" s="31">
        <v>1.8366250000000001E-2</v>
      </c>
      <c r="K304" s="31">
        <v>0</v>
      </c>
    </row>
    <row r="305" spans="1:18">
      <c r="A305" s="15">
        <v>10</v>
      </c>
      <c r="B305" s="21">
        <v>41051</v>
      </c>
      <c r="C305" s="15">
        <v>2012</v>
      </c>
      <c r="D305" s="11" t="s">
        <v>31</v>
      </c>
      <c r="E305" s="15">
        <v>5</v>
      </c>
      <c r="F305" s="26">
        <v>3.669</v>
      </c>
      <c r="G305" s="26">
        <v>2.6873000000000001E-2</v>
      </c>
      <c r="H305" s="26">
        <v>0</v>
      </c>
      <c r="I305" s="26">
        <v>0.7123426249999999</v>
      </c>
      <c r="J305" s="31">
        <v>2.1178124999999996E-2</v>
      </c>
      <c r="K305" s="31">
        <v>0</v>
      </c>
    </row>
    <row r="306" spans="1:18">
      <c r="A306" s="15">
        <v>9</v>
      </c>
      <c r="B306" s="21">
        <v>41080</v>
      </c>
      <c r="C306" s="15">
        <v>2012</v>
      </c>
      <c r="D306" s="11" t="s">
        <v>32</v>
      </c>
      <c r="E306" s="15">
        <v>6</v>
      </c>
      <c r="F306" s="26">
        <v>5.1959999999999997</v>
      </c>
      <c r="G306" s="26">
        <v>0.15164050000000001</v>
      </c>
      <c r="H306" s="26">
        <v>0</v>
      </c>
      <c r="I306" s="26">
        <v>1.7098007500000001</v>
      </c>
      <c r="J306" s="31">
        <v>7.1582750000000001E-2</v>
      </c>
      <c r="K306" s="31">
        <v>0</v>
      </c>
    </row>
    <row r="307" spans="1:18">
      <c r="A307" s="15">
        <v>10</v>
      </c>
      <c r="B307" s="21">
        <v>41080</v>
      </c>
      <c r="C307" s="15">
        <v>2012</v>
      </c>
      <c r="D307" s="11" t="s">
        <v>32</v>
      </c>
      <c r="E307" s="15">
        <v>6</v>
      </c>
      <c r="F307" s="26">
        <v>3.335</v>
      </c>
      <c r="G307" s="26">
        <v>0.19485387499999998</v>
      </c>
      <c r="H307" s="26">
        <v>0</v>
      </c>
      <c r="I307" s="26">
        <v>0.39559775000000008</v>
      </c>
      <c r="J307" s="31">
        <v>0.103142</v>
      </c>
      <c r="K307" s="31">
        <v>0</v>
      </c>
    </row>
    <row r="308" spans="1:18">
      <c r="A308" s="15">
        <v>9</v>
      </c>
      <c r="B308" s="21">
        <v>41106</v>
      </c>
      <c r="C308" s="15">
        <v>2012</v>
      </c>
      <c r="D308" s="11" t="s">
        <v>33</v>
      </c>
      <c r="E308" s="15">
        <v>7</v>
      </c>
      <c r="F308" s="26">
        <v>8.5009999999999994</v>
      </c>
      <c r="G308" s="26">
        <v>0.53465762500000003</v>
      </c>
      <c r="H308" s="26">
        <v>0</v>
      </c>
      <c r="I308" s="26">
        <v>3.4850270000000001</v>
      </c>
      <c r="J308" s="31">
        <v>7.1438000000000001E-2</v>
      </c>
      <c r="K308" s="31">
        <v>0</v>
      </c>
    </row>
    <row r="309" spans="1:18">
      <c r="A309" s="15">
        <v>10</v>
      </c>
      <c r="B309" s="21">
        <v>41106</v>
      </c>
      <c r="C309" s="15">
        <v>2012</v>
      </c>
      <c r="D309" s="11" t="s">
        <v>33</v>
      </c>
      <c r="E309" s="15">
        <v>7</v>
      </c>
      <c r="F309" s="26">
        <v>4.3010000000000002</v>
      </c>
      <c r="G309" s="26">
        <v>0.18813775000000002</v>
      </c>
      <c r="H309" s="26">
        <v>0</v>
      </c>
      <c r="I309" s="26">
        <v>1.3677557499999999</v>
      </c>
      <c r="J309" s="31">
        <v>0.10530762499999999</v>
      </c>
      <c r="K309" s="31">
        <v>0</v>
      </c>
    </row>
    <row r="310" spans="1:18">
      <c r="A310" s="15">
        <v>9</v>
      </c>
      <c r="B310" s="21">
        <v>41137</v>
      </c>
      <c r="C310" s="15">
        <v>2012</v>
      </c>
      <c r="D310" s="11" t="s">
        <v>34</v>
      </c>
      <c r="E310" s="15">
        <v>8</v>
      </c>
      <c r="F310" s="26">
        <v>4.9180000000000001</v>
      </c>
      <c r="G310" s="26">
        <v>9.4007499999999994E-2</v>
      </c>
      <c r="H310" s="26">
        <v>0</v>
      </c>
      <c r="I310" s="26">
        <v>2.0796511249999994</v>
      </c>
      <c r="J310" s="31">
        <v>5.6160624999999985E-2</v>
      </c>
      <c r="K310" s="31">
        <v>0</v>
      </c>
    </row>
    <row r="311" spans="1:18">
      <c r="A311" s="15">
        <v>10</v>
      </c>
      <c r="B311" s="21">
        <v>41137</v>
      </c>
      <c r="C311" s="15">
        <v>2012</v>
      </c>
      <c r="D311" s="11" t="s">
        <v>34</v>
      </c>
      <c r="E311" s="15">
        <v>8</v>
      </c>
      <c r="F311" s="26">
        <v>2.9590000000000001</v>
      </c>
      <c r="G311" s="26">
        <v>2.9003250000000001E-2</v>
      </c>
      <c r="H311" s="26">
        <v>0</v>
      </c>
      <c r="I311" s="26">
        <v>1.0017266249999999</v>
      </c>
      <c r="J311" s="31">
        <v>0.15306824999999996</v>
      </c>
      <c r="K311" s="31">
        <v>0</v>
      </c>
    </row>
    <row r="312" spans="1:18">
      <c r="A312" s="15">
        <v>9</v>
      </c>
      <c r="B312" s="21">
        <v>41163</v>
      </c>
      <c r="C312" s="15">
        <v>2012</v>
      </c>
      <c r="D312" s="11" t="s">
        <v>40</v>
      </c>
      <c r="E312" s="15">
        <v>9</v>
      </c>
      <c r="F312" s="26">
        <v>5.3540000000000001</v>
      </c>
      <c r="G312" s="26">
        <v>0.95435712499999992</v>
      </c>
      <c r="H312" s="26">
        <v>0</v>
      </c>
      <c r="I312" s="26">
        <v>1.4551315</v>
      </c>
      <c r="J312" s="31">
        <v>4.2667999999999991E-2</v>
      </c>
      <c r="K312" s="31">
        <v>0</v>
      </c>
    </row>
    <row r="313" spans="1:18">
      <c r="A313" s="15">
        <v>10</v>
      </c>
      <c r="B313" s="21">
        <v>41163</v>
      </c>
      <c r="C313" s="15">
        <v>2012</v>
      </c>
      <c r="D313" s="11" t="s">
        <v>40</v>
      </c>
      <c r="E313" s="15">
        <v>9</v>
      </c>
      <c r="F313" s="26">
        <v>2.87</v>
      </c>
      <c r="G313" s="26">
        <v>8.0739249999999985E-2</v>
      </c>
      <c r="H313" s="26">
        <v>0</v>
      </c>
      <c r="I313" s="26">
        <v>0.87318324999999986</v>
      </c>
      <c r="J313" s="31">
        <v>4.4393374999999992E-2</v>
      </c>
      <c r="K313" s="31">
        <v>0</v>
      </c>
    </row>
    <row r="314" spans="1:18">
      <c r="A314" s="15">
        <v>9</v>
      </c>
      <c r="B314" s="21">
        <v>41199</v>
      </c>
      <c r="C314" s="15">
        <v>2012</v>
      </c>
      <c r="D314" s="11" t="s">
        <v>36</v>
      </c>
      <c r="E314" s="15">
        <v>10</v>
      </c>
      <c r="F314" s="26">
        <v>0.81899999999999995</v>
      </c>
      <c r="G314" s="26">
        <v>0</v>
      </c>
      <c r="H314" s="26">
        <v>0</v>
      </c>
      <c r="I314" s="26">
        <v>0.27374549999999992</v>
      </c>
      <c r="J314" s="31">
        <v>0</v>
      </c>
      <c r="K314" s="31">
        <v>0</v>
      </c>
    </row>
    <row r="315" spans="1:18">
      <c r="A315" s="15">
        <v>10</v>
      </c>
      <c r="B315" s="21">
        <v>41199</v>
      </c>
      <c r="C315" s="15">
        <v>2012</v>
      </c>
      <c r="D315" s="11" t="s">
        <v>36</v>
      </c>
      <c r="E315" s="15">
        <v>10</v>
      </c>
      <c r="F315" s="26">
        <v>0.44900000000000001</v>
      </c>
      <c r="G315" s="26">
        <v>0</v>
      </c>
      <c r="H315" s="26">
        <v>0</v>
      </c>
      <c r="I315" s="26">
        <v>0.11627849999999998</v>
      </c>
      <c r="J315" s="31">
        <v>0</v>
      </c>
      <c r="K315" s="31">
        <v>0</v>
      </c>
    </row>
    <row r="316" spans="1:18">
      <c r="A316" s="15">
        <v>9</v>
      </c>
      <c r="B316" s="21">
        <v>41225</v>
      </c>
      <c r="C316" s="15">
        <v>2012</v>
      </c>
      <c r="D316" s="11" t="s">
        <v>37</v>
      </c>
      <c r="E316" s="15">
        <v>11</v>
      </c>
      <c r="F316" s="26">
        <v>0.96099999999999997</v>
      </c>
      <c r="G316" s="26">
        <v>0</v>
      </c>
      <c r="H316" s="26">
        <v>0</v>
      </c>
      <c r="I316" s="26">
        <v>0.18161925000000001</v>
      </c>
      <c r="J316" s="31">
        <v>0</v>
      </c>
      <c r="K316" s="31">
        <v>0</v>
      </c>
    </row>
    <row r="317" spans="1:18">
      <c r="A317" s="15">
        <v>10</v>
      </c>
      <c r="B317" s="21">
        <v>41225</v>
      </c>
      <c r="C317" s="15">
        <v>2012</v>
      </c>
      <c r="D317" s="11" t="s">
        <v>37</v>
      </c>
      <c r="E317" s="15">
        <v>11</v>
      </c>
      <c r="F317" s="26">
        <v>1.843</v>
      </c>
      <c r="G317" s="26">
        <v>0</v>
      </c>
      <c r="H317" s="26">
        <v>0</v>
      </c>
      <c r="I317" s="26">
        <v>0.29811887500000001</v>
      </c>
      <c r="J317" s="31">
        <v>1.4069E-2</v>
      </c>
      <c r="K317" s="31">
        <v>0</v>
      </c>
    </row>
    <row r="318" spans="1:18">
      <c r="A318" s="15">
        <v>9</v>
      </c>
      <c r="B318" s="21">
        <v>41255</v>
      </c>
      <c r="C318" s="15">
        <v>2012</v>
      </c>
      <c r="D318" s="11" t="s">
        <v>38</v>
      </c>
      <c r="E318" s="15">
        <v>12</v>
      </c>
      <c r="F318" s="26">
        <v>0.89900000000000002</v>
      </c>
      <c r="G318" s="26">
        <v>0.10483737499999998</v>
      </c>
      <c r="H318" s="26">
        <v>0</v>
      </c>
      <c r="I318" s="26">
        <v>0.35662712499999999</v>
      </c>
      <c r="J318" s="31">
        <v>0</v>
      </c>
      <c r="K318" s="31">
        <v>0</v>
      </c>
    </row>
    <row r="319" spans="1:18" ht="25.5">
      <c r="A319" s="15">
        <v>10</v>
      </c>
      <c r="B319" s="21">
        <v>41255</v>
      </c>
      <c r="C319" s="15">
        <v>2012</v>
      </c>
      <c r="D319" s="11" t="s">
        <v>38</v>
      </c>
      <c r="E319" s="15">
        <v>12</v>
      </c>
      <c r="F319" s="26">
        <v>1.2509999999999999</v>
      </c>
      <c r="G319" s="26">
        <v>0.20592574999999996</v>
      </c>
      <c r="H319" s="26">
        <v>0</v>
      </c>
      <c r="I319" s="26">
        <v>0.321115875</v>
      </c>
      <c r="J319" s="31">
        <v>0</v>
      </c>
      <c r="K319" s="31">
        <v>0</v>
      </c>
      <c r="L319" s="34" t="s">
        <v>42</v>
      </c>
      <c r="M319" s="6" t="s">
        <v>7</v>
      </c>
      <c r="N319" s="6" t="s">
        <v>8</v>
      </c>
      <c r="O319" s="6" t="s">
        <v>9</v>
      </c>
      <c r="P319" s="6" t="s">
        <v>10</v>
      </c>
      <c r="Q319" s="6" t="s">
        <v>11</v>
      </c>
      <c r="R319" s="6" t="s">
        <v>12</v>
      </c>
    </row>
    <row r="320" spans="1:18">
      <c r="A320" s="46">
        <v>9</v>
      </c>
      <c r="B320" s="53">
        <v>41297</v>
      </c>
      <c r="C320" s="46">
        <v>2013</v>
      </c>
      <c r="D320" s="42" t="s">
        <v>39</v>
      </c>
      <c r="E320" s="40">
        <v>1</v>
      </c>
      <c r="F320" s="60">
        <v>1.665</v>
      </c>
      <c r="G320" s="60">
        <v>0.1039455</v>
      </c>
      <c r="H320" s="60">
        <v>0</v>
      </c>
      <c r="I320" s="60">
        <v>0.43227937500000002</v>
      </c>
      <c r="J320" s="58">
        <v>1.3470499999999998E-2</v>
      </c>
      <c r="K320" s="58">
        <v>0</v>
      </c>
      <c r="L320" s="34" t="s">
        <v>59</v>
      </c>
      <c r="M320" s="35">
        <f t="shared" ref="M320:R320" si="10">AVERAGE(F320:F343)</f>
        <v>2.9269999999999996</v>
      </c>
      <c r="N320" s="35">
        <f t="shared" si="10"/>
        <v>0.19325546874999996</v>
      </c>
      <c r="O320" s="35">
        <f t="shared" si="10"/>
        <v>0</v>
      </c>
      <c r="P320" s="35">
        <f t="shared" si="10"/>
        <v>1.1243837968749997</v>
      </c>
      <c r="Q320" s="35">
        <f t="shared" si="10"/>
        <v>3.5927031249999998E-2</v>
      </c>
      <c r="R320" s="35">
        <f t="shared" si="10"/>
        <v>0</v>
      </c>
    </row>
    <row r="321" spans="1:12">
      <c r="A321" s="15">
        <v>10</v>
      </c>
      <c r="B321" s="21">
        <v>41297</v>
      </c>
      <c r="C321" s="15">
        <v>2013</v>
      </c>
      <c r="D321" s="11" t="s">
        <v>39</v>
      </c>
      <c r="E321" s="12">
        <v>1</v>
      </c>
      <c r="F321" s="26">
        <v>1.169</v>
      </c>
      <c r="G321" s="26">
        <v>9.547799999999998E-2</v>
      </c>
      <c r="H321" s="26">
        <v>0</v>
      </c>
      <c r="I321" s="26">
        <v>0.29257512499999994</v>
      </c>
      <c r="J321" s="31">
        <v>1.2965374999999996E-2</v>
      </c>
      <c r="K321" s="31">
        <v>0</v>
      </c>
      <c r="L321"/>
    </row>
    <row r="322" spans="1:12">
      <c r="A322" s="15">
        <v>9</v>
      </c>
      <c r="B322" s="21">
        <v>41319</v>
      </c>
      <c r="C322" s="15">
        <v>2013</v>
      </c>
      <c r="D322" s="11" t="s">
        <v>28</v>
      </c>
      <c r="E322" s="12">
        <v>2</v>
      </c>
      <c r="F322" s="31">
        <v>2.944</v>
      </c>
      <c r="G322" s="31">
        <v>0.13853750000000001</v>
      </c>
      <c r="H322" s="31">
        <v>0</v>
      </c>
      <c r="I322" s="31">
        <v>1.2439344999999999</v>
      </c>
      <c r="J322" s="31">
        <v>0</v>
      </c>
      <c r="K322" s="31">
        <v>0</v>
      </c>
      <c r="L322"/>
    </row>
    <row r="323" spans="1:12">
      <c r="A323" s="15">
        <v>10</v>
      </c>
      <c r="B323" s="21">
        <v>41319</v>
      </c>
      <c r="C323" s="15">
        <v>2013</v>
      </c>
      <c r="D323" s="11" t="s">
        <v>28</v>
      </c>
      <c r="E323" s="12">
        <v>2</v>
      </c>
      <c r="F323" s="31">
        <v>2.371</v>
      </c>
      <c r="G323" s="31">
        <v>6.0640124999999996E-2</v>
      </c>
      <c r="H323" s="31">
        <v>0</v>
      </c>
      <c r="I323" s="31">
        <v>0.99689749999999999</v>
      </c>
      <c r="J323" s="31">
        <v>0</v>
      </c>
      <c r="K323" s="31">
        <v>0</v>
      </c>
      <c r="L323"/>
    </row>
    <row r="324" spans="1:12">
      <c r="A324" s="15">
        <v>9</v>
      </c>
      <c r="B324" s="21">
        <v>41346</v>
      </c>
      <c r="C324" s="15">
        <v>2013</v>
      </c>
      <c r="D324" s="11" t="s">
        <v>29</v>
      </c>
      <c r="E324" s="12">
        <v>3</v>
      </c>
      <c r="F324" s="31">
        <v>8.3840000000000003</v>
      </c>
      <c r="G324" s="31">
        <v>0</v>
      </c>
      <c r="H324" s="31">
        <v>0</v>
      </c>
      <c r="I324" s="31">
        <v>5.4693857499999998</v>
      </c>
      <c r="J324" s="31">
        <v>4.7836624999999994E-2</v>
      </c>
      <c r="K324" s="31">
        <v>0</v>
      </c>
      <c r="L324"/>
    </row>
    <row r="325" spans="1:12">
      <c r="A325" s="15">
        <v>10</v>
      </c>
      <c r="B325" s="21">
        <v>41346</v>
      </c>
      <c r="C325" s="15">
        <v>2013</v>
      </c>
      <c r="D325" s="11" t="s">
        <v>29</v>
      </c>
      <c r="E325" s="12">
        <v>3</v>
      </c>
      <c r="F325" s="31">
        <v>8.6709999999999994</v>
      </c>
      <c r="G325" s="31">
        <v>0</v>
      </c>
      <c r="H325" s="31">
        <v>0</v>
      </c>
      <c r="I325" s="31">
        <v>5.441261374999999</v>
      </c>
      <c r="J325" s="31">
        <v>7.794524999999998E-2</v>
      </c>
      <c r="K325" s="31">
        <v>0</v>
      </c>
      <c r="L325"/>
    </row>
    <row r="326" spans="1:12">
      <c r="A326" s="15">
        <v>9</v>
      </c>
      <c r="B326" s="21">
        <v>41380</v>
      </c>
      <c r="C326" s="15">
        <v>2013</v>
      </c>
      <c r="D326" s="11" t="s">
        <v>30</v>
      </c>
      <c r="E326" s="12">
        <v>4</v>
      </c>
      <c r="F326" s="32">
        <v>0.495</v>
      </c>
      <c r="G326" s="32">
        <v>0</v>
      </c>
      <c r="H326" s="32">
        <v>0</v>
      </c>
      <c r="I326" s="32">
        <v>0.12992349999999997</v>
      </c>
      <c r="J326" s="32">
        <v>0</v>
      </c>
      <c r="K326" s="32">
        <v>0</v>
      </c>
      <c r="L326"/>
    </row>
    <row r="327" spans="1:12">
      <c r="A327" s="15">
        <v>10</v>
      </c>
      <c r="B327" s="21">
        <v>41380</v>
      </c>
      <c r="C327" s="15">
        <v>2013</v>
      </c>
      <c r="D327" s="11" t="s">
        <v>30</v>
      </c>
      <c r="E327" s="12">
        <v>4</v>
      </c>
      <c r="F327" s="32">
        <v>0.755</v>
      </c>
      <c r="G327" s="32">
        <v>0</v>
      </c>
      <c r="H327" s="32">
        <v>0</v>
      </c>
      <c r="I327" s="32">
        <v>0.158333</v>
      </c>
      <c r="J327" s="32">
        <v>8.3277500000000001E-3</v>
      </c>
      <c r="K327" s="32">
        <v>0</v>
      </c>
      <c r="L327"/>
    </row>
    <row r="328" spans="1:12">
      <c r="A328" s="15">
        <v>9</v>
      </c>
      <c r="B328" s="21">
        <v>41407</v>
      </c>
      <c r="C328" s="15">
        <v>2013</v>
      </c>
      <c r="D328" s="11" t="s">
        <v>31</v>
      </c>
      <c r="E328" s="12">
        <v>5</v>
      </c>
      <c r="F328" s="32">
        <v>0.65900000000000003</v>
      </c>
      <c r="G328" s="32">
        <v>1.9669624999999996E-2</v>
      </c>
      <c r="H328" s="32">
        <v>0</v>
      </c>
      <c r="I328" s="32">
        <v>0.100426375</v>
      </c>
      <c r="J328" s="32">
        <v>9.3333749999999997E-3</v>
      </c>
      <c r="K328" s="32">
        <v>0</v>
      </c>
      <c r="L328"/>
    </row>
    <row r="329" spans="1:12">
      <c r="A329" s="15">
        <v>10</v>
      </c>
      <c r="B329" s="21">
        <v>41407</v>
      </c>
      <c r="C329" s="15">
        <v>2013</v>
      </c>
      <c r="D329" s="11" t="s">
        <v>31</v>
      </c>
      <c r="E329" s="12">
        <v>5</v>
      </c>
      <c r="F329" s="32">
        <v>2.657</v>
      </c>
      <c r="G329" s="32">
        <v>6.6039374999999997E-2</v>
      </c>
      <c r="H329" s="32">
        <v>0</v>
      </c>
      <c r="I329" s="32">
        <v>0.51168612499999999</v>
      </c>
      <c r="J329" s="32">
        <v>2.1961624999999999E-2</v>
      </c>
      <c r="K329" s="32">
        <v>0</v>
      </c>
      <c r="L329"/>
    </row>
    <row r="330" spans="1:12">
      <c r="A330" s="15">
        <v>9</v>
      </c>
      <c r="B330" s="21">
        <v>41437</v>
      </c>
      <c r="C330" s="15">
        <v>2013</v>
      </c>
      <c r="D330" s="11" t="s">
        <v>32</v>
      </c>
      <c r="E330" s="12">
        <v>6</v>
      </c>
      <c r="F330" s="32">
        <v>4.7809999999999997</v>
      </c>
      <c r="G330" s="32">
        <v>6.2047625000000009E-2</v>
      </c>
      <c r="H330" s="32">
        <v>0</v>
      </c>
      <c r="I330" s="32">
        <v>2.2065641249999999</v>
      </c>
      <c r="J330" s="32">
        <v>1.4484374999999997E-2</v>
      </c>
      <c r="K330" s="32">
        <v>0</v>
      </c>
      <c r="L330"/>
    </row>
    <row r="331" spans="1:12">
      <c r="A331" s="15">
        <v>10</v>
      </c>
      <c r="B331" s="21">
        <v>41437</v>
      </c>
      <c r="C331" s="15">
        <v>2013</v>
      </c>
      <c r="D331" s="11" t="s">
        <v>32</v>
      </c>
      <c r="E331" s="12">
        <v>6</v>
      </c>
      <c r="F331" s="32">
        <v>3.68</v>
      </c>
      <c r="G331" s="32">
        <v>5.6067874999999989E-2</v>
      </c>
      <c r="H331" s="32">
        <v>0</v>
      </c>
      <c r="I331" s="32">
        <v>1.194240875</v>
      </c>
      <c r="J331" s="32">
        <v>4.2951749999999997E-2</v>
      </c>
      <c r="K331" s="32">
        <v>0</v>
      </c>
      <c r="L331"/>
    </row>
    <row r="332" spans="1:12">
      <c r="A332" s="15">
        <v>9</v>
      </c>
      <c r="B332" s="21">
        <v>41470</v>
      </c>
      <c r="C332" s="15">
        <v>2013</v>
      </c>
      <c r="D332" s="11" t="s">
        <v>33</v>
      </c>
      <c r="E332" s="12">
        <v>7</v>
      </c>
      <c r="F332" s="32">
        <v>7.8250000000000002</v>
      </c>
      <c r="G332" s="32">
        <v>0.61174775000000003</v>
      </c>
      <c r="H332" s="32">
        <v>0</v>
      </c>
      <c r="I332" s="32">
        <v>2.728973125</v>
      </c>
      <c r="J332" s="32">
        <v>0.117590625</v>
      </c>
      <c r="K332" s="32">
        <v>0</v>
      </c>
      <c r="L332"/>
    </row>
    <row r="333" spans="1:12">
      <c r="A333" s="15">
        <v>10</v>
      </c>
      <c r="B333" s="21">
        <v>41470</v>
      </c>
      <c r="C333" s="15">
        <v>2013</v>
      </c>
      <c r="D333" s="11" t="s">
        <v>33</v>
      </c>
      <c r="E333" s="12">
        <v>7</v>
      </c>
      <c r="F333" s="32">
        <v>10.163</v>
      </c>
      <c r="G333" s="32">
        <v>2.9929784999999995</v>
      </c>
      <c r="H333" s="32">
        <v>0</v>
      </c>
      <c r="I333" s="32">
        <v>1.8482620000000001</v>
      </c>
      <c r="J333" s="32">
        <v>0.25031775000000001</v>
      </c>
      <c r="K333" s="32">
        <v>0</v>
      </c>
      <c r="L333"/>
    </row>
    <row r="334" spans="1:12">
      <c r="A334" s="15">
        <v>9</v>
      </c>
      <c r="B334" s="21">
        <v>41498</v>
      </c>
      <c r="C334" s="15">
        <v>2013</v>
      </c>
      <c r="D334" s="11" t="s">
        <v>34</v>
      </c>
      <c r="E334" s="12">
        <v>8</v>
      </c>
      <c r="F334" s="32">
        <v>3.544</v>
      </c>
      <c r="G334" s="32">
        <v>8.8444749999999989E-2</v>
      </c>
      <c r="H334" s="32">
        <v>0</v>
      </c>
      <c r="I334" s="32">
        <v>1.3128916249999998</v>
      </c>
      <c r="J334" s="32">
        <v>3.1042249999999997E-2</v>
      </c>
      <c r="K334" s="32">
        <v>0</v>
      </c>
      <c r="L334"/>
    </row>
    <row r="335" spans="1:12">
      <c r="A335" s="15">
        <v>10</v>
      </c>
      <c r="B335" s="21">
        <v>41498</v>
      </c>
      <c r="C335" s="15">
        <v>2013</v>
      </c>
      <c r="D335" s="11" t="s">
        <v>34</v>
      </c>
      <c r="E335" s="12">
        <v>8</v>
      </c>
      <c r="F335" s="32">
        <v>3.4510000000000001</v>
      </c>
      <c r="G335" s="32">
        <v>0.13545699999999999</v>
      </c>
      <c r="H335" s="32">
        <v>0</v>
      </c>
      <c r="I335" s="32">
        <v>0.76320624999999986</v>
      </c>
      <c r="J335" s="32">
        <v>0.15326387499999997</v>
      </c>
      <c r="K335" s="32">
        <v>0</v>
      </c>
      <c r="L335"/>
    </row>
    <row r="336" spans="1:12">
      <c r="A336" s="15">
        <v>9</v>
      </c>
      <c r="B336" s="21">
        <v>41535</v>
      </c>
      <c r="C336" s="15">
        <v>2013</v>
      </c>
      <c r="D336" s="11" t="s">
        <v>40</v>
      </c>
      <c r="E336" s="12">
        <v>9</v>
      </c>
      <c r="F336" s="32">
        <v>1.6279999999999999</v>
      </c>
      <c r="G336" s="32">
        <v>0</v>
      </c>
      <c r="H336" s="32">
        <v>0</v>
      </c>
      <c r="I336" s="32">
        <v>0.65804099999999999</v>
      </c>
      <c r="J336" s="32">
        <v>2.7882624999999998E-2</v>
      </c>
      <c r="K336" s="32">
        <v>0</v>
      </c>
      <c r="L336"/>
    </row>
    <row r="337" spans="1:18">
      <c r="A337" s="15">
        <v>10</v>
      </c>
      <c r="B337" s="21">
        <v>41535</v>
      </c>
      <c r="C337" s="15">
        <v>2013</v>
      </c>
      <c r="D337" s="11" t="s">
        <v>40</v>
      </c>
      <c r="E337" s="12">
        <v>9</v>
      </c>
      <c r="F337" s="32">
        <v>1.2649999999999999</v>
      </c>
      <c r="G337" s="32">
        <v>0</v>
      </c>
      <c r="H337" s="32">
        <v>0</v>
      </c>
      <c r="I337" s="32">
        <v>0.4926371249999999</v>
      </c>
      <c r="J337" s="32">
        <v>3.2875000000000001E-2</v>
      </c>
      <c r="K337" s="32">
        <v>0</v>
      </c>
    </row>
    <row r="338" spans="1:18">
      <c r="A338" s="15">
        <v>9</v>
      </c>
      <c r="B338" s="21">
        <v>406810</v>
      </c>
      <c r="C338" s="15">
        <v>2013</v>
      </c>
      <c r="D338" s="11" t="s">
        <v>36</v>
      </c>
      <c r="E338" s="12">
        <v>10</v>
      </c>
      <c r="F338" s="26">
        <v>0.60099999999999998</v>
      </c>
      <c r="G338" s="26">
        <v>0</v>
      </c>
      <c r="H338" s="26">
        <v>0</v>
      </c>
      <c r="I338" s="61">
        <v>5.4357249999999996E-2</v>
      </c>
      <c r="J338" s="31">
        <v>0</v>
      </c>
      <c r="K338" s="31">
        <v>0</v>
      </c>
    </row>
    <row r="339" spans="1:18">
      <c r="A339" s="15">
        <v>10</v>
      </c>
      <c r="B339" s="21">
        <v>406810</v>
      </c>
      <c r="C339" s="15">
        <v>2013</v>
      </c>
      <c r="D339" s="11" t="s">
        <v>36</v>
      </c>
      <c r="E339" s="12">
        <v>10</v>
      </c>
      <c r="F339" s="26">
        <v>0.93</v>
      </c>
      <c r="G339" s="26">
        <v>0</v>
      </c>
      <c r="H339" s="26">
        <v>0</v>
      </c>
      <c r="I339" s="61">
        <v>0.12325575</v>
      </c>
      <c r="J339" s="31">
        <v>0</v>
      </c>
      <c r="K339" s="31">
        <v>0</v>
      </c>
    </row>
    <row r="340" spans="1:18">
      <c r="A340" s="15">
        <v>9</v>
      </c>
      <c r="B340" s="21">
        <v>41599</v>
      </c>
      <c r="C340" s="15">
        <v>2013</v>
      </c>
      <c r="D340" s="11" t="s">
        <v>37</v>
      </c>
      <c r="E340" s="12">
        <v>11</v>
      </c>
      <c r="F340" s="26">
        <v>0.249</v>
      </c>
      <c r="G340" s="26">
        <v>0</v>
      </c>
      <c r="H340" s="26">
        <v>0</v>
      </c>
      <c r="I340" s="61">
        <v>7.1526124999999996E-2</v>
      </c>
      <c r="J340" s="31">
        <v>0</v>
      </c>
      <c r="K340" s="31">
        <v>0</v>
      </c>
    </row>
    <row r="341" spans="1:18">
      <c r="A341" s="15">
        <v>10</v>
      </c>
      <c r="B341" s="21">
        <v>41599</v>
      </c>
      <c r="C341" s="15">
        <v>2013</v>
      </c>
      <c r="D341" s="11" t="s">
        <v>37</v>
      </c>
      <c r="E341" s="12">
        <v>11</v>
      </c>
      <c r="F341" s="26">
        <v>0.36599999999999999</v>
      </c>
      <c r="G341" s="26">
        <v>0</v>
      </c>
      <c r="H341" s="26">
        <v>0</v>
      </c>
      <c r="I341" s="61">
        <v>0.12170925000000002</v>
      </c>
      <c r="J341" s="31">
        <v>0</v>
      </c>
      <c r="K341" s="31">
        <v>0</v>
      </c>
    </row>
    <row r="342" spans="1:18">
      <c r="A342" s="15">
        <v>9</v>
      </c>
      <c r="B342" s="21">
        <v>41627</v>
      </c>
      <c r="C342" s="15">
        <v>2013</v>
      </c>
      <c r="D342" s="11" t="s">
        <v>38</v>
      </c>
      <c r="E342" s="12">
        <v>12</v>
      </c>
      <c r="F342" s="26">
        <v>0.96</v>
      </c>
      <c r="G342" s="26">
        <v>0.106555</v>
      </c>
      <c r="H342" s="26">
        <v>0</v>
      </c>
      <c r="I342" s="61">
        <v>0.30925549999999996</v>
      </c>
      <c r="J342" s="31">
        <v>0</v>
      </c>
      <c r="K342" s="31">
        <v>0</v>
      </c>
    </row>
    <row r="343" spans="1:18" ht="25.5">
      <c r="A343" s="15">
        <v>10</v>
      </c>
      <c r="B343" s="21">
        <v>41627</v>
      </c>
      <c r="C343" s="15">
        <v>2013</v>
      </c>
      <c r="D343" s="11" t="s">
        <v>38</v>
      </c>
      <c r="E343" s="12">
        <v>12</v>
      </c>
      <c r="F343" s="26">
        <v>1.0349999999999999</v>
      </c>
      <c r="G343" s="26">
        <v>0.10052262499999999</v>
      </c>
      <c r="H343" s="26">
        <v>0</v>
      </c>
      <c r="I343" s="61">
        <v>0.32358849999999995</v>
      </c>
      <c r="J343" s="31">
        <v>0</v>
      </c>
      <c r="K343" s="31">
        <v>0</v>
      </c>
      <c r="L343" s="34" t="s">
        <v>42</v>
      </c>
      <c r="M343" s="6" t="s">
        <v>7</v>
      </c>
      <c r="N343" s="6" t="s">
        <v>8</v>
      </c>
      <c r="O343" s="6" t="s">
        <v>9</v>
      </c>
      <c r="P343" s="6" t="s">
        <v>10</v>
      </c>
      <c r="Q343" s="6" t="s">
        <v>11</v>
      </c>
      <c r="R343" s="6" t="s">
        <v>12</v>
      </c>
    </row>
    <row r="344" spans="1:18">
      <c r="A344" s="46">
        <v>9</v>
      </c>
      <c r="B344" s="53">
        <v>41655</v>
      </c>
      <c r="C344" s="46">
        <v>2014</v>
      </c>
      <c r="D344" s="42" t="s">
        <v>39</v>
      </c>
      <c r="E344" s="40">
        <v>1</v>
      </c>
      <c r="F344" s="60">
        <v>1.9850000000000001</v>
      </c>
      <c r="G344" s="60">
        <v>6.830512499999998E-2</v>
      </c>
      <c r="H344" s="60">
        <v>0</v>
      </c>
      <c r="I344" s="62">
        <v>0.7155897499999998</v>
      </c>
      <c r="J344" s="58">
        <v>0</v>
      </c>
      <c r="K344" s="58">
        <v>0</v>
      </c>
      <c r="L344" s="34" t="s">
        <v>60</v>
      </c>
      <c r="M344" s="35">
        <f t="shared" ref="M344:R344" si="11">AVERAGE(F344:F367)</f>
        <v>3.2971666666666657</v>
      </c>
      <c r="N344" s="35">
        <f t="shared" si="11"/>
        <v>9.1007906249999992E-2</v>
      </c>
      <c r="O344" s="35">
        <f t="shared" si="11"/>
        <v>0</v>
      </c>
      <c r="P344" s="35">
        <f t="shared" si="11"/>
        <v>1.233434328125</v>
      </c>
      <c r="Q344" s="35">
        <f t="shared" si="11"/>
        <v>3.7245744791666667E-2</v>
      </c>
      <c r="R344" s="35">
        <f t="shared" si="11"/>
        <v>0</v>
      </c>
    </row>
    <row r="345" spans="1:18">
      <c r="A345" s="15">
        <v>10</v>
      </c>
      <c r="B345" s="21">
        <v>41655</v>
      </c>
      <c r="C345" s="15">
        <v>2014</v>
      </c>
      <c r="D345" s="11" t="s">
        <v>39</v>
      </c>
      <c r="E345" s="12">
        <v>1</v>
      </c>
      <c r="F345" s="26">
        <v>1.8129999999999999</v>
      </c>
      <c r="G345" s="26">
        <v>6.598649999999999E-2</v>
      </c>
      <c r="H345" s="26">
        <v>0</v>
      </c>
      <c r="I345" s="61">
        <v>0.60328387500000002</v>
      </c>
      <c r="J345" s="31">
        <v>0</v>
      </c>
      <c r="K345" s="31">
        <v>0</v>
      </c>
    </row>
    <row r="346" spans="1:18">
      <c r="A346" s="15">
        <v>9</v>
      </c>
      <c r="B346" s="21">
        <v>41690</v>
      </c>
      <c r="C346" s="15">
        <v>2014</v>
      </c>
      <c r="D346" s="11" t="s">
        <v>28</v>
      </c>
      <c r="E346" s="12">
        <v>2</v>
      </c>
      <c r="F346" s="26">
        <v>3.0960000000000001</v>
      </c>
      <c r="G346" s="26">
        <v>3.5241124999999991E-2</v>
      </c>
      <c r="H346" s="26">
        <v>0</v>
      </c>
      <c r="I346" s="61">
        <v>1.2233618749999999</v>
      </c>
      <c r="J346" s="31">
        <v>2.8504000000000002E-2</v>
      </c>
      <c r="K346" s="31">
        <v>0</v>
      </c>
    </row>
    <row r="347" spans="1:18">
      <c r="A347" s="15">
        <v>10</v>
      </c>
      <c r="B347" s="21">
        <v>41690</v>
      </c>
      <c r="C347" s="15">
        <v>2014</v>
      </c>
      <c r="D347" s="11" t="s">
        <v>28</v>
      </c>
      <c r="E347" s="12">
        <v>2</v>
      </c>
      <c r="F347" s="26">
        <v>4.5090000000000003</v>
      </c>
      <c r="G347" s="26">
        <v>0.18684400000000001</v>
      </c>
      <c r="H347" s="26">
        <v>0</v>
      </c>
      <c r="I347" s="61">
        <v>1.7310584999999996</v>
      </c>
      <c r="J347" s="31">
        <v>3.91735E-2</v>
      </c>
      <c r="K347" s="31">
        <v>0</v>
      </c>
    </row>
    <row r="348" spans="1:18">
      <c r="A348" s="15">
        <v>9</v>
      </c>
      <c r="B348" s="21">
        <v>41718</v>
      </c>
      <c r="C348" s="15">
        <v>2014</v>
      </c>
      <c r="D348" s="11" t="s">
        <v>29</v>
      </c>
      <c r="E348" s="12">
        <v>3</v>
      </c>
      <c r="F348" s="26">
        <v>6.6929999999999996</v>
      </c>
      <c r="G348" s="26">
        <v>0.183051625</v>
      </c>
      <c r="H348" s="26">
        <v>0</v>
      </c>
      <c r="I348" s="61">
        <v>3.2065438749999995</v>
      </c>
      <c r="J348" s="31">
        <v>3.2197749999999997E-2</v>
      </c>
      <c r="K348" s="31">
        <v>0</v>
      </c>
    </row>
    <row r="349" spans="1:18">
      <c r="A349" s="15">
        <v>10</v>
      </c>
      <c r="B349" s="21">
        <v>41718</v>
      </c>
      <c r="C349" s="15">
        <v>2014</v>
      </c>
      <c r="D349" s="11" t="s">
        <v>29</v>
      </c>
      <c r="E349" s="12">
        <v>3</v>
      </c>
      <c r="F349" s="26">
        <v>4.5419999999999998</v>
      </c>
      <c r="G349" s="26">
        <v>8.6282624999999988E-2</v>
      </c>
      <c r="H349" s="26">
        <v>0</v>
      </c>
      <c r="I349" s="61">
        <v>2.0590714999999999</v>
      </c>
      <c r="J349" s="31">
        <v>5.8065125000000002E-2</v>
      </c>
      <c r="K349" s="31">
        <v>0</v>
      </c>
    </row>
    <row r="350" spans="1:18">
      <c r="A350" s="15">
        <v>9</v>
      </c>
      <c r="B350" s="21">
        <v>41750</v>
      </c>
      <c r="C350" s="15">
        <v>2014</v>
      </c>
      <c r="D350" s="11" t="s">
        <v>30</v>
      </c>
      <c r="E350" s="12">
        <v>4</v>
      </c>
      <c r="F350" s="33">
        <v>2.2000000000000002</v>
      </c>
      <c r="G350" s="33">
        <v>7.7988125000000005E-2</v>
      </c>
      <c r="H350" s="33">
        <v>0</v>
      </c>
      <c r="I350" s="64">
        <v>0.50230862499999995</v>
      </c>
      <c r="J350" s="66">
        <v>8.629249999999998E-3</v>
      </c>
      <c r="K350" s="66">
        <v>0</v>
      </c>
    </row>
    <row r="351" spans="1:18">
      <c r="A351" s="15">
        <v>10</v>
      </c>
      <c r="B351" s="21">
        <v>41750</v>
      </c>
      <c r="C351" s="15">
        <v>2014</v>
      </c>
      <c r="D351" s="11" t="s">
        <v>30</v>
      </c>
      <c r="E351" s="12">
        <v>4</v>
      </c>
      <c r="F351" s="33">
        <v>1.27</v>
      </c>
      <c r="G351" s="33">
        <v>3.6122624999999992E-2</v>
      </c>
      <c r="H351" s="33">
        <v>0</v>
      </c>
      <c r="I351" s="64">
        <v>0.44457325000000003</v>
      </c>
      <c r="J351" s="66">
        <v>1.2682125000000001E-2</v>
      </c>
      <c r="K351" s="66">
        <v>0</v>
      </c>
    </row>
    <row r="352" spans="1:18">
      <c r="A352" s="15">
        <v>9</v>
      </c>
      <c r="B352" s="21">
        <v>41406</v>
      </c>
      <c r="C352" s="15">
        <v>2014</v>
      </c>
      <c r="D352" s="11" t="s">
        <v>31</v>
      </c>
      <c r="E352" s="12">
        <v>5</v>
      </c>
      <c r="F352" s="33">
        <v>0.90700000000000003</v>
      </c>
      <c r="G352" s="33">
        <v>0</v>
      </c>
      <c r="H352" s="33">
        <v>0</v>
      </c>
      <c r="I352" s="64">
        <v>0.10242124999999999</v>
      </c>
      <c r="J352" s="66">
        <v>0</v>
      </c>
      <c r="K352" s="66">
        <v>0</v>
      </c>
    </row>
    <row r="353" spans="1:22">
      <c r="A353" s="15">
        <v>10</v>
      </c>
      <c r="B353" s="21">
        <v>41406</v>
      </c>
      <c r="C353" s="15">
        <v>2014</v>
      </c>
      <c r="D353" s="11" t="s">
        <v>31</v>
      </c>
      <c r="E353" s="12">
        <v>5</v>
      </c>
      <c r="F353" s="33">
        <v>3.2</v>
      </c>
      <c r="G353" s="33">
        <v>0.12266775000000001</v>
      </c>
      <c r="H353" s="33">
        <v>0</v>
      </c>
      <c r="I353" s="64">
        <v>0.71002425000000002</v>
      </c>
      <c r="J353" s="66">
        <v>2.5636874999999996E-2</v>
      </c>
      <c r="K353" s="66">
        <v>0</v>
      </c>
    </row>
    <row r="354" spans="1:22">
      <c r="A354" s="15">
        <v>9</v>
      </c>
      <c r="B354" s="21">
        <v>41807</v>
      </c>
      <c r="C354" s="15">
        <v>2014</v>
      </c>
      <c r="D354" s="11" t="s">
        <v>32</v>
      </c>
      <c r="E354" s="12">
        <v>6</v>
      </c>
      <c r="F354" s="33">
        <v>3.6440000000000001</v>
      </c>
      <c r="G354" s="33">
        <v>8.2667749999999984E-2</v>
      </c>
      <c r="H354" s="33">
        <v>0</v>
      </c>
      <c r="I354" s="64">
        <v>1.6596043749999996</v>
      </c>
      <c r="J354" s="66">
        <v>3.9655500000000003E-2</v>
      </c>
      <c r="K354" s="66">
        <v>0</v>
      </c>
    </row>
    <row r="355" spans="1:22">
      <c r="A355" s="15">
        <v>10</v>
      </c>
      <c r="B355" s="21">
        <v>41807</v>
      </c>
      <c r="C355" s="15">
        <v>2014</v>
      </c>
      <c r="D355" s="11" t="s">
        <v>32</v>
      </c>
      <c r="E355" s="12">
        <v>6</v>
      </c>
      <c r="F355" s="33">
        <v>5.5940000000000003</v>
      </c>
      <c r="G355" s="33">
        <v>3.141737499999999E-2</v>
      </c>
      <c r="H355" s="33">
        <v>0</v>
      </c>
      <c r="I355" s="64">
        <v>2.7114461250000002</v>
      </c>
      <c r="J355" s="66">
        <v>6.071725E-2</v>
      </c>
      <c r="K355" s="66">
        <v>0</v>
      </c>
    </row>
    <row r="356" spans="1:22">
      <c r="A356" s="15">
        <v>9</v>
      </c>
      <c r="B356" s="21">
        <v>41837</v>
      </c>
      <c r="C356" s="15">
        <v>2014</v>
      </c>
      <c r="D356" s="11" t="s">
        <v>33</v>
      </c>
      <c r="E356" s="12">
        <v>7</v>
      </c>
      <c r="F356" s="33">
        <v>5.2190000000000003</v>
      </c>
      <c r="G356" s="33">
        <v>0.13660899999999998</v>
      </c>
      <c r="H356" s="33">
        <v>0</v>
      </c>
      <c r="I356" s="64">
        <v>2.1525809999999996</v>
      </c>
      <c r="J356" s="66">
        <v>3.2733375000000002E-2</v>
      </c>
      <c r="K356" s="66">
        <v>0</v>
      </c>
    </row>
    <row r="357" spans="1:22">
      <c r="A357" s="15">
        <v>10</v>
      </c>
      <c r="B357" s="21">
        <v>41837</v>
      </c>
      <c r="C357" s="15">
        <v>2014</v>
      </c>
      <c r="D357" s="11" t="s">
        <v>33</v>
      </c>
      <c r="E357" s="12">
        <v>7</v>
      </c>
      <c r="F357" s="33">
        <v>6.8840000000000003</v>
      </c>
      <c r="G357" s="33">
        <v>5.9347124999999994E-2</v>
      </c>
      <c r="H357" s="33">
        <v>0</v>
      </c>
      <c r="I357" s="64">
        <v>2.8825774999999996</v>
      </c>
      <c r="J357" s="66">
        <v>0.23456362500000003</v>
      </c>
      <c r="K357" s="66">
        <v>0</v>
      </c>
    </row>
    <row r="358" spans="1:22">
      <c r="A358" s="15">
        <v>9</v>
      </c>
      <c r="B358" s="21">
        <v>41862</v>
      </c>
      <c r="C358" s="15">
        <v>2014</v>
      </c>
      <c r="D358" s="11" t="s">
        <v>34</v>
      </c>
      <c r="E358" s="12">
        <v>8</v>
      </c>
      <c r="F358" s="33">
        <v>9.9480000000000004</v>
      </c>
      <c r="G358" s="33">
        <v>0.42253825</v>
      </c>
      <c r="H358" s="33">
        <v>0</v>
      </c>
      <c r="I358" s="64">
        <v>3.8472354999999996</v>
      </c>
      <c r="J358" s="66">
        <v>7.8044125000000006E-2</v>
      </c>
      <c r="K358" s="66">
        <v>0</v>
      </c>
    </row>
    <row r="359" spans="1:22">
      <c r="A359" s="15">
        <v>10</v>
      </c>
      <c r="B359" s="21">
        <v>41862</v>
      </c>
      <c r="C359" s="15">
        <v>2014</v>
      </c>
      <c r="D359" s="11" t="s">
        <v>34</v>
      </c>
      <c r="E359" s="12">
        <v>8</v>
      </c>
      <c r="F359" s="33">
        <v>6.9889999999999999</v>
      </c>
      <c r="G359" s="33">
        <v>0.154294875</v>
      </c>
      <c r="H359" s="33">
        <v>0</v>
      </c>
      <c r="I359" s="64">
        <v>2.4611800000000001</v>
      </c>
      <c r="J359" s="66">
        <v>8.3518624999999985E-2</v>
      </c>
      <c r="K359" s="66">
        <v>0</v>
      </c>
    </row>
    <row r="360" spans="1:22">
      <c r="A360" s="15">
        <v>9</v>
      </c>
      <c r="B360" s="21">
        <v>41897</v>
      </c>
      <c r="C360" s="15">
        <v>2014</v>
      </c>
      <c r="D360" s="11" t="s">
        <v>40</v>
      </c>
      <c r="E360" s="12">
        <v>9</v>
      </c>
      <c r="F360" s="33">
        <v>1.9710000000000001</v>
      </c>
      <c r="G360" s="33">
        <v>5.0098124999999993E-2</v>
      </c>
      <c r="H360" s="33">
        <v>0</v>
      </c>
      <c r="I360" s="64">
        <v>0.46316999999999997</v>
      </c>
      <c r="J360" s="66">
        <v>2.2410500000000003E-2</v>
      </c>
      <c r="K360" s="66">
        <v>0</v>
      </c>
    </row>
    <row r="361" spans="1:22">
      <c r="A361" s="15">
        <v>10</v>
      </c>
      <c r="B361" s="21">
        <v>41897</v>
      </c>
      <c r="C361" s="15">
        <v>2014</v>
      </c>
      <c r="D361" s="11" t="s">
        <v>40</v>
      </c>
      <c r="E361" s="12">
        <v>9</v>
      </c>
      <c r="F361" s="33">
        <v>2.0739999999999998</v>
      </c>
      <c r="G361" s="33">
        <v>0</v>
      </c>
      <c r="H361" s="33">
        <v>0</v>
      </c>
      <c r="I361" s="64">
        <v>0.527969625</v>
      </c>
      <c r="J361" s="66">
        <v>2.2668999999999995E-2</v>
      </c>
      <c r="K361" s="66">
        <v>0</v>
      </c>
    </row>
    <row r="362" spans="1:22">
      <c r="A362" s="15">
        <v>9</v>
      </c>
      <c r="B362" s="21">
        <v>41928</v>
      </c>
      <c r="C362" s="15">
        <v>2014</v>
      </c>
      <c r="D362" s="11" t="s">
        <v>36</v>
      </c>
      <c r="E362" s="12">
        <v>10</v>
      </c>
      <c r="F362" s="26">
        <v>1.5629999999999999</v>
      </c>
      <c r="G362" s="26">
        <v>0</v>
      </c>
      <c r="H362" s="26">
        <v>0</v>
      </c>
      <c r="I362" s="26">
        <v>0.58754949999999984</v>
      </c>
      <c r="J362" s="31">
        <v>0</v>
      </c>
      <c r="K362" s="31">
        <v>0</v>
      </c>
    </row>
    <row r="363" spans="1:22">
      <c r="A363" s="15">
        <v>10</v>
      </c>
      <c r="B363" s="21">
        <v>41928</v>
      </c>
      <c r="C363" s="15">
        <v>2014</v>
      </c>
      <c r="D363" s="11" t="s">
        <v>36</v>
      </c>
      <c r="E363" s="12">
        <v>10</v>
      </c>
      <c r="F363" s="26">
        <v>1.704</v>
      </c>
      <c r="G363" s="26">
        <v>0</v>
      </c>
      <c r="H363" s="26">
        <v>0</v>
      </c>
      <c r="I363" s="26">
        <v>0.38177850000000002</v>
      </c>
      <c r="J363" s="31">
        <v>0.11469724999999999</v>
      </c>
      <c r="K363" s="31">
        <v>0</v>
      </c>
    </row>
    <row r="364" spans="1:22">
      <c r="A364" s="15">
        <v>9</v>
      </c>
      <c r="B364" s="21">
        <v>41955</v>
      </c>
      <c r="C364" s="15">
        <v>2014</v>
      </c>
      <c r="D364" s="11" t="s">
        <v>37</v>
      </c>
      <c r="E364" s="12">
        <v>11</v>
      </c>
      <c r="F364" s="26">
        <v>0.51700000000000002</v>
      </c>
      <c r="G364" s="26">
        <v>0</v>
      </c>
      <c r="H364" s="26">
        <v>0</v>
      </c>
      <c r="I364" s="26">
        <v>0.13433074999999997</v>
      </c>
      <c r="J364" s="31">
        <v>0</v>
      </c>
      <c r="K364" s="31">
        <v>0</v>
      </c>
    </row>
    <row r="365" spans="1:22">
      <c r="A365" s="15">
        <v>10</v>
      </c>
      <c r="B365" s="21">
        <v>41955</v>
      </c>
      <c r="C365" s="15">
        <v>2014</v>
      </c>
      <c r="D365" s="11" t="s">
        <v>37</v>
      </c>
      <c r="E365" s="12">
        <v>11</v>
      </c>
      <c r="F365" s="26">
        <v>0.57899999999999996</v>
      </c>
      <c r="G365" s="26">
        <v>0</v>
      </c>
      <c r="H365" s="26">
        <v>0</v>
      </c>
      <c r="I365" s="26">
        <v>0.17754025000000004</v>
      </c>
      <c r="J365" s="31">
        <v>0</v>
      </c>
      <c r="K365" s="31">
        <v>0</v>
      </c>
    </row>
    <row r="366" spans="1:22">
      <c r="A366" s="15">
        <v>9</v>
      </c>
      <c r="B366" s="21">
        <v>41992</v>
      </c>
      <c r="C366" s="15">
        <v>2014</v>
      </c>
      <c r="D366" s="11" t="s">
        <v>38</v>
      </c>
      <c r="E366" s="12">
        <v>12</v>
      </c>
      <c r="F366" s="26">
        <v>0.72499999999999998</v>
      </c>
      <c r="G366" s="26">
        <v>8.8569499999999968E-2</v>
      </c>
      <c r="H366" s="26">
        <v>0</v>
      </c>
      <c r="I366" s="26">
        <v>0.13081862499999999</v>
      </c>
      <c r="J366" s="31">
        <v>0</v>
      </c>
      <c r="K366" s="31">
        <v>0</v>
      </c>
    </row>
    <row r="367" spans="1:22">
      <c r="A367" s="15">
        <v>10</v>
      </c>
      <c r="B367" s="21">
        <v>41992</v>
      </c>
      <c r="C367" s="15">
        <v>2014</v>
      </c>
      <c r="D367" s="11" t="s">
        <v>38</v>
      </c>
      <c r="E367" s="12">
        <v>12</v>
      </c>
      <c r="F367" s="26">
        <v>1.506</v>
      </c>
      <c r="G367" s="26">
        <v>0.29615825000000001</v>
      </c>
      <c r="H367" s="26">
        <v>0</v>
      </c>
      <c r="I367" s="26">
        <v>0.18640537500000001</v>
      </c>
      <c r="J367" s="31">
        <v>0</v>
      </c>
      <c r="K367" s="31">
        <v>0</v>
      </c>
      <c r="L367" s="34" t="s">
        <v>42</v>
      </c>
    </row>
    <row r="368" spans="1:22" ht="38.25">
      <c r="L368" s="34" t="s">
        <v>61</v>
      </c>
      <c r="M368" s="6" t="s">
        <v>7</v>
      </c>
      <c r="N368" s="6" t="s">
        <v>8</v>
      </c>
      <c r="O368" s="6" t="s">
        <v>9</v>
      </c>
      <c r="P368" s="6" t="s">
        <v>10</v>
      </c>
      <c r="Q368" s="6" t="s">
        <v>11</v>
      </c>
      <c r="R368" s="6" t="s">
        <v>12</v>
      </c>
      <c r="S368" s="67" t="s">
        <v>77</v>
      </c>
      <c r="T368" s="67" t="s">
        <v>78</v>
      </c>
      <c r="U368" s="67" t="s">
        <v>79</v>
      </c>
      <c r="V368" s="67" t="s">
        <v>80</v>
      </c>
    </row>
    <row r="369" spans="12:22">
      <c r="L369" s="34" t="s">
        <v>62</v>
      </c>
      <c r="M369" s="35">
        <f t="shared" ref="M369:R369" si="12">M2</f>
        <v>0.64858631822297108</v>
      </c>
      <c r="N369" s="35">
        <f t="shared" si="12"/>
        <v>0</v>
      </c>
      <c r="O369" s="35">
        <f t="shared" si="12"/>
        <v>0</v>
      </c>
      <c r="P369" s="35">
        <f t="shared" si="12"/>
        <v>0.1349748211388889</v>
      </c>
      <c r="Q369" s="35">
        <f t="shared" si="12"/>
        <v>0</v>
      </c>
      <c r="R369" s="35">
        <f t="shared" si="12"/>
        <v>0</v>
      </c>
      <c r="S369" s="27">
        <f>N369/M369</f>
        <v>0</v>
      </c>
      <c r="T369" s="27">
        <f>O369/M369</f>
        <v>0</v>
      </c>
      <c r="U369" s="27">
        <f>P369/M369</f>
        <v>0.20810618008208931</v>
      </c>
      <c r="V369" s="27">
        <f>Q369/M369</f>
        <v>0</v>
      </c>
    </row>
    <row r="370" spans="12:22">
      <c r="L370" s="34" t="s">
        <v>44</v>
      </c>
      <c r="M370" s="35">
        <f>M8</f>
        <v>2.4448850763683319</v>
      </c>
      <c r="N370" s="35">
        <f t="shared" ref="N370:P370" si="13">N8</f>
        <v>8.5197989902777785E-2</v>
      </c>
      <c r="O370" s="35">
        <f t="shared" si="13"/>
        <v>3.1963047430555551E-3</v>
      </c>
      <c r="P370" s="35">
        <f t="shared" si="13"/>
        <v>0.53252141734027791</v>
      </c>
      <c r="Q370" s="35">
        <f t="shared" ref="Q370:R370" si="14">Q8</f>
        <v>2.410033863194444E-2</v>
      </c>
      <c r="R370" s="35">
        <f t="shared" si="14"/>
        <v>0</v>
      </c>
      <c r="S370" s="27">
        <f t="shared" ref="S370:S384" si="15">N370/M370</f>
        <v>3.4847441593995956E-2</v>
      </c>
      <c r="T370" s="27">
        <f t="shared" ref="T370:T384" si="16">O370/M370</f>
        <v>1.3073435532615679E-3</v>
      </c>
      <c r="U370" s="27">
        <f t="shared" ref="U370:U384" si="17">P370/M370</f>
        <v>0.21781040854946565</v>
      </c>
      <c r="V370" s="27">
        <f t="shared" ref="V370:V384" si="18">Q370/M370</f>
        <v>9.8574525505891828E-3</v>
      </c>
    </row>
    <row r="371" spans="12:22">
      <c r="L371" s="34" t="s">
        <v>63</v>
      </c>
      <c r="M371" s="35">
        <f>M32</f>
        <v>2.5160418381776126</v>
      </c>
      <c r="N371" s="35">
        <f t="shared" ref="N371:P371" si="19">N32</f>
        <v>5.4047414687499996E-2</v>
      </c>
      <c r="O371" s="35">
        <f t="shared" si="19"/>
        <v>5.2261492986111118E-3</v>
      </c>
      <c r="P371" s="35">
        <f t="shared" si="19"/>
        <v>0.61008501940396254</v>
      </c>
      <c r="Q371" s="35">
        <f t="shared" ref="Q371:R371" si="20">Q32</f>
        <v>4.1105193630085309E-2</v>
      </c>
      <c r="R371" s="35">
        <f t="shared" si="20"/>
        <v>0</v>
      </c>
      <c r="S371" s="27">
        <f t="shared" si="15"/>
        <v>2.1481127168635213E-2</v>
      </c>
      <c r="T371" s="27">
        <f t="shared" si="16"/>
        <v>2.0771313176558503E-3</v>
      </c>
      <c r="U371" s="27">
        <f t="shared" si="17"/>
        <v>0.24247809004871379</v>
      </c>
      <c r="V371" s="27">
        <f t="shared" si="18"/>
        <v>1.6337245671502069E-2</v>
      </c>
    </row>
    <row r="372" spans="12:22">
      <c r="L372" s="34" t="s">
        <v>64</v>
      </c>
      <c r="M372" s="35">
        <f>M56</f>
        <v>2.9126058546241094</v>
      </c>
      <c r="N372" s="35">
        <f t="shared" ref="N372:P372" si="21">N56</f>
        <v>5.501763339423503E-2</v>
      </c>
      <c r="O372" s="35">
        <f t="shared" si="21"/>
        <v>9.3731914518841285E-3</v>
      </c>
      <c r="P372" s="35">
        <f t="shared" si="21"/>
        <v>0.32007477574101467</v>
      </c>
      <c r="Q372" s="35">
        <f t="shared" ref="Q372:R372" si="22">Q56</f>
        <v>8.8997271738059259E-3</v>
      </c>
      <c r="R372" s="35">
        <f t="shared" si="22"/>
        <v>0</v>
      </c>
      <c r="S372" s="27">
        <f t="shared" si="15"/>
        <v>1.8889488018740321E-2</v>
      </c>
      <c r="T372" s="27">
        <f t="shared" si="16"/>
        <v>3.218146196129857E-3</v>
      </c>
      <c r="U372" s="27">
        <f t="shared" si="17"/>
        <v>0.10989292465812282</v>
      </c>
      <c r="V372" s="27">
        <f t="shared" si="18"/>
        <v>3.0555892619925028E-3</v>
      </c>
    </row>
    <row r="373" spans="12:22">
      <c r="L373" s="34" t="s">
        <v>65</v>
      </c>
      <c r="M373" s="35">
        <f>M80</f>
        <v>9.3347297274316485</v>
      </c>
      <c r="N373" s="35">
        <f t="shared" ref="N373:P373" si="23">N80</f>
        <v>0.16749427644275594</v>
      </c>
      <c r="O373" s="35">
        <f t="shared" si="23"/>
        <v>0.31474528616172598</v>
      </c>
      <c r="P373" s="35">
        <f t="shared" si="23"/>
        <v>3.0792668204787415</v>
      </c>
      <c r="Q373" s="35">
        <f t="shared" ref="Q373:R373" si="24">Q80</f>
        <v>0.14084431824733576</v>
      </c>
      <c r="R373" s="35">
        <f t="shared" si="24"/>
        <v>0</v>
      </c>
      <c r="S373" s="27">
        <f t="shared" si="15"/>
        <v>1.7943130795800791E-2</v>
      </c>
      <c r="T373" s="27">
        <f t="shared" si="16"/>
        <v>3.3717664608627594E-2</v>
      </c>
      <c r="U373" s="27">
        <f t="shared" si="17"/>
        <v>0.32987209168250542</v>
      </c>
      <c r="V373" s="27">
        <f t="shared" si="18"/>
        <v>1.5088205267844169E-2</v>
      </c>
    </row>
    <row r="374" spans="12:22">
      <c r="L374" s="34" t="s">
        <v>66</v>
      </c>
      <c r="M374" s="35">
        <f>M104</f>
        <v>8.9930720833333346</v>
      </c>
      <c r="N374" s="35">
        <f t="shared" ref="N374:P374" si="25">N104</f>
        <v>0.1474474936660142</v>
      </c>
      <c r="O374" s="35">
        <f t="shared" si="25"/>
        <v>3.717734021289843E-3</v>
      </c>
      <c r="P374" s="35">
        <f t="shared" si="25"/>
        <v>2.6122160296532084</v>
      </c>
      <c r="Q374" s="35">
        <f t="shared" ref="Q374:R374" si="26">Q104</f>
        <v>0.16844205229599796</v>
      </c>
      <c r="R374" s="35">
        <f t="shared" si="26"/>
        <v>0</v>
      </c>
      <c r="S374" s="27">
        <f t="shared" si="15"/>
        <v>1.6395675726793676E-2</v>
      </c>
      <c r="T374" s="27">
        <f t="shared" si="16"/>
        <v>4.1339978005734424E-4</v>
      </c>
      <c r="U374" s="27">
        <f t="shared" si="17"/>
        <v>0.29046982004006972</v>
      </c>
      <c r="V374" s="27">
        <f t="shared" si="18"/>
        <v>1.8730201507910511E-2</v>
      </c>
    </row>
    <row r="375" spans="12:22">
      <c r="L375" s="34" t="s">
        <v>67</v>
      </c>
      <c r="M375" s="35">
        <f>M128</f>
        <v>8.7470374999999994</v>
      </c>
      <c r="N375" s="35">
        <f t="shared" ref="N375:P375" si="27">N128</f>
        <v>0.30231391774403793</v>
      </c>
      <c r="O375" s="35">
        <f t="shared" si="27"/>
        <v>8.8973881137876121E-3</v>
      </c>
      <c r="P375" s="35">
        <f t="shared" si="27"/>
        <v>2.2197692547320158</v>
      </c>
      <c r="Q375" s="35">
        <f t="shared" ref="Q375:R375" si="28">Q128</f>
        <v>0.32386947966077861</v>
      </c>
      <c r="R375" s="35">
        <f t="shared" si="28"/>
        <v>2.5000000000000001E-5</v>
      </c>
      <c r="S375" s="27">
        <f t="shared" si="15"/>
        <v>3.4561863687452801E-2</v>
      </c>
      <c r="T375" s="27">
        <f t="shared" si="16"/>
        <v>1.017188746908609E-3</v>
      </c>
      <c r="U375" s="27">
        <f t="shared" si="17"/>
        <v>0.25377383539650034</v>
      </c>
      <c r="V375" s="27">
        <f t="shared" si="18"/>
        <v>3.7026190828698131E-2</v>
      </c>
    </row>
    <row r="376" spans="12:22">
      <c r="L376" s="34" t="s">
        <v>68</v>
      </c>
      <c r="M376" s="35">
        <f>M152</f>
        <v>5.8917749999999991</v>
      </c>
      <c r="N376" s="35">
        <f t="shared" ref="N376:P376" si="29">N152</f>
        <v>6.4812495833333331E-2</v>
      </c>
      <c r="O376" s="35">
        <f t="shared" si="29"/>
        <v>0.13990831250000005</v>
      </c>
      <c r="P376" s="35">
        <f t="shared" si="29"/>
        <v>1.6968666666666665</v>
      </c>
      <c r="Q376" s="35">
        <f t="shared" ref="Q376:R376" si="30">Q152</f>
        <v>0.16966250000000002</v>
      </c>
      <c r="R376" s="35">
        <f t="shared" si="30"/>
        <v>3.2497499999999997E-4</v>
      </c>
      <c r="S376" s="27">
        <f t="shared" si="15"/>
        <v>1.1000504234009842E-2</v>
      </c>
      <c r="T376" s="27">
        <f t="shared" si="16"/>
        <v>2.3746377365055533E-2</v>
      </c>
      <c r="U376" s="27">
        <f t="shared" si="17"/>
        <v>0.2880060196912928</v>
      </c>
      <c r="V376" s="27">
        <f t="shared" si="18"/>
        <v>2.8796500205795376E-2</v>
      </c>
    </row>
    <row r="377" spans="12:22">
      <c r="L377" s="34" t="s">
        <v>69</v>
      </c>
      <c r="M377" s="35">
        <f>M176</f>
        <v>7.3750416666666654</v>
      </c>
      <c r="N377" s="35">
        <f t="shared" ref="N377:P377" si="31">N176</f>
        <v>0.12945830416666668</v>
      </c>
      <c r="O377" s="35">
        <f t="shared" si="31"/>
        <v>0.17437492916666666</v>
      </c>
      <c r="P377" s="35">
        <f t="shared" si="31"/>
        <v>2.4321249999999996</v>
      </c>
      <c r="Q377" s="35">
        <f t="shared" ref="Q377:R377" si="32">Q176</f>
        <v>8.5458325000000002E-2</v>
      </c>
      <c r="R377" s="35">
        <f t="shared" si="32"/>
        <v>9.999000000000004E-4</v>
      </c>
      <c r="S377" s="27">
        <f t="shared" si="15"/>
        <v>1.7553569188874643E-2</v>
      </c>
      <c r="T377" s="27">
        <f t="shared" si="16"/>
        <v>2.3643924610595425E-2</v>
      </c>
      <c r="U377" s="27">
        <f t="shared" si="17"/>
        <v>0.32977779786554878</v>
      </c>
      <c r="V377" s="27">
        <f t="shared" si="18"/>
        <v>1.1587504025400989E-2</v>
      </c>
    </row>
    <row r="378" spans="12:22">
      <c r="L378" s="34" t="s">
        <v>70</v>
      </c>
      <c r="M378" s="35">
        <f>M200</f>
        <v>3.5002083333333336</v>
      </c>
      <c r="N378" s="35">
        <f t="shared" ref="N378:P378" si="33">N200</f>
        <v>0.13524999166666665</v>
      </c>
      <c r="O378" s="35">
        <f t="shared" si="33"/>
        <v>1.0333241666666666E-2</v>
      </c>
      <c r="P378" s="35">
        <f t="shared" si="33"/>
        <v>0.81066666666666665</v>
      </c>
      <c r="Q378" s="35">
        <f t="shared" ref="Q378:R378" si="34">Q200</f>
        <v>4.7999995833333337E-2</v>
      </c>
      <c r="R378" s="35">
        <f t="shared" si="34"/>
        <v>9.999000000000004E-4</v>
      </c>
      <c r="S378" s="27">
        <f t="shared" si="15"/>
        <v>3.8640554728885182E-2</v>
      </c>
      <c r="T378" s="27">
        <f t="shared" si="16"/>
        <v>2.9521790369620854E-3</v>
      </c>
      <c r="U378" s="27">
        <f t="shared" si="17"/>
        <v>0.23160526159157191</v>
      </c>
      <c r="V378" s="27">
        <f t="shared" si="18"/>
        <v>1.3713468245937742E-2</v>
      </c>
    </row>
    <row r="379" spans="12:22">
      <c r="L379" s="34" t="s">
        <v>71</v>
      </c>
      <c r="M379" s="35">
        <f>M224</f>
        <v>2.7369999999999997</v>
      </c>
      <c r="N379" s="35">
        <f t="shared" ref="N379:P379" si="35">N224</f>
        <v>6.2874983333333329E-2</v>
      </c>
      <c r="O379" s="35">
        <f t="shared" si="35"/>
        <v>9.9991250000000032E-4</v>
      </c>
      <c r="P379" s="35">
        <f t="shared" si="35"/>
        <v>0.66937500000000005</v>
      </c>
      <c r="Q379" s="35">
        <f t="shared" ref="Q379:R379" si="36">Q224</f>
        <v>3.0833312500000012E-2</v>
      </c>
      <c r="R379" s="35">
        <f t="shared" si="36"/>
        <v>9.999000000000004E-4</v>
      </c>
      <c r="S379" s="27">
        <f t="shared" si="15"/>
        <v>2.2972226281817075E-2</v>
      </c>
      <c r="T379" s="27">
        <f t="shared" si="16"/>
        <v>3.6533156740957271E-4</v>
      </c>
      <c r="U379" s="27">
        <f t="shared" si="17"/>
        <v>0.24456521739130441</v>
      </c>
      <c r="V379" s="27">
        <f t="shared" si="18"/>
        <v>1.1265368103763249E-2</v>
      </c>
    </row>
    <row r="380" spans="12:22">
      <c r="L380" s="34" t="s">
        <v>72</v>
      </c>
      <c r="M380" s="35">
        <f>M248</f>
        <v>4.7870833333333325</v>
      </c>
      <c r="N380" s="35">
        <f t="shared" ref="N380:P380" si="37">N248</f>
        <v>0.12243395833333333</v>
      </c>
      <c r="O380" s="35">
        <f t="shared" si="37"/>
        <v>2.0232927083333335E-2</v>
      </c>
      <c r="P380" s="35">
        <f t="shared" si="37"/>
        <v>1.8755333958333333</v>
      </c>
      <c r="Q380" s="35">
        <f t="shared" ref="Q380:R380" si="38">Q248</f>
        <v>6.0403958333333334E-2</v>
      </c>
      <c r="R380" s="35">
        <f t="shared" si="38"/>
        <v>0</v>
      </c>
      <c r="S380" s="27">
        <f t="shared" si="15"/>
        <v>2.5575898685699369E-2</v>
      </c>
      <c r="T380" s="27">
        <f t="shared" si="16"/>
        <v>4.2265667159892082E-3</v>
      </c>
      <c r="U380" s="27">
        <f t="shared" si="17"/>
        <v>0.39179042127252162</v>
      </c>
      <c r="V380" s="27">
        <f t="shared" si="18"/>
        <v>1.2618112977630779E-2</v>
      </c>
    </row>
    <row r="381" spans="12:22">
      <c r="L381" s="34" t="s">
        <v>73</v>
      </c>
      <c r="M381" s="35">
        <f>M272</f>
        <v>3.8242499999999997</v>
      </c>
      <c r="N381" s="35">
        <f t="shared" ref="N381:P381" si="39">N272</f>
        <v>0.14756141666666669</v>
      </c>
      <c r="O381" s="35">
        <f t="shared" si="39"/>
        <v>0</v>
      </c>
      <c r="P381" s="35">
        <f t="shared" si="39"/>
        <v>1.1664141302083333</v>
      </c>
      <c r="Q381" s="35">
        <f t="shared" ref="Q381:R381" si="40">Q272</f>
        <v>6.1098171874999989E-2</v>
      </c>
      <c r="R381" s="35">
        <f t="shared" si="40"/>
        <v>4.1025000000000002E-4</v>
      </c>
      <c r="S381" s="27">
        <f t="shared" si="15"/>
        <v>3.8585713974417651E-2</v>
      </c>
      <c r="T381" s="27">
        <f t="shared" si="16"/>
        <v>0</v>
      </c>
      <c r="U381" s="27">
        <f t="shared" si="17"/>
        <v>0.30500467548103116</v>
      </c>
      <c r="V381" s="27">
        <f t="shared" si="18"/>
        <v>1.5976510917173302E-2</v>
      </c>
    </row>
    <row r="382" spans="12:22">
      <c r="L382" s="34" t="s">
        <v>74</v>
      </c>
      <c r="M382" s="35">
        <f>M296</f>
        <v>2.5405416666666665</v>
      </c>
      <c r="N382" s="35">
        <f t="shared" ref="N382:P382" si="41">N296</f>
        <v>0.14176379166666667</v>
      </c>
      <c r="O382" s="35">
        <f t="shared" si="41"/>
        <v>0</v>
      </c>
      <c r="P382" s="35">
        <f t="shared" si="41"/>
        <v>0.77790124479166678</v>
      </c>
      <c r="Q382" s="35">
        <f t="shared" ref="Q382:R382" si="42">Q296</f>
        <v>3.4790104166666662E-2</v>
      </c>
      <c r="R382" s="35">
        <f t="shared" si="42"/>
        <v>0</v>
      </c>
      <c r="S382" s="27">
        <f t="shared" si="15"/>
        <v>5.5800616666393327E-2</v>
      </c>
      <c r="T382" s="27">
        <f t="shared" si="16"/>
        <v>0</v>
      </c>
      <c r="U382" s="27">
        <f t="shared" si="17"/>
        <v>0.30619503509750223</v>
      </c>
      <c r="V382" s="27">
        <f t="shared" si="18"/>
        <v>1.3693971101963163E-2</v>
      </c>
    </row>
    <row r="383" spans="12:22">
      <c r="L383" s="34" t="s">
        <v>75</v>
      </c>
      <c r="M383" s="35">
        <f>M320</f>
        <v>2.9269999999999996</v>
      </c>
      <c r="N383" s="35">
        <f t="shared" ref="N383:P383" si="43">N320</f>
        <v>0.19325546874999996</v>
      </c>
      <c r="O383" s="35">
        <f t="shared" si="43"/>
        <v>0</v>
      </c>
      <c r="P383" s="35">
        <f t="shared" si="43"/>
        <v>1.1243837968749997</v>
      </c>
      <c r="Q383" s="35">
        <f t="shared" ref="Q383:R383" si="44">Q320</f>
        <v>3.5927031249999998E-2</v>
      </c>
      <c r="R383" s="35">
        <f t="shared" si="44"/>
        <v>0</v>
      </c>
      <c r="S383" s="27">
        <f t="shared" si="15"/>
        <v>6.6025100358729077E-2</v>
      </c>
      <c r="T383" s="27">
        <f t="shared" si="16"/>
        <v>0</v>
      </c>
      <c r="U383" s="27">
        <f t="shared" si="17"/>
        <v>0.3841420556457123</v>
      </c>
      <c r="V383" s="27">
        <f t="shared" si="18"/>
        <v>1.2274353006491288E-2</v>
      </c>
    </row>
    <row r="384" spans="12:22">
      <c r="L384" s="34" t="s">
        <v>76</v>
      </c>
      <c r="M384" s="35">
        <f>M344</f>
        <v>3.2971666666666657</v>
      </c>
      <c r="N384" s="35">
        <f t="shared" ref="N384:P384" si="45">N344</f>
        <v>9.1007906249999992E-2</v>
      </c>
      <c r="O384" s="35">
        <f t="shared" si="45"/>
        <v>0</v>
      </c>
      <c r="P384" s="35">
        <f t="shared" si="45"/>
        <v>1.233434328125</v>
      </c>
      <c r="Q384" s="35">
        <f t="shared" ref="Q384:R384" si="46">Q344</f>
        <v>3.7245744791666667E-2</v>
      </c>
      <c r="R384" s="35">
        <f t="shared" si="46"/>
        <v>0</v>
      </c>
      <c r="S384" s="27">
        <f t="shared" si="15"/>
        <v>2.7601851968862161E-2</v>
      </c>
      <c r="T384" s="27">
        <f t="shared" si="16"/>
        <v>0</v>
      </c>
      <c r="U384" s="27">
        <f t="shared" si="17"/>
        <v>0.37408916588737817</v>
      </c>
      <c r="V384" s="27">
        <f t="shared" si="18"/>
        <v>1.1296288164080275E-2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Zea update</vt:lpstr>
      <vt:lpstr>Fuco update</vt:lpstr>
      <vt:lpstr>But-fuco update</vt:lpstr>
      <vt:lpstr>Peridin update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2026-02-18T20:59:35Z</dcterms:modified>
</cp:coreProperties>
</file>